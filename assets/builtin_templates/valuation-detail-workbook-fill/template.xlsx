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comments/comment6.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comments/comment7.xml" ContentType="application/vnd.openxmlformats-officedocument.spreadsheetml.comments+xml"/>
  <Override PartName="/xl/worksheets/sheet18.xml" ContentType="application/vnd.openxmlformats-officedocument.spreadsheetml.worksheet+xml"/>
  <Override PartName="/xl/comments/comment8.xml" ContentType="application/vnd.openxmlformats-officedocument.spreadsheetml.comments+xml"/>
  <Override PartName="/xl/worksheets/sheet19.xml" ContentType="application/vnd.openxmlformats-officedocument.spreadsheetml.worksheet+xml"/>
  <Override PartName="/xl/comments/comment9.xml" ContentType="application/vnd.openxmlformats-officedocument.spreadsheetml.comments+xml"/>
  <Override PartName="/xl/worksheets/sheet20.xml" ContentType="application/vnd.openxmlformats-officedocument.spreadsheetml.worksheet+xml"/>
  <Override PartName="/xl/comments/comment10.xml" ContentType="application/vnd.openxmlformats-officedocument.spreadsheetml.comments+xml"/>
  <Override PartName="/xl/worksheets/sheet21.xml" ContentType="application/vnd.openxmlformats-officedocument.spreadsheetml.worksheet+xml"/>
  <Override PartName="/xl/comments/comment11.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comment12.xml" ContentType="application/vnd.openxmlformats-officedocument.spreadsheetml.comments+xml"/>
  <Override PartName="/xl/worksheets/sheet25.xml" ContentType="application/vnd.openxmlformats-officedocument.spreadsheetml.worksheet+xml"/>
  <Override PartName="/xl/comments/comment1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comments/comment14.xml" ContentType="application/vnd.openxmlformats-officedocument.spreadsheetml.comments+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omments/comment15.xml" ContentType="application/vnd.openxmlformats-officedocument.spreadsheetml.comments+xml"/>
  <Override PartName="/xl/worksheets/sheet32.xml" ContentType="application/vnd.openxmlformats-officedocument.spreadsheetml.worksheet+xml"/>
  <Override PartName="/xl/comments/comment16.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comments/comment17.xml" ContentType="application/vnd.openxmlformats-officedocument.spreadsheetml.comments+xml"/>
  <Override PartName="/xl/worksheets/sheet36.xml" ContentType="application/vnd.openxmlformats-officedocument.spreadsheetml.worksheet+xml"/>
  <Override PartName="/xl/worksheets/sheet37.xml" ContentType="application/vnd.openxmlformats-officedocument.spreadsheetml.worksheet+xml"/>
  <Override PartName="/xl/comments/comment18.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comment19.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comment20.xml" ContentType="application/vnd.openxmlformats-officedocument.spreadsheetml.comments+xml"/>
  <Override PartName="/xl/worksheets/sheet42.xml" ContentType="application/vnd.openxmlformats-officedocument.spreadsheetml.worksheet+xml"/>
  <Override PartName="/xl/comments/comment21.xml" ContentType="application/vnd.openxmlformats-officedocument.spreadsheetml.comments+xml"/>
  <Override PartName="/xl/worksheets/sheet43.xml" ContentType="application/vnd.openxmlformats-officedocument.spreadsheetml.worksheet+xml"/>
  <Override PartName="/xl/comments/comment22.xml" ContentType="application/vnd.openxmlformats-officedocument.spreadsheetml.comments+xml"/>
  <Override PartName="/xl/worksheets/sheet44.xml" ContentType="application/vnd.openxmlformats-officedocument.spreadsheetml.worksheet+xml"/>
  <Override PartName="/xl/comments/comment23.xml" ContentType="application/vnd.openxmlformats-officedocument.spreadsheetml.comments+xml"/>
  <Override PartName="/xl/worksheets/sheet45.xml" ContentType="application/vnd.openxmlformats-officedocument.spreadsheetml.worksheet+xml"/>
  <Override PartName="/xl/worksheets/sheet46.xml" ContentType="application/vnd.openxmlformats-officedocument.spreadsheetml.worksheet+xml"/>
  <Override PartName="/xl/comments/comment24.xml" ContentType="application/vnd.openxmlformats-officedocument.spreadsheetml.comments+xml"/>
  <Override PartName="/xl/worksheets/sheet47.xml" ContentType="application/vnd.openxmlformats-officedocument.spreadsheetml.worksheet+xml"/>
  <Override PartName="/xl/comments/comment25.xml" ContentType="application/vnd.openxmlformats-officedocument.spreadsheetml.comments+xml"/>
  <Override PartName="/xl/worksheets/sheet48.xml" ContentType="application/vnd.openxmlformats-officedocument.spreadsheetml.worksheet+xml"/>
  <Override PartName="/xl/comments/comment26.xml" ContentType="application/vnd.openxmlformats-officedocument.spreadsheetml.comments+xml"/>
  <Override PartName="/xl/worksheets/sheet49.xml" ContentType="application/vnd.openxmlformats-officedocument.spreadsheetml.worksheet+xml"/>
  <Override PartName="/xl/worksheets/sheet50.xml" ContentType="application/vnd.openxmlformats-officedocument.spreadsheetml.worksheet+xml"/>
  <Override PartName="/xl/comments/comment27.xml" ContentType="application/vnd.openxmlformats-officedocument.spreadsheetml.comments+xml"/>
  <Override PartName="/xl/worksheets/sheet51.xml" ContentType="application/vnd.openxmlformats-officedocument.spreadsheetml.worksheet+xml"/>
  <Override PartName="/xl/comments/comment28.xml" ContentType="application/vnd.openxmlformats-officedocument.spreadsheetml.comments+xml"/>
  <Override PartName="/xl/worksheets/sheet52.xml" ContentType="application/vnd.openxmlformats-officedocument.spreadsheetml.worksheet+xml"/>
  <Override PartName="/xl/comments/comment29.xml" ContentType="application/vnd.openxmlformats-officedocument.spreadsheetml.comments+xml"/>
  <Override PartName="/xl/worksheets/sheet53.xml" ContentType="application/vnd.openxmlformats-officedocument.spreadsheetml.worksheet+xml"/>
  <Override PartName="/xl/comments/comment30.xml" ContentType="application/vnd.openxmlformats-officedocument.spreadsheetml.comments+xml"/>
  <Override PartName="/xl/worksheets/sheet54.xml" ContentType="application/vnd.openxmlformats-officedocument.spreadsheetml.worksheet+xml"/>
  <Override PartName="/xl/comments/comment31.xml" ContentType="application/vnd.openxmlformats-officedocument.spreadsheetml.comments+xml"/>
  <Override PartName="/xl/worksheets/sheet55.xml" ContentType="application/vnd.openxmlformats-officedocument.spreadsheetml.worksheet+xml"/>
  <Override PartName="/xl/worksheets/sheet56.xml" ContentType="application/vnd.openxmlformats-officedocument.spreadsheetml.worksheet+xml"/>
  <Override PartName="/xl/comments/comment32.xml" ContentType="application/vnd.openxmlformats-officedocument.spreadsheetml.comments+xml"/>
  <Override PartName="/xl/worksheets/sheet57.xml" ContentType="application/vnd.openxmlformats-officedocument.spreadsheetml.worksheet+xml"/>
  <Override PartName="/xl/comments/comment33.xml" ContentType="application/vnd.openxmlformats-officedocument.spreadsheetml.comments+xml"/>
  <Override PartName="/xl/worksheets/sheet58.xml" ContentType="application/vnd.openxmlformats-officedocument.spreadsheetml.worksheet+xml"/>
  <Override PartName="/xl/worksheets/sheet59.xml" ContentType="application/vnd.openxmlformats-officedocument.spreadsheetml.worksheet+xml"/>
  <Override PartName="/xl/comments/comment34.xml" ContentType="application/vnd.openxmlformats-officedocument.spreadsheetml.comments+xml"/>
  <Override PartName="/xl/worksheets/sheet60.xml" ContentType="application/vnd.openxmlformats-officedocument.spreadsheetml.worksheet+xml"/>
  <Override PartName="/xl/comments/comment35.xml" ContentType="application/vnd.openxmlformats-officedocument.spreadsheetml.comments+xml"/>
  <Override PartName="/xl/worksheets/sheet61.xml" ContentType="application/vnd.openxmlformats-officedocument.spreadsheetml.worksheet+xml"/>
  <Override PartName="/xl/comments/comment36.xml" ContentType="application/vnd.openxmlformats-officedocument.spreadsheetml.comments+xml"/>
  <Override PartName="/xl/worksheets/sheet62.xml" ContentType="application/vnd.openxmlformats-officedocument.spreadsheetml.worksheet+xml"/>
  <Override PartName="/xl/comments/comment37.xml" ContentType="application/vnd.openxmlformats-officedocument.spreadsheetml.comments+xml"/>
  <Override PartName="/xl/worksheets/sheet63.xml" ContentType="application/vnd.openxmlformats-officedocument.spreadsheetml.worksheet+xml"/>
  <Override PartName="/xl/worksheets/sheet64.xml" ContentType="application/vnd.openxmlformats-officedocument.spreadsheetml.worksheet+xml"/>
  <Override PartName="/xl/comments/comment38.xml" ContentType="application/vnd.openxmlformats-officedocument.spreadsheetml.comments+xml"/>
  <Override PartName="/xl/worksheets/sheet65.xml" ContentType="application/vnd.openxmlformats-officedocument.spreadsheetml.worksheet+xml"/>
  <Override PartName="/xl/comments/comment39.xml" ContentType="application/vnd.openxmlformats-officedocument.spreadsheetml.comments+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comments/comment40.xml" ContentType="application/vnd.openxmlformats-officedocument.spreadsheetml.comments+xml"/>
  <Override PartName="/xl/worksheets/sheet69.xml" ContentType="application/vnd.openxmlformats-officedocument.spreadsheetml.worksheet+xml"/>
  <Override PartName="/xl/comments/comment41.xml" ContentType="application/vnd.openxmlformats-officedocument.spreadsheetml.comments+xml"/>
  <Override PartName="/xl/worksheets/sheet70.xml" ContentType="application/vnd.openxmlformats-officedocument.spreadsheetml.worksheet+xml"/>
  <Override PartName="/xl/comments/comment42.xml" ContentType="application/vnd.openxmlformats-officedocument.spreadsheetml.comments+xml"/>
  <Override PartName="/xl/worksheets/sheet71.xml" ContentType="application/vnd.openxmlformats-officedocument.spreadsheetml.worksheet+xml"/>
  <Override PartName="/xl/worksheets/sheet72.xml" ContentType="application/vnd.openxmlformats-officedocument.spreadsheetml.worksheet+xml"/>
  <Override PartName="/xl/comments/comment43.xml" ContentType="application/vnd.openxmlformats-officedocument.spreadsheetml.comments+xml"/>
  <Override PartName="/xl/worksheets/sheet73.xml" ContentType="application/vnd.openxmlformats-officedocument.spreadsheetml.worksheet+xml"/>
  <Override PartName="/xl/worksheets/sheet74.xml" ContentType="application/vnd.openxmlformats-officedocument.spreadsheetml.worksheet+xml"/>
  <Override PartName="/xl/comments/comment44.xml" ContentType="application/vnd.openxmlformats-officedocument.spreadsheetml.comments+xml"/>
  <Override PartName="/xl/worksheets/sheet75.xml" ContentType="application/vnd.openxmlformats-officedocument.spreadsheetml.worksheet+xml"/>
  <Override PartName="/xl/comments/comment45.xml" ContentType="application/vnd.openxmlformats-officedocument.spreadsheetml.comments+xml"/>
  <Override PartName="/xl/worksheets/sheet76.xml" ContentType="application/vnd.openxmlformats-officedocument.spreadsheetml.worksheet+xml"/>
  <Override PartName="/xl/comments/comment46.xml" ContentType="application/vnd.openxmlformats-officedocument.spreadsheetml.comments+xml"/>
  <Override PartName="/xl/worksheets/sheet77.xml" ContentType="application/vnd.openxmlformats-officedocument.spreadsheetml.worksheet+xml"/>
  <Override PartName="/xl/comments/comment47.xml" ContentType="application/vnd.openxmlformats-officedocument.spreadsheetml.comments+xml"/>
  <Override PartName="/xl/worksheets/sheet78.xml" ContentType="application/vnd.openxmlformats-officedocument.spreadsheetml.worksheet+xml"/>
  <Override PartName="/xl/comments/comment48.xml" ContentType="application/vnd.openxmlformats-officedocument.spreadsheetml.comments+xml"/>
  <Override PartName="/xl/worksheets/sheet79.xml" ContentType="application/vnd.openxmlformats-officedocument.spreadsheetml.worksheet+xml"/>
  <Override PartName="/xl/comments/comment49.xml" ContentType="application/vnd.openxmlformats-officedocument.spreadsheetml.comments+xml"/>
  <Override PartName="/xl/worksheets/sheet80.xml" ContentType="application/vnd.openxmlformats-officedocument.spreadsheetml.worksheet+xml"/>
  <Override PartName="/xl/comments/comment50.xml" ContentType="application/vnd.openxmlformats-officedocument.spreadsheetml.comments+xml"/>
  <Override PartName="/xl/worksheets/sheet81.xml" ContentType="application/vnd.openxmlformats-officedocument.spreadsheetml.worksheet+xml"/>
  <Override PartName="/xl/comments/comment51.xml" ContentType="application/vnd.openxmlformats-officedocument.spreadsheetml.comments+xml"/>
  <Override PartName="/xl/worksheets/sheet82.xml" ContentType="application/vnd.openxmlformats-officedocument.spreadsheetml.worksheet+xml"/>
  <Override PartName="/xl/comments/comment52.xml" ContentType="application/vnd.openxmlformats-officedocument.spreadsheetml.comments+xml"/>
  <Override PartName="/xl/worksheets/sheet83.xml" ContentType="application/vnd.openxmlformats-officedocument.spreadsheetml.worksheet+xml"/>
  <Override PartName="/xl/comments/comment53.xml" ContentType="application/vnd.openxmlformats-officedocument.spreadsheetml.comments+xml"/>
  <Override PartName="/xl/worksheets/sheet84.xml" ContentType="application/vnd.openxmlformats-officedocument.spreadsheetml.worksheet+xml"/>
  <Override PartName="/xl/comments/comment54.xml" ContentType="application/vnd.openxmlformats-officedocument.spreadsheetml.comments+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comments/comment55.xml" ContentType="application/vnd.openxmlformats-officedocument.spreadsheetml.comments+xml"/>
  <Override PartName="/xl/worksheets/sheet88.xml" ContentType="application/vnd.openxmlformats-officedocument.spreadsheetml.worksheet+xml"/>
  <Override PartName="/xl/worksheets/sheet89.xml" ContentType="application/vnd.openxmlformats-officedocument.spreadsheetml.worksheet+xml"/>
  <Override PartName="/xl/comments/comment56.xml" ContentType="application/vnd.openxmlformats-officedocument.spreadsheetml.comments+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4750" windowHeight="12080" tabRatio="929" firstSheet="5" activeTab="5" autoFilterDateGrouping="1"/>
  </bookViews>
  <sheets>
    <sheet xmlns:r="http://schemas.openxmlformats.org/officeDocument/2006/relationships" name="PMMOQP" sheetId="1" state="hidden" r:id="rId1"/>
    <sheet xmlns:r="http://schemas.openxmlformats.org/officeDocument/2006/relationships" name="封面" sheetId="2" state="visible" r:id="rId2"/>
    <sheet xmlns:r="http://schemas.openxmlformats.org/officeDocument/2006/relationships" name="索引目录" sheetId="3" state="hidden" r:id="rId3"/>
    <sheet xmlns:r="http://schemas.openxmlformats.org/officeDocument/2006/relationships" name="填表说明" sheetId="4" state="hidden" r:id="rId4"/>
    <sheet xmlns:r="http://schemas.openxmlformats.org/officeDocument/2006/relationships" name="资产负债表" sheetId="5" state="visible" r:id="rId5"/>
    <sheet xmlns:r="http://schemas.openxmlformats.org/officeDocument/2006/relationships" name="汇总表" sheetId="6" state="visible" r:id="rId6"/>
    <sheet xmlns:r="http://schemas.openxmlformats.org/officeDocument/2006/relationships" name="分类汇总" sheetId="7" state="visible" r:id="rId7"/>
    <sheet xmlns:r="http://schemas.openxmlformats.org/officeDocument/2006/relationships" name="流动汇总" sheetId="8" state="visible" r:id="rId8"/>
    <sheet xmlns:r="http://schemas.openxmlformats.org/officeDocument/2006/relationships" name="现金" sheetId="9" state="hidden" r:id="rId9"/>
    <sheet xmlns:r="http://schemas.openxmlformats.org/officeDocument/2006/relationships" name="银行存款" sheetId="10" state="visible" r:id="rId10"/>
    <sheet xmlns:r="http://schemas.openxmlformats.org/officeDocument/2006/relationships" name="其他货币资金" sheetId="11" state="hidden" r:id="rId11"/>
    <sheet xmlns:r="http://schemas.openxmlformats.org/officeDocument/2006/relationships" name="交易性金融资产汇总" sheetId="12" state="hidden" r:id="rId12"/>
    <sheet xmlns:r="http://schemas.openxmlformats.org/officeDocument/2006/relationships" name="交易性-股票" sheetId="13" state="hidden" r:id="rId13"/>
    <sheet xmlns:r="http://schemas.openxmlformats.org/officeDocument/2006/relationships" name="交易性-债券" sheetId="14" state="hidden" r:id="rId14"/>
    <sheet xmlns:r="http://schemas.openxmlformats.org/officeDocument/2006/relationships" name="交易性-基金" sheetId="15" state="hidden" r:id="rId15"/>
    <sheet xmlns:r="http://schemas.openxmlformats.org/officeDocument/2006/relationships" name="应收票据" sheetId="16" state="hidden" r:id="rId16"/>
    <sheet xmlns:r="http://schemas.openxmlformats.org/officeDocument/2006/relationships" name="应收账款" sheetId="17" state="visible" r:id="rId17"/>
    <sheet xmlns:r="http://schemas.openxmlformats.org/officeDocument/2006/relationships" name="预付账款" sheetId="18" state="visible" r:id="rId18"/>
    <sheet xmlns:r="http://schemas.openxmlformats.org/officeDocument/2006/relationships" name="应收利息" sheetId="19" state="hidden" r:id="rId19"/>
    <sheet xmlns:r="http://schemas.openxmlformats.org/officeDocument/2006/relationships" name="应收股利（利润）" sheetId="20" state="hidden" r:id="rId20"/>
    <sheet xmlns:r="http://schemas.openxmlformats.org/officeDocument/2006/relationships" name="其他应收款" sheetId="21" state="visible" r:id="rId21"/>
    <sheet xmlns:r="http://schemas.openxmlformats.org/officeDocument/2006/relationships" name="存货汇总" sheetId="22" state="hidden" r:id="rId22"/>
    <sheet xmlns:r="http://schemas.openxmlformats.org/officeDocument/2006/relationships" name="材料采购（在途物资）" sheetId="23" state="hidden" r:id="rId23"/>
    <sheet xmlns:r="http://schemas.openxmlformats.org/officeDocument/2006/relationships" name="原材料" sheetId="24" state="hidden" r:id="rId24"/>
    <sheet xmlns:r="http://schemas.openxmlformats.org/officeDocument/2006/relationships" name="在库周转材料" sheetId="25" state="hidden" r:id="rId25"/>
    <sheet xmlns:r="http://schemas.openxmlformats.org/officeDocument/2006/relationships" name="委托加工物资" sheetId="26" state="hidden" r:id="rId26"/>
    <sheet xmlns:r="http://schemas.openxmlformats.org/officeDocument/2006/relationships" name="产成品（库存商品）" sheetId="27" state="hidden" r:id="rId27"/>
    <sheet xmlns:r="http://schemas.openxmlformats.org/officeDocument/2006/relationships" name="在产品（自制半成品）" sheetId="28" state="hidden" r:id="rId28"/>
    <sheet xmlns:r="http://schemas.openxmlformats.org/officeDocument/2006/relationships" name="发出商品" sheetId="29" state="hidden" r:id="rId29"/>
    <sheet xmlns:r="http://schemas.openxmlformats.org/officeDocument/2006/relationships" name="在用周转材料" sheetId="30" state="hidden" r:id="rId30"/>
    <sheet xmlns:r="http://schemas.openxmlformats.org/officeDocument/2006/relationships" name="一年到期非流动资产" sheetId="31" state="hidden" r:id="rId31"/>
    <sheet xmlns:r="http://schemas.openxmlformats.org/officeDocument/2006/relationships" name="其他流动资产" sheetId="32" state="hidden" r:id="rId32"/>
    <sheet xmlns:r="http://schemas.openxmlformats.org/officeDocument/2006/relationships" name="非流动资产汇总" sheetId="33" state="visible" r:id="rId33"/>
    <sheet xmlns:r="http://schemas.openxmlformats.org/officeDocument/2006/relationships" name="可供出售金融资产汇总" sheetId="34" state="hidden" r:id="rId34"/>
    <sheet xmlns:r="http://schemas.openxmlformats.org/officeDocument/2006/relationships" name="可出售-股票" sheetId="35" state="hidden" r:id="rId35"/>
    <sheet xmlns:r="http://schemas.openxmlformats.org/officeDocument/2006/relationships" name="可出售-债券" sheetId="36" state="hidden" r:id="rId36"/>
    <sheet xmlns:r="http://schemas.openxmlformats.org/officeDocument/2006/relationships" name="可出售-其他" sheetId="37" state="hidden" r:id="rId37"/>
    <sheet xmlns:r="http://schemas.openxmlformats.org/officeDocument/2006/relationships" name="持有到期投资" sheetId="38" state="hidden" r:id="rId38"/>
    <sheet xmlns:r="http://schemas.openxmlformats.org/officeDocument/2006/relationships" name="长期应收" sheetId="39" state="hidden" r:id="rId39"/>
    <sheet xmlns:r="http://schemas.openxmlformats.org/officeDocument/2006/relationships" name="股权投资" sheetId="40" state="hidden" r:id="rId40"/>
    <sheet xmlns:r="http://schemas.openxmlformats.org/officeDocument/2006/relationships" name="4-5-1投资性房地产" sheetId="41" state="hidden" r:id="rId41"/>
    <sheet xmlns:r="http://schemas.openxmlformats.org/officeDocument/2006/relationships" name="4-5-2投资性房地产" sheetId="42" state="hidden" r:id="rId42"/>
    <sheet xmlns:r="http://schemas.openxmlformats.org/officeDocument/2006/relationships" name="4-5-3投资性地产" sheetId="43" state="hidden" r:id="rId43"/>
    <sheet xmlns:r="http://schemas.openxmlformats.org/officeDocument/2006/relationships" name="4-5-4投资性地产" sheetId="44" state="hidden" r:id="rId44"/>
    <sheet xmlns:r="http://schemas.openxmlformats.org/officeDocument/2006/relationships" name="固定资产汇总" sheetId="45" state="visible" r:id="rId45"/>
    <sheet xmlns:r="http://schemas.openxmlformats.org/officeDocument/2006/relationships" name="房屋建筑物" sheetId="46" state="hidden" r:id="rId46"/>
    <sheet xmlns:r="http://schemas.openxmlformats.org/officeDocument/2006/relationships" name="构筑物" sheetId="47" state="hidden" r:id="rId47"/>
    <sheet xmlns:r="http://schemas.openxmlformats.org/officeDocument/2006/relationships" name="井巷" sheetId="48" state="hidden" r:id="rId48"/>
    <sheet xmlns:r="http://schemas.openxmlformats.org/officeDocument/2006/relationships" name="Sheet1" sheetId="49" state="hidden" r:id="rId49"/>
    <sheet xmlns:r="http://schemas.openxmlformats.org/officeDocument/2006/relationships" name="管道沟槽" sheetId="50" state="hidden" r:id="rId50"/>
    <sheet xmlns:r="http://schemas.openxmlformats.org/officeDocument/2006/relationships" name="机器设备" sheetId="51" state="hidden" r:id="rId51"/>
    <sheet xmlns:r="http://schemas.openxmlformats.org/officeDocument/2006/relationships" name="车辆" sheetId="52" state="hidden" r:id="rId52"/>
    <sheet xmlns:r="http://schemas.openxmlformats.org/officeDocument/2006/relationships" name="电子设备" sheetId="53" state="visible" r:id="rId53"/>
    <sheet xmlns:r="http://schemas.openxmlformats.org/officeDocument/2006/relationships" name="土地" sheetId="54" state="hidden" r:id="rId54"/>
    <sheet xmlns:r="http://schemas.openxmlformats.org/officeDocument/2006/relationships" name="在建工程汇总" sheetId="55" state="hidden" r:id="rId55"/>
    <sheet xmlns:r="http://schemas.openxmlformats.org/officeDocument/2006/relationships" name="在建（土建）" sheetId="56" state="hidden" r:id="rId56"/>
    <sheet xmlns:r="http://schemas.openxmlformats.org/officeDocument/2006/relationships" name="在建（设备）" sheetId="57" state="hidden" r:id="rId57"/>
    <sheet xmlns:r="http://schemas.openxmlformats.org/officeDocument/2006/relationships" name="工程物资" sheetId="58" state="hidden" r:id="rId58"/>
    <sheet xmlns:r="http://schemas.openxmlformats.org/officeDocument/2006/relationships" name="固定资产清理" sheetId="59" state="hidden" r:id="rId59"/>
    <sheet xmlns:r="http://schemas.openxmlformats.org/officeDocument/2006/relationships" name="生产性生物资产" sheetId="60" state="hidden" r:id="rId60"/>
    <sheet xmlns:r="http://schemas.openxmlformats.org/officeDocument/2006/relationships" name="油气资产" sheetId="61" state="hidden" r:id="rId61"/>
    <sheet xmlns:r="http://schemas.openxmlformats.org/officeDocument/2006/relationships" name="使用权资产" sheetId="62" state="hidden" r:id="rId62"/>
    <sheet xmlns:r="http://schemas.openxmlformats.org/officeDocument/2006/relationships" name="无形资产汇总" sheetId="63" state="hidden" r:id="rId63"/>
    <sheet xmlns:r="http://schemas.openxmlformats.org/officeDocument/2006/relationships" name="无形-土地" sheetId="64" state="hidden" r:id="rId64"/>
    <sheet xmlns:r="http://schemas.openxmlformats.org/officeDocument/2006/relationships" name="无形-矿业权" sheetId="65" state="hidden" r:id="rId65"/>
    <sheet xmlns:r="http://schemas.openxmlformats.org/officeDocument/2006/relationships" name="无形-其他" sheetId="66" state="hidden" r:id="rId66"/>
    <sheet xmlns:r="http://schemas.openxmlformats.org/officeDocument/2006/relationships" name="Sheet2" sheetId="67" state="hidden" r:id="rId67"/>
    <sheet xmlns:r="http://schemas.openxmlformats.org/officeDocument/2006/relationships" name="开发支出" sheetId="68" state="hidden" r:id="rId68"/>
    <sheet xmlns:r="http://schemas.openxmlformats.org/officeDocument/2006/relationships" name="商誉" sheetId="69" state="hidden" r:id="rId69"/>
    <sheet xmlns:r="http://schemas.openxmlformats.org/officeDocument/2006/relationships" name="长期待摊费用" sheetId="70" state="hidden" r:id="rId70"/>
    <sheet xmlns:r="http://schemas.openxmlformats.org/officeDocument/2006/relationships" name="递延所得税资产" sheetId="71" state="hidden" r:id="rId71"/>
    <sheet xmlns:r="http://schemas.openxmlformats.org/officeDocument/2006/relationships" name="其他非流动资产" sheetId="72" state="hidden" r:id="rId72"/>
    <sheet xmlns:r="http://schemas.openxmlformats.org/officeDocument/2006/relationships" name="流动负债汇总" sheetId="73" state="visible" r:id="rId73"/>
    <sheet xmlns:r="http://schemas.openxmlformats.org/officeDocument/2006/relationships" name="短期借款" sheetId="74" state="hidden" r:id="rId74"/>
    <sheet xmlns:r="http://schemas.openxmlformats.org/officeDocument/2006/relationships" name="交易性金融负债" sheetId="75" state="hidden" r:id="rId75"/>
    <sheet xmlns:r="http://schemas.openxmlformats.org/officeDocument/2006/relationships" name="应付票据" sheetId="76" state="hidden" r:id="rId76"/>
    <sheet xmlns:r="http://schemas.openxmlformats.org/officeDocument/2006/relationships" name="应付账款" sheetId="77" state="visible" r:id="rId77"/>
    <sheet xmlns:r="http://schemas.openxmlformats.org/officeDocument/2006/relationships" name="预收账款" sheetId="78" state="hidden" r:id="rId78"/>
    <sheet xmlns:r="http://schemas.openxmlformats.org/officeDocument/2006/relationships" name="职工薪酬" sheetId="79" state="visible" r:id="rId79"/>
    <sheet xmlns:r="http://schemas.openxmlformats.org/officeDocument/2006/relationships" name="应交税费" sheetId="80" state="visible" r:id="rId80"/>
    <sheet xmlns:r="http://schemas.openxmlformats.org/officeDocument/2006/relationships" name="应付利息" sheetId="81" state="hidden" r:id="rId81"/>
    <sheet xmlns:r="http://schemas.openxmlformats.org/officeDocument/2006/relationships" name="应付股利（利润）" sheetId="82" state="hidden" r:id="rId82"/>
    <sheet xmlns:r="http://schemas.openxmlformats.org/officeDocument/2006/relationships" name="其他应付款" sheetId="83" state="visible" r:id="rId83"/>
    <sheet xmlns:r="http://schemas.openxmlformats.org/officeDocument/2006/relationships" name="一年到期非流动负债" sheetId="84" state="hidden" r:id="rId84"/>
    <sheet xmlns:r="http://schemas.openxmlformats.org/officeDocument/2006/relationships" name="其他流动负债" sheetId="85" state="hidden" r:id="rId85"/>
    <sheet xmlns:r="http://schemas.openxmlformats.org/officeDocument/2006/relationships" name="非流动负债汇总 " sheetId="86" state="visible" r:id="rId86"/>
    <sheet xmlns:r="http://schemas.openxmlformats.org/officeDocument/2006/relationships" name="长期借款" sheetId="87" state="hidden" r:id="rId87"/>
    <sheet xmlns:r="http://schemas.openxmlformats.org/officeDocument/2006/relationships" name="应付债券" sheetId="88" state="hidden" r:id="rId88"/>
    <sheet xmlns:r="http://schemas.openxmlformats.org/officeDocument/2006/relationships" name="长期应付款" sheetId="89" state="hidden" r:id="rId89"/>
    <sheet xmlns:r="http://schemas.openxmlformats.org/officeDocument/2006/relationships" name="专项应付款" sheetId="90" state="hidden" r:id="rId90"/>
    <sheet xmlns:r="http://schemas.openxmlformats.org/officeDocument/2006/relationships" name="预计负债" sheetId="91" state="hidden" r:id="rId91"/>
    <sheet xmlns:r="http://schemas.openxmlformats.org/officeDocument/2006/relationships" name="租赁负债" sheetId="92" state="hidden" r:id="rId92"/>
    <sheet xmlns:r="http://schemas.openxmlformats.org/officeDocument/2006/relationships" name="递延所得税负债" sheetId="93" state="hidden" r:id="rId93"/>
    <sheet xmlns:r="http://schemas.openxmlformats.org/officeDocument/2006/relationships" name="其他非流动负债" sheetId="94" state="hidden" r:id="rId94"/>
    <sheet xmlns:r="http://schemas.openxmlformats.org/officeDocument/2006/relationships" name="00000000" sheetId="95" state="veryHidden" r:id="rId95"/>
  </sheets>
  <definedNames>
    <definedName name="_xlnm.Print_Area" localSheetId="1">'封面'!$B$2:$O$41</definedName>
    <definedName name="_xlnm.Print_Area" localSheetId="4">'资产负债表'!$A$2:$J$42</definedName>
    <definedName name="_xlnm.Print_Area" localSheetId="5">'汇总表'!$A$2:$G$35</definedName>
    <definedName name="_xlnm.Print_Titles" localSheetId="6">'分类汇总'!$2:$5</definedName>
    <definedName name="_xlnm.Print_Area" localSheetId="6">'分类汇总'!$A$2:$H$65</definedName>
    <definedName name="_xlnm.Print_Area" localSheetId="7">'流动汇总'!$A$2:$I$29</definedName>
    <definedName name="_xlnm.Print_Area" localSheetId="8">'现金'!$A$2:$J$29</definedName>
    <definedName name="_xlnm.Print_Area" localSheetId="9">'银行存款'!$A$2:$K$25</definedName>
    <definedName name="_xlnm.Print_Area" localSheetId="10">'其他货币资金'!$A$2:$L$22</definedName>
    <definedName name="_xlnm.Print_Area" localSheetId="11">'交易性金融资产汇总'!$A$2:$G$29</definedName>
    <definedName name="_xlnm.Print_Area" localSheetId="12">'交易性-股票'!$A$2:$L$29</definedName>
    <definedName name="_xlnm.Print_Area" localSheetId="13">'交易性-债券'!$A$2:$L$29</definedName>
    <definedName name="_xlnm.Print_Area" localSheetId="14">'交易性-基金'!$A$2:$M$29</definedName>
    <definedName name="_xlnm.Print_Area" localSheetId="15">'应收票据'!$A$2:$K$29</definedName>
    <definedName name="_xlnm.Print_Area" localSheetId="16">'应收账款'!$A$2:$S$29</definedName>
    <definedName name="_xlnm.Print_Area" localSheetId="17">'预付账款'!$A$2:$K$29</definedName>
    <definedName name="_xlnm.Print_Area" localSheetId="18">'应收利息'!$A$2:$L$29</definedName>
    <definedName name="_xlnm.Print_Area" localSheetId="19">'应收股利（利润）'!$A$2:$J$29</definedName>
    <definedName name="_xlnm.Print_Titles" localSheetId="20">'其他应收款'!$2:$5</definedName>
    <definedName name="_xlnm.Print_Area" localSheetId="20">'其他应收款'!$A$2:$S$47</definedName>
    <definedName name="_xlnm.Print_Area" localSheetId="21">'存货汇总'!$A$2:$G$29</definedName>
    <definedName name="_xlnm.Print_Area" localSheetId="22">'材料采购（在途物资）'!$A$2:$O$29</definedName>
    <definedName name="_xlnm.Print_Titles" localSheetId="23">'原材料'!$2:$6</definedName>
    <definedName name="_xlnm.Print_Area" localSheetId="23">'原材料'!$A$1:$O$279</definedName>
    <definedName name="_xlnm.Print_Area" localSheetId="24">'在库周转材料'!$A$2:$P$29</definedName>
    <definedName name="_xlnm.Print_Area" localSheetId="25">'委托加工物资'!$A$2:$P$29</definedName>
    <definedName name="_xlnm.Print_Area" localSheetId="26">'产成品（库存商品）'!$A$2:$P$29</definedName>
    <definedName name="_xlnm.Print_Area" localSheetId="27">'在产品（自制半成品）'!$A$2:$O$29</definedName>
    <definedName name="_xlnm.Print_Titles" localSheetId="28">'发出商品'!$2:$6</definedName>
    <definedName name="_xlnm.Print_Area" localSheetId="28">'发出商品'!$A$2:$P$39</definedName>
    <definedName name="_xlnm.Print_Area" localSheetId="29">'在用周转材料'!$A$2:$P$29</definedName>
    <definedName name="_xlnm.Print_Area" localSheetId="30">'一年到期非流动资产'!$A$2:$J$29</definedName>
    <definedName name="_xlnm.Print_Area" localSheetId="31">'其他流动资产'!$A$2:$J$29</definedName>
    <definedName name="_xlnm.Print_Area" localSheetId="32">'非流动资产汇总'!$A$2:$G$30</definedName>
    <definedName name="_xlnm.Print_Area" localSheetId="33">'可供出售金融资产汇总'!$A$2:$H$29</definedName>
    <definedName name="_xlnm.Print_Area" localSheetId="34">'可出售-股票'!$A$2:$N$29</definedName>
    <definedName name="_xlnm.Print_Area" localSheetId="35">'可出售-债券'!$A$2:$M$29</definedName>
    <definedName name="_xlnm.Print_Area" localSheetId="36">'可出售-其他'!$A$2:$M$29</definedName>
    <definedName name="_xlnm.Print_Area" localSheetId="37">'持有到期投资'!$A$2:$M$29</definedName>
    <definedName name="_xlnm.Print_Area" localSheetId="38">'长期应收'!$A$2:$J$34</definedName>
    <definedName name="_xlnm.Print_Area" localSheetId="39">'股权投资'!$A$2:$L$29</definedName>
    <definedName name="_xlnm.Print_Area" localSheetId="40">'4-5-1投资性房地产'!$A$2:$U$29</definedName>
    <definedName name="_xlnm.Print_Area" localSheetId="41">'4-5-2投资性房地产'!$A$2:$R$29</definedName>
    <definedName name="_xlnm.Print_Area" localSheetId="42">'4-5-3投资性地产'!$A$2:$S$29</definedName>
    <definedName name="_xlnm.Print_Area" localSheetId="43">'4-5-4投资性地产'!$A$2:$S$29</definedName>
    <definedName name="_xlnm.Print_Area" localSheetId="44">'固定资产汇总'!$A$2:$L$24</definedName>
    <definedName name="_xlnm.Print_Area" localSheetId="45">'房屋建筑物'!$A$2:$AF$37</definedName>
    <definedName name="_xlnm.Print_Area" localSheetId="46">'构筑物'!$A$2:$U$49</definedName>
    <definedName name="_xlnm.Print_Area" localSheetId="47">'井巷'!$A$2:$AS$28</definedName>
    <definedName name="_xlnm.Print_Area" localSheetId="49">'管道沟槽'!$A$2:$T$29</definedName>
    <definedName name="_xlnm.Print_Area" localSheetId="50">'机器设备'!$A$2:$U$236</definedName>
    <definedName name="_xlnm.Print_Area" localSheetId="51">'车辆'!$A$2:$U$29</definedName>
    <definedName name="_xlnm._FilterDatabase" localSheetId="52" hidden="1">'电子设备'!$A$6:$AJ$447</definedName>
    <definedName name="_xlnm.Print_Area" localSheetId="52">'电子设备'!$A$2:$V$451</definedName>
    <definedName name="_xlnm.Print_Area" localSheetId="53">'土地'!$A$2:$S$30</definedName>
    <definedName name="_xlnm.Print_Area" localSheetId="54">'在建工程汇总'!$A$2:$G$29</definedName>
    <definedName name="_xlnm.Print_Area" localSheetId="55">'在建（土建）'!$A$2:$O$29</definedName>
    <definedName name="_xlnm.Print_Area" localSheetId="56">'在建（设备）'!$A$2:$W$29</definedName>
    <definedName name="_xlnm.Print_Area" localSheetId="57">'工程物资'!$A$2:$Q$29</definedName>
    <definedName name="_xlnm.Print_Area" localSheetId="58">'固定资产清理'!$A$2:$J$29</definedName>
    <definedName name="_xlnm.Print_Area" localSheetId="59">'生产性生物资产'!$A$2:$R$29</definedName>
    <definedName name="_xlnm.Print_Area" localSheetId="60">'油气资产'!$A$2:$S$29</definedName>
    <definedName name="_xlnm.Print_Area" localSheetId="61">'使用权资产'!$A$2:$M$29</definedName>
    <definedName name="_xlnm.Print_Area" localSheetId="62">'无形资产汇总'!$A$2:$G$29</definedName>
    <definedName name="_xlnm.Print_Area" localSheetId="63">'无形-土地'!$A$2:$Q$29</definedName>
    <definedName name="_xlnm.Print_Area" localSheetId="64">'无形-矿业权'!$A$2:$P$29</definedName>
    <definedName name="_xlnm._FilterDatabase" localSheetId="65" hidden="1">'无形-其他'!$A$5:$Q$25</definedName>
    <definedName name="_xlnm.Print_Area" localSheetId="65">'无形-其他'!$A$2:$O$25</definedName>
    <definedName name="_xlnm._FilterDatabase" localSheetId="66" hidden="1">'Sheet2'!$A$1:$F$14</definedName>
    <definedName name="_xlnm.Print_Area" localSheetId="67">'开发支出'!$A$2:$J$29</definedName>
    <definedName name="_xlnm.Print_Area" localSheetId="68">'商誉'!$A$2:$J$29</definedName>
    <definedName name="_xlnm.Print_Area" localSheetId="69">'长期待摊费用'!$A$2:$M$29</definedName>
    <definedName name="_xlnm.Print_Area" localSheetId="70">'递延所得税资产'!$A$2:$H$29</definedName>
    <definedName name="_xlnm.Print_Area" localSheetId="71">'其他非流动资产'!$A$2:$I$29</definedName>
    <definedName name="_xlnm.Print_Area" localSheetId="72">'流动负债汇总'!$A$2:$G$29</definedName>
    <definedName name="_xlnm.Print_Area" localSheetId="73">'短期借款'!$A$2:$M$29</definedName>
    <definedName name="_xlnm.Print_Area" localSheetId="74">'交易性金融负债'!$A$2:$I$29</definedName>
    <definedName name="_xlnm.Print_Area" localSheetId="75">'应付票据'!$A$2:$J$29</definedName>
    <definedName name="_xlnm.Print_Area" localSheetId="76">'应付账款'!$A$2:$I$30</definedName>
    <definedName name="_xlnm.Print_Area" localSheetId="77">'预收账款'!$A$2:$I$29</definedName>
    <definedName name="_xlnm.Print_Area" localSheetId="78">'职工薪酬'!$A$2:$H$29</definedName>
    <definedName name="_xlnm.Print_Area" localSheetId="79">'应交税费'!$A$2:$I$29</definedName>
    <definedName name="_xlnm.Print_Area" localSheetId="80">'应付利息'!$A$2:$L$29</definedName>
    <definedName name="_xlnm.Print_Area" localSheetId="81">'应付股利（利润）'!$A$2:$I$29</definedName>
    <definedName name="_xlnm.Print_Area" localSheetId="82">'其他应付款'!$A$2:$I$53</definedName>
    <definedName name="_xlnm.Print_Area" localSheetId="83">'一年到期非流动负债'!$A$2:$J$29</definedName>
    <definedName name="_xlnm.Print_Area" localSheetId="84">'其他流动负债'!$A$2:$I$29</definedName>
    <definedName name="_xlnm.Print_Area" localSheetId="85">'非流动负债汇总 '!$A$2:$G$31</definedName>
    <definedName name="_xlnm.Print_Area" localSheetId="86">'长期借款'!$A$2:$M$29</definedName>
    <definedName name="_xlnm.Print_Area" localSheetId="87">'应付债券'!$A$2:$K$29</definedName>
    <definedName name="_xlnm.Print_Area" localSheetId="88">'长期应付款'!$A$2:$M$29</definedName>
    <definedName name="_xlnm.Print_Area" localSheetId="89">'专项应付款'!$A$2:$H$29</definedName>
    <definedName name="_xlnm.Print_Area" localSheetId="90">'预计负债'!$A$2:$I$29</definedName>
    <definedName name="_xlnm.Print_Area" localSheetId="91">'租赁负债'!$A$2:$I$29</definedName>
    <definedName name="_xlnm.Print_Area" localSheetId="92">'递延所得税负债'!$A$2:$H$29</definedName>
    <definedName name="_xlnm.Print_Area" localSheetId="93">'其他非流动负债'!$A$2:$I$29</definedName>
  </definedNames>
  <calcPr calcId="191029" fullCalcOnLoad="1" fullPrecision="0"/>
</workbook>
</file>

<file path=xl/styles.xml><?xml version="1.0" encoding="utf-8"?>
<styleSheet xmlns="http://schemas.openxmlformats.org/spreadsheetml/2006/main">
  <numFmts count="45">
    <numFmt numFmtId="164" formatCode="000000"/>
    <numFmt numFmtId="165" formatCode="0.00_);[Red]\(0.00\)"/>
    <numFmt numFmtId="166" formatCode="_ * #,##0.00_ ;_ * \-#,##0.00_ ;_ * &quot;-&quot;??_ ;_ @_ "/>
    <numFmt numFmtId="167" formatCode="yyyy/mm/dd"/>
    <numFmt numFmtId="168" formatCode="#,##0.00_ "/>
    <numFmt numFmtId="169" formatCode="#,##0_ "/>
    <numFmt numFmtId="170" formatCode="yyyy/m/d;@"/>
    <numFmt numFmtId="171" formatCode="yyyy&quot;年&quot;m&quot;月&quot;d&quot;日&quot;;@"/>
    <numFmt numFmtId="172" formatCode="0.00_ "/>
    <numFmt numFmtId="173" formatCode="0_);[Red]\(0\)"/>
    <numFmt numFmtId="174" formatCode="#,##0.00_ ;[Red]\-#,##0.00\ "/>
    <numFmt numFmtId="175" formatCode="#,##0.00;\(#,##0.00\)"/>
    <numFmt numFmtId="176" formatCode="#,##0;\(#,##0\)"/>
    <numFmt numFmtId="177" formatCode="&quot;￥&quot;#,##0.00;&quot;￥&quot;\-#,##0.00"/>
    <numFmt numFmtId="178" formatCode="yyyy/mm"/>
    <numFmt numFmtId="179" formatCode="_-#,##0_-;\(#,##0\);_-\ \ &quot;-&quot;_-;_-@_-"/>
    <numFmt numFmtId="180" formatCode="_-#,##0.00_-;\(#,##0.00\);_-\ \ &quot;-&quot;_-;_-@_-"/>
    <numFmt numFmtId="181" formatCode="mmm/dd/yyyy;_-\ &quot;N/A&quot;_-;_-\ &quot;-&quot;_-"/>
    <numFmt numFmtId="182" formatCode="mmm/yyyy;_-\ &quot;N/A&quot;_-;_-\ &quot;-&quot;_-"/>
    <numFmt numFmtId="183" formatCode="_-#,##0%_-;\(#,##0%\);_-\ &quot;-&quot;_-"/>
    <numFmt numFmtId="184" formatCode="_-#,###,_-;\(#,###,\);_-\ \ &quot;-&quot;_-;_-@_-"/>
    <numFmt numFmtId="185" formatCode="_-#,###.00,_-;\(#,###.00,\);_-\ \ &quot;-&quot;_-;_-@_-"/>
    <numFmt numFmtId="186" formatCode="_-#0&quot;.&quot;0,_-;\(#0&quot;.&quot;0,\);_-\ \ &quot;-&quot;_-;_-@_-"/>
    <numFmt numFmtId="187" formatCode="_-#0&quot;.&quot;0000_-;\(#0&quot;.&quot;0000\);_-\ \ &quot;-&quot;_-;_-@_-"/>
    <numFmt numFmtId="188" formatCode="_-* #,##0_-;\-* #,##0_-;_-* &quot;-&quot;??_-;_-@_-"/>
    <numFmt numFmtId="189" formatCode="&quot;\&quot;#,##0;[Red]&quot;\&quot;&quot;\&quot;&quot;\&quot;&quot;\&quot;&quot;\&quot;&quot;\&quot;&quot;\&quot;\-#,##0"/>
    <numFmt numFmtId="190" formatCode="_-* #,##0.00_-;\-* #,##0.00_-;_-* &quot;-&quot;??_-;_-@_-"/>
    <numFmt numFmtId="191" formatCode="#,##0.0"/>
    <numFmt numFmtId="192" formatCode="_(&quot;$&quot;* #,##0.00_);_(&quot;$&quot;* \(#,##0.00\);_(&quot;$&quot;* &quot;-&quot;??_);_(@_)"/>
    <numFmt numFmtId="193" formatCode="_([$€-2]* #,##0.00_);_([$€-2]* \(#,##0.00\);_([$€-2]* &quot;-&quot;??_)"/>
    <numFmt numFmtId="194" formatCode="#,##0\ &quot; &quot;;\(#,##0\)\ ;&quot;—&quot;&quot; &quot;&quot; &quot;&quot; &quot;&quot; &quot;"/>
    <numFmt numFmtId="195" formatCode="#,##0.00&quot;￥&quot;;\-#,##0.00&quot;￥&quot;"/>
    <numFmt numFmtId="196" formatCode="_-* #,##0.00&quot;￥&quot;_-;\-* #,##0.00&quot;￥&quot;_-;_-* &quot;-&quot;??&quot;￥&quot;_-;_-@_-"/>
    <numFmt numFmtId="197" formatCode="0.000%"/>
    <numFmt numFmtId="198" formatCode="_-* #,##0&quot;￥&quot;_-;\-* #,##0&quot;￥&quot;_-;_-* &quot;-&quot;&quot;￥&quot;_-;_-@_-"/>
    <numFmt numFmtId="199" formatCode="0.0%"/>
    <numFmt numFmtId="200" formatCode="##0.00;[Red]\-##0.00"/>
    <numFmt numFmtId="201" formatCode="_-* #,##0_-;\-* #,##0_-;_-* &quot;-&quot;_-;_-@_-"/>
    <numFmt numFmtId="202" formatCode="&quot;$&quot;#,##0;\-&quot;$&quot;#,##0"/>
    <numFmt numFmtId="203" formatCode="#,##0.00&quot;￥&quot;;[Red]\-#,##0.00&quot;￥&quot;"/>
    <numFmt numFmtId="204" formatCode="_(&quot;$&quot;* #,##0_);_(&quot;$&quot;* \(#,##0\);_(&quot;$&quot;* &quot;-&quot;??_);_(@_)"/>
    <numFmt numFmtId="205" formatCode="mmm\ dd\,\ yy"/>
    <numFmt numFmtId="206" formatCode="_(&quot;$&quot;* #,##0.0_);_(&quot;$&quot;* \(#,##0.0\);_(&quot;$&quot;* &quot;-&quot;??_);_(@_)"/>
    <numFmt numFmtId="207" formatCode="mm/dd/yy_)"/>
    <numFmt numFmtId="208" formatCode="#,##0;[Red]\(#,##0\)"/>
  </numFmts>
  <fonts count="123">
    <font>
      <name val="Times New Roman"/>
      <charset val="134"/>
      <sz val="12"/>
    </font>
    <font>
      <name val="Arial"/>
      <charset val="134"/>
      <sz val="10"/>
    </font>
    <font>
      <name val="宋体"/>
      <charset val="134"/>
      <sz val="10"/>
    </font>
    <font>
      <name val="Arial"/>
      <charset val="134"/>
      <b val="1"/>
      <color indexed="10"/>
      <sz val="10"/>
    </font>
    <font>
      <name val="Arial"/>
      <charset val="134"/>
      <b val="1"/>
      <color indexed="8"/>
      <sz val="10"/>
    </font>
    <font>
      <name val="Times New Roman"/>
      <charset val="134"/>
      <sz val="18"/>
    </font>
    <font>
      <name val="Times New Roman"/>
      <charset val="134"/>
      <sz val="10"/>
    </font>
    <font>
      <name val="宋体"/>
      <charset val="134"/>
      <color indexed="12"/>
      <sz val="12"/>
      <u val="single"/>
    </font>
    <font>
      <name val="宋体"/>
      <charset val="134"/>
      <color indexed="12"/>
      <sz val="10"/>
      <u val="single"/>
    </font>
    <font>
      <name val="黑体"/>
      <charset val="134"/>
      <sz val="18"/>
    </font>
    <font>
      <name val="Times New Roman"/>
      <charset val="134"/>
      <b val="1"/>
      <sz val="10"/>
    </font>
    <font>
      <name val="Times New Roman"/>
      <charset val="134"/>
      <color indexed="12"/>
      <sz val="12"/>
      <u val="single"/>
    </font>
    <font>
      <name val="Times New Roman"/>
      <charset val="134"/>
      <color indexed="12"/>
      <sz val="10"/>
      <u val="single"/>
    </font>
    <font>
      <name val="Times New Roman"/>
      <charset val="134"/>
      <sz val="6"/>
    </font>
    <font>
      <name val="宋体"/>
      <charset val="134"/>
      <sz val="11"/>
    </font>
    <font>
      <name val="宋体"/>
      <charset val="134"/>
      <color indexed="8"/>
      <sz val="10"/>
    </font>
    <font>
      <name val="Times New Roman"/>
      <charset val="134"/>
      <color indexed="8"/>
      <sz val="10"/>
    </font>
    <font>
      <name val="Times New Roman"/>
      <charset val="134"/>
      <color indexed="10"/>
      <sz val="10"/>
    </font>
    <font>
      <name val="宋体"/>
      <charset val="134"/>
      <color theme="1"/>
      <sz val="11"/>
      <scheme val="minor"/>
    </font>
    <font>
      <name val="Times New Roman"/>
      <charset val="134"/>
      <color rgb="FF800080"/>
      <sz val="12"/>
      <u val="single"/>
    </font>
    <font>
      <name val="宋体"/>
      <charset val="134"/>
      <color rgb="FF800080"/>
      <sz val="12"/>
      <u val="single"/>
    </font>
    <font>
      <name val="Calibri"/>
      <charset val="134"/>
      <sz val="10"/>
    </font>
    <font>
      <name val="Times New Roman"/>
      <charset val="134"/>
      <color indexed="10"/>
      <sz val="18"/>
    </font>
    <font>
      <name val="宋体"/>
      <charset val="134"/>
      <sz val="12"/>
    </font>
    <font>
      <name val="宋体"/>
      <charset val="134"/>
      <color indexed="12"/>
      <sz val="6"/>
      <u val="single"/>
    </font>
    <font>
      <name val="宋体"/>
      <charset val="134"/>
      <sz val="8"/>
    </font>
    <font>
      <name val="Times New Roman"/>
      <charset val="134"/>
      <sz val="8"/>
    </font>
    <font>
      <name val="黑体"/>
      <charset val="134"/>
      <sz val="14"/>
    </font>
    <font>
      <name val="Times New Roman"/>
      <charset val="134"/>
      <b val="1"/>
      <color indexed="10"/>
      <sz val="10"/>
    </font>
    <font>
      <name val="Times New Roman"/>
      <charset val="134"/>
      <b val="1"/>
      <color indexed="8"/>
      <sz val="10"/>
    </font>
    <font>
      <name val="宋体"/>
      <charset val="134"/>
      <sz val="13"/>
    </font>
    <font>
      <name val="Times New Roman"/>
      <charset val="134"/>
      <sz val="11"/>
    </font>
    <font>
      <name val="Times New Roman"/>
      <charset val="134"/>
      <b val="1"/>
      <sz val="12"/>
    </font>
    <font>
      <name val="Times New Roman"/>
      <charset val="134"/>
      <sz val="13"/>
    </font>
    <font>
      <name val="黑体"/>
      <charset val="134"/>
      <sz val="20"/>
    </font>
    <font>
      <name val="Times New Roman"/>
      <charset val="134"/>
      <color indexed="8"/>
      <sz val="12"/>
    </font>
    <font>
      <name val="Times New Roman"/>
      <charset val="134"/>
      <b val="1"/>
      <sz val="16"/>
    </font>
    <font>
      <name val="宋体"/>
      <charset val="134"/>
      <b val="1"/>
      <sz val="16"/>
    </font>
    <font>
      <name val="宋体"/>
      <charset val="134"/>
      <b val="1"/>
      <sz val="10"/>
    </font>
    <font>
      <name val="黑体"/>
      <charset val="134"/>
      <sz val="12"/>
    </font>
    <font>
      <name val="华文新魏"/>
      <charset val="134"/>
      <b val="1"/>
      <sz val="22"/>
    </font>
    <font>
      <name val="Times New Roman"/>
      <charset val="134"/>
      <b val="1"/>
      <sz val="26"/>
    </font>
    <font>
      <name val="Times New Roman"/>
      <charset val="134"/>
      <sz val="14"/>
    </font>
    <font>
      <name val="仿宋_GB2312"/>
      <charset val="134"/>
      <sz val="12"/>
    </font>
    <font>
      <name val="宋体"/>
      <charset val="134"/>
      <color indexed="10"/>
      <sz val="12"/>
    </font>
    <font>
      <name val="Times New Roman"/>
      <charset val="134"/>
      <color indexed="12"/>
      <sz val="12"/>
    </font>
    <font>
      <name val="黑体"/>
      <charset val="134"/>
      <b val="1"/>
      <color indexed="10"/>
      <sz val="20"/>
    </font>
    <font>
      <name val="黑体"/>
      <charset val="134"/>
      <color indexed="12"/>
      <sz val="12"/>
    </font>
    <font>
      <name val="黑体"/>
      <charset val="134"/>
      <b val="1"/>
      <sz val="12"/>
    </font>
    <font>
      <name val="Times New Roman"/>
      <charset val="134"/>
      <b val="1"/>
      <sz val="14"/>
    </font>
    <font>
      <name val="宋体"/>
      <charset val="134"/>
      <b val="1"/>
      <sz val="14"/>
    </font>
    <font>
      <name val="宋体"/>
      <charset val="134"/>
      <sz val="14"/>
    </font>
    <font>
      <name val="宋体"/>
      <charset val="134"/>
      <sz val="9"/>
    </font>
    <font>
      <name val="宋体"/>
      <charset val="134"/>
      <color rgb="FF800080"/>
      <sz val="10"/>
      <u val="single"/>
    </font>
    <font>
      <name val="宋体"/>
      <charset val="134"/>
      <color indexed="12"/>
      <sz val="10"/>
    </font>
    <font>
      <name val="Times New Roman"/>
      <charset val="134"/>
      <color indexed="8"/>
      <sz val="8"/>
      <u val="single"/>
    </font>
    <font>
      <name val="Times New Roman"/>
      <charset val="134"/>
      <color indexed="11"/>
      <sz val="24"/>
    </font>
    <font>
      <name val="Times New Roman"/>
      <charset val="134"/>
      <color indexed="8"/>
      <sz val="24"/>
    </font>
    <font>
      <name val="Times New Roman"/>
      <charset val="134"/>
      <color indexed="9"/>
      <sz val="24"/>
    </font>
    <font>
      <name val="Times New Roman"/>
      <charset val="134"/>
      <color indexed="8"/>
      <sz val="9"/>
    </font>
    <font>
      <name val="Times New Roman"/>
      <charset val="134"/>
      <color indexed="10"/>
      <sz val="20"/>
    </font>
    <font>
      <name val="隶书"/>
      <charset val="134"/>
      <b val="1"/>
      <color indexed="12"/>
      <sz val="24"/>
    </font>
    <font>
      <name val="宋体"/>
      <charset val="134"/>
      <b val="1"/>
      <color indexed="12"/>
      <sz val="12"/>
    </font>
    <font>
      <name val="Times New Roman"/>
      <charset val="134"/>
      <color indexed="50"/>
      <sz val="24"/>
    </font>
    <font>
      <name val="Times New Roman"/>
      <charset val="134"/>
      <b val="1"/>
      <color indexed="8"/>
      <sz val="9"/>
      <u val="single"/>
    </font>
    <font>
      <name val="宋体"/>
      <charset val="134"/>
      <color indexed="12"/>
      <sz val="11"/>
    </font>
    <font>
      <name val="Times New Roman"/>
      <charset val="134"/>
      <color indexed="21"/>
      <sz val="11"/>
    </font>
    <font>
      <name val="Times New Roman"/>
      <charset val="134"/>
      <color indexed="12"/>
      <sz val="11"/>
    </font>
    <font>
      <name val="Times New Roman"/>
      <charset val="134"/>
      <color indexed="50"/>
      <sz val="11"/>
    </font>
    <font>
      <name val="Times New Roman"/>
      <charset val="134"/>
      <b val="1"/>
      <i val="1"/>
      <color indexed="56"/>
      <sz val="11"/>
    </font>
    <font>
      <name val="Times New Roman"/>
      <charset val="134"/>
      <color indexed="9"/>
      <sz val="10"/>
    </font>
    <font>
      <name val="Times New Roman"/>
      <charset val="134"/>
      <b val="1"/>
      <i val="1"/>
      <color indexed="43"/>
      <sz val="12"/>
    </font>
    <font>
      <name val="Times New Roman"/>
      <charset val="134"/>
      <color indexed="16"/>
      <sz val="12"/>
    </font>
    <font>
      <name val="Times New Roman"/>
      <charset val="134"/>
      <color indexed="8"/>
      <sz val="8"/>
    </font>
    <font>
      <name val="宋体"/>
      <charset val="134"/>
      <color theme="1"/>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ＭＳ Ｐゴシック"/>
      <charset val="134"/>
      <sz val="11"/>
    </font>
    <font>
      <name val="???"/>
      <charset val="134"/>
      <sz val="12"/>
    </font>
    <font>
      <name val="Times New Roman"/>
      <charset val="134"/>
      <sz val="10"/>
      <u val="singleAccounting"/>
      <vertAlign val="subscript"/>
    </font>
    <font>
      <name val="Times New Roman"/>
      <charset val="134"/>
      <i val="1"/>
      <sz val="9"/>
    </font>
    <font>
      <name val="新宋体"/>
      <charset val="134"/>
      <color rgb="FF000000"/>
      <sz val="9"/>
    </font>
    <font>
      <name val="Helv"/>
      <charset val="134"/>
      <b val="1"/>
      <sz val="10"/>
    </font>
    <font>
      <name val="MS Sans Serif"/>
      <charset val="134"/>
      <b val="1"/>
      <sz val="10"/>
    </font>
    <font>
      <name val="Times New Roman"/>
      <charset val="134"/>
      <i val="1"/>
      <sz val="12"/>
    </font>
    <font>
      <name val="Arial"/>
      <charset val="134"/>
      <b val="1"/>
      <sz val="8"/>
    </font>
    <font>
      <name val="MS Serif"/>
      <charset val="134"/>
      <sz val="10"/>
    </font>
    <font>
      <name val="Courier"/>
      <charset val="134"/>
      <sz val="10"/>
    </font>
    <font>
      <name val="Letter Gothic (W1)"/>
      <charset val="134"/>
      <sz val="20"/>
    </font>
    <font>
      <name val="MS Sans Serif"/>
      <charset val="134"/>
      <sz val="10"/>
    </font>
    <font>
      <name val="MS Serif"/>
      <charset val="134"/>
      <color indexed="16"/>
      <sz val="10"/>
    </font>
    <font>
      <name val="Arial"/>
      <charset val="134"/>
      <sz val="8"/>
    </font>
    <font>
      <name val="Helv"/>
      <charset val="134"/>
      <b val="1"/>
      <sz val="12"/>
    </font>
    <font>
      <name val="Arial"/>
      <charset val="134"/>
      <b val="1"/>
      <sz val="12"/>
    </font>
    <font>
      <name val="Times New Roman"/>
      <charset val="134"/>
      <b val="1"/>
      <sz val="13"/>
    </font>
    <font>
      <name val="Times New Roman"/>
      <charset val="134"/>
      <b val="1"/>
      <i val="1"/>
      <sz val="12"/>
    </font>
    <font>
      <name val="Helv"/>
      <charset val="134"/>
      <b val="1"/>
      <sz val="11"/>
    </font>
    <font>
      <name val="Small Fonts"/>
      <charset val="134"/>
      <sz val="7"/>
    </font>
    <font>
      <name val="MS Sans Serif"/>
      <charset val="134"/>
      <color indexed="8"/>
      <sz val="10"/>
    </font>
    <font>
      <name val="Tms Rmn"/>
      <charset val="134"/>
      <sz val="10"/>
    </font>
    <font>
      <name val="Times New Roman"/>
      <charset val="134"/>
      <b val="1"/>
      <color indexed="9"/>
      <sz val="14"/>
    </font>
    <font>
      <name val="MS Sans Serif"/>
      <charset val="134"/>
      <b val="1"/>
      <sz val="12"/>
    </font>
    <font>
      <name val="MS Sans Serif"/>
      <charset val="134"/>
      <sz val="12"/>
    </font>
    <font>
      <name val="Helv"/>
      <charset val="134"/>
      <b val="1"/>
      <color indexed="8"/>
      <sz val="8"/>
    </font>
    <font>
      <name val="蹈框"/>
      <charset val="134"/>
      <sz val="11"/>
    </font>
    <font>
      <name val="바탕체"/>
      <charset val="134"/>
      <sz val="12"/>
    </font>
    <font>
      <name val="宋体"/>
      <charset val="134"/>
      <sz val="10"/>
    </font>
  </fonts>
  <fills count="48">
    <fill>
      <patternFill/>
    </fill>
    <fill>
      <patternFill patternType="gray125"/>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13"/>
        <bgColor indexed="64"/>
      </patternFill>
    </fill>
    <fill>
      <patternFill patternType="solid">
        <fgColor indexed="9"/>
        <bgColor indexed="64"/>
      </patternFill>
    </fill>
    <fill>
      <patternFill patternType="solid">
        <fgColor rgb="FFFFFF00"/>
        <bgColor indexed="64"/>
      </patternFill>
    </fill>
    <fill>
      <patternFill patternType="solid">
        <fgColor indexed="41"/>
        <bgColor indexed="64"/>
      </patternFill>
    </fill>
    <fill>
      <patternFill patternType="solid">
        <fgColor theme="0"/>
        <bgColor indexed="64"/>
      </patternFill>
    </fill>
    <fill>
      <patternFill patternType="solid">
        <fgColor indexed="22"/>
        <bgColor indexed="64"/>
      </patternFill>
    </fill>
    <fill>
      <patternFill patternType="lightGray">
        <bgColor indexed="55"/>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5"/>
        <bgColor indexed="64"/>
      </patternFill>
    </fill>
    <fill>
      <patternFill patternType="solid">
        <fgColor indexed="31"/>
        <bgColor indexed="64"/>
      </patternFill>
    </fill>
    <fill>
      <patternFill patternType="solid">
        <fgColor indexed="12"/>
        <bgColor indexed="64"/>
      </patternFill>
    </fill>
    <fill>
      <patternFill patternType="solid">
        <fgColor indexed="54"/>
        <bgColor indexed="64"/>
      </patternFill>
    </fill>
  </fills>
  <borders count="64">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double">
        <color auto="1"/>
      </right>
      <top style="thin">
        <color auto="1"/>
      </top>
      <bottom style="thin">
        <color auto="1"/>
      </bottom>
      <diagonal/>
    </border>
    <border>
      <left/>
      <right style="double">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double">
        <color auto="1"/>
      </left>
      <right style="thin">
        <color auto="1"/>
      </right>
      <top style="thin">
        <color auto="1"/>
      </top>
      <bottom style="thin">
        <color auto="1"/>
      </bottom>
      <diagonal/>
    </border>
    <border>
      <left/>
      <right/>
      <top style="double">
        <color auto="1"/>
      </top>
      <bottom/>
      <diagonal/>
    </border>
    <border>
      <left/>
      <right/>
      <top/>
      <bottom style="double">
        <color indexed="9"/>
      </bottom>
      <diagonal/>
    </border>
    <border>
      <left style="double">
        <color indexed="9"/>
      </left>
      <right style="thin">
        <color auto="1"/>
      </right>
      <top style="double">
        <color indexed="9"/>
      </top>
      <bottom/>
      <diagonal/>
    </border>
    <border>
      <left/>
      <right/>
      <top style="double">
        <color indexed="9"/>
      </top>
      <bottom/>
      <diagonal/>
    </border>
    <border>
      <left/>
      <right style="thin">
        <color auto="1"/>
      </right>
      <top style="double">
        <color indexed="9"/>
      </top>
      <bottom/>
      <diagonal/>
    </border>
    <border>
      <left style="double">
        <color indexed="9"/>
      </left>
      <right style="double">
        <color indexed="8"/>
      </right>
      <top/>
      <bottom/>
      <diagonal/>
    </border>
    <border>
      <left style="double">
        <color indexed="8"/>
      </left>
      <right style="double">
        <color indexed="9"/>
      </right>
      <top style="double">
        <color indexed="8"/>
      </top>
      <bottom/>
      <diagonal/>
    </border>
    <border>
      <left/>
      <right/>
      <top style="double">
        <color indexed="8"/>
      </top>
      <bottom/>
      <diagonal/>
    </border>
    <border>
      <left/>
      <right style="double">
        <color indexed="9"/>
      </right>
      <top style="double">
        <color indexed="8"/>
      </top>
      <bottom/>
      <diagonal/>
    </border>
    <border>
      <left style="double">
        <color indexed="9"/>
      </left>
      <right style="thin">
        <color auto="1"/>
      </right>
      <top/>
      <bottom/>
      <diagonal/>
    </border>
    <border>
      <left style="double">
        <color indexed="8"/>
      </left>
      <right style="double">
        <color indexed="9"/>
      </right>
      <top/>
      <bottom/>
      <diagonal/>
    </border>
    <border>
      <left/>
      <right style="double">
        <color indexed="9"/>
      </right>
      <top/>
      <bottom/>
      <diagonal/>
    </border>
    <border>
      <left style="double">
        <color indexed="8"/>
      </left>
      <right/>
      <top/>
      <bottom style="double">
        <color indexed="9"/>
      </bottom>
      <diagonal/>
    </border>
    <border>
      <left/>
      <right style="double">
        <color indexed="9"/>
      </right>
      <top/>
      <bottom style="double">
        <color indexed="9"/>
      </bottom>
      <diagonal/>
    </border>
    <border>
      <left style="double">
        <color indexed="8"/>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double">
        <color indexed="9"/>
      </left>
      <right/>
      <top/>
      <bottom style="double">
        <color indexed="8"/>
      </bottom>
      <diagonal/>
    </border>
    <border>
      <left/>
      <right/>
      <top/>
      <bottom style="double">
        <color indexed="8"/>
      </bottom>
      <diagonal/>
    </border>
    <border>
      <left/>
      <right style="thin">
        <color auto="1"/>
      </right>
      <top/>
      <bottom style="double">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style="medium">
        <color auto="1"/>
      </right>
      <top style="medium">
        <color auto="1"/>
      </top>
      <bottom/>
      <diagonal/>
    </border>
    <border>
      <left/>
      <right style="medium">
        <color auto="1"/>
      </right>
      <top style="thin">
        <color auto="1"/>
      </top>
      <bottom/>
      <diagonal/>
    </border>
    <border>
      <left style="double">
        <color indexed="9"/>
      </left>
      <right/>
      <top/>
      <bottom/>
      <diagonal/>
    </border>
    <border>
      <left style="thin">
        <color auto="1"/>
      </left>
      <right/>
      <top/>
      <bottom/>
      <diagonal/>
    </border>
    <border>
      <left/>
      <right style="thin">
        <color auto="1"/>
      </right>
      <top/>
      <bottom/>
      <diagonal/>
    </border>
    <border>
      <left/>
      <right style="double">
        <color auto="1"/>
      </right>
      <top style="thin">
        <color auto="1"/>
      </top>
      <bottom/>
      <diagonal/>
    </border>
  </borders>
  <cellStyleXfs count="217">
    <xf numFmtId="0" fontId="0" fillId="0" borderId="0"/>
    <xf numFmtId="43" fontId="0" fillId="0" borderId="0"/>
    <xf numFmtId="44" fontId="74" fillId="0" borderId="0" applyAlignment="1">
      <alignment vertical="center"/>
    </xf>
    <xf numFmtId="9" fontId="74" fillId="0" borderId="0" applyAlignment="1">
      <alignment vertical="center"/>
    </xf>
    <xf numFmtId="41" fontId="74" fillId="0" borderId="0" applyAlignment="1">
      <alignment vertical="center"/>
    </xf>
    <xf numFmtId="42" fontId="74" fillId="0" borderId="0" applyAlignment="1">
      <alignment vertical="center"/>
    </xf>
    <xf numFmtId="0" fontId="7" fillId="0" borderId="0" applyAlignment="1" applyProtection="1">
      <alignment vertical="top"/>
      <protection locked="0" hidden="0"/>
    </xf>
    <xf numFmtId="0" fontId="75" fillId="0" borderId="0" applyAlignment="1">
      <alignment vertical="center"/>
    </xf>
    <xf numFmtId="0" fontId="74" fillId="13" borderId="47" applyAlignment="1">
      <alignment vertical="center"/>
    </xf>
    <xf numFmtId="0" fontId="76" fillId="0" borderId="0" applyAlignment="1">
      <alignment vertical="center"/>
    </xf>
    <xf numFmtId="0" fontId="77" fillId="0" borderId="0" applyAlignment="1">
      <alignment vertical="center"/>
    </xf>
    <xf numFmtId="0" fontId="78" fillId="0" borderId="0" applyAlignment="1">
      <alignment vertical="center"/>
    </xf>
    <xf numFmtId="0" fontId="79" fillId="0" borderId="48" applyAlignment="1">
      <alignment vertical="center"/>
    </xf>
    <xf numFmtId="0" fontId="80" fillId="0" borderId="48" applyAlignment="1">
      <alignment vertical="center"/>
    </xf>
    <xf numFmtId="0" fontId="81" fillId="0" borderId="49" applyAlignment="1">
      <alignment vertical="center"/>
    </xf>
    <xf numFmtId="0" fontId="81" fillId="0" borderId="0" applyAlignment="1">
      <alignment vertical="center"/>
    </xf>
    <xf numFmtId="0" fontId="82" fillId="14" borderId="50" applyAlignment="1">
      <alignment vertical="center"/>
    </xf>
    <xf numFmtId="0" fontId="83" fillId="15" borderId="51" applyAlignment="1">
      <alignment vertical="center"/>
    </xf>
    <xf numFmtId="0" fontId="84" fillId="15" borderId="50" applyAlignment="1">
      <alignment vertical="center"/>
    </xf>
    <xf numFmtId="0" fontId="85" fillId="16" borderId="52" applyAlignment="1">
      <alignment vertical="center"/>
    </xf>
    <xf numFmtId="0" fontId="86" fillId="0" borderId="53" applyAlignment="1">
      <alignment vertical="center"/>
    </xf>
    <xf numFmtId="0" fontId="87" fillId="0" borderId="54" applyAlignment="1">
      <alignment vertical="center"/>
    </xf>
    <xf numFmtId="0" fontId="88" fillId="17" borderId="0" applyAlignment="1">
      <alignment vertical="center"/>
    </xf>
    <xf numFmtId="0" fontId="89" fillId="18" borderId="0" applyAlignment="1">
      <alignment vertical="center"/>
    </xf>
    <xf numFmtId="0" fontId="90" fillId="19" borderId="0" applyAlignment="1">
      <alignment vertical="center"/>
    </xf>
    <xf numFmtId="0" fontId="91" fillId="20" borderId="0" applyAlignment="1">
      <alignment vertical="center"/>
    </xf>
    <xf numFmtId="0" fontId="92" fillId="21" borderId="0" applyAlignment="1">
      <alignment vertical="center"/>
    </xf>
    <xf numFmtId="0" fontId="92" fillId="22" borderId="0" applyAlignment="1">
      <alignment vertical="center"/>
    </xf>
    <xf numFmtId="0" fontId="91" fillId="23" borderId="0" applyAlignment="1">
      <alignment vertical="center"/>
    </xf>
    <xf numFmtId="0" fontId="91" fillId="24" borderId="0" applyAlignment="1">
      <alignment vertical="center"/>
    </xf>
    <xf numFmtId="0" fontId="92" fillId="25" borderId="0" applyAlignment="1">
      <alignment vertical="center"/>
    </xf>
    <xf numFmtId="0" fontId="92" fillId="26" borderId="0" applyAlignment="1">
      <alignment vertical="center"/>
    </xf>
    <xf numFmtId="0" fontId="91" fillId="27" borderId="0" applyAlignment="1">
      <alignment vertical="center"/>
    </xf>
    <xf numFmtId="0" fontId="91" fillId="28" borderId="0" applyAlignment="1">
      <alignment vertical="center"/>
    </xf>
    <xf numFmtId="0" fontId="92" fillId="29" borderId="0" applyAlignment="1">
      <alignment vertical="center"/>
    </xf>
    <xf numFmtId="0" fontId="92" fillId="30" borderId="0" applyAlignment="1">
      <alignment vertical="center"/>
    </xf>
    <xf numFmtId="0" fontId="91" fillId="31" borderId="0" applyAlignment="1">
      <alignment vertical="center"/>
    </xf>
    <xf numFmtId="0" fontId="91" fillId="32" borderId="0" applyAlignment="1">
      <alignment vertical="center"/>
    </xf>
    <xf numFmtId="0" fontId="92" fillId="33" borderId="0" applyAlignment="1">
      <alignment vertical="center"/>
    </xf>
    <xf numFmtId="0" fontId="92" fillId="34" borderId="0" applyAlignment="1">
      <alignment vertical="center"/>
    </xf>
    <xf numFmtId="0" fontId="91" fillId="35" borderId="0" applyAlignment="1">
      <alignment vertical="center"/>
    </xf>
    <xf numFmtId="0" fontId="91" fillId="36" borderId="0" applyAlignment="1">
      <alignment vertical="center"/>
    </xf>
    <xf numFmtId="0" fontId="92" fillId="37" borderId="0" applyAlignment="1">
      <alignment vertical="center"/>
    </xf>
    <xf numFmtId="0" fontId="92" fillId="38" borderId="0" applyAlignment="1">
      <alignment vertical="center"/>
    </xf>
    <xf numFmtId="0" fontId="91" fillId="39" borderId="0" applyAlignment="1">
      <alignment vertical="center"/>
    </xf>
    <xf numFmtId="0" fontId="91" fillId="40" borderId="0" applyAlignment="1">
      <alignment vertical="center"/>
    </xf>
    <xf numFmtId="0" fontId="92" fillId="41" borderId="0" applyAlignment="1">
      <alignment vertical="center"/>
    </xf>
    <xf numFmtId="0" fontId="92" fillId="42" borderId="0" applyAlignment="1">
      <alignment vertical="center"/>
    </xf>
    <xf numFmtId="0" fontId="91" fillId="43" borderId="0" applyAlignment="1">
      <alignment vertical="center"/>
    </xf>
    <xf numFmtId="0" fontId="93" fillId="0" borderId="0"/>
    <xf numFmtId="0" fontId="93" fillId="0" borderId="0"/>
    <xf numFmtId="0" fontId="94" fillId="0" borderId="0"/>
    <xf numFmtId="49" fontId="6" fillId="0" borderId="0" applyAlignment="1">
      <alignment horizontal="left"/>
    </xf>
    <xf numFmtId="0" fontId="1" fillId="0" borderId="0" applyProtection="1">
      <protection locked="0" hidden="0"/>
    </xf>
    <xf numFmtId="0" fontId="0" fillId="0" borderId="0"/>
    <xf numFmtId="0" fontId="0" fillId="0" borderId="0"/>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applyProtection="1">
      <protection locked="0" hidden="0"/>
    </xf>
    <xf numFmtId="0" fontId="1" fillId="0" borderId="0"/>
    <xf numFmtId="179" fontId="6" fillId="0" borderId="0" applyAlignment="1">
      <alignment horizontal="right"/>
    </xf>
    <xf numFmtId="180" fontId="6" fillId="0" borderId="0" applyAlignment="1">
      <alignment horizontal="right"/>
    </xf>
    <xf numFmtId="181" fontId="95" fillId="0" borderId="0" applyAlignment="1">
      <alignment horizontal="center"/>
    </xf>
    <xf numFmtId="182" fontId="95" fillId="0" borderId="0" applyAlignment="1">
      <alignment horizontal="center"/>
    </xf>
    <xf numFmtId="183" fontId="96" fillId="0" borderId="0" applyAlignment="1">
      <alignment horizontal="right"/>
    </xf>
    <xf numFmtId="184" fontId="6" fillId="0" borderId="0" applyAlignment="1">
      <alignment horizontal="right"/>
    </xf>
    <xf numFmtId="185" fontId="6" fillId="0" borderId="0" applyAlignment="1">
      <alignment horizontal="right"/>
    </xf>
    <xf numFmtId="186" fontId="6" fillId="0" borderId="0" applyAlignment="1">
      <alignment horizontal="right"/>
    </xf>
    <xf numFmtId="187" fontId="6" fillId="0" borderId="0" applyAlignment="1">
      <alignment horizontal="right"/>
    </xf>
    <xf numFmtId="0" fontId="0" fillId="0" borderId="0"/>
    <xf numFmtId="0" fontId="97" fillId="0" borderId="7" applyAlignment="1">
      <alignment horizontal="left"/>
    </xf>
    <xf numFmtId="0" fontId="26" fillId="0" borderId="0" applyAlignment="1" applyProtection="1">
      <alignment horizontal="center" wrapText="1"/>
      <protection locked="0" hidden="0"/>
    </xf>
    <xf numFmtId="0" fontId="97" fillId="0" borderId="7" applyAlignment="1">
      <alignment horizontal="left"/>
    </xf>
    <xf numFmtId="188" fontId="0" fillId="0" borderId="0"/>
    <xf numFmtId="0" fontId="98" fillId="0" borderId="0"/>
    <xf numFmtId="0" fontId="99" fillId="0" borderId="0"/>
    <xf numFmtId="0" fontId="100" fillId="0" borderId="0" applyAlignment="1">
      <alignment horizontal="right"/>
    </xf>
    <xf numFmtId="0" fontId="0" fillId="0" borderId="0" applyAlignment="1">
      <alignment horizontal="right"/>
    </xf>
    <xf numFmtId="0" fontId="101" fillId="0" borderId="5" applyAlignment="1">
      <alignment horizontal="center"/>
    </xf>
    <xf numFmtId="189" fontId="1" fillId="0" borderId="0"/>
    <xf numFmtId="189" fontId="1" fillId="0" borderId="0"/>
    <xf numFmtId="189" fontId="1" fillId="0" borderId="0"/>
    <xf numFmtId="189" fontId="1" fillId="0" borderId="0"/>
    <xf numFmtId="189" fontId="1" fillId="0" borderId="0"/>
    <xf numFmtId="189" fontId="1" fillId="0" borderId="0"/>
    <xf numFmtId="189" fontId="1" fillId="0" borderId="0"/>
    <xf numFmtId="189" fontId="1" fillId="0" borderId="0"/>
    <xf numFmtId="41" fontId="1" fillId="0" borderId="0"/>
    <xf numFmtId="190" fontId="6" fillId="0" borderId="0"/>
    <xf numFmtId="191" fontId="6" fillId="0" borderId="0"/>
    <xf numFmtId="0" fontId="102" fillId="0" borderId="0" applyAlignment="1">
      <alignment horizontal="left"/>
    </xf>
    <xf numFmtId="0" fontId="103" fillId="0" borderId="0"/>
    <xf numFmtId="42" fontId="104" fillId="0" borderId="0"/>
    <xf numFmtId="192" fontId="104" fillId="0" borderId="0"/>
    <xf numFmtId="0" fontId="97" fillId="0" borderId="7" applyAlignment="1">
      <alignment horizontal="left"/>
    </xf>
    <xf numFmtId="15" fontId="105" fillId="0" borderId="0"/>
    <xf numFmtId="0" fontId="106" fillId="0" borderId="0" applyAlignment="1">
      <alignment horizontal="left"/>
    </xf>
    <xf numFmtId="0" fontId="107" fillId="5" borderId="7"/>
    <xf numFmtId="193" fontId="6" fillId="0" borderId="0"/>
    <xf numFmtId="0" fontId="1" fillId="0" borderId="0" applyProtection="1">
      <protection locked="0" hidden="0"/>
    </xf>
    <xf numFmtId="194" fontId="31" fillId="0" borderId="0" applyAlignment="1">
      <alignment horizontal="right"/>
    </xf>
    <xf numFmtId="0" fontId="1" fillId="0" borderId="0"/>
    <xf numFmtId="38" fontId="107" fillId="10" borderId="0"/>
    <xf numFmtId="0" fontId="108" fillId="0" borderId="0" applyAlignment="1">
      <alignment horizontal="left"/>
    </xf>
    <xf numFmtId="0" fontId="109" fillId="0" borderId="55" applyAlignment="1">
      <alignment horizontal="left" vertical="center"/>
    </xf>
    <xf numFmtId="0" fontId="109" fillId="0" borderId="9" applyAlignment="1">
      <alignment horizontal="left" vertical="center"/>
    </xf>
    <xf numFmtId="10" fontId="107" fillId="6" borderId="7"/>
    <xf numFmtId="195" fontId="23" fillId="44" borderId="0"/>
    <xf numFmtId="0" fontId="100" fillId="45" borderId="0" applyAlignment="1">
      <alignment horizontal="right"/>
    </xf>
    <xf numFmtId="0" fontId="97" fillId="0" borderId="7" applyAlignment="1">
      <alignment horizontal="left"/>
    </xf>
    <xf numFmtId="38" fontId="5" fillId="0" borderId="0"/>
    <xf numFmtId="38" fontId="110" fillId="0" borderId="0"/>
    <xf numFmtId="38" fontId="111" fillId="0" borderId="0"/>
    <xf numFmtId="38" fontId="100" fillId="0" borderId="0"/>
    <xf numFmtId="0" fontId="31" fillId="0" borderId="0"/>
    <xf numFmtId="0" fontId="31" fillId="0" borderId="0"/>
    <xf numFmtId="0" fontId="0" fillId="0" borderId="0" applyAlignment="1">
      <alignment horizontal="fill"/>
    </xf>
    <xf numFmtId="195" fontId="23" fillId="46" borderId="0"/>
    <xf numFmtId="196" fontId="23" fillId="0" borderId="0"/>
    <xf numFmtId="197" fontId="23" fillId="0" borderId="0"/>
    <xf numFmtId="0" fontId="112" fillId="0" borderId="56"/>
    <xf numFmtId="198" fontId="23" fillId="0" borderId="0"/>
    <xf numFmtId="199" fontId="23" fillId="0" borderId="0"/>
    <xf numFmtId="200" fontId="97" fillId="0" borderId="7" applyAlignment="1">
      <alignment horizontal="right"/>
    </xf>
    <xf numFmtId="200" fontId="97" fillId="0" borderId="7" applyAlignment="1">
      <alignment horizontal="right"/>
    </xf>
    <xf numFmtId="0" fontId="6" fillId="0" borderId="0"/>
    <xf numFmtId="37" fontId="113" fillId="0" borderId="0"/>
    <xf numFmtId="0" fontId="1" fillId="0" borderId="0"/>
    <xf numFmtId="39" fontId="23" fillId="0" borderId="0"/>
    <xf numFmtId="0" fontId="23" fillId="0" borderId="0"/>
    <xf numFmtId="0" fontId="6" fillId="0" borderId="0"/>
    <xf numFmtId="0" fontId="6" fillId="0" borderId="0"/>
    <xf numFmtId="0" fontId="6" fillId="0" borderId="0"/>
    <xf numFmtId="0" fontId="114" fillId="0" borderId="0"/>
    <xf numFmtId="190" fontId="1" fillId="0" borderId="0"/>
    <xf numFmtId="201" fontId="1" fillId="0" borderId="0"/>
    <xf numFmtId="200" fontId="97" fillId="0" borderId="7" applyAlignment="1">
      <alignment horizontal="right"/>
    </xf>
    <xf numFmtId="14" fontId="26" fillId="0" borderId="0" applyAlignment="1" applyProtection="1">
      <alignment horizontal="center" wrapText="1"/>
      <protection locked="0" hidden="0"/>
    </xf>
    <xf numFmtId="10" fontId="1" fillId="0" borderId="0"/>
    <xf numFmtId="9" fontId="6" fillId="0" borderId="0"/>
    <xf numFmtId="40" fontId="97" fillId="0" borderId="7" applyAlignment="1">
      <alignment horizontal="right"/>
    </xf>
    <xf numFmtId="40" fontId="97" fillId="0" borderId="7" applyAlignment="1">
      <alignment horizontal="right"/>
    </xf>
    <xf numFmtId="0" fontId="107" fillId="10" borderId="7"/>
    <xf numFmtId="202" fontId="115" fillId="0" borderId="0"/>
    <xf numFmtId="0" fontId="105" fillId="0" borderId="0" applyAlignment="1">
      <alignment horizontal="left"/>
    </xf>
    <xf numFmtId="203" fontId="23" fillId="0" borderId="0" applyAlignment="1">
      <alignment horizontal="left"/>
    </xf>
    <xf numFmtId="0" fontId="99" fillId="0" borderId="0"/>
    <xf numFmtId="0" fontId="116" fillId="47" borderId="0"/>
    <xf numFmtId="0" fontId="97" fillId="0" borderId="7" applyAlignment="1">
      <alignment horizontal="left"/>
    </xf>
    <xf numFmtId="0" fontId="117" fillId="0" borderId="7" applyAlignment="1">
      <alignment horizontal="center"/>
    </xf>
    <xf numFmtId="0" fontId="117" fillId="0" borderId="0" applyAlignment="1">
      <alignment horizontal="center" vertical="center"/>
    </xf>
    <xf numFmtId="0" fontId="118" fillId="0" borderId="0" applyAlignment="1">
      <alignment horizontal="left" vertical="center"/>
    </xf>
    <xf numFmtId="0" fontId="112" fillId="0" borderId="0"/>
    <xf numFmtId="40" fontId="119" fillId="0" borderId="0" applyAlignment="1">
      <alignment horizontal="right"/>
    </xf>
    <xf numFmtId="200" fontId="97" fillId="0" borderId="7" applyAlignment="1">
      <alignment horizontal="right"/>
    </xf>
    <xf numFmtId="200" fontId="97" fillId="0" borderId="7" applyAlignment="1">
      <alignment horizontal="right"/>
    </xf>
    <xf numFmtId="0" fontId="23" fillId="0" borderId="0"/>
    <xf numFmtId="0" fontId="23" fillId="0" borderId="0"/>
    <xf numFmtId="0" fontId="0" fillId="0" borderId="0"/>
    <xf numFmtId="0" fontId="23" fillId="0" borderId="0"/>
    <xf numFmtId="0" fontId="23" fillId="0" borderId="0"/>
    <xf numFmtId="0" fontId="23" fillId="0" borderId="0"/>
    <xf numFmtId="0" fontId="0" fillId="0" borderId="0"/>
    <xf numFmtId="0" fontId="14" fillId="0" borderId="0"/>
    <xf numFmtId="0" fontId="23" fillId="0" borderId="0"/>
    <xf numFmtId="3" fontId="105" fillId="0" borderId="7"/>
    <xf numFmtId="0" fontId="23" fillId="0" borderId="0"/>
    <xf numFmtId="0" fontId="0" fillId="0" borderId="0"/>
    <xf numFmtId="0" fontId="0" fillId="0" borderId="0"/>
    <xf numFmtId="0" fontId="99" fillId="0" borderId="0"/>
    <xf numFmtId="0" fontId="122" fillId="0" borderId="0"/>
    <xf numFmtId="204" fontId="23" fillId="0" borderId="0"/>
    <xf numFmtId="205" fontId="23" fillId="0" borderId="0"/>
    <xf numFmtId="206" fontId="23" fillId="0" borderId="0"/>
    <xf numFmtId="207" fontId="23" fillId="0" borderId="0"/>
    <xf numFmtId="0" fontId="6" fillId="0" borderId="0"/>
    <xf numFmtId="41" fontId="6" fillId="0" borderId="0"/>
    <xf numFmtId="43" fontId="6" fillId="0" borderId="0"/>
    <xf numFmtId="41" fontId="0" fillId="0" borderId="0"/>
    <xf numFmtId="43" fontId="0" fillId="0" borderId="0"/>
    <xf numFmtId="208" fontId="0" fillId="0" borderId="0"/>
    <xf numFmtId="0" fontId="120" fillId="0" borderId="0"/>
    <xf numFmtId="0" fontId="1" fillId="0" borderId="0"/>
    <xf numFmtId="0" fontId="1" fillId="0" borderId="0"/>
    <xf numFmtId="190" fontId="1" fillId="0" borderId="7"/>
    <xf numFmtId="38" fontId="93" fillId="0" borderId="0"/>
    <xf numFmtId="40" fontId="93" fillId="0" borderId="0"/>
    <xf numFmtId="0" fontId="93" fillId="0" borderId="0"/>
    <xf numFmtId="0" fontId="93" fillId="0" borderId="0"/>
    <xf numFmtId="0" fontId="121" fillId="0" borderId="0"/>
    <xf numFmtId="0" fontId="1" fillId="0" borderId="0"/>
  </cellStyleXfs>
  <cellXfs count="614">
    <xf numFmtId="0" fontId="0" fillId="0" borderId="0" pivotButton="0" quotePrefix="0" xfId="0"/>
    <xf numFmtId="0" fontId="1" fillId="0" borderId="0" pivotButton="0" quotePrefix="0" xfId="216"/>
    <xf numFmtId="0" fontId="2" fillId="2" borderId="0" pivotButton="0" quotePrefix="0" xfId="216"/>
    <xf numFmtId="0" fontId="1" fillId="2" borderId="0" pivotButton="0" quotePrefix="0" xfId="216"/>
    <xf numFmtId="0" fontId="1" fillId="3" borderId="1" pivotButton="0" quotePrefix="0" xfId="216"/>
    <xf numFmtId="0" fontId="3" fillId="4" borderId="2" applyAlignment="1" pivotButton="0" quotePrefix="0" xfId="216">
      <alignment horizontal="center"/>
    </xf>
    <xf numFmtId="0" fontId="4" fillId="5" borderId="3" applyAlignment="1" pivotButton="0" quotePrefix="0" xfId="216">
      <alignment horizontal="center"/>
    </xf>
    <xf numFmtId="0" fontId="3" fillId="4" borderId="3" applyAlignment="1" pivotButton="0" quotePrefix="0" xfId="216">
      <alignment horizontal="center"/>
    </xf>
    <xf numFmtId="0" fontId="3" fillId="4" borderId="4" applyAlignment="1" pivotButton="0" quotePrefix="0" xfId="216">
      <alignment horizontal="center"/>
    </xf>
    <xf numFmtId="0" fontId="1" fillId="3" borderId="5" pivotButton="0" quotePrefix="0" xfId="216"/>
    <xf numFmtId="0" fontId="1" fillId="3" borderId="6" pivotButton="0" quotePrefix="0" xfId="216"/>
    <xf numFmtId="0" fontId="5" fillId="0" borderId="0" applyAlignment="1" pivotButton="0" quotePrefix="0" xfId="0">
      <alignment vertical="center"/>
    </xf>
    <xf numFmtId="0" fontId="6" fillId="0" borderId="0" applyAlignment="1" pivotButton="0" quotePrefix="0" xfId="0">
      <alignment horizontal="center" vertical="center"/>
    </xf>
    <xf numFmtId="0" fontId="6" fillId="0" borderId="0" applyAlignment="1" pivotButton="0" quotePrefix="0" xfId="0">
      <alignment vertical="center"/>
    </xf>
    <xf numFmtId="164" fontId="7" fillId="6" borderId="0" applyAlignment="1" applyProtection="1" pivotButton="0" quotePrefix="0" xfId="6">
      <alignment horizontal="left" vertical="center" shrinkToFit="1"/>
      <protection locked="0" hidden="1"/>
    </xf>
    <xf numFmtId="0" fontId="8" fillId="0" borderId="0" applyAlignment="1" pivotButton="0" quotePrefix="0" xfId="6">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center" vertical="center" wrapText="1"/>
    </xf>
    <xf numFmtId="165" fontId="6" fillId="0" borderId="0" applyAlignment="1" pivotButton="0" quotePrefix="0" xfId="0">
      <alignment horizontal="center" vertical="center"/>
    </xf>
    <xf numFmtId="165" fontId="6" fillId="0" borderId="0" applyAlignment="1" pivotButton="0" quotePrefix="0" xfId="0">
      <alignment vertical="center"/>
    </xf>
    <xf numFmtId="0" fontId="2" fillId="0" borderId="0" applyAlignment="1" pivotButton="0" quotePrefix="0" xfId="0">
      <alignment horizontal="right"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6" fillId="0" borderId="7" applyAlignment="1" pivotButton="0" quotePrefix="0" xfId="0">
      <alignment horizontal="center" vertical="center"/>
    </xf>
    <xf numFmtId="0" fontId="6" fillId="0" borderId="7" applyAlignment="1" pivotButton="0" quotePrefix="0" xfId="0">
      <alignment horizontal="left" vertical="center"/>
    </xf>
    <xf numFmtId="14" fontId="6" fillId="0" borderId="7" applyAlignment="1" pivotButton="0" quotePrefix="0" xfId="0">
      <alignment horizontal="center" vertical="center"/>
    </xf>
    <xf numFmtId="166" fontId="6" fillId="0" borderId="7" applyAlignment="1" pivotButton="0" quotePrefix="0" xfId="0">
      <alignment horizontal="right" vertical="center"/>
    </xf>
    <xf numFmtId="0" fontId="6" fillId="0" borderId="7" applyAlignment="1" pivotButton="0" quotePrefix="0" xfId="0">
      <alignment vertical="center"/>
    </xf>
    <xf numFmtId="0" fontId="0" fillId="0" borderId="8" pivotButton="0" quotePrefix="0" xfId="0"/>
    <xf numFmtId="49" fontId="6" fillId="0" borderId="0" applyAlignment="1" pivotButton="0" quotePrefix="0" xfId="0">
      <alignment vertical="center"/>
    </xf>
    <xf numFmtId="0" fontId="8" fillId="0" borderId="0" applyAlignment="1" pivotButton="0" quotePrefix="0" xfId="6">
      <alignment horizontal="left" vertical="center"/>
    </xf>
    <xf numFmtId="166" fontId="6" fillId="0" borderId="7" applyAlignment="1" pivotButton="0" quotePrefix="0" xfId="0">
      <alignment vertical="center"/>
    </xf>
    <xf numFmtId="0" fontId="0" fillId="0" borderId="9" pivotButton="0" quotePrefix="0" xfId="0"/>
    <xf numFmtId="0" fontId="2" fillId="0" borderId="5"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14" fontId="6" fillId="0" borderId="7" applyAlignment="1" pivotButton="0" quotePrefix="0" xfId="0">
      <alignment horizontal="right" vertical="center"/>
    </xf>
    <xf numFmtId="0" fontId="6" fillId="0" borderId="7" applyAlignment="1" pivotButton="0" quotePrefix="0" xfId="0">
      <alignment horizontal="right" vertical="center"/>
    </xf>
    <xf numFmtId="0" fontId="6" fillId="0" borderId="8" applyAlignment="1" pivotButton="0" quotePrefix="0" xfId="0">
      <alignment horizontal="right" vertical="center"/>
    </xf>
    <xf numFmtId="0" fontId="9" fillId="0" borderId="0" applyAlignment="1" pivotButton="0" quotePrefix="0" xfId="0">
      <alignment horizontal="center" vertical="center"/>
    </xf>
    <xf numFmtId="0" fontId="10" fillId="0" borderId="7"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horizontal="center" vertical="center"/>
    </xf>
    <xf numFmtId="49" fontId="6" fillId="0" borderId="0" applyAlignment="1" pivotButton="0" quotePrefix="0" xfId="0">
      <alignment horizontal="right" vertical="center"/>
    </xf>
    <xf numFmtId="49" fontId="6" fillId="0" borderId="7" applyAlignment="1" pivotButton="0" quotePrefix="0" xfId="0">
      <alignment horizontal="center" vertical="center"/>
    </xf>
    <xf numFmtId="49" fontId="6" fillId="0" borderId="13" applyAlignment="1" pivotButton="0" quotePrefix="0" xfId="0">
      <alignment horizontal="center" vertical="center"/>
    </xf>
    <xf numFmtId="0" fontId="6" fillId="0" borderId="13" applyAlignment="1" pivotButton="0" quotePrefix="0" xfId="0">
      <alignment vertical="center"/>
    </xf>
    <xf numFmtId="166" fontId="6" fillId="0" borderId="12" applyAlignment="1" pivotButton="0" quotePrefix="0" xfId="0">
      <alignment horizontal="right" vertical="center"/>
    </xf>
    <xf numFmtId="0" fontId="2" fillId="0" borderId="13" applyAlignment="1" pivotButton="0" quotePrefix="0" xfId="0">
      <alignment vertical="center"/>
    </xf>
    <xf numFmtId="49" fontId="6" fillId="0" borderId="7" applyAlignment="1" pivotButton="0" quotePrefix="0" xfId="0">
      <alignment vertical="center"/>
    </xf>
    <xf numFmtId="164" fontId="11" fillId="6" borderId="0" applyAlignment="1" applyProtection="1" pivotButton="0" quotePrefix="0" xfId="6">
      <alignment horizontal="left" vertical="center" shrinkToFit="1"/>
      <protection locked="0" hidden="1"/>
    </xf>
    <xf numFmtId="0" fontId="12" fillId="0" borderId="0" applyAlignment="1" pivotButton="0" quotePrefix="0" xfId="6">
      <alignment horizontal="left" vertical="center" wrapText="1"/>
    </xf>
    <xf numFmtId="0" fontId="5" fillId="0" borderId="0" applyAlignment="1" pivotButton="0" quotePrefix="0" xfId="0">
      <alignment horizontal="center" vertical="center" wrapText="1"/>
    </xf>
    <xf numFmtId="0" fontId="6" fillId="0" borderId="0" applyAlignment="1" pivotButton="0" quotePrefix="0" xfId="0">
      <alignment horizontal="right" vertical="center"/>
    </xf>
    <xf numFmtId="0" fontId="6" fillId="0" borderId="7" applyAlignment="1" pivotButton="0" quotePrefix="0" xfId="0">
      <alignment horizontal="center" vertical="center" wrapText="1"/>
    </xf>
    <xf numFmtId="0" fontId="6" fillId="0" borderId="7" applyAlignment="1" pivotButton="0" quotePrefix="0" xfId="0">
      <alignment horizontal="left" vertical="center" shrinkToFit="1"/>
    </xf>
    <xf numFmtId="167" fontId="6" fillId="0" borderId="7" applyAlignment="1" pivotButton="0" quotePrefix="0" xfId="0">
      <alignment horizontal="center" vertical="center" shrinkToFit="1"/>
    </xf>
    <xf numFmtId="0" fontId="2" fillId="0" borderId="7" applyAlignment="1" pivotButton="0" quotePrefix="0" xfId="0">
      <alignment horizontal="center" vertical="center" shrinkToFit="1"/>
    </xf>
    <xf numFmtId="0" fontId="2" fillId="0" borderId="7" applyAlignment="1" pivotButton="0" quotePrefix="0" xfId="0">
      <alignment horizontal="left" vertical="center" shrinkToFit="1"/>
    </xf>
    <xf numFmtId="14" fontId="6" fillId="7" borderId="7" applyAlignment="1" pivotButton="0" quotePrefix="0" xfId="0">
      <alignment horizontal="center" vertical="center"/>
    </xf>
    <xf numFmtId="0" fontId="6" fillId="7" borderId="7" applyAlignment="1" pivotButton="0" quotePrefix="0" xfId="0">
      <alignment horizontal="center" vertical="center"/>
    </xf>
    <xf numFmtId="0" fontId="2" fillId="0" borderId="7" applyAlignment="1" pivotButton="0" quotePrefix="0" xfId="0">
      <alignment horizontal="center" vertical="center" wrapText="1" shrinkToFit="1"/>
    </xf>
    <xf numFmtId="0" fontId="6" fillId="0" borderId="7" applyAlignment="1" pivotButton="0" quotePrefix="0" xfId="0">
      <alignment horizontal="center" vertical="center" shrinkToFit="1"/>
    </xf>
    <xf numFmtId="0" fontId="13" fillId="0" borderId="0" applyAlignment="1" pivotButton="0" quotePrefix="0" xfId="0">
      <alignment vertical="center"/>
    </xf>
    <xf numFmtId="0" fontId="13" fillId="0" borderId="0" applyAlignment="1" pivotButton="0" quotePrefix="0" xfId="0">
      <alignment horizontal="center" vertical="center" wrapText="1"/>
    </xf>
    <xf numFmtId="0" fontId="7" fillId="0" borderId="0" pivotButton="0" quotePrefix="0" xfId="6"/>
    <xf numFmtId="0" fontId="2" fillId="0" borderId="7" applyAlignment="1" pivotButton="0" quotePrefix="0" xfId="0">
      <alignment horizontal="left" vertical="center"/>
    </xf>
    <xf numFmtId="164" fontId="8" fillId="6" borderId="0" applyAlignment="1" applyProtection="1" pivotButton="0" quotePrefix="0" xfId="6">
      <alignment horizontal="left" vertical="center" shrinkToFit="1"/>
      <protection locked="0" hidden="1"/>
    </xf>
    <xf numFmtId="14" fontId="6" fillId="0" borderId="0" applyAlignment="1" pivotButton="0" quotePrefix="0" xfId="0">
      <alignment horizontal="center" vertical="center" wrapText="1"/>
    </xf>
    <xf numFmtId="0" fontId="2" fillId="0" borderId="0" applyAlignment="1" pivotButton="0" quotePrefix="0" xfId="0">
      <alignment horizontal="center" vertical="center" wrapText="1"/>
    </xf>
    <xf numFmtId="168" fontId="6" fillId="0" borderId="7" applyAlignment="1" pivotButton="0" quotePrefix="0" xfId="0">
      <alignment horizontal="center" vertical="center"/>
    </xf>
    <xf numFmtId="10" fontId="6" fillId="0" borderId="0" applyAlignment="1" pivotButton="0" quotePrefix="0" xfId="0">
      <alignment vertical="center"/>
    </xf>
    <xf numFmtId="168"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6" fillId="0" borderId="7" applyAlignment="1" pivotButton="0" quotePrefix="0" xfId="0">
      <alignment vertical="center" shrinkToFit="1"/>
    </xf>
    <xf numFmtId="0" fontId="2" fillId="0" borderId="8" applyAlignment="1" pivotButton="0" quotePrefix="0" xfId="0">
      <alignment horizontal="center" vertical="center"/>
    </xf>
    <xf numFmtId="168" fontId="6" fillId="0" borderId="0" applyAlignment="1" pivotButton="0" quotePrefix="0" xfId="0">
      <alignment vertical="center"/>
    </xf>
    <xf numFmtId="0" fontId="0" fillId="0" borderId="0" pivotButton="0" quotePrefix="0" xfId="194"/>
    <xf numFmtId="165" fontId="6" fillId="0" borderId="0" applyAlignment="1" pivotButton="0" quotePrefix="0" xfId="194">
      <alignment horizontal="center" vertical="center"/>
    </xf>
    <xf numFmtId="0" fontId="6" fillId="0" borderId="0" applyAlignment="1" pivotButton="0" quotePrefix="0" xfId="194">
      <alignment horizontal="center" vertical="center"/>
    </xf>
    <xf numFmtId="0" fontId="6" fillId="0" borderId="0" applyAlignment="1" pivotButton="0" quotePrefix="0" xfId="194">
      <alignment horizontal="right" vertical="center"/>
    </xf>
    <xf numFmtId="0" fontId="9" fillId="0" borderId="0" applyAlignment="1" pivotButton="0" quotePrefix="0" xfId="194">
      <alignment horizontal="center" vertical="center" wrapText="1"/>
    </xf>
    <xf numFmtId="165" fontId="2" fillId="0" borderId="0" applyAlignment="1" pivotButton="0" quotePrefix="0" xfId="194">
      <alignment horizontal="center" vertical="center"/>
    </xf>
    <xf numFmtId="0" fontId="6" fillId="0" borderId="0" applyAlignment="1" pivotButton="0" quotePrefix="0" xfId="194">
      <alignment vertical="center"/>
    </xf>
    <xf numFmtId="0" fontId="2" fillId="0" borderId="0" applyAlignment="1" pivotButton="0" quotePrefix="0" xfId="194">
      <alignment horizontal="right" vertical="center"/>
    </xf>
    <xf numFmtId="0" fontId="2" fillId="0" borderId="7" applyAlignment="1" pivotButton="0" quotePrefix="0" xfId="194">
      <alignment horizontal="center" vertical="center" wrapText="1"/>
    </xf>
    <xf numFmtId="0" fontId="2" fillId="0" borderId="8" applyAlignment="1" pivotButton="0" quotePrefix="0" xfId="194">
      <alignment horizontal="center" vertical="center" wrapText="1"/>
    </xf>
    <xf numFmtId="0" fontId="6" fillId="0" borderId="7" applyAlignment="1" pivotButton="0" quotePrefix="0" xfId="194">
      <alignment horizontal="center" vertical="center"/>
    </xf>
    <xf numFmtId="14" fontId="6" fillId="0" borderId="7" applyAlignment="1" pivotButton="0" quotePrefix="0" xfId="194">
      <alignment horizontal="center" vertical="center"/>
    </xf>
    <xf numFmtId="166" fontId="6" fillId="0" borderId="7" applyAlignment="1" pivotButton="0" quotePrefix="0" xfId="194">
      <alignment horizontal="right" vertical="center"/>
    </xf>
    <xf numFmtId="166" fontId="6" fillId="0" borderId="8" applyAlignment="1" pivotButton="0" quotePrefix="0" xfId="194">
      <alignment horizontal="right" vertical="center"/>
    </xf>
    <xf numFmtId="0" fontId="6" fillId="0" borderId="7" applyAlignment="1" pivotButton="0" quotePrefix="0" xfId="194">
      <alignment vertical="center"/>
    </xf>
    <xf numFmtId="0" fontId="2" fillId="0" borderId="13" applyAlignment="1" pivotButton="0" quotePrefix="0" xfId="194">
      <alignment horizontal="center" vertical="center"/>
    </xf>
    <xf numFmtId="0" fontId="2" fillId="0" borderId="9" applyAlignment="1" pivotButton="0" quotePrefix="0" xfId="194">
      <alignment horizontal="center" vertical="center"/>
    </xf>
    <xf numFmtId="49" fontId="2" fillId="0" borderId="10" applyAlignment="1" pivotButton="0" quotePrefix="0" xfId="194">
      <alignment horizontal="left" vertical="center"/>
    </xf>
    <xf numFmtId="49" fontId="6" fillId="0" borderId="0" applyAlignment="1" pivotButton="0" quotePrefix="0" xfId="194">
      <alignment vertical="center"/>
    </xf>
    <xf numFmtId="49" fontId="6" fillId="0" borderId="7" applyAlignment="1" pivotButton="0" quotePrefix="0" xfId="0">
      <alignment horizontal="left" vertical="center"/>
    </xf>
    <xf numFmtId="49" fontId="14" fillId="0" borderId="7" applyAlignment="1" pivotButton="0" quotePrefix="0" xfId="0">
      <alignment horizontal="left" vertical="center"/>
    </xf>
    <xf numFmtId="0" fontId="2" fillId="8" borderId="7" applyAlignment="1" pivotButton="0" quotePrefix="0" xfId="193">
      <alignment horizontal="center" vertical="center"/>
    </xf>
    <xf numFmtId="0" fontId="2" fillId="0" borderId="7" applyAlignment="1" pivotButton="0" quotePrefix="0" xfId="184">
      <alignment horizontal="center" vertical="center" wrapText="1"/>
    </xf>
    <xf numFmtId="0" fontId="6" fillId="0" borderId="7" applyAlignment="1" pivotButton="0" quotePrefix="0" xfId="184">
      <alignment horizontal="center" vertical="center" wrapText="1"/>
    </xf>
    <xf numFmtId="0" fontId="6" fillId="8" borderId="7" applyAlignment="1" pivotButton="0" quotePrefix="0" xfId="0">
      <alignment horizontal="left" vertical="center"/>
    </xf>
    <xf numFmtId="0" fontId="6" fillId="8" borderId="7" applyAlignment="1" pivotButton="0" quotePrefix="0" xfId="0">
      <alignment horizontal="center" vertical="center"/>
    </xf>
    <xf numFmtId="0" fontId="2" fillId="0" borderId="5" applyAlignment="1" pivotButton="0" quotePrefix="0" xfId="0">
      <alignment horizontal="center" vertical="center" wrapText="1"/>
    </xf>
    <xf numFmtId="0" fontId="6" fillId="0" borderId="8" applyAlignment="1" pivotButton="0" quotePrefix="0" xfId="0">
      <alignment horizontal="center" vertical="center"/>
    </xf>
    <xf numFmtId="0" fontId="15" fillId="0" borderId="7" applyAlignment="1" pivotButton="0" quotePrefix="0" xfId="6">
      <alignment vertical="center"/>
    </xf>
    <xf numFmtId="0" fontId="16" fillId="0" borderId="7" applyAlignment="1" pivotButton="0" quotePrefix="0" xfId="0">
      <alignment vertical="center"/>
    </xf>
    <xf numFmtId="166" fontId="6" fillId="7" borderId="7" applyAlignment="1" pivotButton="0" quotePrefix="0" xfId="0">
      <alignment horizontal="right" vertical="center"/>
    </xf>
    <xf numFmtId="14" fontId="6" fillId="0" borderId="0" applyAlignment="1" pivotButton="0" quotePrefix="0" xfId="0">
      <alignment vertical="center"/>
    </xf>
    <xf numFmtId="0" fontId="2" fillId="0" borderId="5" applyAlignment="1" pivotButton="0" quotePrefix="0" xfId="0">
      <alignment horizontal="center" vertical="center" wrapText="1"/>
    </xf>
    <xf numFmtId="14" fontId="6" fillId="5" borderId="8" applyAlignment="1" pivotButton="0" quotePrefix="0" xfId="0">
      <alignment horizontal="center" vertical="center" wrapText="1"/>
    </xf>
    <xf numFmtId="166" fontId="6" fillId="5" borderId="7" applyAlignment="1" pivotButton="0" quotePrefix="0" xfId="191">
      <alignment horizontal="center" vertical="center" wrapText="1"/>
    </xf>
    <xf numFmtId="169" fontId="6" fillId="5" borderId="7" applyAlignment="1" pivotButton="0" quotePrefix="0" xfId="0">
      <alignment horizontal="center" vertical="center" wrapText="1" shrinkToFit="1"/>
    </xf>
    <xf numFmtId="169" fontId="2" fillId="5" borderId="5" applyAlignment="1" pivotButton="0" quotePrefix="0" xfId="0">
      <alignment horizontal="center" vertical="center" wrapText="1" shrinkToFit="1"/>
    </xf>
    <xf numFmtId="166" fontId="6" fillId="5" borderId="7" applyAlignment="1" pivotButton="0" quotePrefix="0" xfId="1">
      <alignment horizontal="center" vertical="center" wrapText="1" shrinkToFit="1"/>
    </xf>
    <xf numFmtId="166" fontId="17" fillId="5" borderId="7" applyAlignment="1" pivotButton="0" quotePrefix="0" xfId="1">
      <alignment horizontal="center" vertical="center" wrapText="1"/>
    </xf>
    <xf numFmtId="166" fontId="6" fillId="5" borderId="7" applyAlignment="1" pivotButton="0" quotePrefix="0" xfId="1">
      <alignment horizontal="center" vertical="center" wrapText="1"/>
    </xf>
    <xf numFmtId="166" fontId="6" fillId="5" borderId="7" applyAlignment="1" pivotButton="0" quotePrefix="0" xfId="206">
      <alignment horizontal="center" vertical="center" wrapText="1"/>
    </xf>
    <xf numFmtId="166" fontId="6" fillId="5" borderId="7" applyAlignment="1" pivotButton="0" quotePrefix="0" xfId="0">
      <alignment horizontal="center" vertical="center" wrapText="1"/>
    </xf>
    <xf numFmtId="0" fontId="2" fillId="0" borderId="12" applyAlignment="1" pivotButton="0" quotePrefix="0" xfId="0">
      <alignment horizontal="center" vertical="center" wrapText="1"/>
    </xf>
    <xf numFmtId="169" fontId="6" fillId="5" borderId="11" applyAlignment="1" pivotButton="0" quotePrefix="0" xfId="0">
      <alignment horizontal="center" vertical="center"/>
    </xf>
    <xf numFmtId="169" fontId="6" fillId="5" borderId="12" applyAlignment="1" pivotButton="0" quotePrefix="0" xfId="0">
      <alignment horizontal="center" vertical="center" wrapText="1" shrinkToFit="1"/>
    </xf>
    <xf numFmtId="170" fontId="6" fillId="0" borderId="7" applyAlignment="1" pivotButton="0" quotePrefix="0" xfId="0">
      <alignment horizontal="center" vertical="center"/>
    </xf>
    <xf numFmtId="168" fontId="6" fillId="0" borderId="8" applyAlignment="1" pivotButton="0" quotePrefix="0" xfId="0">
      <alignment horizontal="center" vertical="center"/>
    </xf>
    <xf numFmtId="168" fontId="6" fillId="0" borderId="7" applyAlignment="1" pivotButton="0" quotePrefix="0" xfId="206">
      <alignment horizontal="center" vertical="center"/>
    </xf>
    <xf numFmtId="9" fontId="6" fillId="0" borderId="0" applyAlignment="1" pivotButton="0" quotePrefix="0" xfId="0">
      <alignment horizontal="center" vertical="center"/>
    </xf>
    <xf numFmtId="168" fontId="6" fillId="0" borderId="7" applyAlignment="1" pivotButton="0" quotePrefix="0" xfId="1">
      <alignment horizontal="right" vertical="center" shrinkToFit="1"/>
    </xf>
    <xf numFmtId="0" fontId="18" fillId="0" borderId="0" pivotButton="0" quotePrefix="0" xfId="0"/>
    <xf numFmtId="168" fontId="6" fillId="0" borderId="7" applyAlignment="1" pivotButton="0" quotePrefix="0" xfId="0">
      <alignment horizontal="right" vertical="center"/>
    </xf>
    <xf numFmtId="168" fontId="6" fillId="0" borderId="7" applyAlignment="1" pivotButton="0" quotePrefix="0" xfId="206">
      <alignment horizontal="right" vertical="center"/>
    </xf>
    <xf numFmtId="0" fontId="7" fillId="0" borderId="0" applyAlignment="1" pivotButton="0" quotePrefix="0" xfId="6">
      <alignment vertical="center"/>
    </xf>
    <xf numFmtId="0" fontId="19" fillId="0" borderId="0" applyAlignment="1" pivotButton="0" quotePrefix="0" xfId="6">
      <alignment vertical="center"/>
    </xf>
    <xf numFmtId="0" fontId="11" fillId="0" borderId="0" applyAlignment="1" pivotButton="0" quotePrefix="0" xfId="6">
      <alignment vertical="center"/>
    </xf>
    <xf numFmtId="0" fontId="20" fillId="0" borderId="0" applyAlignment="1" pivotButton="0" quotePrefix="0" xfId="6">
      <alignment vertical="center"/>
    </xf>
    <xf numFmtId="0" fontId="7" fillId="0" borderId="0" applyAlignment="1" applyProtection="1" pivotButton="0" quotePrefix="0" xfId="6">
      <alignment vertical="top"/>
      <protection locked="0" hidden="0"/>
    </xf>
    <xf numFmtId="0" fontId="21" fillId="0" borderId="7" applyAlignment="1" pivotButton="0" quotePrefix="0" xfId="0">
      <alignment shrinkToFit="1"/>
    </xf>
    <xf numFmtId="0" fontId="0" fillId="0" borderId="9" pivotButton="0" quotePrefix="0" xfId="0"/>
    <xf numFmtId="171" fontId="6" fillId="0" borderId="0" applyAlignment="1" pivotButton="0" quotePrefix="0" xfId="0">
      <alignment vertical="center"/>
    </xf>
    <xf numFmtId="0" fontId="6" fillId="8" borderId="7" applyAlignment="1" pivotButton="0" quotePrefix="0" xfId="193">
      <alignment horizontal="center" vertical="center"/>
    </xf>
    <xf numFmtId="0" fontId="10" fillId="0" borderId="7" applyAlignment="1" pivotButton="0" quotePrefix="0" xfId="183">
      <alignment horizontal="center" vertical="center" wrapText="1"/>
    </xf>
    <xf numFmtId="0" fontId="6" fillId="8" borderId="7" applyAlignment="1" pivotButton="0" quotePrefix="0" xfId="0">
      <alignment horizontal="left" vertical="center" shrinkToFit="1"/>
    </xf>
    <xf numFmtId="168" fontId="6" fillId="0" borderId="0" applyAlignment="1" pivotButton="0" quotePrefix="0" xfId="0">
      <alignment horizontal="center" vertical="center"/>
    </xf>
    <xf numFmtId="10" fontId="6" fillId="0" borderId="0" applyAlignment="1" pivotButton="0" quotePrefix="0" xfId="0">
      <alignment horizontal="center" vertical="center"/>
    </xf>
    <xf numFmtId="166" fontId="6" fillId="0" borderId="0" applyAlignment="1" pivotButton="0" quotePrefix="0" xfId="0">
      <alignment horizontal="center" vertical="center"/>
    </xf>
    <xf numFmtId="10" fontId="6" fillId="0" borderId="0" applyAlignment="1" pivotButton="0" quotePrefix="0" xfId="182">
      <alignment vertical="center"/>
    </xf>
    <xf numFmtId="172" fontId="6" fillId="0" borderId="0" applyAlignment="1" pivotButton="0" quotePrefix="0" xfId="0">
      <alignment horizontal="center" vertical="center"/>
    </xf>
    <xf numFmtId="0" fontId="5" fillId="0" borderId="0" applyAlignment="1" pivotButton="0" quotePrefix="0" xfId="0">
      <alignment horizontal="center" vertical="center"/>
    </xf>
    <xf numFmtId="0" fontId="22" fillId="0" borderId="0" applyAlignment="1" pivotButton="0" quotePrefix="0" xfId="0">
      <alignment vertical="center"/>
    </xf>
    <xf numFmtId="0" fontId="17" fillId="0" borderId="0" applyAlignment="1" pivotButton="0" quotePrefix="0" xfId="0">
      <alignment vertical="center"/>
    </xf>
    <xf numFmtId="0" fontId="6" fillId="8" borderId="7" applyAlignment="1" pivotButton="0" quotePrefix="0" xfId="193">
      <alignment horizontal="center" vertical="center" shrinkToFit="1"/>
    </xf>
    <xf numFmtId="0" fontId="13" fillId="0" borderId="0" applyAlignment="1" pivotButton="0" quotePrefix="0" xfId="188">
      <alignment vertical="center"/>
    </xf>
    <xf numFmtId="0" fontId="6" fillId="0" borderId="0" applyAlignment="1" pivotButton="0" quotePrefix="0" xfId="188">
      <alignment vertical="center"/>
    </xf>
    <xf numFmtId="0" fontId="6" fillId="0" borderId="0" applyAlignment="1" pivotButton="0" quotePrefix="0" xfId="192">
      <alignment vertical="center"/>
    </xf>
    <xf numFmtId="0" fontId="23" fillId="0" borderId="0" applyAlignment="1" pivotButton="0" quotePrefix="0" xfId="192">
      <alignment vertical="center"/>
    </xf>
    <xf numFmtId="0" fontId="23" fillId="0" borderId="0" applyAlignment="1" pivotButton="0" quotePrefix="0" xfId="192">
      <alignment horizontal="left" vertical="center"/>
    </xf>
    <xf numFmtId="49" fontId="23" fillId="0" borderId="0" applyAlignment="1" pivotButton="0" quotePrefix="0" xfId="192">
      <alignment vertical="center"/>
    </xf>
    <xf numFmtId="173" fontId="23" fillId="0" borderId="0" applyAlignment="1" pivotButton="0" quotePrefix="0" xfId="192">
      <alignment vertical="center"/>
    </xf>
    <xf numFmtId="164" fontId="24" fillId="0" borderId="0" applyAlignment="1" applyProtection="1" pivotButton="0" quotePrefix="0" xfId="6">
      <alignment horizontal="left" vertical="center" shrinkToFit="1"/>
      <protection locked="0" hidden="1"/>
    </xf>
    <xf numFmtId="0" fontId="24" fillId="0" borderId="0" applyAlignment="1" pivotButton="0" quotePrefix="0" xfId="6">
      <alignment horizontal="left" vertical="center" wrapText="1"/>
    </xf>
    <xf numFmtId="0" fontId="13" fillId="0" borderId="0" applyAlignment="1" pivotButton="0" quotePrefix="0" xfId="188">
      <alignment horizontal="center" vertical="center" wrapText="1"/>
    </xf>
    <xf numFmtId="165" fontId="6" fillId="0" borderId="0" applyAlignment="1" pivotButton="0" quotePrefix="0" xfId="188">
      <alignment horizontal="center" vertical="center"/>
    </xf>
    <xf numFmtId="165" fontId="6" fillId="0" borderId="0" applyAlignment="1" pivotButton="0" quotePrefix="0" xfId="188">
      <alignment vertical="center"/>
    </xf>
    <xf numFmtId="0" fontId="2" fillId="0" borderId="0" applyAlignment="1" pivotButton="0" quotePrefix="0" xfId="188">
      <alignment horizontal="right" vertical="center"/>
    </xf>
    <xf numFmtId="0" fontId="6" fillId="0" borderId="7" applyAlignment="1" pivotButton="0" quotePrefix="0" xfId="192">
      <alignment horizontal="center" vertical="center"/>
    </xf>
    <xf numFmtId="49" fontId="2" fillId="0" borderId="7" applyAlignment="1" pivotButton="0" quotePrefix="0" xfId="184">
      <alignment horizontal="center" vertical="center" wrapText="1"/>
    </xf>
    <xf numFmtId="0" fontId="2" fillId="0" borderId="14" applyAlignment="1" pivotButton="0" quotePrefix="0" xfId="184">
      <alignment horizontal="center" vertical="center" wrapText="1"/>
    </xf>
    <xf numFmtId="0" fontId="0" fillId="0" borderId="15" pivotButton="0" quotePrefix="0" xfId="0"/>
    <xf numFmtId="0" fontId="2" fillId="0" borderId="8" applyAlignment="1" pivotButton="0" quotePrefix="0" xfId="188">
      <alignment horizontal="center" vertical="center"/>
    </xf>
    <xf numFmtId="0" fontId="2" fillId="0" borderId="13" applyAlignment="1" pivotButton="0" quotePrefix="0" xfId="184">
      <alignment horizontal="center" vertical="center" wrapText="1"/>
    </xf>
    <xf numFmtId="0" fontId="2" fillId="0" borderId="7" applyAlignment="1" pivotButton="0" quotePrefix="0" xfId="188">
      <alignment horizontal="center" vertical="center"/>
    </xf>
    <xf numFmtId="0" fontId="2" fillId="0" borderId="7" applyAlignment="1" pivotButton="0" quotePrefix="0" xfId="188">
      <alignment horizontal="center" vertical="center" wrapText="1"/>
    </xf>
    <xf numFmtId="0" fontId="0" fillId="0" borderId="16" pivotButton="0" quotePrefix="0" xfId="0"/>
    <xf numFmtId="0" fontId="25" fillId="0" borderId="7" applyAlignment="1" pivotButton="0" quotePrefix="0" xfId="184">
      <alignment horizontal="center" vertical="center" wrapText="1"/>
    </xf>
    <xf numFmtId="0" fontId="0" fillId="0" borderId="17" pivotButton="0" quotePrefix="0" xfId="0"/>
    <xf numFmtId="0" fontId="0" fillId="0" borderId="18" pivotButton="0" quotePrefix="0" xfId="0"/>
    <xf numFmtId="0" fontId="26" fillId="0" borderId="7" applyAlignment="1" pivotButton="0" quotePrefix="0" xfId="184">
      <alignment horizontal="center" vertical="center" wrapText="1"/>
    </xf>
    <xf numFmtId="166" fontId="6" fillId="0" borderId="7" applyAlignment="1" pivotButton="0" quotePrefix="0" xfId="1">
      <alignment horizontal="center" vertical="center" wrapText="1"/>
    </xf>
    <xf numFmtId="166" fontId="6" fillId="0" borderId="7" applyAlignment="1" pivotButton="0" quotePrefix="0" xfId="188">
      <alignment horizontal="right" vertical="center"/>
    </xf>
    <xf numFmtId="0" fontId="6" fillId="0" borderId="7" applyAlignment="1" pivotButton="0" quotePrefix="0" xfId="0">
      <alignment horizontal="left"/>
    </xf>
    <xf numFmtId="0" fontId="6" fillId="0" borderId="7" applyAlignment="1" pivotButton="0" quotePrefix="0" xfId="184">
      <alignment horizontal="left" vertical="center" wrapText="1"/>
    </xf>
    <xf numFmtId="58" fontId="6" fillId="0" borderId="7" applyAlignment="1" pivotButton="0" quotePrefix="0" xfId="184">
      <alignment horizontal="center" vertical="center" wrapText="1"/>
    </xf>
    <xf numFmtId="0" fontId="2" fillId="0" borderId="7" applyAlignment="1" pivotButton="0" quotePrefix="0" xfId="192">
      <alignment vertical="center"/>
    </xf>
    <xf numFmtId="14" fontId="6" fillId="0" borderId="7" applyAlignment="1" pivotButton="0" quotePrefix="0" xfId="184">
      <alignment horizontal="center" vertical="center" wrapText="1"/>
    </xf>
    <xf numFmtId="0" fontId="2" fillId="0" borderId="12" applyAlignment="1" pivotButton="0" quotePrefix="0" xfId="184">
      <alignment horizontal="center" vertical="center" wrapText="1"/>
    </xf>
    <xf numFmtId="0" fontId="6" fillId="0" borderId="7" applyAlignment="1" pivotButton="0" quotePrefix="0" xfId="184">
      <alignment horizontal="center" vertical="center"/>
    </xf>
    <xf numFmtId="1" fontId="6" fillId="0" borderId="7" applyAlignment="1" pivotButton="0" quotePrefix="0" xfId="184">
      <alignment horizontal="left" vertical="center"/>
    </xf>
    <xf numFmtId="58" fontId="6" fillId="0" borderId="7" applyAlignment="1" pivotButton="0" quotePrefix="0" xfId="192">
      <alignment horizontal="center" vertical="center"/>
    </xf>
    <xf numFmtId="49" fontId="6" fillId="0" borderId="7" applyAlignment="1" pivotButton="0" quotePrefix="0" xfId="184">
      <alignment vertical="center"/>
    </xf>
    <xf numFmtId="0" fontId="6" fillId="0" borderId="7" applyAlignment="1" pivotButton="0" quotePrefix="0" xfId="184">
      <alignment vertical="center"/>
    </xf>
    <xf numFmtId="166" fontId="6" fillId="0" borderId="7" applyAlignment="1" pivotButton="0" quotePrefix="0" xfId="184">
      <alignment horizontal="right" vertical="center"/>
    </xf>
    <xf numFmtId="166" fontId="6" fillId="0" borderId="14" applyAlignment="1" pivotButton="0" quotePrefix="0" xfId="184">
      <alignment horizontal="right" vertical="center"/>
    </xf>
    <xf numFmtId="166" fontId="6" fillId="0" borderId="8" applyAlignment="1" pivotButton="0" quotePrefix="0" xfId="184">
      <alignment horizontal="right" vertical="center"/>
    </xf>
    <xf numFmtId="49" fontId="6" fillId="0" borderId="0" applyAlignment="1" pivotButton="0" quotePrefix="0" xfId="188">
      <alignment vertical="center"/>
    </xf>
    <xf numFmtId="0" fontId="2" fillId="0" borderId="7" applyAlignment="1" pivotButton="0" quotePrefix="0" xfId="0">
      <alignment vertical="center"/>
    </xf>
    <xf numFmtId="0" fontId="5" fillId="0" borderId="0" applyAlignment="1" pivotButton="0" quotePrefix="0" xfId="0">
      <alignment vertical="center" wrapText="1"/>
    </xf>
    <xf numFmtId="0" fontId="2" fillId="8" borderId="7" applyAlignment="1" pivotButton="0" quotePrefix="0" xfId="0">
      <alignment horizontal="center" vertical="center" wrapText="1"/>
    </xf>
    <xf numFmtId="0" fontId="2" fillId="0" borderId="7" applyAlignment="1" pivotButton="0" quotePrefix="0" xfId="187">
      <alignment horizontal="center" vertical="center" wrapText="1"/>
    </xf>
    <xf numFmtId="0" fontId="6" fillId="8" borderId="7" applyAlignment="1" pivotButton="0" quotePrefix="0" xfId="0">
      <alignment vertical="center"/>
    </xf>
    <xf numFmtId="49" fontId="6" fillId="0" borderId="17" applyAlignment="1" pivotButton="0" quotePrefix="0" xfId="0">
      <alignment horizontal="center" vertical="center"/>
    </xf>
    <xf numFmtId="49" fontId="6" fillId="0" borderId="12" applyAlignment="1" pivotButton="0" quotePrefix="0" xfId="0">
      <alignment horizontal="center" vertical="center"/>
    </xf>
    <xf numFmtId="0" fontId="16" fillId="0" borderId="7" applyAlignment="1" pivotButton="0" quotePrefix="0" xfId="6">
      <alignment vertical="center"/>
    </xf>
    <xf numFmtId="0" fontId="5" fillId="0" borderId="0" applyAlignment="1" pivotButton="0" quotePrefix="0" xfId="194">
      <alignment vertical="center"/>
    </xf>
    <xf numFmtId="0" fontId="6" fillId="0" borderId="0" applyAlignment="1" pivotButton="0" quotePrefix="0" xfId="194">
      <alignment horizontal="center" vertical="center" wrapText="1"/>
    </xf>
    <xf numFmtId="0" fontId="27" fillId="0" borderId="0" applyAlignment="1" pivotButton="0" quotePrefix="0" xfId="194">
      <alignment horizontal="center" vertical="center" wrapText="1"/>
    </xf>
    <xf numFmtId="165" fontId="6" fillId="0" borderId="17" applyAlignment="1" pivotButton="0" quotePrefix="0" xfId="194">
      <alignment horizontal="left" vertical="center"/>
    </xf>
    <xf numFmtId="0" fontId="6" fillId="0" borderId="7" applyAlignment="1" pivotButton="0" quotePrefix="0" xfId="194">
      <alignment horizontal="left" vertical="center"/>
    </xf>
    <xf numFmtId="0" fontId="2" fillId="0" borderId="7" applyAlignment="1" pivotButton="0" quotePrefix="0" xfId="194">
      <alignment horizontal="center" vertical="center"/>
    </xf>
    <xf numFmtId="0" fontId="0" fillId="0" borderId="8" pivotButton="0" quotePrefix="0" xfId="194"/>
    <xf numFmtId="0" fontId="6" fillId="0" borderId="7" applyAlignment="1" pivotButton="0" quotePrefix="0" xfId="194">
      <alignment horizontal="right" vertical="center"/>
    </xf>
    <xf numFmtId="0" fontId="2" fillId="0" borderId="7" applyAlignment="1" pivotButton="0" quotePrefix="0" xfId="194">
      <alignment horizontal="left" vertical="center"/>
    </xf>
    <xf numFmtId="0" fontId="2" fillId="0" borderId="8" applyAlignment="1" pivotButton="0" quotePrefix="0" xfId="194">
      <alignment horizontal="center" vertical="center"/>
    </xf>
    <xf numFmtId="0" fontId="5" fillId="0" borderId="0" applyAlignment="1" pivotButton="0" quotePrefix="0" xfId="194">
      <alignment vertical="center" wrapText="1"/>
    </xf>
    <xf numFmtId="0" fontId="2" fillId="8" borderId="7" applyAlignment="1" pivotButton="0" quotePrefix="0" xfId="194">
      <alignment horizontal="center" vertical="center" wrapText="1"/>
    </xf>
    <xf numFmtId="0" fontId="0" fillId="0" borderId="19" pivotButton="0" quotePrefix="0" xfId="0"/>
    <xf numFmtId="166" fontId="6" fillId="0" borderId="7" applyAlignment="1" pivotButton="0" quotePrefix="0" xfId="194">
      <alignment horizontal="center" vertical="center"/>
    </xf>
    <xf numFmtId="166" fontId="6" fillId="0" borderId="8" applyAlignment="1" pivotButton="0" quotePrefix="0" xfId="194">
      <alignment horizontal="center" vertical="center"/>
    </xf>
    <xf numFmtId="0" fontId="6" fillId="8" borderId="7" applyAlignment="1" pivotButton="0" quotePrefix="0" xfId="194">
      <alignment horizontal="left" vertical="center"/>
    </xf>
    <xf numFmtId="165" fontId="6" fillId="0" borderId="0" applyAlignment="1" pivotButton="0" quotePrefix="0" xfId="194">
      <alignment horizontal="left" vertical="center"/>
    </xf>
    <xf numFmtId="0" fontId="2" fillId="0" borderId="17" applyAlignment="1" pivotButton="0" quotePrefix="0" xfId="194">
      <alignment horizontal="right" vertical="center"/>
    </xf>
    <xf numFmtId="168" fontId="6" fillId="0" borderId="0" applyAlignment="1" pivotButton="0" quotePrefix="0" xfId="0">
      <alignment horizontal="right" vertical="center"/>
    </xf>
    <xf numFmtId="10" fontId="6" fillId="0" borderId="7" applyAlignment="1" pivotButton="0" quotePrefix="0" xfId="0">
      <alignment horizontal="center" vertical="center"/>
    </xf>
    <xf numFmtId="4" fontId="6" fillId="0" borderId="7" applyAlignment="1" pivotButton="0" quotePrefix="0" xfId="0">
      <alignment horizontal="center" vertical="center"/>
    </xf>
    <xf numFmtId="4" fontId="6" fillId="0" borderId="0" applyAlignment="1" pivotButton="0" quotePrefix="0" xfId="0">
      <alignment vertical="center"/>
    </xf>
    <xf numFmtId="14" fontId="6" fillId="0" borderId="0" applyAlignment="1" pivotButton="0" quotePrefix="0" xfId="0">
      <alignment horizontal="center" vertical="center"/>
    </xf>
    <xf numFmtId="168" fontId="6" fillId="0" borderId="0" applyAlignment="1" pivotButton="0" quotePrefix="0" xfId="0">
      <alignment horizontal="center" vertical="center" wrapText="1"/>
    </xf>
    <xf numFmtId="166" fontId="6" fillId="0" borderId="8" applyAlignment="1" pivotButton="0" quotePrefix="0" xfId="0">
      <alignment horizontal="right" vertical="center"/>
    </xf>
    <xf numFmtId="164" fontId="12" fillId="6" borderId="0" applyAlignment="1" applyProtection="1" pivotButton="0" quotePrefix="0" xfId="6">
      <alignment horizontal="left" vertical="center" shrinkToFit="1"/>
      <protection locked="0" hidden="1"/>
    </xf>
    <xf numFmtId="0" fontId="6" fillId="0" borderId="0" applyAlignment="1" pivotButton="0" quotePrefix="0" xfId="0">
      <alignment vertical="center" wrapText="1"/>
    </xf>
    <xf numFmtId="0" fontId="12" fillId="0" borderId="0" applyAlignment="1" pivotButton="0" quotePrefix="0" xfId="6">
      <alignment horizontal="left" vertical="center"/>
    </xf>
    <xf numFmtId="168" fontId="6" fillId="0" borderId="5" applyAlignment="1" pivotButton="0" quotePrefix="0" xfId="0">
      <alignment horizontal="center" vertical="center"/>
    </xf>
    <xf numFmtId="0" fontId="6" fillId="0" borderId="5" applyAlignment="1" pivotButton="0" quotePrefix="0" xfId="0">
      <alignment horizontal="center" vertical="center"/>
    </xf>
    <xf numFmtId="0" fontId="6" fillId="9" borderId="0" applyAlignment="1" pivotButton="0" quotePrefix="0" xfId="208">
      <alignment horizontal="center" vertical="center"/>
    </xf>
    <xf numFmtId="49" fontId="6" fillId="0" borderId="7" applyAlignment="1" pivotButton="0" quotePrefix="0" xfId="0">
      <alignment horizontal="left" vertical="center" shrinkToFit="1"/>
    </xf>
    <xf numFmtId="49" fontId="6" fillId="0" borderId="12" applyAlignment="1" pivotButton="0" quotePrefix="0" xfId="0">
      <alignment horizontal="center" vertical="center" wrapText="1"/>
    </xf>
    <xf numFmtId="0" fontId="6" fillId="0" borderId="7" applyAlignment="1" pivotButton="0" quotePrefix="0" xfId="185">
      <alignment horizontal="right" vertical="center" wrapText="1"/>
    </xf>
    <xf numFmtId="166" fontId="6" fillId="0" borderId="7" applyAlignment="1" pivotButton="0" quotePrefix="0" xfId="0">
      <alignment horizontal="right" vertical="center" wrapText="1"/>
    </xf>
    <xf numFmtId="166" fontId="6" fillId="0" borderId="7" applyAlignment="1" pivotButton="0" quotePrefix="0" xfId="185">
      <alignment horizontal="right" vertical="center" wrapText="1"/>
    </xf>
    <xf numFmtId="168" fontId="6" fillId="0" borderId="7" applyAlignment="1" pivotButton="0" quotePrefix="0" xfId="0">
      <alignment horizontal="right" vertical="center" wrapText="1"/>
    </xf>
    <xf numFmtId="0" fontId="6" fillId="0" borderId="7" applyAlignment="1" pivotButton="0" quotePrefix="0" xfId="0">
      <alignment vertical="center" wrapText="1"/>
    </xf>
    <xf numFmtId="166" fontId="6" fillId="0" borderId="0" applyAlignment="1" pivotButton="0" quotePrefix="0" xfId="1">
      <alignment horizontal="center" vertical="center" wrapText="1"/>
    </xf>
    <xf numFmtId="10" fontId="6" fillId="9" borderId="0" applyAlignment="1" pivotButton="0" quotePrefix="0" xfId="0">
      <alignment horizontal="center" vertical="center" wrapText="1"/>
    </xf>
    <xf numFmtId="49" fontId="6" fillId="9" borderId="0" applyAlignment="1" pivotButton="0" quotePrefix="0" xfId="0">
      <alignment horizontal="center" vertical="center" wrapText="1"/>
    </xf>
    <xf numFmtId="168" fontId="6" fillId="9" borderId="7" applyAlignment="1" applyProtection="1" pivotButton="0" quotePrefix="0" xfId="206">
      <alignment horizontal="center" vertical="center" wrapText="1"/>
      <protection locked="0" hidden="0"/>
    </xf>
    <xf numFmtId="49" fontId="6" fillId="0" borderId="0" applyAlignment="1" pivotButton="0" quotePrefix="0" xfId="0">
      <alignment horizontal="center" vertical="center" wrapText="1"/>
    </xf>
    <xf numFmtId="0" fontId="6" fillId="9" borderId="0" applyAlignment="1" pivotButton="0" quotePrefix="0" xfId="0">
      <alignment vertical="center" wrapText="1"/>
    </xf>
    <xf numFmtId="0" fontId="0" fillId="0" borderId="0" applyAlignment="1" pivotButton="0" quotePrefix="0" xfId="0">
      <alignment wrapText="1"/>
    </xf>
    <xf numFmtId="49" fontId="6" fillId="0" borderId="0" applyAlignment="1" pivotButton="0" quotePrefix="0" xfId="0">
      <alignment horizontal="center" vertical="center"/>
    </xf>
    <xf numFmtId="166" fontId="6" fillId="0" borderId="0" applyAlignment="1" pivotButton="0" quotePrefix="0" xfId="1">
      <alignment vertical="center"/>
    </xf>
    <xf numFmtId="168" fontId="6" fillId="0" borderId="0" applyAlignment="1" pivotButton="0" quotePrefix="0" xfId="0">
      <alignment vertical="center" wrapText="1"/>
    </xf>
    <xf numFmtId="0" fontId="6" fillId="0" borderId="7" applyAlignment="1" pivotButton="0" quotePrefix="0" xfId="185">
      <alignment horizontal="right" vertical="center"/>
    </xf>
    <xf numFmtId="166" fontId="6" fillId="0" borderId="7" applyAlignment="1" pivotButton="0" quotePrefix="0" xfId="185">
      <alignment horizontal="right" vertical="center"/>
    </xf>
    <xf numFmtId="166" fontId="6" fillId="0" borderId="0" applyAlignment="1" pivotButton="0" quotePrefix="0" xfId="1">
      <alignment horizontal="center" vertical="center"/>
    </xf>
    <xf numFmtId="168" fontId="6" fillId="9" borderId="7" applyAlignment="1" applyProtection="1" pivotButton="0" quotePrefix="0" xfId="206">
      <alignment horizontal="center" vertical="center"/>
      <protection locked="0" hidden="0"/>
    </xf>
    <xf numFmtId="0" fontId="6" fillId="0" borderId="0" applyAlignment="1" pivotButton="0" quotePrefix="0" xfId="185">
      <alignment vertical="center"/>
    </xf>
    <xf numFmtId="0" fontId="6" fillId="0" borderId="0" applyAlignment="1" pivotButton="0" quotePrefix="0" xfId="0">
      <alignment vertical="center" shrinkToFit="1"/>
    </xf>
    <xf numFmtId="0" fontId="6" fillId="0" borderId="0" applyAlignment="1" pivotButton="0" quotePrefix="0" xfId="0">
      <alignment horizontal="center" vertical="center" shrinkToFit="1"/>
    </xf>
    <xf numFmtId="0" fontId="12" fillId="0" borderId="0" applyAlignment="1" pivotButton="0" quotePrefix="0" xfId="6">
      <alignment horizontal="left" vertical="center" shrinkToFit="1"/>
    </xf>
    <xf numFmtId="49" fontId="6" fillId="0" borderId="7" applyAlignment="1" pivotButton="0" quotePrefix="0" xfId="0">
      <alignment horizontal="center" vertical="center" shrinkToFit="1"/>
    </xf>
    <xf numFmtId="49" fontId="6" fillId="0" borderId="12" applyAlignment="1" pivotButton="0" quotePrefix="0" xfId="0">
      <alignment horizontal="center" vertical="center" shrinkToFit="1"/>
    </xf>
    <xf numFmtId="0" fontId="6" fillId="0" borderId="0" applyAlignment="1" pivotButton="0" quotePrefix="0" xfId="0">
      <alignment horizontal="right" vertical="center" shrinkToFit="1"/>
    </xf>
    <xf numFmtId="168" fontId="6" fillId="0" borderId="7" applyAlignment="1" pivotButton="0" quotePrefix="0" xfId="0">
      <alignment vertical="center"/>
    </xf>
    <xf numFmtId="0" fontId="6" fillId="8" borderId="7" applyAlignment="1" pivotButton="0" quotePrefix="0" xfId="157">
      <alignment horizontal="center" vertical="center" wrapText="1"/>
    </xf>
    <xf numFmtId="168" fontId="17" fillId="8" borderId="7" applyAlignment="1" pivotButton="0" quotePrefix="0" xfId="0">
      <alignment horizontal="center" vertical="center" wrapText="1"/>
    </xf>
    <xf numFmtId="168" fontId="17" fillId="8" borderId="0" applyAlignment="1" pivotButton="0" quotePrefix="0" xfId="0">
      <alignment horizontal="center" vertical="center" wrapText="1"/>
    </xf>
    <xf numFmtId="168" fontId="6" fillId="8" borderId="7" applyAlignment="1" pivotButton="0" quotePrefix="0" xfId="0">
      <alignment horizontal="center" vertical="center"/>
    </xf>
    <xf numFmtId="168" fontId="6" fillId="8" borderId="7" applyAlignment="1" pivotButton="0" quotePrefix="0" xfId="0">
      <alignment horizontal="center" vertical="center" wrapText="1"/>
    </xf>
    <xf numFmtId="167" fontId="6" fillId="0" borderId="7" applyAlignment="1" pivotButton="0" quotePrefix="0" xfId="0">
      <alignment horizontal="center" vertical="center"/>
    </xf>
    <xf numFmtId="166" fontId="6" fillId="8" borderId="7" applyAlignment="1" pivotButton="0" quotePrefix="0" xfId="0">
      <alignment horizontal="right" vertical="center"/>
    </xf>
    <xf numFmtId="166" fontId="17" fillId="8" borderId="7" applyAlignment="1" pivotButton="0" quotePrefix="0" xfId="0">
      <alignment horizontal="right" vertical="center"/>
    </xf>
    <xf numFmtId="166" fontId="2" fillId="0" borderId="7" applyAlignment="1" pivotButton="0" quotePrefix="0" xfId="0">
      <alignment horizontal="left" vertical="center"/>
    </xf>
    <xf numFmtId="166" fontId="2" fillId="0" borderId="7" applyAlignment="1" pivotButton="0" quotePrefix="0" xfId="0">
      <alignment horizontal="center" vertical="center"/>
    </xf>
    <xf numFmtId="168" fontId="2" fillId="0" borderId="7" applyAlignment="1" pivotButton="0" quotePrefix="0" xfId="0">
      <alignment horizontal="center" vertical="center"/>
    </xf>
    <xf numFmtId="49" fontId="2" fillId="0" borderId="7" applyAlignment="1" pivotButton="0" quotePrefix="0" xfId="0">
      <alignment horizontal="center" vertical="center"/>
    </xf>
    <xf numFmtId="49" fontId="6" fillId="0" borderId="7" applyAlignment="1" pivotButton="0" quotePrefix="0" xfId="0">
      <alignment horizontal="right" vertical="center"/>
    </xf>
    <xf numFmtId="164" fontId="12" fillId="6" borderId="0" applyAlignment="1" applyProtection="1" pivotButton="0" quotePrefix="0" xfId="6">
      <alignment horizontal="left" vertical="center" shrinkToFit="1"/>
      <protection locked="1" hidden="1"/>
    </xf>
    <xf numFmtId="0" fontId="16" fillId="0" borderId="0" applyAlignment="1" pivotButton="0" quotePrefix="0" xfId="0">
      <alignment horizontal="left" vertical="center"/>
    </xf>
    <xf numFmtId="0" fontId="16" fillId="0" borderId="0" applyAlignment="1" pivotButton="0" quotePrefix="0" xfId="0">
      <alignment horizontal="right" vertical="center"/>
    </xf>
    <xf numFmtId="0" fontId="16" fillId="0" borderId="7" applyAlignment="1" pivotButton="0" quotePrefix="0" xfId="0">
      <alignment horizontal="center" vertical="center"/>
    </xf>
    <xf numFmtId="0" fontId="16" fillId="0" borderId="5" applyAlignment="1" pivotButton="0" quotePrefix="0" xfId="0">
      <alignment horizontal="center" vertical="center"/>
    </xf>
    <xf numFmtId="0" fontId="16" fillId="0" borderId="13" applyAlignment="1" pivotButton="0" quotePrefix="0" xfId="0">
      <alignment horizontal="left" vertical="center"/>
    </xf>
    <xf numFmtId="0" fontId="16" fillId="0" borderId="9" applyAlignment="1" pivotButton="0" quotePrefix="0" xfId="0">
      <alignment horizontal="center" vertical="center"/>
    </xf>
    <xf numFmtId="0" fontId="16" fillId="0" borderId="8" applyAlignment="1" pivotButton="0" quotePrefix="0" xfId="0">
      <alignment horizontal="center" vertical="center"/>
    </xf>
    <xf numFmtId="0" fontId="16" fillId="0" borderId="7" applyAlignment="1" pivotButton="0" quotePrefix="0" xfId="0">
      <alignment horizontal="left" vertical="center"/>
    </xf>
    <xf numFmtId="0" fontId="6" fillId="0" borderId="0" pivotButton="0" quotePrefix="0" xfId="0"/>
    <xf numFmtId="0" fontId="28" fillId="0" borderId="0" applyAlignment="1" pivotButton="0" quotePrefix="0" xfId="55">
      <alignment horizontal="center" vertical="center"/>
    </xf>
    <xf numFmtId="0" fontId="10" fillId="0" borderId="7" applyAlignment="1" pivotButton="0" quotePrefix="0" xfId="0">
      <alignment horizontal="center" vertical="center"/>
    </xf>
    <xf numFmtId="0" fontId="29" fillId="0" borderId="7" applyAlignment="1" pivotButton="0" quotePrefix="0" xfId="6">
      <alignment horizontal="left" vertical="center"/>
    </xf>
    <xf numFmtId="166" fontId="10" fillId="0" borderId="7" applyAlignment="1" pivotButton="0" quotePrefix="0" xfId="0">
      <alignment horizontal="right" vertical="center"/>
    </xf>
    <xf numFmtId="166" fontId="10" fillId="5" borderId="8" applyAlignment="1" pivotButton="0" quotePrefix="0" xfId="0">
      <alignment horizontal="right" vertical="center"/>
    </xf>
    <xf numFmtId="0" fontId="16" fillId="0" borderId="7" applyAlignment="1" pivotButton="0" quotePrefix="0" xfId="6">
      <alignment horizontal="left" vertical="center" indent="1"/>
    </xf>
    <xf numFmtId="166" fontId="6" fillId="5" borderId="8" applyAlignment="1" pivotButton="0" quotePrefix="0" xfId="0">
      <alignment horizontal="right" vertical="center"/>
    </xf>
    <xf numFmtId="0" fontId="29" fillId="0" borderId="7" applyAlignment="1" pivotButton="0" quotePrefix="0" xfId="0">
      <alignment horizontal="left" vertical="center"/>
    </xf>
    <xf numFmtId="0" fontId="30" fillId="0" borderId="0" applyAlignment="1" pivotButton="0" quotePrefix="0" xfId="0">
      <alignment vertical="center"/>
    </xf>
    <xf numFmtId="0" fontId="6" fillId="5" borderId="0" applyAlignment="1" pivotButton="0" quotePrefix="0" xfId="0">
      <alignment horizontal="right" vertical="center"/>
    </xf>
    <xf numFmtId="166" fontId="6" fillId="5" borderId="0" applyAlignment="1" pivotButton="0" quotePrefix="0" xfId="0">
      <alignment vertical="center"/>
    </xf>
    <xf numFmtId="174" fontId="6" fillId="5" borderId="0" applyAlignment="1" pivotButton="0" quotePrefix="0" xfId="0">
      <alignment vertical="center"/>
    </xf>
    <xf numFmtId="0" fontId="16" fillId="0" borderId="7" applyAlignment="1" pivotButton="0" quotePrefix="0" xfId="6">
      <alignment horizontal="left" vertical="center"/>
    </xf>
    <xf numFmtId="0" fontId="16" fillId="0" borderId="7" applyAlignment="1" pivotButton="0" quotePrefix="0" xfId="6">
      <alignment horizontal="left" vertical="center" indent="2"/>
    </xf>
    <xf numFmtId="0" fontId="16" fillId="0" borderId="7" applyAlignment="1" pivotButton="0" quotePrefix="0" xfId="6">
      <alignment horizontal="center" vertical="center"/>
    </xf>
    <xf numFmtId="0" fontId="31"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right"/>
    </xf>
    <xf numFmtId="0" fontId="32" fillId="0" borderId="0" applyAlignment="1" pivotButton="0" quotePrefix="0" xfId="0">
      <alignment vertical="center"/>
    </xf>
    <xf numFmtId="0" fontId="33" fillId="0" borderId="0" applyAlignment="1" pivotButton="0" quotePrefix="0" xfId="0">
      <alignment vertical="center"/>
    </xf>
    <xf numFmtId="0" fontId="34" fillId="0" borderId="0" applyAlignment="1" pivotButton="0" quotePrefix="0" xfId="0">
      <alignment horizontal="center" vertical="center" wrapText="1"/>
    </xf>
    <xf numFmtId="165" fontId="31" fillId="0" borderId="0" applyAlignment="1" pivotButton="0" quotePrefix="0" xfId="0">
      <alignment horizontal="center" vertical="center"/>
    </xf>
    <xf numFmtId="165" fontId="31" fillId="0" borderId="0" applyAlignment="1" pivotButton="0" quotePrefix="0" xfId="0">
      <alignment vertical="center"/>
    </xf>
    <xf numFmtId="0" fontId="31" fillId="0" borderId="0" applyAlignment="1" pivotButton="0" quotePrefix="0" xfId="0">
      <alignment horizontal="center" vertical="center"/>
    </xf>
    <xf numFmtId="0" fontId="14" fillId="0" borderId="0" applyAlignment="1" pivotButton="0" quotePrefix="0" xfId="0">
      <alignment horizontal="right" vertical="center"/>
    </xf>
    <xf numFmtId="0" fontId="35" fillId="0" borderId="7" applyAlignment="1" pivotButton="0" quotePrefix="0" xfId="0">
      <alignment horizontal="center" vertical="center"/>
    </xf>
    <xf numFmtId="0" fontId="0" fillId="0" borderId="7" applyAlignment="1" pivotButton="0" quotePrefix="0" xfId="0">
      <alignment horizontal="center" vertical="center"/>
    </xf>
    <xf numFmtId="0" fontId="0" fillId="0" borderId="7" applyAlignment="1" pivotButton="0" quotePrefix="0" xfId="6">
      <alignment vertical="center"/>
    </xf>
    <xf numFmtId="166" fontId="0" fillId="0" borderId="7" applyAlignment="1" pivotButton="0" quotePrefix="0" xfId="0">
      <alignment horizontal="right" vertical="center"/>
    </xf>
    <xf numFmtId="0" fontId="23" fillId="0" borderId="7" applyAlignment="1" pivotButton="0" quotePrefix="0" xfId="6">
      <alignment vertical="center"/>
    </xf>
    <xf numFmtId="0" fontId="32" fillId="10" borderId="7" applyAlignment="1" pivotButton="0" quotePrefix="0" xfId="6">
      <alignment horizontal="center" vertical="center"/>
    </xf>
    <xf numFmtId="166" fontId="32" fillId="10" borderId="7" applyAlignment="1" pivotButton="0" quotePrefix="0" xfId="0">
      <alignment horizontal="right" vertical="center"/>
    </xf>
    <xf numFmtId="0" fontId="33" fillId="0" borderId="0" applyAlignment="1" pivotButton="0" quotePrefix="0" xfId="0">
      <alignment horizontal="center" vertical="center"/>
    </xf>
    <xf numFmtId="49" fontId="33" fillId="0" borderId="0" applyAlignment="1" pivotButton="0" quotePrefix="0" xfId="0">
      <alignment vertical="center"/>
    </xf>
    <xf numFmtId="175" fontId="36" fillId="0" borderId="0" applyAlignment="1" applyProtection="1" pivotButton="0" quotePrefix="0" xfId="158">
      <alignment horizontal="left" vertical="center"/>
      <protection locked="0" hidden="0"/>
    </xf>
    <xf numFmtId="175" fontId="10" fillId="0" borderId="0" applyAlignment="1" applyProtection="1" pivotButton="0" quotePrefix="0" xfId="158">
      <alignment horizontal="center" vertical="center"/>
      <protection locked="0" hidden="0"/>
    </xf>
    <xf numFmtId="175" fontId="6" fillId="0" borderId="0" applyAlignment="1" applyProtection="1" pivotButton="0" quotePrefix="0" xfId="158">
      <alignment horizontal="center" vertical="center"/>
      <protection locked="0" hidden="0"/>
    </xf>
    <xf numFmtId="175" fontId="6" fillId="0" borderId="0" applyAlignment="1" applyProtection="1" pivotButton="0" quotePrefix="0" xfId="158">
      <alignment horizontal="left" vertical="center"/>
      <protection locked="0" hidden="0"/>
    </xf>
    <xf numFmtId="176" fontId="6" fillId="0" borderId="0" applyAlignment="1" applyProtection="1" pivotButton="0" quotePrefix="0" xfId="158">
      <alignment horizontal="left" vertical="center"/>
      <protection locked="0" hidden="0"/>
    </xf>
    <xf numFmtId="175" fontId="6" fillId="0" borderId="0" applyAlignment="1" applyProtection="1" pivotButton="0" quotePrefix="0" xfId="158">
      <alignment horizontal="right" vertical="center"/>
      <protection locked="0" hidden="0"/>
    </xf>
    <xf numFmtId="175" fontId="8" fillId="0" borderId="0" applyAlignment="1" applyProtection="1" pivotButton="0" quotePrefix="0" xfId="6">
      <alignment horizontal="left" vertical="center"/>
      <protection locked="0" hidden="0"/>
    </xf>
    <xf numFmtId="175" fontId="36" fillId="0" borderId="0" applyAlignment="1" applyProtection="1" pivotButton="0" quotePrefix="0" xfId="158">
      <alignment horizontal="center" vertical="center"/>
      <protection locked="0" hidden="0"/>
    </xf>
    <xf numFmtId="175" fontId="37" fillId="0" borderId="0" applyAlignment="1" applyProtection="1" pivotButton="0" quotePrefix="0" xfId="158">
      <alignment horizontal="center" vertical="center"/>
      <protection locked="0" hidden="0"/>
    </xf>
    <xf numFmtId="0" fontId="0" fillId="0" borderId="0" applyProtection="1" pivotButton="0" quotePrefix="0" xfId="0">
      <protection locked="0" hidden="0"/>
    </xf>
    <xf numFmtId="0" fontId="6" fillId="0" borderId="0" applyAlignment="1" applyProtection="1" pivotButton="0" quotePrefix="0" xfId="158">
      <alignment horizontal="center" vertical="center"/>
      <protection locked="0" hidden="0"/>
    </xf>
    <xf numFmtId="175" fontId="2" fillId="0" borderId="17" applyAlignment="1" applyProtection="1" pivotButton="0" quotePrefix="0" xfId="158">
      <alignment horizontal="left" vertical="center"/>
      <protection locked="0" hidden="0"/>
    </xf>
    <xf numFmtId="0" fontId="0" fillId="0" borderId="17" applyProtection="1" pivotButton="0" quotePrefix="0" xfId="0">
      <protection locked="0" hidden="0"/>
    </xf>
    <xf numFmtId="175" fontId="10" fillId="0" borderId="0" applyAlignment="1" applyProtection="1" pivotButton="0" quotePrefix="0" xfId="158">
      <alignment horizontal="left" vertical="center"/>
      <protection locked="0" hidden="0"/>
    </xf>
    <xf numFmtId="175" fontId="38" fillId="0" borderId="0" applyAlignment="1" applyProtection="1" pivotButton="0" quotePrefix="0" xfId="158">
      <alignment horizontal="right" vertical="center"/>
      <protection locked="0" hidden="0"/>
    </xf>
    <xf numFmtId="175" fontId="38" fillId="0" borderId="7" applyAlignment="1" applyProtection="1" pivotButton="0" quotePrefix="0" xfId="158">
      <alignment horizontal="center" vertical="center"/>
      <protection locked="0" hidden="0"/>
    </xf>
    <xf numFmtId="175" fontId="38" fillId="0" borderId="14" applyAlignment="1" applyProtection="1" pivotButton="0" quotePrefix="0" xfId="158">
      <alignment horizontal="center" vertical="center"/>
      <protection locked="0" hidden="0"/>
    </xf>
    <xf numFmtId="175" fontId="38" fillId="0" borderId="8" applyAlignment="1" applyProtection="1" pivotButton="0" quotePrefix="0" xfId="158">
      <alignment horizontal="center" vertical="center"/>
      <protection locked="0" hidden="0"/>
    </xf>
    <xf numFmtId="175" fontId="6" fillId="0" borderId="13" applyAlignment="1" applyProtection="1" pivotButton="0" quotePrefix="0" xfId="186">
      <alignment vertical="center"/>
      <protection locked="0" hidden="0"/>
    </xf>
    <xf numFmtId="176" fontId="6" fillId="0" borderId="7" applyAlignment="1" applyProtection="1" pivotButton="0" quotePrefix="0" xfId="158">
      <alignment horizontal="center" vertical="center"/>
      <protection locked="0" hidden="0"/>
    </xf>
    <xf numFmtId="168" fontId="6" fillId="0" borderId="12" applyAlignment="1" applyProtection="1" pivotButton="0" quotePrefix="0" xfId="158">
      <alignment horizontal="right" vertical="center"/>
      <protection locked="0" hidden="0"/>
    </xf>
    <xf numFmtId="168" fontId="6" fillId="0" borderId="14" applyAlignment="1" applyProtection="1" pivotButton="0" quotePrefix="0" xfId="158">
      <alignment horizontal="left" vertical="center"/>
      <protection locked="0" hidden="0"/>
    </xf>
    <xf numFmtId="168" fontId="2" fillId="0" borderId="8" applyAlignment="1" applyProtection="1" pivotButton="0" quotePrefix="0" xfId="158">
      <alignment horizontal="left" vertical="center"/>
      <protection locked="0" hidden="0"/>
    </xf>
    <xf numFmtId="168" fontId="6" fillId="0" borderId="7" applyAlignment="1" applyProtection="1" pivotButton="0" quotePrefix="0" xfId="158">
      <alignment horizontal="right" vertical="center"/>
      <protection locked="0" hidden="0"/>
    </xf>
    <xf numFmtId="168" fontId="6" fillId="0" borderId="7" applyAlignment="1" applyProtection="1" pivotButton="0" quotePrefix="0" xfId="158">
      <alignment horizontal="left" vertical="center"/>
      <protection locked="0" hidden="0"/>
    </xf>
    <xf numFmtId="175" fontId="6" fillId="0" borderId="20" applyAlignment="1" applyProtection="1" pivotButton="0" quotePrefix="0" xfId="158">
      <alignment horizontal="left" vertical="center" indent="1"/>
      <protection locked="0" hidden="0"/>
    </xf>
    <xf numFmtId="168" fontId="6" fillId="0" borderId="7" applyAlignment="1" applyProtection="1" pivotButton="0" quotePrefix="0" xfId="156">
      <alignment horizontal="right" vertical="center"/>
      <protection locked="0" hidden="0"/>
    </xf>
    <xf numFmtId="175" fontId="10" fillId="0" borderId="20" applyAlignment="1" applyProtection="1" pivotButton="0" quotePrefix="0" xfId="158">
      <alignment horizontal="center" vertical="center"/>
      <protection locked="0" hidden="0"/>
    </xf>
    <xf numFmtId="175" fontId="6" fillId="0" borderId="20" applyAlignment="1" applyProtection="1" pivotButton="0" quotePrefix="0" xfId="158">
      <alignment horizontal="left" vertical="center"/>
      <protection locked="0" hidden="0"/>
    </xf>
    <xf numFmtId="168" fontId="10" fillId="0" borderId="8" applyAlignment="1" applyProtection="1" pivotButton="0" quotePrefix="0" xfId="158">
      <alignment horizontal="center" vertical="center"/>
      <protection locked="0" hidden="0"/>
    </xf>
    <xf numFmtId="168" fontId="6" fillId="0" borderId="8" applyAlignment="1" applyProtection="1" pivotButton="0" quotePrefix="0" xfId="158">
      <alignment horizontal="left" vertical="center"/>
      <protection locked="0" hidden="0"/>
    </xf>
    <xf numFmtId="168" fontId="10" fillId="10" borderId="8" applyAlignment="1" applyProtection="1" pivotButton="0" quotePrefix="0" xfId="158">
      <alignment horizontal="center" vertical="center"/>
      <protection locked="0" hidden="0"/>
    </xf>
    <xf numFmtId="176" fontId="6" fillId="10" borderId="7" applyAlignment="1" applyProtection="1" pivotButton="0" quotePrefix="0" xfId="158">
      <alignment horizontal="center" vertical="center"/>
      <protection locked="0" hidden="0"/>
    </xf>
    <xf numFmtId="168" fontId="10" fillId="10" borderId="7" applyAlignment="1" applyProtection="1" pivotButton="0" quotePrefix="0" xfId="158">
      <alignment horizontal="right" vertical="center"/>
      <protection locked="0" hidden="0"/>
    </xf>
    <xf numFmtId="168" fontId="38" fillId="10" borderId="9" applyAlignment="1" applyProtection="1" pivotButton="0" quotePrefix="0" xfId="186">
      <alignment horizontal="center" vertical="center"/>
      <protection locked="0" hidden="0"/>
    </xf>
    <xf numFmtId="168" fontId="10" fillId="10" borderId="7" applyAlignment="1" applyProtection="1" pivotButton="0" quotePrefix="0" xfId="156">
      <alignment horizontal="right" vertical="center"/>
      <protection locked="0" hidden="0"/>
    </xf>
    <xf numFmtId="175" fontId="10" fillId="10" borderId="13" applyAlignment="1" applyProtection="1" pivotButton="0" quotePrefix="0" xfId="186">
      <alignment horizontal="center" vertical="center"/>
      <protection locked="0" hidden="0"/>
    </xf>
    <xf numFmtId="0" fontId="10" fillId="10" borderId="5" applyAlignment="1" applyProtection="1" pivotButton="0" quotePrefix="0" xfId="158">
      <alignment horizontal="center" vertical="center"/>
      <protection locked="0" hidden="0"/>
    </xf>
    <xf numFmtId="168" fontId="10" fillId="10" borderId="5" applyAlignment="1" applyProtection="1" pivotButton="0" quotePrefix="0" xfId="158">
      <alignment horizontal="right" vertical="center"/>
      <protection locked="0" hidden="0"/>
    </xf>
    <xf numFmtId="175" fontId="6" fillId="0" borderId="13" applyAlignment="1" applyProtection="1" pivotButton="0" quotePrefix="0" xfId="158">
      <alignment horizontal="left" vertical="center"/>
      <protection locked="0" hidden="0"/>
    </xf>
    <xf numFmtId="175" fontId="2" fillId="0" borderId="0" applyAlignment="1" applyProtection="1" pivotButton="0" quotePrefix="0" xfId="158">
      <alignment horizontal="left" vertical="center"/>
      <protection locked="0" hidden="0"/>
    </xf>
    <xf numFmtId="175" fontId="2" fillId="0" borderId="0" applyAlignment="1" applyProtection="1" pivotButton="0" quotePrefix="0" xfId="158">
      <alignment horizontal="right" vertical="center"/>
      <protection locked="0" hidden="0"/>
    </xf>
    <xf numFmtId="0" fontId="39" fillId="0" borderId="0" pivotButton="0" quotePrefix="0" xfId="0"/>
    <xf numFmtId="0" fontId="40" fillId="0" borderId="0" applyAlignment="1" pivotButton="0" quotePrefix="0" xfId="190">
      <alignment horizontal="centerContinuous"/>
    </xf>
    <xf numFmtId="0" fontId="41" fillId="0" borderId="0" applyAlignment="1" pivotButton="0" quotePrefix="0" xfId="190">
      <alignment horizontal="centerContinuous"/>
    </xf>
    <xf numFmtId="0" fontId="8" fillId="0" borderId="21" applyAlignment="1" applyProtection="1" pivotButton="0" quotePrefix="0" xfId="6">
      <alignment shrinkToFit="1"/>
      <protection locked="0" hidden="0"/>
    </xf>
    <xf numFmtId="0" fontId="42" fillId="0" borderId="21" applyProtection="1" pivotButton="0" quotePrefix="0" xfId="190">
      <protection locked="0" hidden="0"/>
    </xf>
    <xf numFmtId="0" fontId="42" fillId="0" borderId="21" pivotButton="0" quotePrefix="0" xfId="190"/>
    <xf numFmtId="0" fontId="32" fillId="0" borderId="0" applyAlignment="1" pivotButton="0" quotePrefix="0" xfId="190">
      <alignment horizontal="right"/>
    </xf>
    <xf numFmtId="0" fontId="43" fillId="0" borderId="0" pivotButton="0" quotePrefix="0" xfId="190"/>
    <xf numFmtId="0" fontId="0" fillId="0" borderId="0" pivotButton="0" quotePrefix="0" xfId="190"/>
    <xf numFmtId="49" fontId="0" fillId="0" borderId="0" applyAlignment="1" pivotButton="0" quotePrefix="0" xfId="1">
      <alignment horizontal="centerContinuous" vertical="center"/>
    </xf>
    <xf numFmtId="0" fontId="44" fillId="0" borderId="0" applyAlignment="1" pivotButton="0" quotePrefix="0" xfId="190">
      <alignment horizontal="center"/>
    </xf>
    <xf numFmtId="0" fontId="44" fillId="0" borderId="0" pivotButton="0" quotePrefix="0" xfId="190"/>
    <xf numFmtId="0" fontId="45" fillId="0" borderId="0" pivotButton="0" quotePrefix="0" xfId="190"/>
    <xf numFmtId="0" fontId="46" fillId="0" borderId="0" pivotButton="0" quotePrefix="0" xfId="190"/>
    <xf numFmtId="0" fontId="47" fillId="0" borderId="0" pivotButton="0" quotePrefix="0" xfId="190"/>
    <xf numFmtId="0" fontId="42" fillId="0" borderId="0" applyAlignment="1" pivotButton="0" quotePrefix="0" xfId="190">
      <alignment vertical="top"/>
    </xf>
    <xf numFmtId="0" fontId="48" fillId="0" borderId="17" applyAlignment="1" pivotButton="0" quotePrefix="0" xfId="190">
      <alignment vertical="top"/>
    </xf>
    <xf numFmtId="0" fontId="49" fillId="0" borderId="17" applyAlignment="1" pivotButton="0" quotePrefix="0" xfId="190">
      <alignment vertical="top"/>
    </xf>
    <xf numFmtId="0" fontId="49" fillId="0" borderId="0" applyAlignment="1" pivotButton="0" quotePrefix="0" xfId="190">
      <alignment vertical="top"/>
    </xf>
    <xf numFmtId="49" fontId="50" fillId="0" borderId="0" applyAlignment="1" pivotButton="0" quotePrefix="0" xfId="1">
      <alignment horizontal="centerContinuous" vertical="center"/>
    </xf>
    <xf numFmtId="49" fontId="50" fillId="0" borderId="0" applyAlignment="1" pivotButton="0" quotePrefix="0" xfId="190">
      <alignment horizontal="centerContinuous" vertical="center"/>
    </xf>
    <xf numFmtId="49" fontId="51" fillId="0" borderId="0" applyAlignment="1" pivotButton="0" quotePrefix="0" xfId="190">
      <alignment vertical="center"/>
    </xf>
    <xf numFmtId="49" fontId="2" fillId="0" borderId="0" applyAlignment="1" pivotButton="0" quotePrefix="0" xfId="1">
      <alignment vertical="center"/>
    </xf>
    <xf numFmtId="49" fontId="8" fillId="0" borderId="0" applyAlignment="1" pivotButton="0" quotePrefix="0" xfId="6">
      <alignment vertical="top"/>
    </xf>
    <xf numFmtId="49" fontId="2" fillId="0" borderId="0" applyAlignment="1" pivotButton="0" quotePrefix="0" xfId="190">
      <alignment vertical="center"/>
    </xf>
    <xf numFmtId="49" fontId="2" fillId="0" borderId="0" applyAlignment="1" pivotButton="0" quotePrefix="0" xfId="190">
      <alignment horizontal="center" vertical="center"/>
    </xf>
    <xf numFmtId="49" fontId="52" fillId="0" borderId="0" applyAlignment="1" pivotButton="0" quotePrefix="0" xfId="190">
      <alignment vertical="center"/>
    </xf>
    <xf numFmtId="49" fontId="2" fillId="0" borderId="0" applyAlignment="1" pivotButton="0" quotePrefix="0" xfId="1">
      <alignment vertical="top"/>
    </xf>
    <xf numFmtId="0" fontId="8" fillId="0" borderId="0" applyAlignment="1" pivotButton="0" quotePrefix="0" xfId="6">
      <alignment horizontal="left"/>
    </xf>
    <xf numFmtId="49" fontId="2" fillId="0" borderId="0" applyAlignment="1" pivotButton="0" quotePrefix="0" xfId="190">
      <alignment vertical="top"/>
    </xf>
    <xf numFmtId="49" fontId="2" fillId="0" borderId="0" applyAlignment="1" pivotButton="0" quotePrefix="0" xfId="190">
      <alignment horizontal="center" vertical="top"/>
    </xf>
    <xf numFmtId="49" fontId="52" fillId="0" borderId="0" applyAlignment="1" pivotButton="0" quotePrefix="0" xfId="190">
      <alignment vertical="top"/>
    </xf>
    <xf numFmtId="49" fontId="2" fillId="0" borderId="0" applyAlignment="1" pivotButton="0" quotePrefix="0" xfId="1">
      <alignment horizontal="left" vertical="center"/>
    </xf>
    <xf numFmtId="49" fontId="8" fillId="0" borderId="0" applyAlignment="1" pivotButton="0" quotePrefix="0" xfId="6">
      <alignment horizontal="left" vertical="center"/>
    </xf>
    <xf numFmtId="49" fontId="8" fillId="0" borderId="0" applyAlignment="1" pivotButton="0" quotePrefix="0" xfId="6">
      <alignment horizontal="left" vertical="top"/>
    </xf>
    <xf numFmtId="49" fontId="8" fillId="0" borderId="0" applyAlignment="1" pivotButton="0" quotePrefix="0" xfId="6">
      <alignment vertical="center"/>
    </xf>
    <xf numFmtId="49" fontId="2" fillId="0" borderId="0" applyAlignment="1" pivotButton="0" quotePrefix="0" xfId="190">
      <alignment horizontal="left" vertical="center"/>
    </xf>
    <xf numFmtId="177" fontId="52" fillId="0" borderId="0" applyAlignment="1" pivotButton="0" quotePrefix="0" xfId="190">
      <alignment vertical="center"/>
    </xf>
    <xf numFmtId="49" fontId="53" fillId="0" borderId="0" applyAlignment="1" pivotButton="0" quotePrefix="0" xfId="6">
      <alignment vertical="center"/>
    </xf>
    <xf numFmtId="49" fontId="54" fillId="0" borderId="0" applyAlignment="1" pivotButton="0" quotePrefix="0" xfId="6">
      <alignment vertical="center"/>
    </xf>
    <xf numFmtId="49" fontId="52" fillId="0" borderId="0" applyAlignment="1" pivotButton="0" quotePrefix="0" xfId="1">
      <alignment vertical="center"/>
    </xf>
    <xf numFmtId="0" fontId="55" fillId="0" borderId="0" applyAlignment="1" applyProtection="1" pivotButton="0" quotePrefix="0" xfId="6">
      <alignment vertical="center"/>
      <protection locked="0" hidden="0"/>
    </xf>
    <xf numFmtId="0" fontId="8" fillId="0" borderId="22" applyAlignment="1" applyProtection="1" pivotButton="0" quotePrefix="0" xfId="6">
      <alignment horizontal="center" vertical="center"/>
      <protection locked="0" hidden="0"/>
    </xf>
    <xf numFmtId="0" fontId="0" fillId="0" borderId="22" applyProtection="1" pivotButton="0" quotePrefix="0" xfId="0">
      <protection locked="0" hidden="0"/>
    </xf>
    <xf numFmtId="0" fontId="8" fillId="0" borderId="22" applyAlignment="1" pivotButton="0" quotePrefix="0" xfId="6">
      <alignment vertical="center"/>
    </xf>
    <xf numFmtId="0" fontId="35" fillId="0" borderId="0" applyAlignment="1" pivotButton="0" quotePrefix="0" xfId="189">
      <alignment horizontal="center" vertical="center"/>
    </xf>
    <xf numFmtId="0" fontId="31" fillId="0" borderId="0" applyAlignment="1" pivotButton="0" quotePrefix="0" xfId="189">
      <alignment horizontal="center" vertical="center"/>
    </xf>
    <xf numFmtId="0" fontId="56" fillId="11" borderId="23" applyAlignment="1" pivotButton="0" quotePrefix="0" xfId="189">
      <alignment horizontal="center" vertical="center"/>
    </xf>
    <xf numFmtId="0" fontId="0" fillId="0" borderId="24" pivotButton="0" quotePrefix="0" xfId="0"/>
    <xf numFmtId="0" fontId="0" fillId="0" borderId="25" pivotButton="0" quotePrefix="0" xfId="0"/>
    <xf numFmtId="0" fontId="57" fillId="0" borderId="0" applyAlignment="1" pivotButton="0" quotePrefix="0" xfId="189">
      <alignment horizontal="center" vertical="center"/>
    </xf>
    <xf numFmtId="0" fontId="58" fillId="0" borderId="0" applyAlignment="1" pivotButton="0" quotePrefix="0" xfId="189">
      <alignment horizontal="center" vertical="center"/>
    </xf>
    <xf numFmtId="165" fontId="59" fillId="0" borderId="0" applyAlignment="1" applyProtection="1" pivotButton="0" quotePrefix="0" xfId="189">
      <alignment horizontal="center" vertical="center"/>
      <protection locked="1" hidden="1"/>
    </xf>
    <xf numFmtId="0" fontId="56" fillId="11" borderId="26" applyAlignment="1" pivotButton="0" quotePrefix="0" xfId="189">
      <alignment horizontal="center" vertical="center"/>
    </xf>
    <xf numFmtId="0" fontId="60" fillId="12" borderId="27" applyAlignment="1" pivotButton="0" quotePrefix="0" xfId="189">
      <alignment horizontal="center" vertical="center"/>
    </xf>
    <xf numFmtId="0" fontId="0" fillId="0" borderId="28" pivotButton="0" quotePrefix="0" xfId="0"/>
    <xf numFmtId="0" fontId="0" fillId="0" borderId="29" pivotButton="0" quotePrefix="0" xfId="0"/>
    <xf numFmtId="0" fontId="56" fillId="11" borderId="30" applyAlignment="1" pivotButton="0" quotePrefix="0" xfId="189">
      <alignment horizontal="center" vertical="center"/>
    </xf>
    <xf numFmtId="0" fontId="59" fillId="0" borderId="0" applyAlignment="1" pivotButton="0" quotePrefix="0" xfId="189">
      <alignment vertical="center"/>
    </xf>
    <xf numFmtId="0" fontId="0" fillId="0" borderId="26" pivotButton="0" quotePrefix="0" xfId="0"/>
    <xf numFmtId="0" fontId="61" fillId="12" borderId="31" applyAlignment="1" pivotButton="0" quotePrefix="0" xfId="189">
      <alignment horizontal="center" vertical="center"/>
    </xf>
    <xf numFmtId="0" fontId="0" fillId="0" borderId="32" pivotButton="0" quotePrefix="0" xfId="0"/>
    <xf numFmtId="0" fontId="0" fillId="0" borderId="30" pivotButton="0" quotePrefix="0" xfId="0"/>
    <xf numFmtId="178" fontId="35" fillId="0" borderId="0" applyAlignment="1" pivotButton="0" quotePrefix="0" xfId="189">
      <alignment horizontal="center" vertical="center"/>
    </xf>
    <xf numFmtId="0" fontId="10" fillId="12" borderId="33" applyAlignment="1" pivotButton="0" quotePrefix="0" xfId="189">
      <alignment horizontal="center" vertical="center"/>
    </xf>
    <xf numFmtId="0" fontId="62" fillId="12" borderId="0" applyAlignment="1" pivotButton="0" quotePrefix="0" xfId="189">
      <alignment vertical="center"/>
    </xf>
    <xf numFmtId="0" fontId="63" fillId="12" borderId="34" applyAlignment="1" pivotButton="0" quotePrefix="0" xfId="189">
      <alignment horizontal="center" vertical="center"/>
    </xf>
    <xf numFmtId="0" fontId="64" fillId="0" borderId="0" applyAlignment="1" pivotButton="0" quotePrefix="0" xfId="189">
      <alignment vertical="center"/>
    </xf>
    <xf numFmtId="0" fontId="0" fillId="0" borderId="35" pivotButton="0" quotePrefix="0" xfId="0"/>
    <xf numFmtId="0" fontId="63" fillId="12" borderId="0" applyAlignment="1" pivotButton="0" quotePrefix="0" xfId="189">
      <alignment horizontal="center" vertical="center"/>
    </xf>
    <xf numFmtId="49" fontId="14" fillId="6" borderId="36" applyAlignment="1" applyProtection="1" pivotButton="0" quotePrefix="0" xfId="189">
      <alignment horizontal="left" vertical="center"/>
      <protection locked="0" hidden="0"/>
    </xf>
    <xf numFmtId="0" fontId="0" fillId="0" borderId="37" applyProtection="1" pivotButton="0" quotePrefix="0" xfId="0">
      <protection locked="0" hidden="0"/>
    </xf>
    <xf numFmtId="49" fontId="65" fillId="6" borderId="38" applyAlignment="1" applyProtection="1" pivotButton="0" quotePrefix="0" xfId="189">
      <alignment horizontal="left" vertical="center" shrinkToFit="1"/>
      <protection locked="0" hidden="0"/>
    </xf>
    <xf numFmtId="0" fontId="0" fillId="0" borderId="38" applyProtection="1" pivotButton="0" quotePrefix="0" xfId="0">
      <protection locked="0" hidden="0"/>
    </xf>
    <xf numFmtId="0" fontId="6" fillId="5" borderId="0" applyAlignment="1" pivotButton="0" quotePrefix="0" xfId="189">
      <alignment horizontal="left" vertical="center"/>
    </xf>
    <xf numFmtId="0" fontId="66" fillId="12" borderId="39" applyAlignment="1" pivotButton="0" quotePrefix="0" xfId="189">
      <alignment vertical="center"/>
    </xf>
    <xf numFmtId="0" fontId="66" fillId="12" borderId="9" applyAlignment="1" pivotButton="0" quotePrefix="0" xfId="189">
      <alignment vertical="center"/>
    </xf>
    <xf numFmtId="0" fontId="66" fillId="12" borderId="40" applyAlignment="1" pivotButton="0" quotePrefix="0" xfId="189">
      <alignment vertical="center"/>
    </xf>
    <xf numFmtId="0" fontId="6" fillId="5" borderId="0" applyAlignment="1" pivotButton="0" quotePrefix="0" xfId="189">
      <alignment horizontal="center" vertical="center"/>
    </xf>
    <xf numFmtId="49" fontId="14" fillId="6" borderId="39" applyAlignment="1" pivotButton="0" quotePrefix="0" xfId="189">
      <alignment vertical="center"/>
    </xf>
    <xf numFmtId="49" fontId="67" fillId="6" borderId="9" applyAlignment="1" applyProtection="1" pivotButton="0" quotePrefix="0" xfId="189">
      <alignment horizontal="center" vertical="center"/>
      <protection locked="0" hidden="0"/>
    </xf>
    <xf numFmtId="49" fontId="67" fillId="6" borderId="9" applyAlignment="1" pivotButton="0" quotePrefix="0" xfId="189">
      <alignment horizontal="center" vertical="center"/>
    </xf>
    <xf numFmtId="49" fontId="67" fillId="6" borderId="9" applyAlignment="1" pivotButton="0" quotePrefix="0" xfId="189">
      <alignment vertical="center"/>
    </xf>
    <xf numFmtId="49" fontId="67" fillId="6" borderId="40" applyAlignment="1" pivotButton="0" quotePrefix="0" xfId="189">
      <alignment vertical="center"/>
    </xf>
    <xf numFmtId="0" fontId="68" fillId="12" borderId="39" applyAlignment="1" pivotButton="0" quotePrefix="0" xfId="189">
      <alignment vertical="center"/>
    </xf>
    <xf numFmtId="0" fontId="68" fillId="12" borderId="9" applyAlignment="1" pivotButton="0" quotePrefix="0" xfId="189">
      <alignment vertical="center"/>
    </xf>
    <xf numFmtId="0" fontId="68" fillId="12" borderId="17" applyAlignment="1" pivotButton="0" quotePrefix="0" xfId="189">
      <alignment vertical="center"/>
    </xf>
    <xf numFmtId="0" fontId="68" fillId="12" borderId="40" applyAlignment="1" pivotButton="0" quotePrefix="0" xfId="189">
      <alignment vertical="center"/>
    </xf>
    <xf numFmtId="49" fontId="14" fillId="6" borderId="39" applyAlignment="1" applyProtection="1" pivotButton="0" quotePrefix="0" xfId="189">
      <alignment horizontal="left" vertical="center"/>
      <protection locked="0" hidden="0"/>
    </xf>
    <xf numFmtId="0" fontId="0" fillId="0" borderId="9" applyProtection="1" pivotButton="0" quotePrefix="0" xfId="0">
      <protection locked="0" hidden="0"/>
    </xf>
    <xf numFmtId="49" fontId="65" fillId="0" borderId="40" applyAlignment="1" applyProtection="1" pivotButton="0" quotePrefix="0" xfId="189">
      <alignment horizontal="left" vertical="center"/>
      <protection locked="0" hidden="0"/>
    </xf>
    <xf numFmtId="0" fontId="0" fillId="0" borderId="40" applyProtection="1" pivotButton="0" quotePrefix="0" xfId="0">
      <protection locked="0" hidden="0"/>
    </xf>
    <xf numFmtId="0" fontId="69" fillId="12" borderId="39" applyAlignment="1" pivotButton="0" quotePrefix="0" xfId="189">
      <alignment vertical="center"/>
    </xf>
    <xf numFmtId="0" fontId="69" fillId="12" borderId="9" applyAlignment="1" pivotButton="0" quotePrefix="0" xfId="189">
      <alignment vertical="center"/>
    </xf>
    <xf numFmtId="0" fontId="69" fillId="12" borderId="40" applyAlignment="1" pivotButton="0" quotePrefix="0" xfId="189">
      <alignment vertical="center"/>
    </xf>
    <xf numFmtId="0" fontId="6" fillId="0" borderId="0" applyAlignment="1" pivotButton="0" quotePrefix="0" xfId="189">
      <alignment horizontal="center" vertical="center"/>
    </xf>
    <xf numFmtId="49" fontId="14" fillId="6" borderId="41" applyAlignment="1" pivotButton="0" quotePrefix="0" xfId="189">
      <alignment horizontal="left" vertical="center"/>
    </xf>
    <xf numFmtId="0" fontId="0" fillId="0" borderId="42" pivotButton="0" quotePrefix="0" xfId="0"/>
    <xf numFmtId="49" fontId="67" fillId="6" borderId="42" applyAlignment="1" applyProtection="1" pivotButton="0" quotePrefix="0" xfId="189">
      <alignment horizontal="center" vertical="center"/>
      <protection locked="0" hidden="0"/>
    </xf>
    <xf numFmtId="49" fontId="67" fillId="6" borderId="42" applyAlignment="1" pivotButton="0" quotePrefix="0" xfId="189">
      <alignment horizontal="center" vertical="center"/>
    </xf>
    <xf numFmtId="49" fontId="67" fillId="6" borderId="42" applyAlignment="1" pivotButton="0" quotePrefix="0" xfId="189">
      <alignment vertical="center"/>
    </xf>
    <xf numFmtId="49" fontId="67" fillId="6" borderId="43" applyAlignment="1" pivotButton="0" quotePrefix="0" xfId="189">
      <alignment vertical="center"/>
    </xf>
    <xf numFmtId="0" fontId="6" fillId="12" borderId="0" applyAlignment="1" pivotButton="0" quotePrefix="0" xfId="189">
      <alignment horizontal="center" vertical="center"/>
    </xf>
    <xf numFmtId="0" fontId="70" fillId="0" borderId="0" applyAlignment="1" pivotButton="0" quotePrefix="0" xfId="189">
      <alignment horizontal="center" vertical="center"/>
    </xf>
    <xf numFmtId="49" fontId="14" fillId="6" borderId="36" applyAlignment="1" pivotButton="0" quotePrefix="0" xfId="189">
      <alignment horizontal="left" vertical="center"/>
    </xf>
    <xf numFmtId="0" fontId="0" fillId="0" borderId="37" pivotButton="0" quotePrefix="0" xfId="0"/>
    <xf numFmtId="49" fontId="65" fillId="6" borderId="38" applyAlignment="1" applyProtection="1" pivotButton="0" quotePrefix="0" xfId="189">
      <alignment horizontal="left" vertical="center"/>
      <protection locked="0" hidden="0"/>
    </xf>
    <xf numFmtId="0" fontId="31" fillId="12" borderId="39" applyAlignment="1" pivotButton="0" quotePrefix="0" xfId="189">
      <alignment vertical="center"/>
    </xf>
    <xf numFmtId="0" fontId="31" fillId="12" borderId="9" applyAlignment="1" pivotButton="0" quotePrefix="0" xfId="189">
      <alignment vertical="center"/>
    </xf>
    <xf numFmtId="0" fontId="31" fillId="12" borderId="40" applyAlignment="1" pivotButton="0" quotePrefix="0" xfId="189">
      <alignment vertical="center"/>
    </xf>
    <xf numFmtId="49" fontId="14" fillId="6" borderId="39" applyAlignment="1" pivotButton="0" quotePrefix="0" xfId="189">
      <alignment horizontal="left" vertical="center"/>
    </xf>
    <xf numFmtId="49" fontId="65" fillId="6" borderId="40" applyAlignment="1" applyProtection="1" pivotButton="0" quotePrefix="0" xfId="189">
      <alignment horizontal="left" vertical="center"/>
      <protection locked="0" hidden="0"/>
    </xf>
    <xf numFmtId="49" fontId="65" fillId="6" borderId="43" applyAlignment="1" applyProtection="1" pivotButton="0" quotePrefix="0" xfId="189">
      <alignment horizontal="left" vertical="center"/>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49" fontId="6" fillId="12" borderId="0" applyAlignment="1" pivotButton="0" quotePrefix="0" xfId="189">
      <alignment horizontal="left" vertical="center"/>
    </xf>
    <xf numFmtId="0" fontId="0" fillId="0" borderId="33" pivotButton="0" quotePrefix="0" xfId="0"/>
    <xf numFmtId="0" fontId="71" fillId="12" borderId="22" applyAlignment="1" pivotButton="0" quotePrefix="0" xfId="189">
      <alignment horizontal="center" vertical="center"/>
    </xf>
    <xf numFmtId="0" fontId="0" fillId="0" borderId="22" pivotButton="0" quotePrefix="0" xfId="0"/>
    <xf numFmtId="0" fontId="0" fillId="0" borderId="34" pivotButton="0" quotePrefix="0" xfId="0"/>
    <xf numFmtId="0" fontId="72" fillId="11" borderId="44" applyAlignment="1" pivotButton="0" quotePrefix="0" xfId="189">
      <alignment horizontal="center" vertical="center"/>
    </xf>
    <xf numFmtId="0" fontId="72" fillId="11" borderId="45" applyAlignment="1" pivotButton="0" quotePrefix="0" xfId="189">
      <alignment horizontal="center" vertical="center"/>
    </xf>
    <xf numFmtId="0" fontId="72" fillId="11" borderId="46" applyAlignment="1" pivotButton="0" quotePrefix="0" xfId="189">
      <alignment horizontal="center" vertical="center"/>
    </xf>
    <xf numFmtId="0" fontId="73" fillId="0" borderId="0" applyAlignment="1" pivotButton="0" quotePrefix="0" xfId="189">
      <alignment vertical="center"/>
    </xf>
    <xf numFmtId="0" fontId="31" fillId="0" borderId="28" applyAlignment="1" pivotButton="0" quotePrefix="0" xfId="189">
      <alignment horizontal="center" vertical="center"/>
    </xf>
    <xf numFmtId="165" fontId="59" fillId="0" borderId="0" applyAlignment="1" applyProtection="1" pivotButton="0" quotePrefix="0" xfId="189">
      <alignment horizontal="center" vertical="center"/>
      <protection locked="1" hidden="1"/>
    </xf>
    <xf numFmtId="178" fontId="35" fillId="0" borderId="0" applyAlignment="1" pivotButton="0" quotePrefix="0" xfId="189">
      <alignment horizontal="center" vertical="center"/>
    </xf>
    <xf numFmtId="177" fontId="52" fillId="0" borderId="0" applyAlignment="1" pivotButton="0" quotePrefix="0" xfId="190">
      <alignment vertical="center"/>
    </xf>
    <xf numFmtId="175" fontId="6" fillId="0" borderId="0" applyAlignment="1" applyProtection="1" pivotButton="0" quotePrefix="0" xfId="158">
      <alignment horizontal="left" vertical="center"/>
      <protection locked="0" hidden="0"/>
    </xf>
    <xf numFmtId="176" fontId="6" fillId="0" borderId="0" applyAlignment="1" applyProtection="1" pivotButton="0" quotePrefix="0" xfId="158">
      <alignment horizontal="left" vertical="center"/>
      <protection locked="0" hidden="0"/>
    </xf>
    <xf numFmtId="175" fontId="6" fillId="0" borderId="0" applyAlignment="1" applyProtection="1" pivotButton="0" quotePrefix="0" xfId="158">
      <alignment horizontal="right" vertical="center"/>
      <protection locked="0" hidden="0"/>
    </xf>
    <xf numFmtId="175" fontId="36" fillId="0" borderId="0" applyAlignment="1" applyProtection="1" pivotButton="0" quotePrefix="0" xfId="158">
      <alignment horizontal="left" vertical="center"/>
      <protection locked="0" hidden="0"/>
    </xf>
    <xf numFmtId="175" fontId="8" fillId="0" borderId="0" applyAlignment="1" applyProtection="1" pivotButton="0" quotePrefix="0" xfId="6">
      <alignment horizontal="left" vertical="center"/>
      <protection locked="0" hidden="0"/>
    </xf>
    <xf numFmtId="175" fontId="36" fillId="0" borderId="0" applyAlignment="1" applyProtection="1" pivotButton="0" quotePrefix="0" xfId="158">
      <alignment horizontal="center" vertical="center"/>
      <protection locked="0" hidden="0"/>
    </xf>
    <xf numFmtId="175" fontId="37" fillId="0" borderId="0" applyAlignment="1" applyProtection="1" pivotButton="0" quotePrefix="0" xfId="158">
      <alignment horizontal="center" vertical="center"/>
      <protection locked="0" hidden="0"/>
    </xf>
    <xf numFmtId="175" fontId="10" fillId="0" borderId="0" applyAlignment="1" applyProtection="1" pivotButton="0" quotePrefix="0" xfId="158">
      <alignment horizontal="center" vertical="center"/>
      <protection locked="0" hidden="0"/>
    </xf>
    <xf numFmtId="175" fontId="2" fillId="0" borderId="17" applyAlignment="1" applyProtection="1" pivotButton="0" quotePrefix="0" xfId="158">
      <alignment horizontal="left" vertical="center"/>
      <protection locked="0" hidden="0"/>
    </xf>
    <xf numFmtId="175" fontId="10" fillId="0" borderId="0" applyAlignment="1" applyProtection="1" pivotButton="0" quotePrefix="0" xfId="158">
      <alignment horizontal="left" vertical="center"/>
      <protection locked="0" hidden="0"/>
    </xf>
    <xf numFmtId="175" fontId="38" fillId="0" borderId="0" applyAlignment="1" applyProtection="1" pivotButton="0" quotePrefix="0" xfId="158">
      <alignment horizontal="right" vertical="center"/>
      <protection locked="0" hidden="0"/>
    </xf>
    <xf numFmtId="175" fontId="6" fillId="0" borderId="0" applyAlignment="1" applyProtection="1" pivotButton="0" quotePrefix="0" xfId="158">
      <alignment horizontal="center" vertical="center"/>
      <protection locked="0" hidden="0"/>
    </xf>
    <xf numFmtId="175" fontId="38" fillId="0" borderId="7" applyAlignment="1" applyProtection="1" pivotButton="0" quotePrefix="0" xfId="158">
      <alignment horizontal="center" vertical="center"/>
      <protection locked="0" hidden="0"/>
    </xf>
    <xf numFmtId="175" fontId="38" fillId="0" borderId="14" applyAlignment="1" applyProtection="1" pivotButton="0" quotePrefix="0" xfId="158">
      <alignment horizontal="center" vertical="center"/>
      <protection locked="0" hidden="0"/>
    </xf>
    <xf numFmtId="175" fontId="38" fillId="0" borderId="8" applyAlignment="1" applyProtection="1" pivotButton="0" quotePrefix="0" xfId="158">
      <alignment horizontal="center" vertical="center"/>
      <protection locked="0" hidden="0"/>
    </xf>
    <xf numFmtId="175" fontId="6" fillId="0" borderId="13" applyAlignment="1" applyProtection="1" pivotButton="0" quotePrefix="0" xfId="186">
      <alignment vertical="center"/>
      <protection locked="0" hidden="0"/>
    </xf>
    <xf numFmtId="176" fontId="6" fillId="0" borderId="7" applyAlignment="1" applyProtection="1" pivotButton="0" quotePrefix="0" xfId="158">
      <alignment horizontal="center" vertical="center"/>
      <protection locked="0" hidden="0"/>
    </xf>
    <xf numFmtId="168" fontId="6" fillId="0" borderId="12" applyAlignment="1" applyProtection="1" pivotButton="0" quotePrefix="0" xfId="158">
      <alignment horizontal="right" vertical="center"/>
      <protection locked="0" hidden="0"/>
    </xf>
    <xf numFmtId="168" fontId="6" fillId="0" borderId="14" applyAlignment="1" applyProtection="1" pivotButton="0" quotePrefix="0" xfId="158">
      <alignment horizontal="left" vertical="center"/>
      <protection locked="0" hidden="0"/>
    </xf>
    <xf numFmtId="168" fontId="2" fillId="0" borderId="8" applyAlignment="1" applyProtection="1" pivotButton="0" quotePrefix="0" xfId="158">
      <alignment horizontal="left" vertical="center"/>
      <protection locked="0" hidden="0"/>
    </xf>
    <xf numFmtId="168" fontId="6" fillId="0" borderId="7" applyAlignment="1" applyProtection="1" pivotButton="0" quotePrefix="0" xfId="158">
      <alignment horizontal="right" vertical="center"/>
      <protection locked="0" hidden="0"/>
    </xf>
    <xf numFmtId="168" fontId="6" fillId="0" borderId="7" applyAlignment="1" applyProtection="1" pivotButton="0" quotePrefix="0" xfId="158">
      <alignment horizontal="left" vertical="center"/>
      <protection locked="0" hidden="0"/>
    </xf>
    <xf numFmtId="175" fontId="6" fillId="0" borderId="20" applyAlignment="1" applyProtection="1" pivotButton="0" quotePrefix="0" xfId="158">
      <alignment horizontal="left" vertical="center" indent="1"/>
      <protection locked="0" hidden="0"/>
    </xf>
    <xf numFmtId="168" fontId="6" fillId="0" borderId="7" applyAlignment="1" applyProtection="1" pivotButton="0" quotePrefix="0" xfId="156">
      <alignment horizontal="right" vertical="center"/>
      <protection locked="0" hidden="0"/>
    </xf>
    <xf numFmtId="175" fontId="10" fillId="0" borderId="20" applyAlignment="1" applyProtection="1" pivotButton="0" quotePrefix="0" xfId="158">
      <alignment horizontal="center" vertical="center"/>
      <protection locked="0" hidden="0"/>
    </xf>
    <xf numFmtId="175" fontId="6" fillId="0" borderId="20" applyAlignment="1" applyProtection="1" pivotButton="0" quotePrefix="0" xfId="158">
      <alignment horizontal="left" vertical="center"/>
      <protection locked="0" hidden="0"/>
    </xf>
    <xf numFmtId="168" fontId="10" fillId="0" borderId="8" applyAlignment="1" applyProtection="1" pivotButton="0" quotePrefix="0" xfId="158">
      <alignment horizontal="center" vertical="center"/>
      <protection locked="0" hidden="0"/>
    </xf>
    <xf numFmtId="168" fontId="6" fillId="0" borderId="8" applyAlignment="1" applyProtection="1" pivotButton="0" quotePrefix="0" xfId="158">
      <alignment horizontal="left" vertical="center"/>
      <protection locked="0" hidden="0"/>
    </xf>
    <xf numFmtId="168" fontId="10" fillId="10" borderId="8" applyAlignment="1" applyProtection="1" pivotButton="0" quotePrefix="0" xfId="158">
      <alignment horizontal="center" vertical="center"/>
      <protection locked="0" hidden="0"/>
    </xf>
    <xf numFmtId="176" fontId="6" fillId="10" borderId="7" applyAlignment="1" applyProtection="1" pivotButton="0" quotePrefix="0" xfId="158">
      <alignment horizontal="center" vertical="center"/>
      <protection locked="0" hidden="0"/>
    </xf>
    <xf numFmtId="168" fontId="10" fillId="10" borderId="7" applyAlignment="1" applyProtection="1" pivotButton="0" quotePrefix="0" xfId="158">
      <alignment horizontal="right" vertical="center"/>
      <protection locked="0" hidden="0"/>
    </xf>
    <xf numFmtId="168" fontId="38" fillId="10" borderId="9" applyAlignment="1" applyProtection="1" pivotButton="0" quotePrefix="0" xfId="186">
      <alignment horizontal="center" vertical="center"/>
      <protection locked="0" hidden="0"/>
    </xf>
    <xf numFmtId="168" fontId="10" fillId="10" borderId="7" applyAlignment="1" applyProtection="1" pivotButton="0" quotePrefix="0" xfId="156">
      <alignment horizontal="right" vertical="center"/>
      <protection locked="0" hidden="0"/>
    </xf>
    <xf numFmtId="175" fontId="10" fillId="10" borderId="13" applyAlignment="1" applyProtection="1" pivotButton="0" quotePrefix="0" xfId="186">
      <alignment horizontal="center" vertical="center"/>
      <protection locked="0" hidden="0"/>
    </xf>
    <xf numFmtId="168" fontId="10" fillId="10" borderId="5" applyAlignment="1" applyProtection="1" pivotButton="0" quotePrefix="0" xfId="158">
      <alignment horizontal="right" vertical="center"/>
      <protection locked="0" hidden="0"/>
    </xf>
    <xf numFmtId="175" fontId="6" fillId="0" borderId="13" applyAlignment="1" applyProtection="1" pivotButton="0" quotePrefix="0" xfId="158">
      <alignment horizontal="left" vertical="center"/>
      <protection locked="0" hidden="0"/>
    </xf>
    <xf numFmtId="175" fontId="2" fillId="0" borderId="0" applyAlignment="1" applyProtection="1" pivotButton="0" quotePrefix="0" xfId="158">
      <alignment horizontal="left" vertical="center"/>
      <protection locked="0" hidden="0"/>
    </xf>
    <xf numFmtId="175" fontId="2" fillId="0" borderId="0" applyAlignment="1" applyProtection="1" pivotButton="0" quotePrefix="0" xfId="158">
      <alignment horizontal="right" vertical="center"/>
      <protection locked="0" hidden="0"/>
    </xf>
    <xf numFmtId="164" fontId="11" fillId="6" borderId="0" applyAlignment="1" applyProtection="1" pivotButton="0" quotePrefix="0" xfId="6">
      <alignment horizontal="left" vertical="center" shrinkToFit="1"/>
      <protection locked="0" hidden="1"/>
    </xf>
    <xf numFmtId="165" fontId="31" fillId="0" borderId="0" applyAlignment="1" pivotButton="0" quotePrefix="0" xfId="0">
      <alignment horizontal="center" vertical="center"/>
    </xf>
    <xf numFmtId="165" fontId="31" fillId="0" borderId="0" applyAlignment="1" pivotButton="0" quotePrefix="0" xfId="0">
      <alignment vertical="center"/>
    </xf>
    <xf numFmtId="166" fontId="0" fillId="0" borderId="7" applyAlignment="1" pivotButton="0" quotePrefix="0" xfId="0">
      <alignment horizontal="right" vertical="center"/>
    </xf>
    <xf numFmtId="166" fontId="32" fillId="10" borderId="7" applyAlignment="1" pivotButton="0" quotePrefix="0" xfId="0">
      <alignment horizontal="right" vertical="center"/>
    </xf>
    <xf numFmtId="164" fontId="12" fillId="6" borderId="0" applyAlignment="1" applyProtection="1" pivotButton="0" quotePrefix="0" xfId="6">
      <alignment horizontal="left" vertical="center" shrinkToFit="1"/>
      <protection locked="0" hidden="1"/>
    </xf>
    <xf numFmtId="165" fontId="6" fillId="0" borderId="0" applyAlignment="1" pivotButton="0" quotePrefix="0" xfId="0">
      <alignment horizontal="center" vertical="center"/>
    </xf>
    <xf numFmtId="165" fontId="6" fillId="0" borderId="0" applyAlignment="1" pivotButton="0" quotePrefix="0" xfId="0">
      <alignment vertical="center"/>
    </xf>
    <xf numFmtId="166" fontId="10" fillId="0" borderId="7" applyAlignment="1" pivotButton="0" quotePrefix="0" xfId="0">
      <alignment horizontal="right" vertical="center"/>
    </xf>
    <xf numFmtId="166" fontId="10" fillId="5" borderId="8" applyAlignment="1" pivotButton="0" quotePrefix="0" xfId="0">
      <alignment horizontal="right" vertical="center"/>
    </xf>
    <xf numFmtId="166" fontId="6" fillId="0" borderId="7" applyAlignment="1" pivotButton="0" quotePrefix="0" xfId="0">
      <alignment horizontal="right" vertical="center"/>
    </xf>
    <xf numFmtId="166" fontId="6" fillId="5" borderId="8" applyAlignment="1" pivotButton="0" quotePrefix="0" xfId="0">
      <alignment horizontal="right" vertical="center"/>
    </xf>
    <xf numFmtId="166" fontId="6" fillId="5" borderId="0" applyAlignment="1" pivotButton="0" quotePrefix="0" xfId="0">
      <alignment vertical="center"/>
    </xf>
    <xf numFmtId="174" fontId="6" fillId="5" borderId="0" applyAlignment="1" pivotButton="0" quotePrefix="0" xfId="0">
      <alignment vertical="center"/>
    </xf>
    <xf numFmtId="166" fontId="6" fillId="0" borderId="8" applyAlignment="1" pivotButton="0" quotePrefix="0" xfId="0">
      <alignment horizontal="right" vertical="center"/>
    </xf>
    <xf numFmtId="164" fontId="12" fillId="6" borderId="0" applyAlignment="1" applyProtection="1" pivotButton="0" quotePrefix="0" xfId="6">
      <alignment horizontal="left" vertical="center" shrinkToFit="1"/>
      <protection locked="1" hidden="1"/>
    </xf>
    <xf numFmtId="164" fontId="8" fillId="6" borderId="0" applyAlignment="1" applyProtection="1" pivotButton="0" quotePrefix="0" xfId="6">
      <alignment horizontal="left" vertical="center" shrinkToFit="1"/>
      <protection locked="0" hidden="1"/>
    </xf>
    <xf numFmtId="166" fontId="6" fillId="0" borderId="12" applyAlignment="1" pivotButton="0" quotePrefix="0" xfId="0">
      <alignment horizontal="right" vertical="center"/>
    </xf>
    <xf numFmtId="168" fontId="6" fillId="0" borderId="0" applyAlignment="1" pivotButton="0" quotePrefix="0" xfId="0">
      <alignment vertical="center"/>
    </xf>
    <xf numFmtId="168" fontId="2" fillId="0" borderId="7" applyAlignment="1" pivotButton="0" quotePrefix="0" xfId="0">
      <alignment horizontal="center" vertical="center"/>
    </xf>
    <xf numFmtId="168" fontId="17" fillId="8" borderId="7" applyAlignment="1" pivotButton="0" quotePrefix="0" xfId="0">
      <alignment horizontal="center" vertical="center" wrapText="1"/>
    </xf>
    <xf numFmtId="168" fontId="17" fillId="8" borderId="0" applyAlignment="1" pivotButton="0" quotePrefix="0" xfId="0">
      <alignment horizontal="center" vertical="center" wrapText="1"/>
    </xf>
    <xf numFmtId="168" fontId="6" fillId="8" borderId="7" applyAlignment="1" pivotButton="0" quotePrefix="0" xfId="0">
      <alignment horizontal="center" vertical="center"/>
    </xf>
    <xf numFmtId="168" fontId="6" fillId="8" borderId="7" applyAlignment="1" pivotButton="0" quotePrefix="0" xfId="0">
      <alignment horizontal="center" vertical="center" wrapText="1"/>
    </xf>
    <xf numFmtId="166" fontId="2" fillId="0" borderId="7" applyAlignment="1" pivotButton="0" quotePrefix="0" xfId="0">
      <alignment horizontal="left" vertical="center"/>
    </xf>
    <xf numFmtId="166" fontId="2" fillId="0" borderId="7" applyAlignment="1" pivotButton="0" quotePrefix="0" xfId="0">
      <alignment horizontal="center" vertical="center"/>
    </xf>
    <xf numFmtId="167" fontId="6" fillId="0" borderId="7" applyAlignment="1" pivotButton="0" quotePrefix="0" xfId="0">
      <alignment horizontal="center" vertical="center"/>
    </xf>
    <xf numFmtId="166" fontId="6" fillId="8" borderId="7" applyAlignment="1" pivotButton="0" quotePrefix="0" xfId="0">
      <alignment horizontal="right" vertical="center"/>
    </xf>
    <xf numFmtId="166" fontId="17" fillId="8" borderId="7" applyAlignment="1" pivotButton="0" quotePrefix="0" xfId="0">
      <alignment horizontal="right" vertical="center"/>
    </xf>
    <xf numFmtId="170" fontId="6" fillId="0" borderId="7" applyAlignment="1" pivotButton="0" quotePrefix="0" xfId="0">
      <alignment horizontal="center" vertical="center"/>
    </xf>
    <xf numFmtId="164" fontId="7" fillId="6" borderId="0" applyAlignment="1" applyProtection="1" pivotButton="0" quotePrefix="0" xfId="6">
      <alignment horizontal="left" vertical="center" shrinkToFit="1"/>
      <protection locked="0" hidden="1"/>
    </xf>
    <xf numFmtId="166" fontId="6" fillId="0" borderId="7" applyAlignment="1" pivotButton="0" quotePrefix="0" xfId="185">
      <alignment horizontal="right" vertical="center" wrapText="1"/>
    </xf>
    <xf numFmtId="168" fontId="6" fillId="0" borderId="7" applyAlignment="1" pivotButton="0" quotePrefix="0" xfId="0">
      <alignment vertical="center"/>
    </xf>
    <xf numFmtId="166" fontId="6" fillId="0" borderId="7" applyAlignment="1" pivotButton="0" quotePrefix="0" xfId="185">
      <alignment horizontal="right" vertical="center"/>
    </xf>
    <xf numFmtId="168" fontId="6" fillId="0" borderId="5" applyAlignment="1" pivotButton="0" quotePrefix="0" xfId="0">
      <alignment horizontal="center" vertical="center"/>
    </xf>
    <xf numFmtId="168" fontId="6" fillId="0" borderId="7" applyAlignment="1" pivotButton="0" quotePrefix="0" xfId="0">
      <alignment horizontal="center" vertical="center"/>
    </xf>
    <xf numFmtId="166" fontId="6" fillId="0" borderId="7" applyAlignment="1" pivotButton="0" quotePrefix="0" xfId="0">
      <alignment horizontal="right" vertical="center" wrapText="1"/>
    </xf>
    <xf numFmtId="168" fontId="6" fillId="0" borderId="7" applyAlignment="1" pivotButton="0" quotePrefix="0" xfId="0">
      <alignment horizontal="right" vertical="center" wrapText="1"/>
    </xf>
    <xf numFmtId="166" fontId="6" fillId="0" borderId="0" applyAlignment="1" pivotButton="0" quotePrefix="0" xfId="1">
      <alignment horizontal="center" vertical="center" wrapText="1"/>
    </xf>
    <xf numFmtId="168" fontId="6" fillId="9" borderId="7" applyAlignment="1" applyProtection="1" pivotButton="0" quotePrefix="0" xfId="206">
      <alignment horizontal="center" vertical="center" wrapText="1"/>
      <protection locked="0" hidden="0"/>
    </xf>
    <xf numFmtId="168" fontId="6" fillId="0" borderId="0" applyAlignment="1" pivotButton="0" quotePrefix="0" xfId="0">
      <alignment horizontal="center" vertical="center"/>
    </xf>
    <xf numFmtId="166" fontId="6" fillId="0" borderId="0" applyAlignment="1" pivotButton="0" quotePrefix="0" xfId="1">
      <alignment vertical="center"/>
    </xf>
    <xf numFmtId="168" fontId="6" fillId="0" borderId="0" applyAlignment="1" pivotButton="0" quotePrefix="0" xfId="0">
      <alignment vertical="center" wrapText="1"/>
    </xf>
    <xf numFmtId="166" fontId="6" fillId="0" borderId="0" applyAlignment="1" pivotButton="0" quotePrefix="0" xfId="1">
      <alignment horizontal="center" vertical="center"/>
    </xf>
    <xf numFmtId="168" fontId="6" fillId="9" borderId="7" applyAlignment="1" applyProtection="1" pivotButton="0" quotePrefix="0" xfId="206">
      <alignment horizontal="center" vertical="center"/>
      <protection locked="0" hidden="0"/>
    </xf>
    <xf numFmtId="168" fontId="6" fillId="0" borderId="0" applyAlignment="1" pivotButton="0" quotePrefix="0" xfId="0">
      <alignment horizontal="center" vertical="center" wrapText="1"/>
    </xf>
    <xf numFmtId="168" fontId="6" fillId="0" borderId="0" applyAlignment="1" pivotButton="0" quotePrefix="0" xfId="0">
      <alignment horizontal="right" vertical="center"/>
    </xf>
    <xf numFmtId="165" fontId="2" fillId="0" borderId="0" applyAlignment="1" pivotButton="0" quotePrefix="0" xfId="194">
      <alignment horizontal="center" vertical="center"/>
    </xf>
    <xf numFmtId="165" fontId="6" fillId="0" borderId="0" applyAlignment="1" pivotButton="0" quotePrefix="0" xfId="194">
      <alignment horizontal="left" vertical="center"/>
    </xf>
    <xf numFmtId="166" fontId="6" fillId="0" borderId="7" applyAlignment="1" pivotButton="0" quotePrefix="0" xfId="194">
      <alignment horizontal="right" vertical="center"/>
    </xf>
    <xf numFmtId="166" fontId="6" fillId="0" borderId="8" applyAlignment="1" pivotButton="0" quotePrefix="0" xfId="194">
      <alignment horizontal="right" vertical="center"/>
    </xf>
    <xf numFmtId="165" fontId="6" fillId="0" borderId="17" applyAlignment="1" pivotButton="0" quotePrefix="0" xfId="194">
      <alignment horizontal="left" vertical="center"/>
    </xf>
    <xf numFmtId="166" fontId="6" fillId="0" borderId="7" applyAlignment="1" pivotButton="0" quotePrefix="0" xfId="194">
      <alignment horizontal="center" vertical="center"/>
    </xf>
    <xf numFmtId="166" fontId="6" fillId="0" borderId="8" applyAlignment="1" pivotButton="0" quotePrefix="0" xfId="194">
      <alignment horizontal="center" vertical="center"/>
    </xf>
    <xf numFmtId="168" fontId="6" fillId="0" borderId="7" applyAlignment="1" pivotButton="0" quotePrefix="0" xfId="0">
      <alignment horizontal="right" vertical="center"/>
    </xf>
    <xf numFmtId="173" fontId="23" fillId="0" borderId="0" applyAlignment="1" pivotButton="0" quotePrefix="0" xfId="192">
      <alignment vertical="center"/>
    </xf>
    <xf numFmtId="164" fontId="24" fillId="0" borderId="0" applyAlignment="1" applyProtection="1" pivotButton="0" quotePrefix="0" xfId="6">
      <alignment horizontal="left" vertical="center" shrinkToFit="1"/>
      <protection locked="0" hidden="1"/>
    </xf>
    <xf numFmtId="165" fontId="6" fillId="0" borderId="0" applyAlignment="1" pivotButton="0" quotePrefix="0" xfId="188">
      <alignment horizontal="center" vertical="center"/>
    </xf>
    <xf numFmtId="165" fontId="6" fillId="0" borderId="0" applyAlignment="1" pivotButton="0" quotePrefix="0" xfId="188">
      <alignment vertical="center"/>
    </xf>
    <xf numFmtId="166" fontId="6" fillId="0" borderId="7" applyAlignment="1" pivotButton="0" quotePrefix="0" xfId="1">
      <alignment horizontal="center" vertical="center" wrapText="1"/>
    </xf>
    <xf numFmtId="166" fontId="6" fillId="0" borderId="7" applyAlignment="1" pivotButton="0" quotePrefix="0" xfId="188">
      <alignment horizontal="right" vertical="center"/>
    </xf>
    <xf numFmtId="166" fontId="6" fillId="0" borderId="7" applyAlignment="1" pivotButton="0" quotePrefix="0" xfId="184">
      <alignment horizontal="right" vertical="center"/>
    </xf>
    <xf numFmtId="166" fontId="6" fillId="0" borderId="14" applyAlignment="1" pivotButton="0" quotePrefix="0" xfId="184">
      <alignment horizontal="right" vertical="center"/>
    </xf>
    <xf numFmtId="166" fontId="6" fillId="0" borderId="8" applyAlignment="1" pivotButton="0" quotePrefix="0" xfId="184">
      <alignment horizontal="right" vertical="center"/>
    </xf>
    <xf numFmtId="166" fontId="6" fillId="5" borderId="7" applyAlignment="1" pivotButton="0" quotePrefix="0" xfId="191">
      <alignment horizontal="center" vertical="center" wrapText="1"/>
    </xf>
    <xf numFmtId="169" fontId="6" fillId="5" borderId="7" applyAlignment="1" pivotButton="0" quotePrefix="0" xfId="0">
      <alignment horizontal="center" vertical="center" wrapText="1" shrinkToFit="1"/>
    </xf>
    <xf numFmtId="166" fontId="6" fillId="5" borderId="7" applyAlignment="1" pivotButton="0" quotePrefix="0" xfId="1">
      <alignment horizontal="center" vertical="center" wrapText="1" shrinkToFit="1"/>
    </xf>
    <xf numFmtId="166" fontId="17" fillId="5" borderId="7" applyAlignment="1" pivotButton="0" quotePrefix="0" xfId="1">
      <alignment horizontal="center" vertical="center" wrapText="1"/>
    </xf>
    <xf numFmtId="166" fontId="6" fillId="5" borderId="7" applyAlignment="1" pivotButton="0" quotePrefix="0" xfId="1">
      <alignment horizontal="center" vertical="center" wrapText="1"/>
    </xf>
    <xf numFmtId="166" fontId="6" fillId="5" borderId="7" applyAlignment="1" pivotButton="0" quotePrefix="0" xfId="206">
      <alignment horizontal="center" vertical="center" wrapText="1"/>
    </xf>
    <xf numFmtId="166" fontId="6" fillId="5" borderId="7" applyAlignment="1" pivotButton="0" quotePrefix="0" xfId="0">
      <alignment horizontal="center" vertical="center" wrapText="1"/>
    </xf>
    <xf numFmtId="169" fontId="6" fillId="5" borderId="11" applyAlignment="1" pivotButton="0" quotePrefix="0" xfId="0">
      <alignment horizontal="center" vertical="center"/>
    </xf>
    <xf numFmtId="168" fontId="6" fillId="0" borderId="8" applyAlignment="1" pivotButton="0" quotePrefix="0" xfId="0">
      <alignment horizontal="center" vertical="center"/>
    </xf>
    <xf numFmtId="168" fontId="6" fillId="0" borderId="7" applyAlignment="1" pivotButton="0" quotePrefix="0" xfId="206">
      <alignment horizontal="center" vertical="center"/>
    </xf>
    <xf numFmtId="168" fontId="6" fillId="0" borderId="7" applyAlignment="1" pivotButton="0" quotePrefix="0" xfId="1">
      <alignment horizontal="right" vertical="center" shrinkToFit="1"/>
    </xf>
    <xf numFmtId="166" fontId="6" fillId="0" borderId="7" applyAlignment="1" pivotButton="0" quotePrefix="0" xfId="0">
      <alignment vertical="center"/>
    </xf>
    <xf numFmtId="168" fontId="6" fillId="0" borderId="7" applyAlignment="1" pivotButton="0" quotePrefix="0" xfId="206">
      <alignment horizontal="right" vertical="center"/>
    </xf>
    <xf numFmtId="171" fontId="6" fillId="0" borderId="0" applyAlignment="1" pivotButton="0" quotePrefix="0" xfId="0">
      <alignment vertical="center"/>
    </xf>
    <xf numFmtId="166" fontId="6" fillId="0" borderId="0" applyAlignment="1" pivotButton="0" quotePrefix="0" xfId="0">
      <alignment horizontal="center" vertical="center"/>
    </xf>
    <xf numFmtId="172" fontId="6" fillId="0" borderId="0" applyAlignment="1" pivotButton="0" quotePrefix="0" xfId="0">
      <alignment horizontal="center" vertical="center"/>
    </xf>
    <xf numFmtId="169" fontId="2" fillId="5" borderId="7" applyAlignment="1" pivotButton="0" quotePrefix="0" xfId="0">
      <alignment horizontal="center" vertical="center" wrapText="1" shrinkToFit="1"/>
    </xf>
    <xf numFmtId="166" fontId="6" fillId="7" borderId="7" applyAlignment="1" pivotButton="0" quotePrefix="0" xfId="0">
      <alignment horizontal="right" vertical="center"/>
    </xf>
    <xf numFmtId="165" fontId="6" fillId="0" borderId="0" applyAlignment="1" pivotButton="0" quotePrefix="0" xfId="194">
      <alignment horizontal="center" vertical="center"/>
    </xf>
    <xf numFmtId="168" fontId="2" fillId="0" borderId="0" applyAlignment="1" pivotButton="0" quotePrefix="0" xfId="0">
      <alignment vertical="center"/>
    </xf>
    <xf numFmtId="167" fontId="6" fillId="0" borderId="7" applyAlignment="1" pivotButton="0" quotePrefix="0" xfId="0">
      <alignment horizontal="center" vertical="center" shrinkToFit="1"/>
    </xf>
  </cellXfs>
  <cellStyles count="21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 [0]" xfId="50"/>
    <cellStyle name="??_0N-HANDLING " xfId="51"/>
    <cellStyle name="@_text" xfId="52"/>
    <cellStyle name="_(中企华)审计评估联合申报明细表.V1" xfId="53"/>
    <cellStyle name="_CBRE明细表" xfId="54"/>
    <cellStyle name="_ET_STYLE_NoName_00_" xfId="55"/>
    <cellStyle name="_KPMG original version" xfId="56"/>
    <cellStyle name="_KPMG original version_(中企华)审计评估联合申报明细表.V1" xfId="57"/>
    <cellStyle name="_KPMG original version_附件1：审计评估联合申报明细表" xfId="58"/>
    <cellStyle name="_long term loan - others 300504" xfId="59"/>
    <cellStyle name="_long term loan - others 300504_(中企华)审计评估联合申报明细表.V1" xfId="60"/>
    <cellStyle name="_long term loan - others 300504_KPMG original version" xfId="61"/>
    <cellStyle name="_long term loan - others 300504_KPMG original version_(中企华)审计评估联合申报明细表.V1" xfId="62"/>
    <cellStyle name="_long term loan - others 300504_KPMG original version_附件1：审计评估联合申报明细表" xfId="63"/>
    <cellStyle name="_long term loan - others 300504_Shenhua PBC package 050530" xfId="64"/>
    <cellStyle name="_long term loan - others 300504_Shenhua PBC package 050530_(中企华)审计评估联合申报明细表.V1" xfId="65"/>
    <cellStyle name="_long term loan - others 300504_Shenhua PBC package 050530_附件1：审计评估联合申报明细表" xfId="66"/>
    <cellStyle name="_long term loan - others 300504_附件1：审计评估联合申报明细表" xfId="67"/>
    <cellStyle name="_long term loan - others 300504_审计调查表.V3" xfId="68"/>
    <cellStyle name="_Part III.200406.Loan and Liabilities details.(Site Name)" xfId="69"/>
    <cellStyle name="_Part III.200406.Loan and Liabilities details.(Site Name)_(中企华)审计评估联合申报明细表.V1" xfId="70"/>
    <cellStyle name="_Part III.200406.Loan and Liabilities details.(Site Name)_KPMG original version" xfId="71"/>
    <cellStyle name="_Part III.200406.Loan and Liabilities details.(Site Name)_KPMG original version_(中企华)审计评估联合申报明细表.V1" xfId="72"/>
    <cellStyle name="_Part III.200406.Loan and Liabilities details.(Site Name)_KPMG original version_附件1：审计评估联合申报明细表" xfId="73"/>
    <cellStyle name="_Part III.200406.Loan and Liabilities details.(Site Name)_Shenhua PBC package 050530" xfId="74"/>
    <cellStyle name="_Part III.200406.Loan and Liabilities details.(Site Name)_Shenhua PBC package 050530_(中企华)审计评估联合申报明细表.V1" xfId="75"/>
    <cellStyle name="_Part III.200406.Loan and Liabilities details.(Site Name)_Shenhua PBC package 050530_附件1：审计评估联合申报明细表" xfId="76"/>
    <cellStyle name="_Part III.200406.Loan and Liabilities details.(Site Name)_附件1：审计评估联合申报明细表" xfId="77"/>
    <cellStyle name="_Part III.200406.Loan and Liabilities details.(Site Name)_审计调查表.V3" xfId="78"/>
    <cellStyle name="_Shenhua PBC package 050530" xfId="79"/>
    <cellStyle name="_Shenhua PBC package 050530_(中企华)审计评估联合申报明细表.V1" xfId="80"/>
    <cellStyle name="_Shenhua PBC package 050530_附件1：审计评估联合申报明细表" xfId="81"/>
    <cellStyle name="_房屋建筑评估申报表" xfId="82"/>
    <cellStyle name="_附件1：审计评估联合申报明细表" xfId="83"/>
    <cellStyle name="_审计调查表.V3" xfId="84"/>
    <cellStyle name="_文函专递0211-施工企业调查表（附件）" xfId="85"/>
    <cellStyle name="{Comma [0]}" xfId="86"/>
    <cellStyle name="{Comma}" xfId="87"/>
    <cellStyle name="{Date}" xfId="88"/>
    <cellStyle name="{Month}" xfId="89"/>
    <cellStyle name="{Percent}" xfId="90"/>
    <cellStyle name="{Thousand [0]}" xfId="91"/>
    <cellStyle name="{Thousand}" xfId="92"/>
    <cellStyle name="{Z'0000(1 dec)}" xfId="93"/>
    <cellStyle name="{Z'0000(4 dec)}" xfId="94"/>
    <cellStyle name="0,0_x000d__x000a_NA_x000d__x000a_" xfId="95"/>
    <cellStyle name="accountNameD" xfId="96"/>
    <cellStyle name="args.style" xfId="97"/>
    <cellStyle name="assetNameD" xfId="98"/>
    <cellStyle name="Calc Currency (0)" xfId="99"/>
    <cellStyle name="category" xfId="100"/>
    <cellStyle name="ColLevel_1" xfId="101"/>
    <cellStyle name="Column Headings" xfId="102"/>
    <cellStyle name="Column$Headings" xfId="103"/>
    <cellStyle name="Column_Title" xfId="104"/>
    <cellStyle name="Comma  - Style1" xfId="105"/>
    <cellStyle name="Comma  - Style2" xfId="106"/>
    <cellStyle name="Comma  - Style3" xfId="107"/>
    <cellStyle name="Comma  - Style4" xfId="108"/>
    <cellStyle name="Comma  - Style5" xfId="109"/>
    <cellStyle name="Comma  - Style6" xfId="110"/>
    <cellStyle name="Comma  - Style7" xfId="111"/>
    <cellStyle name="Comma  - Style8" xfId="112"/>
    <cellStyle name="Comma [0]_laroux" xfId="113"/>
    <cellStyle name="Comma_02(2003.12.31 PBC package.040304)" xfId="114"/>
    <cellStyle name="comma-d" xfId="115"/>
    <cellStyle name="Copied" xfId="116"/>
    <cellStyle name="COST1" xfId="117"/>
    <cellStyle name="Currency [0]_353HHC" xfId="118"/>
    <cellStyle name="Currency_353HHC" xfId="119"/>
    <cellStyle name="CustomerNameD" xfId="120"/>
    <cellStyle name="Date" xfId="121"/>
    <cellStyle name="Entered" xfId="122"/>
    <cellStyle name="entry box" xfId="123"/>
    <cellStyle name="Euro" xfId="124"/>
    <cellStyle name="e鯪9Y_x000b_" xfId="125"/>
    <cellStyle name="Format Number Column" xfId="126"/>
    <cellStyle name="gcd" xfId="127"/>
    <cellStyle name="Grey" xfId="128"/>
    <cellStyle name="HEADER" xfId="129"/>
    <cellStyle name="Header1" xfId="130"/>
    <cellStyle name="Header2" xfId="131"/>
    <cellStyle name="Input [yellow]" xfId="132"/>
    <cellStyle name="Input Cells" xfId="133"/>
    <cellStyle name="InputArea" xfId="134"/>
    <cellStyle name="InventoryNameD" xfId="135"/>
    <cellStyle name="KPMG Heading 1" xfId="136"/>
    <cellStyle name="KPMG Heading 2" xfId="137"/>
    <cellStyle name="KPMG Heading 3" xfId="138"/>
    <cellStyle name="KPMG Heading 4" xfId="139"/>
    <cellStyle name="KPMG Normal" xfId="140"/>
    <cellStyle name="KPMG Normal Text" xfId="141"/>
    <cellStyle name="Lines Fill" xfId="142"/>
    <cellStyle name="Linked Cells" xfId="143"/>
    <cellStyle name="Milliers [0]_!!!GO" xfId="144"/>
    <cellStyle name="Milliers_!!!GO" xfId="145"/>
    <cellStyle name="Model" xfId="146"/>
    <cellStyle name="Monétaire [0]_!!!GO" xfId="147"/>
    <cellStyle name="Monétaire_!!!GO" xfId="148"/>
    <cellStyle name="MonthDeprAmountD" xfId="149"/>
    <cellStyle name="netAmountD" xfId="150"/>
    <cellStyle name="New Times Roman" xfId="151"/>
    <cellStyle name="no dec" xfId="152"/>
    <cellStyle name="Normal" xfId="153"/>
    <cellStyle name="Normal - Style1" xfId="154"/>
    <cellStyle name="Normal 2 4" xfId="155"/>
    <cellStyle name="Normal_0105第二套审计报表定稿" xfId="156"/>
    <cellStyle name="Normal_Sheet1_Valuer report" xfId="157"/>
    <cellStyle name="Normal_廣朹廣電 shenjibaobiao 31.12.2000 (revised on 7.3.02)" xfId="158"/>
    <cellStyle name="Normalny_Arkusz1" xfId="159"/>
    <cellStyle name="Œ…‹æØ‚è [0.00]_Region Orders (2)" xfId="160"/>
    <cellStyle name="Œ…‹æØ‚è_Region Orders (2)" xfId="161"/>
    <cellStyle name="origValueD" xfId="162"/>
    <cellStyle name="per.style" xfId="163"/>
    <cellStyle name="Percent [2]" xfId="164"/>
    <cellStyle name="Percent_PICC package Sept2002 (V120021005)1" xfId="165"/>
    <cellStyle name="periodEndBalanceAmountCrD" xfId="166"/>
    <cellStyle name="periodEndBalanceAmountDrD" xfId="167"/>
    <cellStyle name="Prefilled" xfId="168"/>
    <cellStyle name="pricing" xfId="169"/>
    <cellStyle name="PSChar" xfId="170"/>
    <cellStyle name="RevList" xfId="171"/>
    <cellStyle name="RowLevel_1" xfId="172"/>
    <cellStyle name="Sheet Head" xfId="173"/>
    <cellStyle name="specD" xfId="174"/>
    <cellStyle name="style" xfId="175"/>
    <cellStyle name="style1" xfId="176"/>
    <cellStyle name="style2" xfId="177"/>
    <cellStyle name="subhead" xfId="178"/>
    <cellStyle name="Subtotal" xfId="179"/>
    <cellStyle name="TotalDeprD" xfId="180"/>
    <cellStyle name="totalDeprDrD" xfId="181"/>
    <cellStyle name="常规 2" xfId="182"/>
    <cellStyle name="常规 3" xfId="183"/>
    <cellStyle name="常规_Sheet1" xfId="184"/>
    <cellStyle name="常规_存货" xfId="185"/>
    <cellStyle name="常规_基本情况" xfId="186"/>
    <cellStyle name="常规_评估空白套表1" xfId="187"/>
    <cellStyle name="常规_评估明细表" xfId="188"/>
    <cellStyle name="常规_评估明细表（申报）" xfId="189"/>
    <cellStyle name="常规_评估明细表太原12-11" xfId="190"/>
    <cellStyle name="常规_深南设备" xfId="191"/>
    <cellStyle name="常规_十矿井巷工程评估明细表" xfId="192"/>
    <cellStyle name="常规_中航油评估明细表" xfId="193"/>
    <cellStyle name="常规_中评协(2008)218号" xfId="194"/>
    <cellStyle name="分级显示行_1_4附件二凯旋评估表" xfId="195"/>
    <cellStyle name="公司标准表" xfId="196"/>
    <cellStyle name="霓付 [0]_97MBO" xfId="197"/>
    <cellStyle name="霓付_97MBO" xfId="198"/>
    <cellStyle name="烹拳 [0]_97MBO" xfId="199"/>
    <cellStyle name="烹拳_97MBO" xfId="200"/>
    <cellStyle name="普通_ 白土" xfId="201"/>
    <cellStyle name="千分位[0]_ 白土" xfId="202"/>
    <cellStyle name="千分位_ 白土" xfId="203"/>
    <cellStyle name="千位[0]_ 应交税金审定表" xfId="204"/>
    <cellStyle name="千位_ 应交税金审定表" xfId="205"/>
    <cellStyle name="千位分隔 2" xfId="206"/>
    <cellStyle name="钎霖_laroux" xfId="207"/>
    <cellStyle name="样式 1" xfId="208"/>
    <cellStyle name="一般_NEGS" xfId="209"/>
    <cellStyle name="资产" xfId="210"/>
    <cellStyle name="콤마 [0]_BOILER-CO1" xfId="211"/>
    <cellStyle name="콤마_BOILER-CO1" xfId="212"/>
    <cellStyle name="통화 [0]_BOILER-CO1" xfId="213"/>
    <cellStyle name="통화_BOILER-CO1" xfId="214"/>
    <cellStyle name="표준_0N-HANDLING " xfId="215"/>
    <cellStyle name="표준_kc-elec system check list" xfId="2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F2F2F2"/>
      <rgbColor rgb="00D7EAF9"/>
      <rgbColor rgb="00FEF6AC"/>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styles" Target="styles.xml" Id="rId96"/><Relationship Type="http://schemas.openxmlformats.org/officeDocument/2006/relationships/theme" Target="theme/theme1.xml" Id="rId97"/></Relationships>
</file>

<file path=xl/comments/comment1.xml><?xml version="1.0" encoding="utf-8"?>
<comments xmlns="http://schemas.openxmlformats.org/spreadsheetml/2006/main">
  <authors>
    <author>Administrator</author>
  </authors>
  <commentList>
    <comment ref="J9" authorId="0" shapeId="0">
      <text>
        <t xml:space="preserve">Administrator:
若评估基准日修改，请自行修改 日期
</t>
      </text>
    </comment>
  </commentList>
</comments>
</file>

<file path=xl/comments/comment2.xml><?xml version="1.0" encoding="utf-8"?>
<comments xmlns="http://schemas.openxmlformats.org/spreadsheetml/2006/main">
  <authors>
    <author>chenjie</author>
  </authors>
  <commentList>
    <comment ref="B6" authorId="0" shapeId="0">
      <text>
        <t xml:space="preserve">chenjie:
填写现金实物存放单位名称 </t>
      </text>
    </comment>
    <comment ref="D6" authorId="0" shapeId="0">
      <text>
        <t xml:space="preserve">chenjie:
填写原币金额 </t>
      </text>
    </comment>
    <comment ref="E6" authorId="0" shapeId="0">
      <text>
        <t>chenjie:
评估基准日汇率为中间价</t>
      </text>
    </comment>
  </commentList>
</comments>
</file>

<file path=xl/comments/comment3.xml><?xml version="1.0" encoding="utf-8"?>
<comments xmlns="http://schemas.openxmlformats.org/spreadsheetml/2006/main">
  <authors>
    <author>SEELE</author>
  </authors>
  <commentList>
    <comment ref="C6" authorId="0" shapeId="0">
      <text>
        <t>SEELE:
请填写完整银行账号</t>
      </text>
    </comment>
  </commentList>
</comments>
</file>

<file path=xl/comments/comment4.xml><?xml version="1.0" encoding="utf-8"?>
<comments xmlns="http://schemas.openxmlformats.org/spreadsheetml/2006/main">
  <authors>
    <author>chenjie</author>
  </authors>
  <commentList>
    <comment ref="B6" authorId="0" shapeId="0">
      <text>
        <t>chenjie:
填列全称</t>
      </text>
    </comment>
    <comment ref="C6" authorId="0" shapeId="0">
      <text>
        <t>chenjie:
如：鞍山信托、民生银行等、天鸿宝业等</t>
      </text>
    </comment>
    <comment ref="D6" authorId="0" shapeId="0">
      <text>
        <t>chenjie:
购买日</t>
      </text>
    </comment>
  </commentList>
</comments>
</file>

<file path=xl/comments/comment5.xml><?xml version="1.0" encoding="utf-8"?>
<comments xmlns="http://schemas.openxmlformats.org/spreadsheetml/2006/main">
  <authors>
    <author>chenjie</author>
  </authors>
  <commentList>
    <comment ref="B6" authorId="0" shapeId="0">
      <text>
        <t>chenjie:
填列全称</t>
      </text>
    </comment>
    <comment ref="C6" authorId="0" shapeId="0">
      <text>
        <t>chenjie:
如：国库券、电力债券
    ＊＊公司债券</t>
      </text>
    </comment>
  </commentList>
</comments>
</file>

<file path=xl/comments/comment6.xml><?xml version="1.0" encoding="utf-8"?>
<comments xmlns="http://schemas.openxmlformats.org/spreadsheetml/2006/main">
  <authors>
    <author>chenjie</author>
  </authors>
  <commentList>
    <comment ref="B6" authorId="0" shapeId="0">
      <text>
        <t>chenjie:
填列全称</t>
      </text>
    </comment>
    <comment ref="C6" authorId="0" shapeId="0">
      <text>
        <t>如：上投摩根内需动力</t>
      </text>
    </comment>
    <comment ref="D6" authorId="0" shapeId="0">
      <text>
        <t>开放式、封闭式等</t>
      </text>
    </comment>
    <comment ref="E6" authorId="0" shapeId="0">
      <text>
        <t>chenjie:
购买日</t>
      </text>
    </comment>
  </commentList>
</comments>
</file>

<file path=xl/comments/comment7.xml><?xml version="1.0" encoding="utf-8"?>
<comments xmlns="http://schemas.openxmlformats.org/spreadsheetml/2006/main">
  <authors>
    <author>chenjie</author>
    <author>seaman</author>
  </authors>
  <commentList>
    <comment ref="C6" authorId="0" shapeId="0">
      <text>
        <t>chenjie:
如：“售油款”等</t>
      </text>
    </comment>
    <comment ref="E6" authorId="1" shapeId="0">
      <text>
        <t>1年以内
1~2年
2~3年
3~4年
4~5年
5年以上</t>
      </text>
    </comment>
    <comment ref="S6" authorId="0" shapeId="0">
      <text>
        <t>chenjie:
1）欠款单位为关联方、总公司内部或本公司内部单位的，应在备注栏注明“关联方”、“总公司内部”“内部单位”；2） 涉诉款项应在备注中标明；3）评估基准日后已收回款项的，应注明日期如“2002年7月4日收回”；4）其他填表单位认为应说明的事项</t>
      </text>
    </comment>
    <comment ref="C7" authorId="0" shapeId="0">
      <text>
        <t>chenjie:
如：“售油款”等</t>
      </text>
    </comment>
    <comment ref="E7" authorId="1" shapeId="0">
      <text>
        <t>1年以内
1~2年
2~3年
3~4年
4~5年
5年以上</t>
      </text>
    </comment>
    <comment ref="C8" authorId="0" shapeId="0">
      <text>
        <t>chenjie:
如：“售油款”等</t>
      </text>
    </comment>
    <comment ref="E8" authorId="1" shapeId="0">
      <text>
        <t>1年以内
1~2年
2~3年
3~4年
4~5年
5年以上</t>
      </text>
    </comment>
    <comment ref="E9" authorId="1" shapeId="0">
      <text>
        <t>1年以内
1~2年
2~3年
3~4年
4~5年
5年以上</t>
      </text>
    </comment>
    <comment ref="E10" authorId="1" shapeId="0">
      <text>
        <t>1年以内
1~2年
2~3年
3~4年
4~5年
5年以上</t>
      </text>
    </comment>
    <comment ref="E11" authorId="1" shapeId="0">
      <text>
        <t>1年以内
1~2年
2~3年
3~4年
4~5年
5年以上</t>
      </text>
    </comment>
    <comment ref="E12" authorId="1" shapeId="0">
      <text>
        <t>1年以内
1~2年
2~3年
3~4年
4~5年
5年以上</t>
      </text>
    </comment>
    <comment ref="C16" authorId="0" shapeId="0">
      <text>
        <t>chenjie:
如：“售油款”等</t>
      </text>
    </comment>
  </commentList>
</comments>
</file>

<file path=xl/comments/comment8.xml><?xml version="1.0" encoding="utf-8"?>
<comments xmlns="http://schemas.openxmlformats.org/spreadsheetml/2006/main">
  <authors>
    <author>chenjie</author>
    <author>seaman</author>
  </authors>
  <commentList>
    <comment ref="B6" authorId="0" shapeId="0">
      <text>
        <t>chenjie:
该栏应填列全称，不应以地名或不明确的简称或业务内容代替</t>
      </text>
    </comment>
    <comment ref="C6" authorId="0" shapeId="0">
      <text>
        <t>chenjie:
如：“售油款”等</t>
      </text>
    </comment>
    <comment ref="D6" authorId="0" shapeId="0">
      <text>
        <t>chenjie:
填列最后一笔借方发生额的日期；
日期填写形式(半角状态下)如：2002/6/30又如2001/11/30</t>
      </text>
    </comment>
    <comment ref="E6" authorId="1" shapeId="0">
      <text>
        <t>1年以内
1~2年
2~3年
3~4年
4~5年
5年以上</t>
      </text>
    </comment>
    <comment ref="K6" authorId="0" shapeId="0">
      <text>
        <t>chenjie:
1）欠款单位为关联方、总公司内部或内部单位的，应在备注栏注明“关联方”、“总公司内部”“内部单位”；2） 涉诉款项应在备注中标明；3）评估基准日后已收到货物或收回款项的，应注明日期及金额，如“2002.7.4日收回2000元”或2002.7.8日到货验收；4）其他填表单位认为应说明的事项</t>
      </text>
    </comment>
  </commentList>
</comments>
</file>

<file path=xl/comments/comment9.xml><?xml version="1.0" encoding="utf-8"?>
<comments xmlns="http://schemas.openxmlformats.org/spreadsheetml/2006/main">
  <authors>
    <author>chenjie</author>
  </authors>
  <commentList>
    <comment ref="B6" authorId="0" shapeId="0">
      <text>
        <t>chenjie:
填全称</t>
      </text>
    </comment>
    <comment ref="C6" authorId="0" shapeId="0">
      <text>
        <t>chenjie:
发生日期指利息结算日，填列到日。</t>
      </text>
    </comment>
    <comment ref="E6" authorId="0" shapeId="0">
      <text>
        <t>chenjie:
填列到“日”，如“2001.6.1—2001.12.30”。</t>
      </text>
    </comment>
  </commentList>
</comments>
</file>

<file path=xl/comments/comment10.xml><?xml version="1.0" encoding="utf-8"?>
<comments xmlns="http://schemas.openxmlformats.org/spreadsheetml/2006/main">
  <authors>
    <author>chenjie</author>
  </authors>
  <commentList>
    <comment ref="C6" authorId="0" shapeId="0">
      <text>
        <t>chenjie:
指的是利润或股利分配时间</t>
      </text>
    </comment>
    <comment ref="D6" authorId="0" shapeId="0">
      <text>
        <t>chenjie:
指股利发生的期间，如2002年应收2001年的股利，则该栏目填写“2001年”。</t>
      </text>
    </comment>
    <comment ref="J6" authorId="0" shapeId="0">
      <text>
        <t>chenjie:
注明实际的股权比例</t>
      </text>
    </comment>
  </commentList>
</comments>
</file>

<file path=xl/comments/comment11.xml><?xml version="1.0" encoding="utf-8"?>
<comments xmlns="http://schemas.openxmlformats.org/spreadsheetml/2006/main">
  <authors>
    <author>chenjie</author>
    <author>seaman</author>
  </authors>
  <commentList>
    <comment ref="B6" authorId="0" shapeId="0">
      <text>
        <t>chenjie:
债务单位名称应填列全称，不应以地名或不明确的简称或业务内容代替</t>
      </text>
    </comment>
    <comment ref="C6" authorId="0" shapeId="0">
      <text>
        <t>chenjie:
如：“售油款”等</t>
      </text>
    </comment>
    <comment ref="D6" authorId="0" shapeId="0">
      <text>
        <t>chenjie:
填列最后一笔借方发生额的日期；
日期填写形式(半角状态下)如：2002/6/30又如2001/11/30</t>
      </text>
    </comment>
    <comment ref="E6" authorId="1" shapeId="0">
      <text>
        <t>1年以内
1~2年
2~3年
3~4年
4~5年
5年以上</t>
      </text>
    </comment>
    <comment ref="S6" authorId="0" shapeId="0">
      <text>
        <t>chenjie:
1）欠款单位为关联方、总公司内部或本公司内部单位的，应在备注栏注明“关联方”、“总公司内部”“内部单位”；2） 涉诉款项应在备注中标明；3）评估基准日后已收回款项的，应注明日期如“2002年7月4日收回”；4）其他填表单位认为应说明的事项</t>
      </text>
    </comment>
    <comment ref="E7" authorId="1" shapeId="0">
      <text>
        <t>1年以内
1~2年
2~3年
3~4年
4~5年
5年以上</t>
      </text>
    </comment>
    <comment ref="E8" authorId="1" shapeId="0">
      <text>
        <t>1年以内
1~2年
2~3年
3~4年
4~5年
5年以上</t>
      </text>
    </comment>
    <comment ref="E9" authorId="1" shapeId="0">
      <text>
        <t>1年以内
1~2年
2~3年
3~4年
4~5年
5年以上</t>
      </text>
    </comment>
    <comment ref="E10" authorId="1" shapeId="0">
      <text>
        <t>1年以内
1~2年
2~3年
3~4年
4~5年
5年以上</t>
      </text>
    </comment>
    <comment ref="E11" authorId="1" shapeId="0">
      <text>
        <t>1年以内
1~2年
2~3年
3~4年
4~5年
5年以上</t>
      </text>
    </comment>
    <comment ref="E12" authorId="1" shapeId="0">
      <text>
        <t>1年以内
1~2年
2~3年
3~4年
4~5年
5年以上</t>
      </text>
    </comment>
    <comment ref="E13" authorId="1" shapeId="0">
      <text>
        <t>1年以内
1~2年
2~3年
3~4年
4~5年
5年以上</t>
      </text>
    </comment>
  </commentList>
</comments>
</file>

<file path=xl/comments/comment12.xml><?xml version="1.0" encoding="utf-8"?>
<comments xmlns="http://schemas.openxmlformats.org/spreadsheetml/2006/main">
  <authors>
    <author>chenjie</author>
  </authors>
  <commentList>
    <comment ref="O7" authorId="0" shapeId="0">
      <text>
        <t>chenjie:
(1)注1；(2)负数余额产生的原因。</t>
      </text>
    </comment>
  </commentList>
</comments>
</file>

<file path=xl/comments/comment13.xml><?xml version="1.0" encoding="utf-8"?>
<comments xmlns="http://schemas.openxmlformats.org/spreadsheetml/2006/main">
  <authors>
    <author>chenjie</author>
  </authors>
  <commentList>
    <comment ref="O7" authorId="0" shapeId="0">
      <text>
        <t>chenjie:
(1)注1；(2)负数余额产生的原因。</t>
      </text>
    </comment>
  </commentList>
</comments>
</file>

<file path=xl/comments/comment14.xml><?xml version="1.0" encoding="utf-8"?>
<comments xmlns="http://schemas.openxmlformats.org/spreadsheetml/2006/main">
  <authors>
    <author>chenjie</author>
  </authors>
  <commentList>
    <comment ref="O7" authorId="0" shapeId="0">
      <text>
        <t>chenjie:
(1)注1；(2)负数余额产生的原因。</t>
      </text>
    </comment>
  </commentList>
</comments>
</file>

<file path=xl/comments/comment15.xml><?xml version="1.0" encoding="utf-8"?>
<comments xmlns="http://schemas.openxmlformats.org/spreadsheetml/2006/main">
  <authors>
    <author>chenjie</author>
  </authors>
  <commentList>
    <comment ref="B6" authorId="0" shapeId="0">
      <text>
        <t>chenjie:
填入债券名称如：“3年期国库券”、“5年期电力基金债券”等</t>
      </text>
    </comment>
    <comment ref="C6" authorId="0" shapeId="0">
      <text>
        <t>chenjie:
购买日</t>
      </text>
    </comment>
    <comment ref="J6" authorId="0" shapeId="0">
      <text>
        <t>chenjie:
设定抵押的债券应标明</t>
      </text>
    </comment>
  </commentList>
</comments>
</file>

<file path=xl/comments/comment16.xml><?xml version="1.0" encoding="utf-8"?>
<comments xmlns="http://schemas.openxmlformats.org/spreadsheetml/2006/main">
  <authors>
    <author>chenjie</author>
  </authors>
  <commentList>
    <comment ref="B6" authorId="0" shapeId="0">
      <text>
        <t>chenjie:
根据具体资产内容填写</t>
      </text>
    </comment>
    <comment ref="J6" authorId="0" shapeId="0">
      <text>
        <t>chenjie:
因特殊原因转入的资产，应在备注栏简要说明原因，有可能发生损失的项目，应提供相关文件资料</t>
      </text>
    </comment>
  </commentList>
</comments>
</file>

<file path=xl/comments/comment17.xml><?xml version="1.0" encoding="utf-8"?>
<comments xmlns="http://schemas.openxmlformats.org/spreadsheetml/2006/main">
  <authors>
    <author>chenjie</author>
  </authors>
  <commentList>
    <comment ref="B6" authorId="0" shapeId="0">
      <text>
        <t>chenjie:
填列全称</t>
      </text>
    </comment>
    <comment ref="C6" authorId="0" shapeId="0">
      <text>
        <t>chenjie:
指国家股、法人股、流通股等</t>
      </text>
    </comment>
    <comment ref="D6" authorId="0" shapeId="0">
      <text>
        <t>chenjie:
指购买日或以其他方式（如非货币性交易换入、以债权换入等）取得股权的协议转让日</t>
      </text>
    </comment>
    <comment ref="E6" authorId="0" shapeId="0">
      <text>
        <t>chenjie:
与股权证一致</t>
      </text>
    </comment>
    <comment ref="F6" authorId="0" shapeId="0">
      <text>
        <t>chenjie:
与股权证一致</t>
      </text>
    </comment>
    <comment ref="G6" authorId="0" shapeId="0">
      <text>
        <t>chenjie:
指基准日收盘价</t>
      </text>
    </comment>
  </commentList>
</comments>
</file>

<file path=xl/comments/comment18.xml><?xml version="1.0" encoding="utf-8"?>
<comments xmlns="http://schemas.openxmlformats.org/spreadsheetml/2006/main">
  <authors>
    <author>chenjie</author>
  </authors>
  <commentList>
    <comment ref="B6" authorId="0" shapeId="0">
      <text>
        <t>chenjie:
填列全称</t>
      </text>
    </comment>
    <comment ref="C6" authorId="0" shapeId="0">
      <text>
        <t>如：XXXXX基金</t>
      </text>
    </comment>
    <comment ref="D6" authorId="0" shapeId="0">
      <text>
        <t>chenjie:
指购买日或以其他方式（如非货币性交易换入、以债权换入等）取得股权的协议转让日</t>
      </text>
    </comment>
    <comment ref="E6" authorId="0" shapeId="0">
      <text>
        <t>chenjie:
与股权证一致</t>
      </text>
    </comment>
    <comment ref="F6" authorId="0" shapeId="0">
      <text>
        <t>chenjie:
指基准日收盘价</t>
      </text>
    </comment>
  </commentList>
</comments>
</file>

<file path=xl/comments/comment19.xml><?xml version="1.0" encoding="utf-8"?>
<comments xmlns="http://schemas.openxmlformats.org/spreadsheetml/2006/main">
  <authors>
    <author>chenjie</author>
  </authors>
  <commentList>
    <comment ref="B6" authorId="0" shapeId="0">
      <text>
        <t>chenjie:
债务单位名称应填列全称，不应以地名或不明确的简称或业务内容代替</t>
      </text>
    </comment>
    <comment ref="C6" authorId="0" shapeId="0">
      <text>
        <t>chenjie:
如：“租赁XXXXXX”等</t>
      </text>
    </comment>
    <comment ref="D6" authorId="0" shapeId="0">
      <text>
        <t>chenjie:
填列最后一笔借方发生额的日期；
日期填写形式(半角状态下)如：2002-6又如2001-11</t>
      </text>
    </comment>
    <comment ref="J6" authorId="0" shapeId="0">
      <text>
        <t>chenjie:
1）欠款单位为关联方、总公司内部或本公司内部单位的，应在备注栏注明“关联方”、“总公司内部”“内部单位”；2） 涉诉款项应在备注中标明；3）评估基准日后已收回款项的，应注明日期如“2002年7月4日收回”；4）其他填表单位认为应说明的事项</t>
      </text>
    </comment>
  </commentList>
</comments>
</file>

<file path=xl/comments/comment20.xml><?xml version="1.0" encoding="utf-8"?>
<comments xmlns="http://schemas.openxmlformats.org/spreadsheetml/2006/main">
  <authors>
    <author>chenjie</author>
  </authors>
  <commentList>
    <comment ref="B8" authorId="0" shapeId="0">
      <text>
        <t>chenjie:
填写房产证编号,无证不填</t>
      </text>
    </comment>
    <comment ref="E8" authorId="0" shapeId="0">
      <text>
        <t>chenjie:
如：“砖混、钢混、框架、砖木、简易”等，各类型结构的定义参见填表说明。</t>
      </text>
    </comment>
    <comment ref="F8" authorId="0" shapeId="0">
      <text>
        <t>chenjie:
指竣工日期</t>
      </text>
    </comment>
    <comment ref="G8" authorId="0" shapeId="0">
      <text>
        <t>chenjie:
m2或m3</t>
      </text>
    </comment>
    <comment ref="H8" authorId="0" shapeId="0">
      <text>
        <t>chenjie:
(1)一般应填写房产证所填写的建筑面积值，如无房屋证，应填写工程概预算书上的面积值，否则就需要重新丈量；(2)对因改扩建已改变了原有建筑面积的，应以基准日实际建筑面积填报，但必须在备注中加以说明。注意：在增加面积的同时，应增加帐面原值及净值，如果增加面积的相应价值未入帐，应同时在备注中注明未入帐部分的建筑面积。</t>
      </text>
    </comment>
    <comment ref="U8" authorId="0" shapeId="0">
      <text>
        <t>chenjie:
备注中须说明的事项：(1)对因改扩建已改变了原有建筑面积的；(2)在增加面积的同时，其相应价值未入帐的，注明未入帐部分的建筑面积。(3)盘盈资产及非正常状态下的房屋，如：“危房、已拆除、待报废”等(4)负数余额；(5)房屋管理部门确定为“违章建筑”的。</t>
      </text>
    </comment>
  </commentList>
</comments>
</file>

<file path=xl/comments/comment21.xml><?xml version="1.0" encoding="utf-8"?>
<comments xmlns="http://schemas.openxmlformats.org/spreadsheetml/2006/main">
  <authors>
    <author>chenjie</author>
  </authors>
  <commentList>
    <comment ref="B8" authorId="0" shapeId="0">
      <text>
        <t>chenjie:
填写房产证编号,无证不填</t>
      </text>
    </comment>
    <comment ref="E8" authorId="0" shapeId="0">
      <text>
        <t>chenjie:
如：“砖混、钢混、框架、砖木、简易”等，各类型结构的定义参见填表说明。</t>
      </text>
    </comment>
    <comment ref="F8" authorId="0" shapeId="0">
      <text>
        <t>chenjie:
指竣工日期</t>
      </text>
    </comment>
    <comment ref="G8" authorId="0" shapeId="0">
      <text>
        <t>chenjie:
m2或m3</t>
      </text>
    </comment>
    <comment ref="H8" authorId="0" shapeId="0">
      <text>
        <t>chenjie:
(1)一般应填写房产证所填写的建筑面积值，如无房屋证，应填写工程概预算书上的面积值，否则就需要重新丈量；(2)对因改扩建已改变了原有建筑面积的，应以基准日实际建筑面积填报，但必须在备注中加以说明。注意：在增加面积的同时，应增加帐面原值及净值，如果增加面积的相应价值未入帐，应同时在备注中注明未入帐部分的建筑面积。</t>
      </text>
    </comment>
    <comment ref="R8" authorId="0" shapeId="0">
      <text>
        <t>chenjie:
备注中须说明的事项：(1)对因改扩建已改变了原有建筑面积的；(2)在增加面积的同时，其相应价值未入帐的，注明未入帐部分的建筑面积。(3)盘盈资产及非正常状态下的房屋，如：“危房、已拆除、待报废”等(4)负数余额；(5)房屋管理部门确定为“违章建筑”的。</t>
      </text>
    </comment>
  </commentList>
</comments>
</file>

<file path=xl/comments/comment22.xml><?xml version="1.0" encoding="utf-8"?>
<comments xmlns="http://schemas.openxmlformats.org/spreadsheetml/2006/main">
  <authors>
    <author>chenjie</author>
  </authors>
  <commentList>
    <comment ref="B7" authorId="0" shapeId="0">
      <text>
        <t>chenjie:
土地使用权证书的编号</t>
      </text>
    </comment>
    <comment ref="E7" authorId="0" shapeId="0">
      <text>
        <t>chenjie:
所填内容应与土地证记录相符</t>
      </text>
    </comment>
    <comment ref="F7" authorId="0" shapeId="0">
      <text>
        <t>chenjie:
所填内容应与土地证记录相符</t>
      </text>
    </comment>
    <comment ref="G7" authorId="0" shapeId="0">
      <text>
        <t>chenjie:
所填内容应与土地证记录相符</t>
      </text>
    </comment>
    <comment ref="I7" authorId="0" shapeId="0">
      <text>
        <t>chenjie:
所填内容应与土地证记录相符</t>
      </text>
    </comment>
  </commentList>
</comments>
</file>

<file path=xl/comments/comment23.xml><?xml version="1.0" encoding="utf-8"?>
<comments xmlns="http://schemas.openxmlformats.org/spreadsheetml/2006/main">
  <authors>
    <author>chenjie</author>
  </authors>
  <commentList>
    <comment ref="B7" authorId="0" shapeId="0">
      <text>
        <t>chenjie:
土地使用权证书的编号</t>
      </text>
    </comment>
    <comment ref="E7" authorId="0" shapeId="0">
      <text>
        <t>chenjie:
所填内容应与土地证记录相符</t>
      </text>
    </comment>
    <comment ref="F7" authorId="0" shapeId="0">
      <text>
        <t>chenjie:
所填内容应与土地证记录相符</t>
      </text>
    </comment>
    <comment ref="G7" authorId="0" shapeId="0">
      <text>
        <t>chenjie:
所填内容应与土地证记录相符</t>
      </text>
    </comment>
    <comment ref="I7" authorId="0" shapeId="0">
      <text>
        <t>chenjie:
所填内容应与土地证记录相符</t>
      </text>
    </comment>
  </commentList>
</comments>
</file>

<file path=xl/comments/comment24.xml><?xml version="1.0" encoding="utf-8"?>
<comments xmlns="http://schemas.openxmlformats.org/spreadsheetml/2006/main">
  <authors>
    <author>chenjie</author>
  </authors>
  <commentList>
    <comment ref="B7" authorId="0" shapeId="0">
      <text>
        <t>chenjie:
填写房产证编号,无证不填</t>
      </text>
    </comment>
    <comment ref="F7" authorId="0" shapeId="0">
      <text>
        <t>chenjie:
如：“砖混、钢混、框架、砖木、简易”等，各类型结构的定义参见填表说明。</t>
      </text>
    </comment>
    <comment ref="Q7" authorId="0" shapeId="0">
      <text>
        <t>chenjie:
指竣工日期</t>
      </text>
    </comment>
    <comment ref="R7" authorId="0" shapeId="0">
      <text>
        <t>chenjie:
m2或m3</t>
      </text>
    </comment>
    <comment ref="S7" authorId="0" shapeId="0">
      <text>
        <t>chenjie:
(1)一般应填写房产证所填写的建筑面积值，如无房屋证，应填写工程概预算书上的面积值，否则就需要重新丈量；(2)对因改扩建已改变了原有建筑面积的，应以基准日实际建筑面积填报，但必须在备注中加以说明。注意：在增加面积的同时，应增加帐面原值及净值，如果增加面积的相应价值未入帐，应同时在备注中注明未入帐部分的建筑面积。</t>
      </text>
    </comment>
    <comment ref="AF7" authorId="0" shapeId="0">
      <text>
        <t>chenjie:
备注中须说明的事项：(1)对因改扩建已改变了原有建筑面积的；(2)在增加面积的同时，其相应价值未入帐的，注明未入帐部分的建筑面积。(3)盘盈资产及非正常状态下的房屋，如：“危房、已拆除、待报废”等(4)负数余额；(5)房屋管理部门确定为“违章建筑”的。</t>
      </text>
    </comment>
  </commentList>
</comments>
</file>

<file path=xl/comments/comment25.xml><?xml version="1.0" encoding="utf-8"?>
<comments xmlns="http://schemas.openxmlformats.org/spreadsheetml/2006/main">
  <authors>
    <author>chenjie</author>
  </authors>
  <commentList>
    <comment ref="B7" authorId="0" shapeId="0">
      <text>
        <t>chenjie:
填写构筑物或其他辅助设施的全称</t>
      </text>
    </comment>
    <comment ref="C7" authorId="0" shapeId="0">
      <text>
        <t>chenjie:
如“砖、钢筋砼、钢结构、砖铁栏杆、砼面、沥青面、砖面”等，详见填表说明</t>
      </text>
    </comment>
    <comment ref="E7" authorId="0" shapeId="0">
      <text>
        <t>chenjie:
指竣工验收日 请准确至月</t>
      </text>
    </comment>
    <comment ref="F7" authorId="0" shapeId="0">
      <text>
        <t>chenjie:
座、口（井）、m、个等，详见填表说明</t>
      </text>
    </comment>
    <comment ref="I7" authorId="0" shapeId="0">
      <text>
        <t>chenjie:
长度、宽度和建筑面积应按图纸准确填写</t>
      </text>
    </comment>
    <comment ref="U7" authorId="0" shapeId="0">
      <text>
        <t>chenjie:
备注中须说明的事项：(1)对因改扩建已改变了原有建筑面积的；(2)改扩建增加的相应价值未入帐的，注明未入帐部分的建筑面积。(3)盘盈资产及非正常状态下的资产，如：“已拆除、待报废”等(5)负数余额</t>
      </text>
    </comment>
  </commentList>
</comments>
</file>

<file path=xl/comments/comment26.xml><?xml version="1.0" encoding="utf-8"?>
<comments xmlns="http://schemas.openxmlformats.org/spreadsheetml/2006/main">
  <authors>
    <author>微软用户</author>
  </authors>
  <commentList>
    <comment ref="D5" authorId="0" shapeId="0">
      <text>
        <t>微软用户:
请将二期工程分为主副井施工区（主副施）及风井施工区（风施）并重新核实一下一期中的各项目是否为井筒期的项目、重新核实一下三期（采区）各项目是否为该期项目</t>
      </text>
    </comment>
    <comment ref="F5" authorId="0" shapeId="0">
      <text>
        <t>微软用户:
标高即是井筒、巷道、硐室的底距地面的斜长（米）即该等项目服务于那个煤层，请重新补充填写一下。</t>
      </text>
    </comment>
    <comment ref="S5" authorId="0" shapeId="0">
      <text>
        <t>微软用户:
请重新核实井筒、硐室及巷道中涉及到铺轨的项目，并将铺轨的巷道重新补充。</t>
      </text>
    </comment>
  </commentList>
</comments>
</file>

<file path=xl/comments/comment27.xml><?xml version="1.0" encoding="utf-8"?>
<comments xmlns="http://schemas.openxmlformats.org/spreadsheetml/2006/main">
  <authors>
    <author>chenjie</author>
  </authors>
  <commentList>
    <comment ref="B7" authorId="0" shapeId="0">
      <text>
        <t>chenjie:
填写管道和沟槽的全称</t>
      </text>
    </comment>
    <comment ref="F7" authorId="0" shapeId="0">
      <text>
        <t>chenjie:
长度、槽深、沟宽*沟厚管径*壁厚、材质、绝缘方式等应按图纸准确填写</t>
      </text>
    </comment>
    <comment ref="G7" authorId="0" shapeId="0">
      <text>
        <t>chenjie:
如”砖、砼、钢管、砼管”等</t>
      </text>
    </comment>
    <comment ref="T7" authorId="0" shapeId="0">
      <text>
        <t>chenjie:
备注中须说明的事项：(1)对因改扩建已改变了原有记录的；(2)改扩建增加的相应价值未入帐的，注明未入帐部分的尺寸规格等。(3)盘盈资产及非正常状态下的资产，如：“已拆除、待报废”等(5)负数余额</t>
      </text>
    </comment>
  </commentList>
</comments>
</file>

<file path=xl/comments/comment28.xml><?xml version="1.0" encoding="utf-8"?>
<comments xmlns="http://schemas.openxmlformats.org/spreadsheetml/2006/main">
  <authors>
    <author>sucheng</author>
    <author>chenjie</author>
  </authors>
  <commentList>
    <comment ref="B7" authorId="0" shapeId="0">
      <text>
        <t>sucheng:
企业资产管理所使用的编号</t>
      </text>
    </comment>
    <comment ref="C7" authorId="1" shapeId="0">
      <text>
        <t>chenjie:
设备按单台（套）填列</t>
      </text>
    </comment>
    <comment ref="F7" authorId="1" shapeId="0">
      <text>
        <t>chenjie:
按设备铭牌填写，不得以地名或经销商名称替代</t>
      </text>
    </comment>
    <comment ref="G7" authorId="1" shapeId="0">
      <text>
        <t>chenjie:
台、件、套、个等</t>
      </text>
    </comment>
    <comment ref="I7" authorId="1" shapeId="0">
      <text>
        <t>chenjie:
指购买设备日期，如为二手设备须填写原始购置日。日期填写形式(半角状态下)如：2002.6又如2001.11</t>
      </text>
    </comment>
    <comment ref="J7" authorId="1" shapeId="0">
      <text>
        <t>chenjie:
设备投入使用的日期</t>
      </text>
    </comment>
    <comment ref="U7" authorId="1" shapeId="0">
      <text>
        <t>chenjie:
应注明的事项：(1)盘盈(2)非正常资产，如“停用、不需用、待报废、淘汰、盘亏”等(3)仪器仪表、电梯、锅炉、压力容器等规定由有关部门定期鉴定的设备应注明“达标”或“未达标”(4)因折旧提超等原因造成负数余额的项目，应简述原因(5)其他</t>
      </text>
    </comment>
  </commentList>
</comments>
</file>

<file path=xl/comments/comment29.xml><?xml version="1.0" encoding="utf-8"?>
<comments xmlns="http://schemas.openxmlformats.org/spreadsheetml/2006/main">
  <authors>
    <author>chenjie</author>
  </authors>
  <commentList>
    <comment ref="U7" authorId="0" shapeId="0">
      <text>
        <t>chenjie:
(1)对待报废、盘亏、帐外等运输车辆应在备注栏标明；(2)因折旧提超等原因造成负数余额的项目，应简述原因（3）其他</t>
      </text>
    </comment>
  </commentList>
</comments>
</file>

<file path=xl/comments/comment30.xml><?xml version="1.0" encoding="utf-8"?>
<comments xmlns="http://schemas.openxmlformats.org/spreadsheetml/2006/main">
  <authors>
    <author>sucheng</author>
    <author>chenjie</author>
  </authors>
  <commentList>
    <comment ref="B7" authorId="0" shapeId="0">
      <text>
        <t>sucheng:
企业资产管理所使用的编号</t>
      </text>
    </comment>
    <comment ref="D7" authorId="1" shapeId="0">
      <text>
        <t>chenjie:
设备按单台（套）填列</t>
      </text>
    </comment>
    <comment ref="G7" authorId="1" shapeId="0">
      <text>
        <t>chenjie:
按设备铭牌填写，不得以地名或经销商名称替代</t>
      </text>
    </comment>
    <comment ref="J7" authorId="1" shapeId="0">
      <text>
        <t>chenjie:
指购买设备日期，如为二手设备须填写原始购置日。日期填写形式(半角状态下)如：2002.6又如2001.11</t>
      </text>
    </comment>
    <comment ref="K7" authorId="1" shapeId="0">
      <text>
        <t>chenjie:
设备投入使用的日期</t>
      </text>
    </comment>
    <comment ref="V7" authorId="1" shapeId="0">
      <text>
        <t>chenjie:
应注明的事项：(1)盘盈(2)非正常资产，如“停用、不需用、待报废、淘汰、盘亏”等(3)仪器仪表、电梯、锅炉、压力容器等规定由有关部门定期鉴定的设备应注明“达标”或“未达标”(4)因折旧提超等原因造成负数余额的项目，应简述原因(5)其他</t>
      </text>
    </comment>
    <comment ref="G8" authorId="1" shapeId="0">
      <text>
        <t>chenjie:
按设备铭牌填写，不得以地名或经销商名称替代</t>
      </text>
    </comment>
    <comment ref="G9" authorId="1" shapeId="0">
      <text>
        <t>chenjie:
按设备铭牌填写，不得以地名或经销商名称替代</t>
      </text>
    </comment>
  </commentList>
</comments>
</file>

<file path=xl/comments/comment31.xml><?xml version="1.0" encoding="utf-8"?>
<comments xmlns="http://schemas.openxmlformats.org/spreadsheetml/2006/main">
  <authors>
    <author>chenjie</author>
  </authors>
  <commentList>
    <comment ref="B7" authorId="0" shapeId="0">
      <text>
        <t>chenjie:
土地使用权证书的编号</t>
      </text>
    </comment>
    <comment ref="D7" authorId="0" shapeId="0">
      <text>
        <t>chenjie:
所填内容应与土地证记录相符</t>
      </text>
    </comment>
    <comment ref="E7" authorId="0" shapeId="0">
      <text>
        <t>chenjie:
所填内容应与土地证记录相符</t>
      </text>
    </comment>
    <comment ref="F7" authorId="0" shapeId="0">
      <text>
        <t>chenjie:
所填内容应与土地证记录相符</t>
      </text>
    </comment>
    <comment ref="G7" authorId="0" shapeId="0">
      <text>
        <t>chenjie:
所填内容应与土地证记录相符</t>
      </text>
    </comment>
  </commentList>
</comments>
</file>

<file path=xl/comments/comment32.xml><?xml version="1.0" encoding="utf-8"?>
<comments xmlns="http://schemas.openxmlformats.org/spreadsheetml/2006/main">
  <authors>
    <author>chenjie</author>
  </authors>
  <commentList>
    <comment ref="G6" authorId="0" shapeId="0">
      <text>
        <t>chenjie:
形象进度可以按工程施工进度的四个阶段考虑。（做完前期工程为一个阶段；动工已有一定时间为第二阶段；完成主体工程为第三阶段；由此到竣工为第四阶段。）</t>
      </text>
    </comment>
    <comment ref="H6" authorId="0" shapeId="0">
      <text>
        <t>chenjie:
指财务实际付款与合同总价款之比</t>
      </text>
    </comment>
    <comment ref="O6" authorId="0" shapeId="0">
      <text>
        <t>chenjie:
处于非正常状态的在建工程项目应在备注栏标注在建工程的施工状况，如：“停建1年、季节性停建”等</t>
      </text>
    </comment>
  </commentList>
</comments>
</file>

<file path=xl/comments/comment33.xml><?xml version="1.0" encoding="utf-8"?>
<comments xmlns="http://schemas.openxmlformats.org/spreadsheetml/2006/main">
  <authors>
    <author>chenjie</author>
  </authors>
  <commentList>
    <comment ref="B7" authorId="0" shapeId="0">
      <text>
        <t>chenjie:
请按照工程项目整理填列本表，不应按照财务入账时间顺序填列。</t>
      </text>
    </comment>
    <comment ref="W7" authorId="0" shapeId="0">
      <text>
        <t>chenjie:
处于非正常状态的在建工程项目应在备注栏标注在建工程的施工状况，如：“停建1年、季节性停建”等</t>
      </text>
    </comment>
  </commentList>
</comments>
</file>

<file path=xl/comments/comment34.xml><?xml version="1.0" encoding="utf-8"?>
<comments xmlns="http://schemas.openxmlformats.org/spreadsheetml/2006/main">
  <authors>
    <author>chenjie</author>
  </authors>
  <commentList>
    <comment ref="B6" authorId="0" shapeId="0">
      <text>
        <t>chenjie:
填列转入固定资产实物名称及规格型号，如“报废油罐汽车HQG5吨1辆”、“出售CA6140.2M普通车床1台”等</t>
      </text>
    </comment>
    <comment ref="C6" authorId="0" shapeId="0">
      <text>
        <t>chenjie:
发生日期为转入时间</t>
      </text>
    </comment>
  </commentList>
</comments>
</file>

<file path=xl/comments/comment35.xml><?xml version="1.0" encoding="utf-8"?>
<comments xmlns="http://schemas.openxmlformats.org/spreadsheetml/2006/main">
  <authors>
    <author>chenjie</author>
  </authors>
  <commentList>
    <comment ref="R7" authorId="0" shapeId="0">
      <text>
        <t>chenjie:
应注明的事项：(1)盘盈(2)非正常资产，如“停用、不需用、待报废、淘汰、盘亏”等(3)仪器仪表、电梯、锅炉、压力容器等规定由有关部门定期鉴定的设备应注明“达标”或“未达标”(4)因折旧提超等原因造成负数余额的项目，应简述原因(5)其他</t>
      </text>
    </comment>
  </commentList>
</comments>
</file>

<file path=xl/comments/comment36.xml><?xml version="1.0" encoding="utf-8"?>
<comments xmlns="http://schemas.openxmlformats.org/spreadsheetml/2006/main">
  <authors>
    <author>chenjie</author>
  </authors>
  <commentList>
    <comment ref="S7" authorId="0" shapeId="0">
      <text>
        <t>chenjie:
应注明的事项：(1)盘盈(2)非正常资产，如“停用、不需用、待报废、淘汰、盘亏”等(3)仪器仪表、电梯、锅炉、压力容器等规定由有关部门定期鉴定的设备应注明“达标”或“未达标”(4)因折旧提超等原因造成负数余额的项目，应简述原因(5)其他</t>
      </text>
    </comment>
  </commentList>
</comments>
</file>

<file path=xl/comments/comment37.xml><?xml version="1.0" encoding="utf-8"?>
<comments xmlns="http://schemas.openxmlformats.org/spreadsheetml/2006/main">
  <authors>
    <author>chenjie</author>
  </authors>
  <commentList>
    <comment ref="B6" authorId="0" shapeId="0">
      <text>
        <t>chenjie:
指摊销期在1年以上的各种费用。如“××租入资产改良款”、“××资产大修费用“等。若填表单位开办费在本科目核算，则除按要求填写本表外，应参照开办费清查评估明细表的要求在备注栏注明费用包括的计提内容和相应金额，或附专项说明亦可。</t>
      </text>
    </comment>
    <comment ref="D6" authorId="0" shapeId="0">
      <text>
        <t>chenjie:
指开始摊销前的金额。</t>
      </text>
    </comment>
  </commentList>
</comments>
</file>

<file path=xl/comments/comment38.xml><?xml version="1.0" encoding="utf-8"?>
<comments xmlns="http://schemas.openxmlformats.org/spreadsheetml/2006/main">
  <authors>
    <author>chenjie</author>
  </authors>
  <commentList>
    <comment ref="B6" authorId="0" shapeId="0">
      <text>
        <t>chenjie:
土地使用权证书的编号</t>
      </text>
    </comment>
    <comment ref="D6" authorId="0" shapeId="0">
      <text>
        <t>chenjie:
所填内容应与土地证记录相符</t>
      </text>
    </comment>
    <comment ref="E6" authorId="0" shapeId="0">
      <text>
        <t>chenjie:
所填内容应与土地证记录相符</t>
      </text>
    </comment>
    <comment ref="F6" authorId="0" shapeId="0">
      <text>
        <t>chenjie:
所填内容应与土地证记录相符</t>
      </text>
    </comment>
    <comment ref="G6" authorId="0" shapeId="0">
      <text>
        <t>chenjie:
所填内容应与土地证记录相符</t>
      </text>
    </comment>
  </commentList>
</comments>
</file>

<file path=xl/comments/comment39.xml><?xml version="1.0" encoding="utf-8"?>
<comments xmlns="http://schemas.openxmlformats.org/spreadsheetml/2006/main">
  <authors>
    <author>chenjie</author>
  </authors>
  <commentList>
    <comment ref="C6" authorId="0" shapeId="0">
      <text>
        <t>chenjie:
土地使用权证书的编号</t>
      </text>
    </comment>
    <comment ref="E6" authorId="0" shapeId="0">
      <text>
        <t>chenjie:
所填内容应与土地证记录相符</t>
      </text>
    </comment>
    <comment ref="F6" authorId="0" shapeId="0">
      <text>
        <t>chenjie:
所填内容应与土地证记录相符</t>
      </text>
    </comment>
  </commentList>
</comments>
</file>

<file path=xl/comments/comment40.xml><?xml version="1.0" encoding="utf-8"?>
<comments xmlns="http://schemas.openxmlformats.org/spreadsheetml/2006/main">
  <authors>
    <author>chenjie</author>
  </authors>
  <commentList>
    <comment ref="B6" authorId="0" shapeId="0">
      <text>
        <t>chenjie:
如：“××专利权”、“××软件”等</t>
      </text>
    </comment>
    <comment ref="J6" authorId="0" shapeId="0">
      <text>
        <t>chenjie:
企业实际拥有但基准日未入帐的不应填入本表</t>
      </text>
    </comment>
  </commentList>
</comments>
</file>

<file path=xl/comments/comment41.xml><?xml version="1.0" encoding="utf-8"?>
<comments xmlns="http://schemas.openxmlformats.org/spreadsheetml/2006/main">
  <authors>
    <author>chenjie</author>
  </authors>
  <commentList>
    <comment ref="B6" authorId="0" shapeId="0">
      <text>
        <t>chenjie:
如：“××专利权”、“××软件”等</t>
      </text>
    </comment>
    <comment ref="J6" authorId="0" shapeId="0">
      <text>
        <t>chenjie:
企业实际拥有但基准日未入帐的不应填入本表</t>
      </text>
    </comment>
  </commentList>
</comments>
</file>

<file path=xl/comments/comment42.xml><?xml version="1.0" encoding="utf-8"?>
<comments xmlns="http://schemas.openxmlformats.org/spreadsheetml/2006/main">
  <authors>
    <author>chenjie</author>
  </authors>
  <commentList>
    <comment ref="B6" authorId="0" shapeId="0">
      <text>
        <t>chenjie:
指摊销期在1年以上的各种费用。如“××租入资产改良款”、“××资产大修费用“等。若填表单位开办费在本科目核算，则除按要求填写本表外，应参照开办费清查评估明细表的要求在备注栏注明费用包括的计提内容和相应金额，或附专项说明亦可。</t>
      </text>
    </comment>
    <comment ref="D6" authorId="0" shapeId="0">
      <text>
        <t>chenjie:
指开始摊销前的金额。</t>
      </text>
    </comment>
  </commentList>
</comments>
</file>

<file path=xl/comments/comment43.xml><?xml version="1.0" encoding="utf-8"?>
<comments xmlns="http://schemas.openxmlformats.org/spreadsheetml/2006/main">
  <authors>
    <author>chenjie</author>
  </authors>
  <commentList>
    <comment ref="I6" authorId="0" shapeId="0">
      <text>
        <t>chenjie:
金额较大的项目，在备注栏注明其内容或附说明该项资产的内容和价值构成的专项说明。</t>
      </text>
    </comment>
  </commentList>
</comments>
</file>

<file path=xl/comments/comment44.xml><?xml version="1.0" encoding="utf-8"?>
<comments xmlns="http://schemas.openxmlformats.org/spreadsheetml/2006/main">
  <authors>
    <author>chenjie</author>
  </authors>
  <commentList>
    <comment ref="B6" authorId="0" shapeId="0">
      <text>
        <t>chenjie:
填全称</t>
      </text>
    </comment>
    <comment ref="C6" authorId="0" shapeId="0">
      <text>
        <t>chenjie:
指借款合同规定的借款启始日，填列到日</t>
      </text>
    </comment>
    <comment ref="D6" authorId="0" shapeId="0">
      <text>
        <t>chenjie:
与借款合同规定到期日应一致</t>
      </text>
    </comment>
    <comment ref="E6" authorId="0" shapeId="0">
      <text>
        <t>chenjie:
与借款合同规定利率应一致</t>
      </text>
    </comment>
    <comment ref="M6" authorId="0" shapeId="0">
      <text>
        <t>chenjie:
标明（或附专项说明）借款的用途、担保条件（信用担保、资产抵押或质押等）、借款利息计提及支付情况（请准确说明利息计提、支付到哪一天）。</t>
      </text>
    </comment>
  </commentList>
</comments>
</file>

<file path=xl/comments/comment45.xml><?xml version="1.0" encoding="utf-8"?>
<comments xmlns="http://schemas.openxmlformats.org/spreadsheetml/2006/main">
  <authors>
    <author>chenjie</author>
  </authors>
  <commentList>
    <comment ref="B6" authorId="0" shapeId="0">
      <text>
        <t>chenjie:
债权单位名称应填列全称，不应以地名或不明确的简称或业务内容代替</t>
      </text>
    </comment>
    <comment ref="C6" authorId="0" shapeId="0">
      <text>
        <t>chenjie:
填列最后一笔贷方发生额的日期；
日期填写形式(半角状态下)如：2002.6又如2001.11</t>
      </text>
    </comment>
    <comment ref="D6" authorId="0" shapeId="0">
      <text>
        <t>chenjie:
如：“购油款”等</t>
      </text>
    </comment>
    <comment ref="I6" authorId="0" shapeId="0">
      <text>
        <t>chenjie:
1）债权单位为关联方、总公司内部或本公司内部单位的，应在备注栏注明“关联方”、“总公司内部”“内部单位”；2） 涉诉款项应在备注中标明；3）评估基准日后已付款的项目，应注明日期。如“2002年7月4日付款”；4）其他填表单位认为应说明的事项</t>
      </text>
    </comment>
  </commentList>
</comments>
</file>

<file path=xl/comments/comment46.xml><?xml version="1.0" encoding="utf-8"?>
<comments xmlns="http://schemas.openxmlformats.org/spreadsheetml/2006/main">
  <authors>
    <author>chenjie</author>
  </authors>
  <commentList>
    <comment ref="B6" authorId="0" shapeId="0">
      <text>
        <t>chenjie:
债权单位名称应填列全称，不应以地名或不明确的简称或业务内容代替</t>
      </text>
    </comment>
    <comment ref="C6" authorId="0" shapeId="0">
      <text>
        <t>chenjie:
填列票据的签发日期；
日期填写形式(半角状态下)如：2002.6又如2001.11</t>
      </text>
    </comment>
    <comment ref="J6" authorId="0" shapeId="0">
      <text>
        <t>chenjie:
1）债权单位为关联方、总公司内部或本公司内部单位的，应在备注栏注明“关联方”、“总公司内部”“内部单位”；2） 涉诉款项应在备注中标明；3）评估基准日后已付款的项目，应注明日期。如“2002年7月4日付款”；4）已到期尚未支付的，需简要说明原因。</t>
      </text>
    </comment>
  </commentList>
</comments>
</file>

<file path=xl/comments/comment47.xml><?xml version="1.0" encoding="utf-8"?>
<comments xmlns="http://schemas.openxmlformats.org/spreadsheetml/2006/main">
  <authors>
    <author>chenjie</author>
  </authors>
  <commentList>
    <comment ref="B6" authorId="0" shapeId="0">
      <text>
        <t>chenjie:
债权单位名称应填列全称，不应以地名或不明确的简称或业务内容代替</t>
      </text>
    </comment>
    <comment ref="C6" authorId="0" shapeId="0">
      <text>
        <t>chenjie:
填列最后一笔借方发生额的日期；
日期填写形式(半角状态下)如：2002/6/30又如2001/11/30</t>
      </text>
    </comment>
    <comment ref="D6" authorId="0" shapeId="0">
      <text>
        <t>chenjie:
如：“购油款”等</t>
      </text>
    </comment>
    <comment ref="I6" authorId="0" shapeId="0">
      <text>
        <t>chenjie:
1）债权单位为关联方、总公司内部或本公司内部单位的，应在备注栏注明“关联方”、“总公司内部”“内部单位”；2） 涉诉款项应在备注中标明；3）评估基准日后已付款的项目，应注明日期。如“2002年7月4日付款”；4）其他填表单位认为应说明的事项</t>
      </text>
    </comment>
  </commentList>
</comments>
</file>

<file path=xl/comments/comment48.xml><?xml version="1.0" encoding="utf-8"?>
<comments xmlns="http://schemas.openxmlformats.org/spreadsheetml/2006/main">
  <authors>
    <author>chenjie</author>
  </authors>
  <commentList>
    <comment ref="B6" authorId="0" shapeId="0">
      <text>
        <t>chenjie:
债权单位名称应填列全称，不应以地名或不明确的简称或业务内容代替</t>
      </text>
    </comment>
    <comment ref="C6" authorId="0" shapeId="0">
      <text>
        <t>chenjie:
填列最后一笔贷方发生额的日期；
日期填写形式(半角状态下)如：2002/6/30又如2001/11/30</t>
      </text>
    </comment>
    <comment ref="D6" authorId="0" shapeId="0">
      <text>
        <t>chenjie:
如：“售油款”等</t>
      </text>
    </comment>
    <comment ref="I6" authorId="0" shapeId="0">
      <text>
        <t>chenjie:
1）债权单位为关联方、总公司内部或本公司内部单位的，应在备注栏注明“关联方”、“总公司内部”“内部单位”；2） 涉诉款项应在备注中标明；3）评估基准日后已付款的项目，应注明日期。如“2002年7月4日付款”；4）其他填表单位认为应说明的事项</t>
      </text>
    </comment>
  </commentList>
</comments>
</file>

<file path=xl/comments/comment49.xml><?xml version="1.0" encoding="utf-8"?>
<comments xmlns="http://schemas.openxmlformats.org/spreadsheetml/2006/main">
  <authors>
    <author>chenjie</author>
  </authors>
  <commentList>
    <comment ref="B6" authorId="0" shapeId="0">
      <text>
        <t>chenjie:
填写所计提的应付工资的具体组成内容，如“工资、住房补贴”等，根据填表单位财务部门的计提应付工资的方式和内容填写</t>
      </text>
    </comment>
    <comment ref="C6" authorId="0" shapeId="0">
      <text>
        <t>chenjie:
填写贷方最后一笔发生额的日期</t>
      </text>
    </comment>
    <comment ref="H6" authorId="0" shapeId="0">
      <text>
        <t>chenjie:
备注中应注明计提依据（如：工效挂钩批准额度×××万元／年）及基准日应付工资帐面余额的滚存期间。</t>
      </text>
    </comment>
  </commentList>
</comments>
</file>

<file path=xl/comments/comment50.xml><?xml version="1.0" encoding="utf-8"?>
<comments xmlns="http://schemas.openxmlformats.org/spreadsheetml/2006/main">
  <authors>
    <author>chenjie</author>
  </authors>
  <commentList>
    <comment ref="B6" authorId="0" shapeId="0">
      <text>
        <t>chenjie:
填表单位的专管税务机关，应填写全称</t>
      </text>
    </comment>
    <comment ref="C6" authorId="0" shapeId="0">
      <text>
        <t>chenjie:
填写贷方最后一笔发生额的日期</t>
      </text>
    </comment>
    <comment ref="D6" authorId="0" shapeId="0">
      <text>
        <t>chenjie:
指增值税、消费税、城建税、教育费附加等</t>
      </text>
    </comment>
    <comment ref="I6" authorId="0" shapeId="0">
      <text>
        <t>chenjie:
备注中应注明税款所属期间。</t>
      </text>
    </comment>
    <comment ref="C7" authorId="0" shapeId="0">
      <text>
        <t>chenjie:
填写贷方最后一笔发生额的日期</t>
      </text>
    </comment>
    <comment ref="C8" authorId="0" shapeId="0">
      <text>
        <t>chenjie:
填写贷方最后一笔发生额的日期</t>
      </text>
    </comment>
    <comment ref="C9" authorId="0" shapeId="0">
      <text>
        <t>chenjie:
填写贷方最后一笔发生额的日期</t>
      </text>
    </comment>
  </commentList>
</comments>
</file>

<file path=xl/comments/comment51.xml><?xml version="1.0" encoding="utf-8"?>
<comments xmlns="http://schemas.openxmlformats.org/spreadsheetml/2006/main">
  <authors>
    <author>chenjie</author>
  </authors>
  <commentList>
    <comment ref="B6" authorId="0" shapeId="0">
      <text>
        <t>chenjie:
填全称</t>
      </text>
    </comment>
    <comment ref="C6" authorId="0" shapeId="0">
      <text>
        <t>chenjie:
发生日期指利息结算日，填列到日。</t>
      </text>
    </comment>
    <comment ref="E6" authorId="0" shapeId="0">
      <text>
        <t>chenjie:
填列到“日”，如“2001.6.1—2001.12.30”。</t>
      </text>
    </comment>
  </commentList>
</comments>
</file>

<file path=xl/comments/comment52.xml><?xml version="1.0" encoding="utf-8"?>
<comments xmlns="http://schemas.openxmlformats.org/spreadsheetml/2006/main">
  <authors>
    <author>chenjie</author>
    <author>SEELE</author>
  </authors>
  <commentList>
    <comment ref="C6" authorId="0" shapeId="0">
      <text>
        <t>chenjie:
填写贷方最后一笔发生额的日期</t>
      </text>
    </comment>
    <comment ref="D6" authorId="1" shapeId="0">
      <text>
        <t>SEELE:
请填写具体利润所属期间</t>
      </text>
    </comment>
    <comment ref="I6" authorId="0" shapeId="0">
      <text>
        <t>chenjie:
对于长期未付的利润（股利），请在备注栏标明原因</t>
      </text>
    </comment>
  </commentList>
</comments>
</file>

<file path=xl/comments/comment53.xml><?xml version="1.0" encoding="utf-8"?>
<comments xmlns="http://schemas.openxmlformats.org/spreadsheetml/2006/main">
  <authors>
    <author>chenjie</author>
  </authors>
  <commentList>
    <comment ref="B6" authorId="0" shapeId="0">
      <text>
        <t>chenjie:
债权单位名称应填列全称，不应以地名或不明确的简称或业务内容代替</t>
      </text>
    </comment>
    <comment ref="C6" authorId="0" shapeId="0">
      <text>
        <t>chenjie:
填列最后一笔借方发生额的日期；
日期填写形式(半角状态下)如：2002/6/30又如2001/11/30</t>
      </text>
    </comment>
    <comment ref="D6" authorId="0" shapeId="0">
      <text>
        <t>chenjie:
如：“往来款、职工教育经费、工会经费”等</t>
      </text>
    </comment>
    <comment ref="I6" authorId="0" shapeId="0">
      <text>
        <t>chenjie:
1）债权单位为关联方、总公司内部或本公司内部单位的，应在备注栏注明“关联方”、“总公司内部”“内部单位”；2） 涉诉款项应在备注中标明；3）评估基准日后已付款的项目，应注明日期。如“2002年7月4日付款”；4）其他填表单位认为应说明的事项</t>
      </text>
    </comment>
  </commentList>
</comments>
</file>

<file path=xl/comments/comment54.xml><?xml version="1.0" encoding="utf-8"?>
<comments xmlns="http://schemas.openxmlformats.org/spreadsheetml/2006/main">
  <authors>
    <author>chenjie</author>
  </authors>
  <commentList>
    <comment ref="B6" authorId="0" shapeId="0">
      <text>
        <t>chenjie:
参见长期借款表</t>
      </text>
    </comment>
  </commentList>
</comments>
</file>

<file path=xl/comments/comment55.xml><?xml version="1.0" encoding="utf-8"?>
<comments xmlns="http://schemas.openxmlformats.org/spreadsheetml/2006/main">
  <authors>
    <author>chenjie</author>
  </authors>
  <commentList>
    <comment ref="B6" authorId="0" shapeId="0">
      <text>
        <t>chenjie:
填全称</t>
      </text>
    </comment>
    <comment ref="C6" authorId="0" shapeId="0">
      <text>
        <t>chenjie:
指借款合同规定的借款启始日，填列到日</t>
      </text>
    </comment>
    <comment ref="D6" authorId="0" shapeId="0">
      <text>
        <t>chenjie:
与借款合同规定到期日应一致</t>
      </text>
    </comment>
    <comment ref="E6" authorId="0" shapeId="0">
      <text>
        <t>chenjie:
与借款合同规定利率应一致</t>
      </text>
    </comment>
    <comment ref="M6" authorId="0" shapeId="0">
      <text>
        <t>chenjie:
标明（或附专项说明）借款的用途、担保条件（信用担保、资产抵押或质押等）、借款利息计提及支付情况（请准确说明利息计提、支付到哪一天）。</t>
      </text>
    </comment>
  </commentList>
</comments>
</file>

<file path=xl/comments/comment56.xml><?xml version="1.0" encoding="utf-8"?>
<comments xmlns="http://schemas.openxmlformats.org/spreadsheetml/2006/main">
  <authors>
    <author>chenjie</author>
  </authors>
  <commentList>
    <comment ref="B7" authorId="0" shapeId="0">
      <text>
        <t>chenjie:
填列债权单位全称</t>
      </text>
    </comment>
    <comment ref="C7" authorId="0" shapeId="0">
      <text>
        <t>chenjie:
按合同协议确定的开始计算应付款的日期，填列到日。</t>
      </text>
    </comment>
    <comment ref="D7" authorId="0" shapeId="0">
      <text>
        <t>chenjie:
指应付款内容，如“引进××设备款或融资租赁××设备款”等；</t>
      </text>
    </comment>
    <comment ref="M7" authorId="0" shapeId="0">
      <text>
        <t>chenjie:
请注明帐面初始额的构成。</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21.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3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3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35.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37.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39.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41.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42.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43.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44.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46.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47.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48.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50.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51.xml.rels><Relationships xmlns="http://schemas.openxmlformats.org/package/2006/relationships"><Relationship Type="http://schemas.openxmlformats.org/officeDocument/2006/relationships/hyperlink" Target="https://b2b.baidu.com/land?url=https%3A%2F%2Fwww.912688.com%2Fsupply%2F339710698.html%3Fbdb2b8a2d%3D2439046228181354518&amp;query=%E5%9B%9B%E6%9F%B1%E8%A3%81%E5%88%87%E6%9C%BAXclp3&amp;category=%E6%9C%BA%E6%A2%B0%E5%B7%A5%E4%B8%9A%3B%E7%9A%AE%E9%9D%A9%E5%8A%A0%E5%B7%A5%E8%AE%BE%E5%A4%87%3B%E8%A3%81%E6%96%AD%E6%9C%BA" TargetMode="External" Id="rId1"/><Relationship Type="http://schemas.openxmlformats.org/officeDocument/2006/relationships/hyperlink" Target="https://b2b.baidu.com/land?url=https%3A%2F%2Fwww.china.cn%2Frongjieji%2F3740659375.html%3Fbdb2b8a2d%3D2438987942149274047&amp;query=&#39640;&#21608;&#27874;&#27833;&#21387;&#26426;8kw&amp;category=&#26426;&#26800;&#24037;&#19994;%3B&#30005;&#23376;&#20135;&#21697;&#21046;&#36896;&#35774;&#22791;%3B&#29076;&#25509;&#26426;" TargetMode="External" Id="rId2"/><Relationship Type="http://schemas.openxmlformats.org/officeDocument/2006/relationships/hyperlink" Target="https://b2b.baidu.com/land?url=https%3A%2F%2Fwww.912688.com%2Fsupply%2F104657120.html%3Fbdb2b8a2d%3D2438915230767428949&amp;query=%E7%94%B5%E8%84%91%E8%8A%B1%E6%A0%B7%E6%9C%BA&amp;category=%E6%9C%BA%E6%A2%B0%E5%B7%A5%E4%B8%9A%3B%E6%9C%8D%E8%A3%85%E6%9C%BA%E6%A2%B0%E8%AE%BE%E5%A4%87%3B%E7%BC%9D%E4%B8%AD%E8%AE%BE%E5%A4%87" TargetMode="External" Id="rId3"/><Relationship Type="http://schemas.openxmlformats.org/officeDocument/2006/relationships/hyperlink" Target="https://detail.1688.com/offer/609784199942.html?spm=a261b.2187593.1998088710.31.6dd25256uj9vDD" TargetMode="External" Id="rId4"/><Relationship Type="http://schemas.openxmlformats.org/officeDocument/2006/relationships/hyperlink" Target="https://detail.1688.com/offer/533989812836.html?spm=a261b.2187593.1998088710.1.7fed147csppu9q&amp;tracelog=p4p&amp;clickid=e1b987a899564175a53991eb3d153598&amp;sessionid=c37e2129882030ed537098fd0c9482d8" TargetMode="External" Id="rId5"/><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52.xml.rels><Relationships xmlns="http://schemas.openxmlformats.org/package/2006/relationships"><Relationship Type="http://schemas.openxmlformats.org/officeDocument/2006/relationships/hyperlink" Target="https://www.che168.com/dealer/255777/36677775.html?pvareaid=100519&amp;userpid=0&amp;usercid=0" TargetMode="External" Id="rId1"/><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53.xml.rels><Relationships xmlns="http://schemas.openxmlformats.org/package/2006/relationships"><Relationship Type="http://schemas.openxmlformats.org/officeDocument/2006/relationships/hyperlink" Target="https://item.jd.com/10040654779710.html?uabt=872_12138_1_0&amp;pcdk=axGR2EOPw-_wPmzq0SmLBnuKYeK_U_-N7fR-Ux5hrCI%3D.ZNqn.8PYs&amp;cu=true&amp;utm_source=lianmeng__10__kong__go.smzdm.com&amp;utm_medium=tuiguang&amp;utm_campaign=t_1000089893_156_0_184__1aaf00ca47fff68a&amp;utm_term=94b28be62c82be968d3d00523e5376e8&amp;purchasetab=gfgm" TargetMode="External" Id="rId1"/><Relationship Type="http://schemas.openxmlformats.org/officeDocument/2006/relationships/hyperlink" Target="https://item.jd.com/10052392698142.html?uabt=872_12138_1_0&amp;pcdk=Mf8Zq4cBIGXbrTRXqs8OiNMCHbX1Gi9qkPMbX8oJ9rI%3D.ZNqn.8PYs&amp;cu=true&amp;utm_source=lianmeng__10__kong__detail.zol.com.cn&amp;utm_medium=jingfen&amp;utm_campaign=t_2032288013_&amp;utm_term=9769d5671ef2ddcc39dbb7edc8a9b3d1&amp;purchasetab=gfgm" TargetMode="External" Id="rId2"/><Relationship Type="http://schemas.openxmlformats.org/officeDocument/2006/relationships/hyperlink" Target="https://item.jd.com/10040654779710.html?uabt=872_12138_1_0&amp;pcdk=axGR2EOPw-_wPmzq0SmLBnuKYeK_U_-N7fR-Ux5hrCI%3D.ZNqn.8PYs&amp;cu=true&amp;utm_source=lianmeng__10__kong__go.smzdm.com&amp;utm_medium=tuiguang&amp;utm_campaign=t_1000089893_156_0_184__1aaf00ca47fff68a&amp;utm_term=94b28be62c82be968d3d00523e5376e8&amp;purchasetab=gfgm" TargetMode="External" Id="rId3"/><Relationship Type="http://schemas.openxmlformats.org/officeDocument/2006/relationships/hyperlink" Target="https://item.jd.com/10040654779710.html?uabt=872_12138_1_0&amp;pcdk=axGR2EOPw-_wPmzq0SmLBnuKYeK_U_-N7fR-Ux5hrCI%3D.ZNqn.8PYs&amp;cu=true&amp;utm_source=lianmeng__10__kong__go.smzdm.com&amp;utm_medium=tuiguang&amp;utm_campaign=t_1000089893_156_0_184__1aaf00ca47fff68a&amp;utm_term=94b28be62c82be968d3d00523e5376e8&amp;purchasetab=gfgm" TargetMode="External" Id="rId4"/><Relationship Type="http://schemas.openxmlformats.org/officeDocument/2006/relationships/hyperlink" Target="https://item.jd.com/10052392698142.html?uabt=872_12138_1_0&amp;pcdk=Mf8Zq4cBIGXbrTRXqs8OiNMCHbX1Gi9qkPMbX8oJ9rI%3D.ZNqn.8PYs&amp;cu=true&amp;utm_source=lianmeng__10__kong__detail.zol.com.cn&amp;utm_medium=jingfen&amp;utm_campaign=t_2032288013_&amp;utm_term=9769d5671ef2ddcc39dbb7edc8a9b3d1&amp;purchasetab=gfgm" TargetMode="External" Id="rId5"/><Relationship Type="http://schemas.openxmlformats.org/officeDocument/2006/relationships/hyperlink" Target="https://item.jd.com/10052392698142.html?uabt=872_12138_1_0&amp;pcdk=Mf8Zq4cBIGXbrTRXqs8OiNMCHbX1Gi9qkPMbX8oJ9rI%3D.ZNqn.8PYs&amp;cu=true&amp;utm_source=lianmeng__10__kong__detail.zol.com.cn&amp;utm_medium=jingfen&amp;utm_campaign=t_2032288013_&amp;utm_term=9769d5671ef2ddcc39dbb7edc8a9b3d1&amp;purchasetab=gfgm" TargetMode="External" Id="rId6"/><Relationship Type="http://schemas.openxmlformats.org/officeDocument/2006/relationships/hyperlink" Target="https://item.jd.com/10052392698142.html?uabt=872_12138_1_0&amp;pcdk=Mf8Zq4cBIGXbrTRXqs8OiNMCHbX1Gi9qkPMbX8oJ9rI%3D.ZNqn.8PYs&amp;cu=true&amp;utm_source=lianmeng__10__kong__detail.zol.com.cn&amp;utm_medium=jingfen&amp;utm_campaign=t_2032288013_&amp;utm_term=9769d5671ef2ddcc39dbb7edc8a9b3d1&amp;purchasetab=gfgm" TargetMode="External" Id="rId7"/><Relationship Type="http://schemas.openxmlformats.org/officeDocument/2006/relationships/hyperlink" Target="https://item.jd.com/10052392698142.html?uabt=872_12138_1_0&amp;pcdk=Mf8Zq4cBIGXbrTRXqs8OiNMCHbX1Gi9qkPMbX8oJ9rI%3D.ZNqn.8PYs&amp;cu=true&amp;utm_source=lianmeng__10__kong__detail.zol.com.cn&amp;utm_medium=jingfen&amp;utm_campaign=t_2032288013_&amp;utm_term=9769d5671ef2ddcc39dbb7edc8a9b3d1&amp;purchasetab=gfgm" TargetMode="External" Id="rId8"/><Relationship Type="http://schemas.openxmlformats.org/officeDocument/2006/relationships/hyperlink" Target="https://item.jd.com/10052392698142.html?uabt=872_12138_1_0&amp;pcdk=Mf8Zq4cBIGXbrTRXqs8OiNMCHbX1Gi9qkPMbX8oJ9rI%3D.ZNqn.8PYs&amp;cu=true&amp;utm_source=lianmeng__10__kong__detail.zol.com.cn&amp;utm_medium=jingfen&amp;utm_campaign=t_2032288013_&amp;utm_term=9769d5671ef2ddcc39dbb7edc8a9b3d1&amp;purchasetab=gfgm" TargetMode="External" Id="rId9"/><Relationship Type="http://schemas.openxmlformats.org/officeDocument/2006/relationships/hyperlink" Target="https://www.bing.com/?scope=web&amp;FORM=ANAB01&amp;pc=NMTS" TargetMode="External" Id="rId10"/><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54.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56.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57.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59.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60.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61.xml.rels><Relationships xmlns="http://schemas.openxmlformats.org/package/2006/relationships"><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62.xml.rels><Relationships xmlns="http://schemas.openxmlformats.org/package/2006/relationships"><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64.xml.rels><Relationships xmlns="http://schemas.openxmlformats.org/package/2006/relationships"><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65.xml.rels><Relationships xmlns="http://schemas.openxmlformats.org/package/2006/relationships"><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68.xml.rels><Relationships xmlns="http://schemas.openxmlformats.org/package/2006/relationships"><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69.xml.rels><Relationships xmlns="http://schemas.openxmlformats.org/package/2006/relationships"><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70.xml.rels><Relationships xmlns="http://schemas.openxmlformats.org/package/2006/relationships"><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72.xml.rels><Relationships xmlns="http://schemas.openxmlformats.org/package/2006/relationships"><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74.xml.rels><Relationships xmlns="http://schemas.openxmlformats.org/package/2006/relationships"><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75.xml.rels><Relationships xmlns="http://schemas.openxmlformats.org/package/2006/relationships"><Relationship Type="http://schemas.openxmlformats.org/officeDocument/2006/relationships/comments" Target="/xl/comments/comment45.xml" Id="comments"/><Relationship Type="http://schemas.openxmlformats.org/officeDocument/2006/relationships/vmlDrawing" Target="/xl/drawings/commentsDrawing45.vml" Id="anysvml"/></Relationships>
</file>

<file path=xl/worksheets/_rels/sheet76.xml.rels><Relationships xmlns="http://schemas.openxmlformats.org/package/2006/relationships"><Relationship Type="http://schemas.openxmlformats.org/officeDocument/2006/relationships/comments" Target="/xl/comments/comment46.xml" Id="comments"/><Relationship Type="http://schemas.openxmlformats.org/officeDocument/2006/relationships/vmlDrawing" Target="/xl/drawings/commentsDrawing46.vml" Id="anysvml"/></Relationships>
</file>

<file path=xl/worksheets/_rels/sheet77.xml.rels><Relationships xmlns="http://schemas.openxmlformats.org/package/2006/relationships"><Relationship Type="http://schemas.openxmlformats.org/officeDocument/2006/relationships/comments" Target="/xl/comments/comment47.xml" Id="comments"/><Relationship Type="http://schemas.openxmlformats.org/officeDocument/2006/relationships/vmlDrawing" Target="/xl/drawings/commentsDrawing47.vml" Id="anysvml"/></Relationships>
</file>

<file path=xl/worksheets/_rels/sheet78.xml.rels><Relationships xmlns="http://schemas.openxmlformats.org/package/2006/relationships"><Relationship Type="http://schemas.openxmlformats.org/officeDocument/2006/relationships/comments" Target="/xl/comments/comment48.xml" Id="comments"/><Relationship Type="http://schemas.openxmlformats.org/officeDocument/2006/relationships/vmlDrawing" Target="/xl/drawings/commentsDrawing48.vml" Id="anysvml"/></Relationships>
</file>

<file path=xl/worksheets/_rels/sheet79.xml.rels><Relationships xmlns="http://schemas.openxmlformats.org/package/2006/relationships"><Relationship Type="http://schemas.openxmlformats.org/officeDocument/2006/relationships/comments" Target="/xl/comments/comment49.xml" Id="comments"/><Relationship Type="http://schemas.openxmlformats.org/officeDocument/2006/relationships/vmlDrawing" Target="/xl/drawings/commentsDrawing49.vml" Id="anysvml"/></Relationships>
</file>

<file path=xl/worksheets/_rels/sheet80.xml.rels><Relationships xmlns="http://schemas.openxmlformats.org/package/2006/relationships"><Relationship Type="http://schemas.openxmlformats.org/officeDocument/2006/relationships/comments" Target="/xl/comments/comment50.xml" Id="comments"/><Relationship Type="http://schemas.openxmlformats.org/officeDocument/2006/relationships/vmlDrawing" Target="/xl/drawings/commentsDrawing50.vml" Id="anysvml"/></Relationships>
</file>

<file path=xl/worksheets/_rels/sheet81.xml.rels><Relationships xmlns="http://schemas.openxmlformats.org/package/2006/relationships"><Relationship Type="http://schemas.openxmlformats.org/officeDocument/2006/relationships/comments" Target="/xl/comments/comment51.xml" Id="comments"/><Relationship Type="http://schemas.openxmlformats.org/officeDocument/2006/relationships/vmlDrawing" Target="/xl/drawings/commentsDrawing51.vml" Id="anysvml"/></Relationships>
</file>

<file path=xl/worksheets/_rels/sheet82.xml.rels><Relationships xmlns="http://schemas.openxmlformats.org/package/2006/relationships"><Relationship Type="http://schemas.openxmlformats.org/officeDocument/2006/relationships/comments" Target="/xl/comments/comment52.xml" Id="comments"/><Relationship Type="http://schemas.openxmlformats.org/officeDocument/2006/relationships/vmlDrawing" Target="/xl/drawings/commentsDrawing52.vml" Id="anysvml"/></Relationships>
</file>

<file path=xl/worksheets/_rels/sheet83.xml.rels><Relationships xmlns="http://schemas.openxmlformats.org/package/2006/relationships"><Relationship Type="http://schemas.openxmlformats.org/officeDocument/2006/relationships/comments" Target="/xl/comments/comment53.xml" Id="comments"/><Relationship Type="http://schemas.openxmlformats.org/officeDocument/2006/relationships/vmlDrawing" Target="/xl/drawings/commentsDrawing53.vml" Id="anysvml"/></Relationships>
</file>

<file path=xl/worksheets/_rels/sheet84.xml.rels><Relationships xmlns="http://schemas.openxmlformats.org/package/2006/relationships"><Relationship Type="http://schemas.openxmlformats.org/officeDocument/2006/relationships/comments" Target="/xl/comments/comment54.xml" Id="comments"/><Relationship Type="http://schemas.openxmlformats.org/officeDocument/2006/relationships/vmlDrawing" Target="/xl/drawings/commentsDrawing54.vml" Id="anysvml"/></Relationships>
</file>

<file path=xl/worksheets/_rels/sheet87.xml.rels><Relationships xmlns="http://schemas.openxmlformats.org/package/2006/relationships"><Relationship Type="http://schemas.openxmlformats.org/officeDocument/2006/relationships/comments" Target="/xl/comments/comment55.xml" Id="comments"/><Relationship Type="http://schemas.openxmlformats.org/officeDocument/2006/relationships/vmlDrawing" Target="/xl/drawings/commentsDrawing55.vml" Id="anysvml"/></Relationships>
</file>

<file path=xl/worksheets/_rels/sheet89.xml.rels><Relationships xmlns="http://schemas.openxmlformats.org/package/2006/relationships"><Relationship Type="http://schemas.openxmlformats.org/officeDocument/2006/relationships/comments" Target="/xl/comments/comment56.xml" Id="comments"/><Relationship Type="http://schemas.openxmlformats.org/officeDocument/2006/relationships/vmlDrawing" Target="/xl/drawings/commentsDrawing56.vml" Id="anysvml"/></Relationships>
</file>

<file path=xl/worksheets/sheet1.xml><?xml version="1.0" encoding="utf-8"?>
<worksheet xmlns="http://schemas.openxmlformats.org/spreadsheetml/2006/main">
  <sheetPr codeName="Sheet1">
    <outlinePr summaryBelow="1" summaryRight="1"/>
    <pageSetUpPr/>
  </sheetPr>
  <dimension ref="A1:A1"/>
  <sheetViews>
    <sheetView showGridLines="0" showRowColHeaders="0" showZeros="0" showOutlineSymbols="0" topLeftCell="B20136" zoomScaleSheetLayoutView="10" workbookViewId="0">
      <selection activeCell="G451" sqref="G451"/>
    </sheetView>
  </sheetViews>
  <sheetFormatPr baseColWidth="8" defaultColWidth="9" defaultRowHeight="15.5"/>
  <sheetData/>
  <pageMargins left="0.75" right="0.75" top="1" bottom="1" header="0.5" footer="0.5"/>
  <pageSetup orientation="portrait" paperSize="9"/>
</worksheet>
</file>

<file path=xl/worksheets/sheet2.xml><?xml version="1.0" encoding="utf-8"?>
<worksheet xmlns="http://schemas.openxmlformats.org/spreadsheetml/2006/main">
  <sheetPr codeName="Sheet2">
    <outlinePr summaryBelow="1" summaryRight="1"/>
    <pageSetUpPr/>
  </sheetPr>
  <dimension ref="A1:Q42"/>
  <sheetViews>
    <sheetView view="pageBreakPreview" topLeftCell="A4" zoomScale="110" zoomScaleNormal="100" workbookViewId="0">
      <selection activeCell="G451" sqref="G451"/>
    </sheetView>
  </sheetViews>
  <sheetFormatPr baseColWidth="8" defaultColWidth="9" defaultRowHeight="15.5"/>
  <cols>
    <col width="2" customWidth="1" style="303" min="1" max="1"/>
    <col width="3.25" customWidth="1" style="303" min="2" max="2"/>
    <col width="3.33333333333333" customWidth="1" style="303" min="3" max="3"/>
    <col width="22.75" customWidth="1" style="303" min="4" max="4"/>
    <col width="3.25" customWidth="1" style="303" min="5" max="5"/>
    <col width="5.25" customWidth="1" style="303" min="6" max="6"/>
    <col width="3.33333333333333" customWidth="1" style="303" min="7" max="7"/>
    <col width="3.08333333333333" customWidth="1" style="303" min="8" max="8"/>
    <col width="3.33333333333333" customWidth="1" style="303" min="9" max="9"/>
    <col width="3.08333333333333" customWidth="1" style="303" min="10" max="10"/>
    <col width="3.33333333333333" customWidth="1" style="303" min="11" max="11"/>
    <col width="4.25" customWidth="1" style="303" min="12" max="12"/>
    <col width="5.08333333333333" customWidth="1" style="303" min="13" max="13"/>
    <col width="3.08333333333333" customWidth="1" style="303" min="14" max="14"/>
    <col width="3.25" customWidth="1" style="303" min="15" max="15"/>
    <col width="4.25" customWidth="1" style="303" min="16" max="16"/>
    <col width="9" customWidth="1" style="303" min="17" max="17"/>
    <col width="8.75" customWidth="1" style="303" min="18" max="18"/>
    <col width="9" customWidth="1" style="303" min="19" max="16384"/>
  </cols>
  <sheetData>
    <row r="1" ht="20.25" customHeight="1">
      <c r="A1" s="404" t="n"/>
      <c r="B1" s="405" t="inlineStr">
        <is>
          <t>索引页</t>
        </is>
      </c>
      <c r="C1" s="406" t="n"/>
      <c r="D1" s="407" t="n"/>
      <c r="E1" s="407" t="n"/>
      <c r="F1" s="407" t="n"/>
      <c r="G1" s="407" t="n"/>
      <c r="H1" s="407" t="n"/>
      <c r="I1" s="407" t="n"/>
      <c r="J1" s="407" t="n"/>
      <c r="K1" s="407" t="n"/>
      <c r="L1" s="407" t="n"/>
      <c r="M1" s="407" t="n"/>
      <c r="N1" s="407" t="n"/>
      <c r="O1" s="407" t="n"/>
      <c r="P1" s="408" t="n"/>
      <c r="Q1" s="409" t="n"/>
    </row>
    <row r="2" ht="18" customHeight="1">
      <c r="A2" s="408" t="n"/>
      <c r="B2" s="410" t="n"/>
      <c r="C2" s="411" t="n"/>
      <c r="D2" s="411" t="n"/>
      <c r="E2" s="411" t="n"/>
      <c r="F2" s="411" t="n"/>
      <c r="G2" s="411" t="n"/>
      <c r="H2" s="411" t="n"/>
      <c r="I2" s="411" t="n"/>
      <c r="J2" s="411" t="n"/>
      <c r="K2" s="411" t="n"/>
      <c r="L2" s="411" t="n"/>
      <c r="M2" s="411" t="n"/>
      <c r="N2" s="411" t="n"/>
      <c r="O2" s="412" t="n"/>
      <c r="P2" s="413" t="n"/>
      <c r="Q2" s="414" t="n"/>
    </row>
    <row r="3" hidden="1" ht="30.75" customHeight="1">
      <c r="A3" s="488" t="n"/>
      <c r="B3" s="416" t="n"/>
      <c r="C3" s="417" t="n"/>
      <c r="D3" s="418" t="n"/>
      <c r="E3" s="418" t="n"/>
      <c r="F3" s="418" t="n"/>
      <c r="G3" s="418" t="n"/>
      <c r="H3" s="418" t="n"/>
      <c r="I3" s="418" t="n"/>
      <c r="J3" s="418" t="n"/>
      <c r="K3" s="418" t="n"/>
      <c r="L3" s="418" t="n"/>
      <c r="M3" s="418" t="n"/>
      <c r="N3" s="419" t="n"/>
      <c r="O3" s="420" t="n"/>
      <c r="P3" s="421" t="n"/>
      <c r="Q3" s="414" t="n"/>
    </row>
    <row r="4" ht="45.75" customHeight="1">
      <c r="A4" s="488" t="n"/>
      <c r="B4" s="422" t="n"/>
      <c r="C4" s="423" t="inlineStr">
        <is>
          <t>资 产 评 估 申 报 表</t>
        </is>
      </c>
      <c r="N4" s="424" t="n"/>
      <c r="O4" s="425" t="n"/>
      <c r="P4" s="421" t="n"/>
      <c r="Q4" s="414" t="n"/>
    </row>
    <row r="5" ht="21.75" customHeight="1">
      <c r="A5" s="489" t="n"/>
      <c r="B5" s="422" t="n"/>
      <c r="C5" s="427" t="n"/>
      <c r="D5" s="428" t="inlineStr">
        <is>
          <t>企业填写以下内容</t>
        </is>
      </c>
      <c r="N5" s="429" t="n"/>
      <c r="O5" s="425" t="n"/>
      <c r="P5" s="430" t="n"/>
      <c r="Q5" s="414" t="n"/>
    </row>
    <row r="6" hidden="1" ht="6" customHeight="1">
      <c r="A6" s="408" t="n"/>
      <c r="B6" s="422" t="n"/>
      <c r="C6" s="431" t="n"/>
      <c r="D6" s="432" t="n"/>
      <c r="N6" s="424" t="n"/>
      <c r="O6" s="425" t="n"/>
      <c r="P6" s="421" t="n"/>
      <c r="Q6" s="414" t="n"/>
    </row>
    <row r="7" ht="20.25" customHeight="1">
      <c r="A7" s="408" t="n"/>
      <c r="B7" s="422" t="n"/>
      <c r="C7" s="431" t="n"/>
      <c r="D7" s="433" t="inlineStr">
        <is>
          <t>被评估单位：</t>
        </is>
      </c>
      <c r="E7" s="434" t="n"/>
      <c r="F7" s="435"/>
      <c r="G7" s="434" t="n"/>
      <c r="H7" s="434" t="n"/>
      <c r="I7" s="434" t="n"/>
      <c r="J7" s="434" t="n"/>
      <c r="K7" s="434" t="n"/>
      <c r="L7" s="434" t="n"/>
      <c r="M7" s="436" t="n"/>
      <c r="N7" s="424" t="n"/>
      <c r="O7" s="425" t="n"/>
      <c r="P7" s="421" t="n"/>
      <c r="Q7" s="437" t="inlineStr">
        <is>
          <t>评估对象是企业整体资产时，为被评估企业，评估对象是单项资产时，为产权持有单位</t>
        </is>
      </c>
    </row>
    <row r="8" ht="9" customHeight="1">
      <c r="A8" s="408" t="n"/>
      <c r="B8" s="422" t="n"/>
      <c r="C8" s="431" t="n"/>
      <c r="D8" s="438" t="n"/>
      <c r="E8" s="439" t="n"/>
      <c r="F8" s="439" t="n"/>
      <c r="G8" s="439" t="n"/>
      <c r="H8" s="439" t="n"/>
      <c r="I8" s="439" t="n"/>
      <c r="J8" s="439" t="n"/>
      <c r="K8" s="439" t="n"/>
      <c r="L8" s="439" t="n"/>
      <c r="M8" s="440" t="n"/>
      <c r="N8" s="424" t="n"/>
      <c r="O8" s="425" t="n"/>
      <c r="P8" s="421" t="n"/>
      <c r="Q8" s="441" t="n"/>
    </row>
    <row r="9" ht="20.25" customHeight="1">
      <c r="A9" s="408" t="n"/>
      <c r="B9" s="422" t="n"/>
      <c r="C9" s="431" t="n"/>
      <c r="D9" s="442" t="inlineStr">
        <is>
          <t>评估基准日：</t>
        </is>
      </c>
      <c r="E9" s="138" t="n"/>
      <c r="F9" s="443"/>
      <c r="G9" s="444" t="inlineStr">
        <is>
          <t>年</t>
        </is>
      </c>
      <c r="H9" s="443"/>
      <c r="I9" s="444" t="inlineStr">
        <is>
          <t>月</t>
        </is>
      </c>
      <c r="J9" s="443"/>
      <c r="K9" s="444" t="inlineStr">
        <is>
          <t>日</t>
        </is>
      </c>
      <c r="L9" s="445" t="n"/>
      <c r="M9" s="446" t="n"/>
      <c r="N9" s="424" t="n"/>
      <c r="O9" s="425" t="n"/>
      <c r="P9" s="421" t="n"/>
      <c r="Q9" s="441" t="n"/>
    </row>
    <row r="10" ht="9" customHeight="1">
      <c r="A10" s="408" t="n"/>
      <c r="B10" s="422" t="n"/>
      <c r="C10" s="431" t="n"/>
      <c r="D10" s="447" t="n"/>
      <c r="E10" s="448" t="n"/>
      <c r="F10" s="449" t="n"/>
      <c r="G10" s="449" t="n"/>
      <c r="H10" s="449" t="n"/>
      <c r="I10" s="449" t="n"/>
      <c r="J10" s="449" t="n"/>
      <c r="K10" s="449" t="n"/>
      <c r="L10" s="448" t="n"/>
      <c r="M10" s="450" t="n"/>
      <c r="N10" s="424" t="n"/>
      <c r="O10" s="425" t="n"/>
      <c r="P10" s="421" t="n"/>
      <c r="Q10" s="441" t="n"/>
    </row>
    <row r="11" ht="20.25" customHeight="1">
      <c r="A11" s="408" t="n"/>
      <c r="B11" s="422" t="n"/>
      <c r="C11" s="431" t="n"/>
      <c r="D11" s="451" t="inlineStr">
        <is>
          <t>被评估单位填表人：</t>
        </is>
      </c>
      <c r="E11" s="452" t="n"/>
      <c r="F11" s="452" t="n"/>
      <c r="G11" s="453" t="n"/>
      <c r="H11" s="452" t="n"/>
      <c r="I11" s="452" t="n"/>
      <c r="J11" s="452" t="n"/>
      <c r="K11" s="452" t="n"/>
      <c r="L11" s="452" t="n"/>
      <c r="M11" s="454" t="n"/>
      <c r="N11" s="424" t="n"/>
      <c r="O11" s="425" t="n"/>
      <c r="P11" s="421" t="n"/>
      <c r="Q11" s="441" t="inlineStr">
        <is>
          <t>同第一行</t>
        </is>
      </c>
    </row>
    <row r="12" ht="9" customHeight="1">
      <c r="A12" s="408" t="n"/>
      <c r="B12" s="422" t="n"/>
      <c r="C12" s="431" t="n"/>
      <c r="D12" s="455" t="n"/>
      <c r="E12" s="456" t="n"/>
      <c r="F12" s="456" t="n"/>
      <c r="G12" s="456" t="n"/>
      <c r="H12" s="456" t="n"/>
      <c r="I12" s="456" t="n"/>
      <c r="J12" s="456" t="n"/>
      <c r="K12" s="456" t="n"/>
      <c r="L12" s="456" t="n"/>
      <c r="M12" s="457" t="n"/>
      <c r="N12" s="424" t="n"/>
      <c r="O12" s="425" t="n"/>
      <c r="P12" s="421" t="n"/>
      <c r="Q12" s="458" t="n"/>
    </row>
    <row r="13" ht="20.25" customHeight="1">
      <c r="A13" s="408" t="n"/>
      <c r="B13" s="422" t="n"/>
      <c r="C13" s="431" t="n"/>
      <c r="D13" s="459" t="inlineStr">
        <is>
          <t>填表日期：</t>
        </is>
      </c>
      <c r="E13" s="460" t="n"/>
      <c r="F13" s="461"/>
      <c r="G13" s="462" t="inlineStr">
        <is>
          <t>年</t>
        </is>
      </c>
      <c r="H13" s="461"/>
      <c r="I13" s="462" t="inlineStr">
        <is>
          <t>月</t>
        </is>
      </c>
      <c r="J13" s="461"/>
      <c r="K13" s="462" t="inlineStr">
        <is>
          <t>日</t>
        </is>
      </c>
      <c r="L13" s="463" t="n"/>
      <c r="M13" s="464" t="n"/>
      <c r="N13" s="424" t="n"/>
      <c r="O13" s="425" t="n"/>
      <c r="P13" s="421" t="n"/>
      <c r="Q13" s="458" t="n"/>
    </row>
    <row r="14" ht="9" customHeight="1">
      <c r="A14" s="408" t="n"/>
      <c r="B14" s="422" t="n"/>
      <c r="C14" s="431" t="n"/>
      <c r="D14" s="465" t="n"/>
      <c r="N14" s="424" t="n"/>
      <c r="O14" s="425" t="n"/>
      <c r="P14" s="421" t="n"/>
      <c r="Q14" s="466" t="n"/>
    </row>
    <row r="15" ht="22.5" customHeight="1">
      <c r="A15" s="408" t="n"/>
      <c r="B15" s="422" t="n"/>
      <c r="C15" s="431" t="n"/>
      <c r="D15" s="428" t="inlineStr">
        <is>
          <t>评估机构填写以下内容</t>
        </is>
      </c>
      <c r="N15" s="424" t="n"/>
      <c r="O15" s="425" t="n"/>
      <c r="P15" s="421" t="n"/>
      <c r="Q15" s="414" t="n"/>
    </row>
    <row r="16" ht="20.25" customHeight="1">
      <c r="A16" s="408" t="n"/>
      <c r="B16" s="422" t="n"/>
      <c r="C16" s="431" t="n"/>
      <c r="D16" s="467" t="inlineStr">
        <is>
          <t>项目负责人：</t>
        </is>
      </c>
      <c r="E16" s="468" t="n"/>
      <c r="F16" s="469" t="n"/>
      <c r="G16" s="434" t="n"/>
      <c r="H16" s="434" t="n"/>
      <c r="I16" s="434" t="n"/>
      <c r="J16" s="434" t="n"/>
      <c r="K16" s="434" t="n"/>
      <c r="L16" s="434" t="n"/>
      <c r="M16" s="436" t="n"/>
      <c r="N16" s="424" t="n"/>
      <c r="O16" s="425" t="n"/>
      <c r="P16" s="421" t="n"/>
      <c r="Q16" s="414" t="n"/>
    </row>
    <row r="17" ht="9.75" customHeight="1">
      <c r="A17" s="408" t="n"/>
      <c r="B17" s="422" t="n"/>
      <c r="C17" s="431" t="n"/>
      <c r="D17" s="470" t="n"/>
      <c r="E17" s="471" t="n"/>
      <c r="F17" s="471" t="n"/>
      <c r="G17" s="471" t="n"/>
      <c r="H17" s="471" t="n"/>
      <c r="I17" s="471" t="n"/>
      <c r="J17" s="471" t="n"/>
      <c r="K17" s="471" t="n"/>
      <c r="L17" s="471" t="n"/>
      <c r="M17" s="472" t="n"/>
      <c r="N17" s="424" t="n"/>
      <c r="O17" s="425" t="n"/>
      <c r="P17" s="421" t="n"/>
      <c r="Q17" s="414" t="n"/>
    </row>
    <row r="18" ht="20.25" customHeight="1">
      <c r="A18" s="408" t="n"/>
      <c r="B18" s="422" t="n"/>
      <c r="C18" s="431" t="n"/>
      <c r="D18" s="473" t="inlineStr">
        <is>
          <t>签字注册资产评估师：</t>
        </is>
      </c>
      <c r="E18" s="138" t="n"/>
      <c r="F18" s="138" t="n"/>
      <c r="G18" s="474" t="n"/>
      <c r="H18" s="452" t="n"/>
      <c r="I18" s="452" t="n"/>
      <c r="J18" s="452" t="n"/>
      <c r="K18" s="452" t="n"/>
      <c r="L18" s="452" t="n"/>
      <c r="M18" s="454" t="n"/>
      <c r="N18" s="424" t="n"/>
      <c r="O18" s="425" t="n"/>
      <c r="P18" s="421" t="n"/>
      <c r="Q18" s="414" t="n"/>
    </row>
    <row r="19" ht="9.75" customHeight="1">
      <c r="A19" s="408" t="n"/>
      <c r="B19" s="422" t="n"/>
      <c r="C19" s="431" t="n"/>
      <c r="D19" s="470" t="n"/>
      <c r="E19" s="471" t="n"/>
      <c r="F19" s="471" t="n"/>
      <c r="G19" s="471" t="n"/>
      <c r="H19" s="471" t="n"/>
      <c r="I19" s="471" t="n"/>
      <c r="J19" s="471" t="n"/>
      <c r="K19" s="471" t="n"/>
      <c r="L19" s="471" t="n"/>
      <c r="M19" s="472" t="n"/>
      <c r="N19" s="424" t="n"/>
      <c r="O19" s="425" t="n"/>
      <c r="P19" s="421" t="n"/>
      <c r="Q19" s="414" t="n"/>
    </row>
    <row r="20" ht="20.25" customHeight="1">
      <c r="A20" s="408" t="n"/>
      <c r="B20" s="422" t="n"/>
      <c r="C20" s="431" t="n"/>
      <c r="D20" s="473" t="inlineStr">
        <is>
          <t>流动资产评估人员：</t>
        </is>
      </c>
      <c r="E20" s="138" t="n"/>
      <c r="F20" s="138" t="n"/>
      <c r="G20" s="474" t="n"/>
      <c r="H20" s="452" t="n"/>
      <c r="I20" s="452" t="n"/>
      <c r="J20" s="452" t="n"/>
      <c r="K20" s="452" t="n"/>
      <c r="L20" s="452" t="n"/>
      <c r="M20" s="454" t="n"/>
      <c r="N20" s="424" t="n"/>
      <c r="O20" s="425" t="n"/>
      <c r="P20" s="421" t="n"/>
      <c r="Q20" s="414" t="n"/>
    </row>
    <row r="21" ht="9" customHeight="1">
      <c r="A21" s="408" t="n"/>
      <c r="B21" s="422" t="n"/>
      <c r="C21" s="431" t="n"/>
      <c r="D21" s="470" t="n"/>
      <c r="E21" s="471" t="n"/>
      <c r="F21" s="471" t="n"/>
      <c r="G21" s="471" t="n"/>
      <c r="H21" s="471" t="n"/>
      <c r="I21" s="471" t="n"/>
      <c r="J21" s="471" t="n"/>
      <c r="K21" s="471" t="n"/>
      <c r="L21" s="471" t="n"/>
      <c r="M21" s="472" t="n"/>
      <c r="N21" s="424" t="n"/>
      <c r="O21" s="425" t="n"/>
      <c r="P21" s="421" t="n"/>
      <c r="Q21" s="414" t="n"/>
    </row>
    <row r="22" ht="20.25" customHeight="1">
      <c r="A22" s="408" t="n"/>
      <c r="B22" s="422" t="n"/>
      <c r="C22" s="431" t="n"/>
      <c r="D22" s="473" t="inlineStr">
        <is>
          <t>长期投资评估人员：</t>
        </is>
      </c>
      <c r="E22" s="138" t="n"/>
      <c r="F22" s="138" t="n"/>
      <c r="G22" s="474" t="n"/>
      <c r="H22" s="452" t="n"/>
      <c r="I22" s="452" t="n"/>
      <c r="J22" s="452" t="n"/>
      <c r="K22" s="452" t="n"/>
      <c r="L22" s="452" t="n"/>
      <c r="M22" s="454" t="n"/>
      <c r="N22" s="424" t="n"/>
      <c r="O22" s="425" t="n"/>
      <c r="P22" s="421" t="n"/>
      <c r="Q22" s="414" t="n"/>
    </row>
    <row r="23" ht="9" customHeight="1">
      <c r="A23" s="408" t="n"/>
      <c r="B23" s="422" t="n"/>
      <c r="C23" s="431" t="n"/>
      <c r="D23" s="470" t="n"/>
      <c r="E23" s="471" t="n"/>
      <c r="F23" s="471" t="n"/>
      <c r="G23" s="471" t="n"/>
      <c r="H23" s="471" t="n"/>
      <c r="I23" s="471" t="n"/>
      <c r="J23" s="471" t="n"/>
      <c r="K23" s="471" t="n"/>
      <c r="L23" s="471" t="n"/>
      <c r="M23" s="472" t="n"/>
      <c r="N23" s="424" t="n"/>
      <c r="O23" s="425" t="n"/>
      <c r="P23" s="421" t="n"/>
      <c r="Q23" s="414" t="n"/>
    </row>
    <row r="24" ht="20.25" customHeight="1">
      <c r="A24" s="408" t="n"/>
      <c r="B24" s="422" t="n"/>
      <c r="C24" s="431" t="n"/>
      <c r="D24" s="473" t="inlineStr">
        <is>
          <t>房  屋  类评估人员：</t>
        </is>
      </c>
      <c r="E24" s="138" t="n"/>
      <c r="F24" s="138" t="n"/>
      <c r="G24" s="474" t="n"/>
      <c r="H24" s="452" t="n"/>
      <c r="I24" s="452" t="n"/>
      <c r="J24" s="452" t="n"/>
      <c r="K24" s="452" t="n"/>
      <c r="L24" s="452" t="n"/>
      <c r="M24" s="454" t="n"/>
      <c r="N24" s="424" t="n"/>
      <c r="O24" s="425" t="n"/>
      <c r="P24" s="421" t="n"/>
      <c r="Q24" s="414" t="n"/>
    </row>
    <row r="25" ht="9.75" customHeight="1">
      <c r="A25" s="408" t="n"/>
      <c r="B25" s="422" t="n"/>
      <c r="C25" s="431" t="n"/>
      <c r="D25" s="470" t="n"/>
      <c r="E25" s="471" t="n"/>
      <c r="F25" s="471" t="n"/>
      <c r="G25" s="471" t="n"/>
      <c r="H25" s="471" t="n"/>
      <c r="I25" s="471" t="n"/>
      <c r="J25" s="471" t="n"/>
      <c r="K25" s="471" t="n"/>
      <c r="L25" s="471" t="n"/>
      <c r="M25" s="472" t="n"/>
      <c r="N25" s="424" t="n"/>
      <c r="O25" s="425" t="n"/>
      <c r="P25" s="421" t="n"/>
      <c r="Q25" s="414" t="n"/>
    </row>
    <row r="26" ht="20.25" customHeight="1">
      <c r="A26" s="408" t="n"/>
      <c r="B26" s="422" t="n"/>
      <c r="C26" s="431" t="n"/>
      <c r="D26" s="473" t="inlineStr">
        <is>
          <t>设  备  类评估人员：</t>
        </is>
      </c>
      <c r="E26" s="138" t="n"/>
      <c r="F26" s="138" t="n"/>
      <c r="G26" s="474" t="n"/>
      <c r="H26" s="452" t="n"/>
      <c r="I26" s="452" t="n"/>
      <c r="J26" s="452" t="n"/>
      <c r="K26" s="452" t="n"/>
      <c r="L26" s="452" t="n"/>
      <c r="M26" s="454" t="n"/>
      <c r="N26" s="424" t="n"/>
      <c r="O26" s="425" t="n"/>
      <c r="P26" s="421" t="n"/>
      <c r="Q26" s="414" t="n"/>
    </row>
    <row r="27" ht="9.75" customHeight="1">
      <c r="A27" s="408" t="n"/>
      <c r="B27" s="422" t="n"/>
      <c r="C27" s="431" t="n"/>
      <c r="D27" s="470" t="n"/>
      <c r="E27" s="471" t="n"/>
      <c r="F27" s="471" t="n"/>
      <c r="G27" s="471" t="n"/>
      <c r="H27" s="471" t="n"/>
      <c r="I27" s="471" t="n"/>
      <c r="J27" s="471" t="n"/>
      <c r="K27" s="471" t="n"/>
      <c r="L27" s="471" t="n"/>
      <c r="M27" s="472" t="n"/>
      <c r="N27" s="424" t="n"/>
      <c r="O27" s="425" t="n"/>
      <c r="P27" s="421" t="n"/>
      <c r="Q27" s="414" t="n"/>
    </row>
    <row r="28" ht="20.25" customHeight="1">
      <c r="A28" s="408" t="n"/>
      <c r="B28" s="422" t="n"/>
      <c r="C28" s="431" t="n"/>
      <c r="D28" s="473" t="inlineStr">
        <is>
          <t>土        地评估人员：</t>
        </is>
      </c>
      <c r="E28" s="138" t="n"/>
      <c r="F28" s="138" t="n"/>
      <c r="G28" s="474" t="n"/>
      <c r="H28" s="452" t="n"/>
      <c r="I28" s="452" t="n"/>
      <c r="J28" s="452" t="n"/>
      <c r="K28" s="452" t="n"/>
      <c r="L28" s="452" t="n"/>
      <c r="M28" s="454" t="n"/>
      <c r="N28" s="424" t="n"/>
      <c r="O28" s="425" t="n"/>
      <c r="P28" s="421" t="n"/>
      <c r="Q28" s="414" t="n"/>
    </row>
    <row r="29" ht="9.75" customHeight="1">
      <c r="A29" s="408" t="n"/>
      <c r="B29" s="422" t="n"/>
      <c r="C29" s="431" t="n"/>
      <c r="D29" s="470" t="n"/>
      <c r="E29" s="471" t="n"/>
      <c r="F29" s="471" t="n"/>
      <c r="G29" s="471" t="n"/>
      <c r="H29" s="471" t="n"/>
      <c r="I29" s="471" t="n"/>
      <c r="J29" s="471" t="n"/>
      <c r="K29" s="471" t="n"/>
      <c r="L29" s="471" t="n"/>
      <c r="M29" s="472" t="n"/>
      <c r="N29" s="424" t="n"/>
      <c r="O29" s="425" t="n"/>
      <c r="P29" s="421" t="n"/>
      <c r="Q29" s="414" t="n"/>
    </row>
    <row r="30" ht="20.25" customHeight="1">
      <c r="A30" s="408" t="n"/>
      <c r="B30" s="422" t="n"/>
      <c r="C30" s="431" t="n"/>
      <c r="D30" s="473" t="inlineStr">
        <is>
          <t>生物资产评估人员：</t>
        </is>
      </c>
      <c r="E30" s="138" t="n"/>
      <c r="F30" s="138" t="n"/>
      <c r="G30" s="474" t="n"/>
      <c r="H30" s="452" t="n"/>
      <c r="I30" s="452" t="n"/>
      <c r="J30" s="452" t="n"/>
      <c r="K30" s="452" t="n"/>
      <c r="L30" s="452" t="n"/>
      <c r="M30" s="454" t="n"/>
      <c r="N30" s="424" t="n"/>
      <c r="O30" s="425" t="n"/>
      <c r="P30" s="421" t="n"/>
      <c r="Q30" s="414" t="n"/>
    </row>
    <row r="31" ht="9.75" customHeight="1">
      <c r="A31" s="408" t="n"/>
      <c r="B31" s="422" t="n"/>
      <c r="C31" s="431" t="n"/>
      <c r="D31" s="470" t="n"/>
      <c r="E31" s="471" t="n"/>
      <c r="F31" s="471" t="n"/>
      <c r="G31" s="471" t="n"/>
      <c r="H31" s="471" t="n"/>
      <c r="I31" s="471" t="n"/>
      <c r="J31" s="471" t="n"/>
      <c r="K31" s="471" t="n"/>
      <c r="L31" s="471" t="n"/>
      <c r="M31" s="472" t="n"/>
      <c r="N31" s="424" t="n"/>
      <c r="O31" s="425" t="n"/>
      <c r="P31" s="421" t="n"/>
      <c r="Q31" s="414" t="n"/>
    </row>
    <row r="32" ht="20.25" customHeight="1">
      <c r="A32" s="408" t="n"/>
      <c r="B32" s="422" t="n"/>
      <c r="C32" s="431" t="n"/>
      <c r="D32" s="473" t="inlineStr">
        <is>
          <t>油气资产评估人员：</t>
        </is>
      </c>
      <c r="E32" s="138" t="n"/>
      <c r="F32" s="138" t="n"/>
      <c r="G32" s="474" t="n"/>
      <c r="H32" s="452" t="n"/>
      <c r="I32" s="452" t="n"/>
      <c r="J32" s="452" t="n"/>
      <c r="K32" s="452" t="n"/>
      <c r="L32" s="452" t="n"/>
      <c r="M32" s="454" t="n"/>
      <c r="N32" s="424" t="n"/>
      <c r="O32" s="425" t="n"/>
      <c r="P32" s="421" t="n"/>
      <c r="Q32" s="414" t="n"/>
    </row>
    <row r="33" ht="9.75" customHeight="1">
      <c r="A33" s="408" t="n"/>
      <c r="B33" s="422" t="n"/>
      <c r="C33" s="431" t="n"/>
      <c r="D33" s="470" t="n"/>
      <c r="E33" s="471" t="n"/>
      <c r="F33" s="471" t="n"/>
      <c r="G33" s="471" t="n"/>
      <c r="H33" s="471" t="n"/>
      <c r="I33" s="471" t="n"/>
      <c r="J33" s="471" t="n"/>
      <c r="K33" s="471" t="n"/>
      <c r="L33" s="471" t="n"/>
      <c r="M33" s="472" t="n"/>
      <c r="N33" s="424" t="n"/>
      <c r="O33" s="425" t="n"/>
      <c r="P33" s="421" t="n"/>
      <c r="Q33" s="414" t="n"/>
    </row>
    <row r="34" ht="20.25" customHeight="1">
      <c r="A34" s="408" t="n"/>
      <c r="B34" s="422" t="n"/>
      <c r="C34" s="431" t="n"/>
      <c r="D34" s="473" t="inlineStr">
        <is>
          <t>其他无形评估人员：</t>
        </is>
      </c>
      <c r="E34" s="138" t="n"/>
      <c r="F34" s="138" t="n"/>
      <c r="G34" s="474" t="n"/>
      <c r="H34" s="452" t="n"/>
      <c r="I34" s="452" t="n"/>
      <c r="J34" s="452" t="n"/>
      <c r="K34" s="452" t="n"/>
      <c r="L34" s="452" t="n"/>
      <c r="M34" s="454" t="n"/>
      <c r="N34" s="424" t="n"/>
      <c r="O34" s="425" t="n"/>
      <c r="P34" s="421" t="n"/>
      <c r="Q34" s="414" t="n"/>
    </row>
    <row r="35" ht="9.75" customHeight="1">
      <c r="A35" s="408" t="n"/>
      <c r="B35" s="422" t="n"/>
      <c r="C35" s="431" t="n"/>
      <c r="D35" s="470" t="n"/>
      <c r="E35" s="471" t="n"/>
      <c r="F35" s="471" t="n"/>
      <c r="G35" s="471" t="n"/>
      <c r="H35" s="471" t="n"/>
      <c r="I35" s="471" t="n"/>
      <c r="J35" s="471" t="n"/>
      <c r="K35" s="471" t="n"/>
      <c r="L35" s="471" t="n"/>
      <c r="M35" s="472" t="n"/>
      <c r="N35" s="424" t="n"/>
      <c r="O35" s="425" t="n"/>
      <c r="P35" s="421" t="n"/>
      <c r="Q35" s="414" t="n"/>
    </row>
    <row r="36" ht="20.25" customHeight="1">
      <c r="A36" s="408" t="n"/>
      <c r="B36" s="422" t="n"/>
      <c r="C36" s="431" t="n"/>
      <c r="D36" s="473" t="inlineStr">
        <is>
          <t>其他资产评估人员：</t>
        </is>
      </c>
      <c r="E36" s="138" t="n"/>
      <c r="F36" s="138" t="n"/>
      <c r="G36" s="474" t="n"/>
      <c r="H36" s="452" t="n"/>
      <c r="I36" s="452" t="n"/>
      <c r="J36" s="452" t="n"/>
      <c r="K36" s="452" t="n"/>
      <c r="L36" s="452" t="n"/>
      <c r="M36" s="454" t="n"/>
      <c r="N36" s="424" t="n"/>
      <c r="O36" s="425" t="n"/>
      <c r="P36" s="421" t="n"/>
      <c r="Q36" s="414" t="n"/>
    </row>
    <row r="37" ht="9.75" customHeight="1">
      <c r="A37" s="408" t="n"/>
      <c r="B37" s="422" t="n"/>
      <c r="C37" s="431" t="n"/>
      <c r="D37" s="470" t="n"/>
      <c r="E37" s="471" t="n"/>
      <c r="F37" s="471" t="n"/>
      <c r="G37" s="471" t="n"/>
      <c r="H37" s="471" t="n"/>
      <c r="I37" s="471" t="n"/>
      <c r="J37" s="471" t="n"/>
      <c r="K37" s="471" t="n"/>
      <c r="L37" s="471" t="n"/>
      <c r="M37" s="472" t="n"/>
      <c r="N37" s="424" t="n"/>
      <c r="O37" s="425" t="n"/>
      <c r="P37" s="421" t="n"/>
      <c r="Q37" s="414" t="n"/>
    </row>
    <row r="38" ht="20.25" customHeight="1">
      <c r="A38" s="408" t="n"/>
      <c r="B38" s="422" t="n"/>
      <c r="C38" s="431" t="n"/>
      <c r="D38" s="459" t="inlineStr">
        <is>
          <t>负    债类评估人员：</t>
        </is>
      </c>
      <c r="E38" s="460" t="n"/>
      <c r="F38" s="460" t="n"/>
      <c r="G38" s="475" t="n"/>
      <c r="H38" s="476" t="n"/>
      <c r="I38" s="476" t="n"/>
      <c r="J38" s="476" t="n"/>
      <c r="K38" s="476" t="n"/>
      <c r="L38" s="476" t="n"/>
      <c r="M38" s="477" t="n"/>
      <c r="N38" s="424" t="n"/>
      <c r="O38" s="425" t="n"/>
      <c r="P38" s="421" t="n"/>
      <c r="Q38" s="414" t="n"/>
    </row>
    <row r="39" ht="34.5" customHeight="1">
      <c r="A39" s="408" t="n"/>
      <c r="B39" s="422" t="n"/>
      <c r="C39" s="431" t="n"/>
      <c r="D39" s="478" t="n"/>
      <c r="E39" s="478" t="n"/>
      <c r="F39" s="478" t="n"/>
      <c r="G39" s="478" t="n"/>
      <c r="H39" s="478" t="n"/>
      <c r="I39" s="478" t="n"/>
      <c r="J39" s="478" t="n"/>
      <c r="K39" s="478" t="n"/>
      <c r="L39" s="478" t="n"/>
      <c r="M39" s="478" t="n"/>
      <c r="N39" s="424" t="n"/>
      <c r="O39" s="425" t="n"/>
      <c r="P39" s="421" t="n"/>
      <c r="Q39" s="414" t="n"/>
    </row>
    <row r="40" ht="14.25" customHeight="1">
      <c r="A40" s="408" t="n"/>
      <c r="B40" s="422" t="n"/>
      <c r="C40" s="479" t="n"/>
      <c r="D40" s="480" t="n"/>
      <c r="E40" s="481" t="n"/>
      <c r="F40" s="481" t="n"/>
      <c r="G40" s="481" t="n"/>
      <c r="H40" s="481" t="n"/>
      <c r="I40" s="481" t="n"/>
      <c r="J40" s="481" t="n"/>
      <c r="K40" s="481" t="n"/>
      <c r="L40" s="481" t="n"/>
      <c r="M40" s="481" t="n"/>
      <c r="N40" s="482" t="n"/>
      <c r="O40" s="425" t="n"/>
      <c r="P40" s="421" t="n"/>
      <c r="Q40" s="414" t="n"/>
    </row>
    <row r="41" ht="15" customHeight="1">
      <c r="A41" s="408" t="n"/>
      <c r="B41" s="483" t="n"/>
      <c r="C41" s="484" t="n"/>
      <c r="D41" s="484" t="n"/>
      <c r="E41" s="484" t="n"/>
      <c r="F41" s="484" t="n"/>
      <c r="G41" s="484" t="n"/>
      <c r="H41" s="484" t="n"/>
      <c r="I41" s="484" t="n"/>
      <c r="J41" s="484" t="n"/>
      <c r="K41" s="484" t="n"/>
      <c r="L41" s="484" t="n"/>
      <c r="M41" s="484" t="n"/>
      <c r="N41" s="484" t="n"/>
      <c r="O41" s="485" t="n"/>
      <c r="P41" s="486" t="n"/>
      <c r="Q41" s="414" t="n"/>
    </row>
    <row r="42" ht="18" customHeight="1">
      <c r="A42" s="408" t="n"/>
      <c r="B42" s="487" t="n"/>
      <c r="C42" s="487" t="n"/>
      <c r="D42" s="487" t="n"/>
      <c r="E42" s="487" t="n"/>
      <c r="F42" s="487" t="n"/>
      <c r="G42" s="487" t="n"/>
      <c r="H42" s="487" t="n"/>
      <c r="I42" s="487" t="n"/>
      <c r="J42" s="487" t="n"/>
      <c r="K42" s="487" t="n"/>
      <c r="L42" s="487" t="n"/>
      <c r="M42" s="487" t="n"/>
      <c r="N42" s="487" t="n"/>
      <c r="O42" s="487" t="n"/>
      <c r="P42" s="486" t="n"/>
      <c r="Q42" s="414" t="n"/>
    </row>
  </sheetData>
  <mergeCells count="43">
    <mergeCell ref="D11:F11"/>
    <mergeCell ref="G26:M26"/>
    <mergeCell ref="D32:F32"/>
    <mergeCell ref="F16:M16"/>
    <mergeCell ref="G20:M20"/>
    <mergeCell ref="D15:M15"/>
    <mergeCell ref="G32:M32"/>
    <mergeCell ref="D14:M14"/>
    <mergeCell ref="F7:M7"/>
    <mergeCell ref="D5:M5"/>
    <mergeCell ref="D28:F28"/>
    <mergeCell ref="G22:M22"/>
    <mergeCell ref="D13:E13"/>
    <mergeCell ref="B2:O2"/>
    <mergeCell ref="D18:F18"/>
    <mergeCell ref="D30:F30"/>
    <mergeCell ref="B1:C1"/>
    <mergeCell ref="G11:M11"/>
    <mergeCell ref="D24:F24"/>
    <mergeCell ref="G36:M36"/>
    <mergeCell ref="D16:E16"/>
    <mergeCell ref="D38:F38"/>
    <mergeCell ref="D7:E7"/>
    <mergeCell ref="O3:O40"/>
    <mergeCell ref="D40:M40"/>
    <mergeCell ref="B3:B40"/>
    <mergeCell ref="D26:F26"/>
    <mergeCell ref="D6:M6"/>
    <mergeCell ref="C5:C40"/>
    <mergeCell ref="G38:M38"/>
    <mergeCell ref="C3:N3"/>
    <mergeCell ref="D20:F20"/>
    <mergeCell ref="D9:E9"/>
    <mergeCell ref="G28:M28"/>
    <mergeCell ref="D34:F34"/>
    <mergeCell ref="N5:N40"/>
    <mergeCell ref="G18:M18"/>
    <mergeCell ref="D22:F22"/>
    <mergeCell ref="G30:M30"/>
    <mergeCell ref="D36:F36"/>
    <mergeCell ref="G34:M34"/>
    <mergeCell ref="G24:M24"/>
    <mergeCell ref="C4:N4"/>
  </mergeCells>
  <dataValidations count="5">
    <dataValidation sqref="D7 D9 D10:M10 F7 F9" showDropDown="0" showInputMessage="1" showErrorMessage="1" allowBlank="1"/>
    <dataValidation sqref="H9 H13" showDropDown="0" showInputMessage="1" showErrorMessage="1" allowBlank="1" type="list">
      <formula1>"1,2,3,4,5,6,7,8,9,10,11,12"</formula1>
    </dataValidation>
    <dataValidation sqref="J9 J13" showDropDown="0" showInputMessage="1" showErrorMessage="1" allowBlank="1" type="list">
      <formula1>"1,2,3,4,5,6,7,8,9,10,11,12,13,14,15,16,17,18,19,20,21,22,23,24,25,26,27,28,29,30,31"</formula1>
    </dataValidation>
    <dataValidation sqref="D11 D13 G11" showDropDown="0" showInputMessage="1" showErrorMessage="1" allowBlank="1" errorStyle="information"/>
    <dataValidation sqref="F13" showDropDown="0" showInputMessage="1" showErrorMessage="1" allowBlank="1" type="list">
      <formula1>"2016,2017,2018,2019,2020,2021,2022,2023,2024,2026"</formula1>
    </dataValidation>
  </dataValidations>
  <hyperlinks>
    <hyperlink ref="B1" location="索引目录!B2" display="索引页"/>
  </hyperlinks>
  <printOptions horizontalCentered="1" verticalCentered="1"/>
  <pageMargins left="0.748031496062992" right="0.748031496062992" top="0.984251968503937" bottom="0.984251968503937" header="0.511811023622047" footer="0.511811023622047"/>
  <pageSetup orientation="portrait" paperSize="9"/>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fitToPage="1"/>
  </sheetPr>
  <dimension ref="A1:J54"/>
  <sheetViews>
    <sheetView showGridLines="0" workbookViewId="0">
      <selection activeCell="G451" sqref="G451"/>
    </sheetView>
  </sheetViews>
  <sheetFormatPr baseColWidth="8" defaultColWidth="9" defaultRowHeight="15.5"/>
  <cols>
    <col width="1.5" customWidth="1" min="1" max="1"/>
    <col width="13.5" customWidth="1" min="2" max="2"/>
    <col width="15.75" customWidth="1" min="3" max="3"/>
    <col width="18.0833333333333" customWidth="1" min="4" max="4"/>
    <col width="17.25" customWidth="1" min="5" max="5"/>
    <col width="8.25" customWidth="1" min="6" max="6"/>
    <col width="4.83333333333333" customWidth="1" min="7" max="7"/>
    <col width="12.75" customWidth="1" min="8" max="9"/>
  </cols>
  <sheetData>
    <row r="1" ht="17.5" customHeight="1">
      <c r="A1" s="382" t="inlineStr">
        <is>
          <t>资产评估申报表索引目录</t>
        </is>
      </c>
      <c r="B1" s="383" t="n"/>
      <c r="C1" s="383" t="n"/>
      <c r="D1" s="383" t="n"/>
      <c r="E1" s="383" t="n"/>
      <c r="F1" s="383" t="n"/>
      <c r="G1" s="383" t="n"/>
      <c r="H1" s="383" t="n"/>
      <c r="I1" s="383" t="n"/>
      <c r="J1" s="384" t="n"/>
    </row>
    <row r="2">
      <c r="A2" s="385" t="n"/>
      <c r="B2" s="386" t="inlineStr">
        <is>
          <t>评估申报表封面</t>
        </is>
      </c>
      <c r="C2" s="387" t="n"/>
      <c r="D2" s="387" t="n"/>
      <c r="E2" s="387" t="n"/>
      <c r="F2" s="387" t="n"/>
      <c r="G2" s="388" t="n"/>
      <c r="H2" s="387" t="n"/>
      <c r="I2" s="387" t="n"/>
      <c r="J2" s="389" t="n"/>
    </row>
    <row r="3">
      <c r="A3" s="390" t="n"/>
      <c r="B3" s="391" t="inlineStr">
        <is>
          <t>评估申报表说明（填表前请先阅读）</t>
        </is>
      </c>
      <c r="E3" s="392" t="n"/>
      <c r="F3" s="392" t="n"/>
      <c r="G3" s="393" t="n"/>
      <c r="H3" s="392" t="n"/>
      <c r="I3" s="392" t="n"/>
      <c r="J3" s="394" t="n"/>
    </row>
    <row r="4">
      <c r="A4" s="395" t="n"/>
      <c r="B4" s="396" t="inlineStr">
        <is>
          <t>基本情况表</t>
        </is>
      </c>
      <c r="C4" s="396" t="inlineStr">
        <is>
          <t>资产负债表</t>
        </is>
      </c>
      <c r="D4" s="397" t="inlineStr">
        <is>
          <t>汇总表</t>
        </is>
      </c>
      <c r="E4" s="398" t="inlineStr">
        <is>
          <t>分类汇总表</t>
        </is>
      </c>
      <c r="F4" s="399" t="n"/>
      <c r="G4" s="399" t="n"/>
      <c r="H4" s="387" t="n"/>
      <c r="I4" s="387" t="n"/>
      <c r="J4" s="389" t="n"/>
    </row>
    <row r="5">
      <c r="A5" s="385" t="n"/>
      <c r="B5" s="387" t="n"/>
      <c r="C5" s="387" t="n"/>
      <c r="D5" s="387" t="n"/>
      <c r="E5" s="387" t="n"/>
      <c r="F5" s="387" t="n"/>
      <c r="G5" s="387" t="n"/>
      <c r="H5" s="387" t="n"/>
      <c r="I5" s="387" t="n"/>
      <c r="J5" s="389" t="n"/>
    </row>
    <row r="6">
      <c r="A6" s="385" t="n"/>
      <c r="C6" s="398" t="inlineStr">
        <is>
          <t>流动资产</t>
        </is>
      </c>
      <c r="D6" s="398" t="inlineStr">
        <is>
          <t>货币资金</t>
        </is>
      </c>
      <c r="E6" s="398" t="inlineStr">
        <is>
          <t>现金</t>
        </is>
      </c>
      <c r="F6" s="398" t="n"/>
      <c r="G6" s="398" t="inlineStr">
        <is>
          <t>流动负债</t>
        </is>
      </c>
      <c r="H6" s="398" t="n"/>
      <c r="I6" s="398" t="inlineStr">
        <is>
          <t>短期借款</t>
        </is>
      </c>
      <c r="J6" s="389" t="n"/>
    </row>
    <row r="7">
      <c r="A7" s="385" t="n"/>
      <c r="B7" s="387" t="n"/>
      <c r="C7" s="387" t="n"/>
      <c r="D7" s="387" t="n"/>
      <c r="E7" s="398" t="inlineStr">
        <is>
          <t>银行存款</t>
        </is>
      </c>
      <c r="F7" s="398" t="n"/>
      <c r="G7" s="398" t="n"/>
      <c r="H7" s="398" t="n"/>
      <c r="I7" s="398" t="inlineStr">
        <is>
          <t>交易性金融负债</t>
        </is>
      </c>
      <c r="J7" s="490" t="n"/>
    </row>
    <row r="8">
      <c r="A8" s="385" t="n"/>
      <c r="B8" s="387" t="n"/>
      <c r="C8" s="387" t="n"/>
      <c r="D8" s="387" t="n"/>
      <c r="E8" s="398" t="inlineStr">
        <is>
          <t>其他货币资金</t>
        </is>
      </c>
      <c r="F8" s="398" t="n"/>
      <c r="G8" s="398" t="n"/>
      <c r="H8" s="398" t="n"/>
      <c r="I8" s="398" t="inlineStr">
        <is>
          <t>应付票据</t>
        </is>
      </c>
      <c r="J8" s="490" t="n"/>
    </row>
    <row r="9">
      <c r="A9" s="385" t="n"/>
      <c r="B9" s="387" t="n"/>
      <c r="C9" s="387" t="n"/>
      <c r="D9" s="398" t="inlineStr">
        <is>
          <t>交易性金融资产</t>
        </is>
      </c>
      <c r="E9" s="398" t="inlineStr">
        <is>
          <t>股票投资</t>
        </is>
      </c>
      <c r="F9" s="398" t="n"/>
      <c r="G9" s="398" t="n"/>
      <c r="H9" s="398" t="n"/>
      <c r="I9" s="398" t="inlineStr">
        <is>
          <t>应付账款</t>
        </is>
      </c>
      <c r="J9" s="490" t="n"/>
    </row>
    <row r="10">
      <c r="A10" s="385" t="n"/>
      <c r="B10" s="387" t="n"/>
      <c r="C10" s="387" t="n"/>
      <c r="E10" s="398" t="inlineStr">
        <is>
          <t>债券投资</t>
        </is>
      </c>
      <c r="F10" s="398" t="n"/>
      <c r="G10" s="398" t="n"/>
      <c r="H10" s="398" t="n"/>
      <c r="I10" s="398" t="inlineStr">
        <is>
          <t>预收款项</t>
        </is>
      </c>
      <c r="J10" s="490" t="n"/>
    </row>
    <row r="11">
      <c r="A11" s="385" t="n"/>
      <c r="B11" s="387" t="n"/>
      <c r="C11" s="387" t="n"/>
      <c r="E11" s="398" t="inlineStr">
        <is>
          <t>基金投资</t>
        </is>
      </c>
      <c r="F11" s="387" t="n"/>
      <c r="G11" s="398" t="n"/>
      <c r="H11" s="398" t="n"/>
      <c r="I11" s="398" t="inlineStr">
        <is>
          <t>应付职工薪酬</t>
        </is>
      </c>
      <c r="J11" s="389" t="n"/>
    </row>
    <row r="12">
      <c r="A12" s="385" t="n"/>
      <c r="B12" s="387" t="n"/>
      <c r="C12" s="387" t="n"/>
      <c r="D12" s="398" t="inlineStr">
        <is>
          <t>应收票据</t>
        </is>
      </c>
      <c r="F12" s="387" t="n"/>
      <c r="G12" s="398" t="n"/>
      <c r="H12" s="398" t="n"/>
      <c r="I12" s="398" t="inlineStr">
        <is>
          <t>应交税费</t>
        </is>
      </c>
      <c r="J12" s="389" t="n"/>
    </row>
    <row r="13">
      <c r="A13" s="385" t="n"/>
      <c r="B13" s="387" t="n"/>
      <c r="C13" s="387" t="n"/>
      <c r="D13" s="398" t="inlineStr">
        <is>
          <t>应收账款</t>
        </is>
      </c>
      <c r="F13" s="387" t="n"/>
      <c r="G13" s="398" t="n"/>
      <c r="H13" s="398" t="n"/>
      <c r="I13" s="398" t="inlineStr">
        <is>
          <t>应付利息</t>
        </is>
      </c>
      <c r="J13" s="389" t="n"/>
    </row>
    <row r="14">
      <c r="A14" s="385" t="n"/>
      <c r="B14" s="387" t="n"/>
      <c r="C14" s="387" t="n"/>
      <c r="D14" s="398" t="inlineStr">
        <is>
          <t>预付账款</t>
        </is>
      </c>
      <c r="F14" s="387" t="n"/>
      <c r="G14" s="398" t="n"/>
      <c r="H14" s="398" t="n"/>
      <c r="I14" s="398" t="inlineStr">
        <is>
          <t>应付股利（应付利润）</t>
        </is>
      </c>
      <c r="J14" s="389" t="n"/>
    </row>
    <row r="15">
      <c r="A15" s="385" t="n"/>
      <c r="B15" s="387" t="n"/>
      <c r="C15" s="387" t="n"/>
      <c r="D15" s="398" t="inlineStr">
        <is>
          <t>应收利息</t>
        </is>
      </c>
      <c r="F15" s="387" t="n"/>
      <c r="G15" s="398" t="n"/>
      <c r="H15" s="398" t="n"/>
      <c r="I15" s="398" t="inlineStr">
        <is>
          <t>其他应付款</t>
        </is>
      </c>
    </row>
    <row r="16">
      <c r="A16" s="385" t="n"/>
      <c r="B16" s="387" t="n"/>
      <c r="C16" s="387" t="n"/>
      <c r="D16" s="398" t="inlineStr">
        <is>
          <t>应收股利</t>
        </is>
      </c>
      <c r="F16" s="387" t="n"/>
      <c r="G16" s="398" t="n"/>
      <c r="H16" s="398" t="n"/>
      <c r="I16" s="398" t="inlineStr">
        <is>
          <t>一年内到期的非流动负债</t>
        </is>
      </c>
      <c r="J16" s="389" t="n"/>
    </row>
    <row r="17">
      <c r="A17" s="385" t="n"/>
      <c r="B17" s="387" t="n"/>
      <c r="C17" s="387" t="n"/>
      <c r="D17" s="398" t="inlineStr">
        <is>
          <t>其他应收款</t>
        </is>
      </c>
      <c r="F17" s="387" t="n"/>
      <c r="G17" s="398" t="n"/>
      <c r="H17" s="398" t="n"/>
      <c r="I17" s="398" t="inlineStr">
        <is>
          <t>其他流动负债</t>
        </is>
      </c>
      <c r="J17" s="389" t="n"/>
    </row>
    <row r="18">
      <c r="A18" s="385" t="n"/>
      <c r="B18" s="387" t="n"/>
      <c r="C18" s="387" t="n"/>
      <c r="D18" s="398" t="inlineStr">
        <is>
          <t>存货</t>
        </is>
      </c>
      <c r="E18" s="398" t="inlineStr">
        <is>
          <t>材料采购（在途物资）</t>
        </is>
      </c>
      <c r="F18" s="387" t="n"/>
      <c r="G18" s="398" t="n"/>
      <c r="H18" s="398" t="n"/>
      <c r="I18" s="398" t="n"/>
      <c r="J18" s="389" t="n"/>
    </row>
    <row r="19">
      <c r="A19" s="385" t="n"/>
      <c r="B19" s="387" t="n"/>
      <c r="C19" s="387" t="n"/>
      <c r="D19" s="398" t="n"/>
      <c r="E19" s="398" t="inlineStr">
        <is>
          <t>原材料</t>
        </is>
      </c>
      <c r="F19" s="387" t="n"/>
      <c r="G19" s="398" t="n"/>
      <c r="H19" s="398" t="n"/>
      <c r="I19" s="398" t="n"/>
      <c r="J19" s="389" t="n"/>
    </row>
    <row r="20">
      <c r="A20" s="385" t="n"/>
      <c r="B20" s="387" t="n"/>
      <c r="C20" s="387" t="n"/>
      <c r="D20" s="398" t="n"/>
      <c r="E20" s="398" t="inlineStr">
        <is>
          <t>在库周转材料</t>
        </is>
      </c>
      <c r="F20" s="398" t="n"/>
      <c r="G20" s="398" t="inlineStr">
        <is>
          <t>非流动负债</t>
        </is>
      </c>
      <c r="H20" s="398" t="n"/>
      <c r="I20" s="398" t="inlineStr">
        <is>
          <t>长期借款</t>
        </is>
      </c>
      <c r="J20" s="389" t="n"/>
    </row>
    <row r="21">
      <c r="A21" s="385" t="n"/>
      <c r="B21" s="387" t="n"/>
      <c r="C21" s="387" t="n"/>
      <c r="E21" s="401" t="inlineStr">
        <is>
          <t>委托加工物资</t>
        </is>
      </c>
      <c r="F21" s="398" t="n"/>
      <c r="G21" s="398" t="n"/>
      <c r="H21" s="398" t="n"/>
      <c r="I21" s="398" t="inlineStr">
        <is>
          <t>应付债券</t>
        </is>
      </c>
      <c r="J21" s="389" t="n"/>
    </row>
    <row r="22">
      <c r="A22" s="385" t="n"/>
      <c r="B22" s="387" t="n"/>
      <c r="C22" s="387" t="n"/>
      <c r="E22" s="398" t="inlineStr">
        <is>
          <t>产成品（库存商品）</t>
        </is>
      </c>
      <c r="F22" s="398" t="n"/>
      <c r="G22" s="398" t="n"/>
      <c r="H22" s="398" t="n"/>
      <c r="I22" s="398" t="inlineStr">
        <is>
          <t>长期应付款</t>
        </is>
      </c>
      <c r="J22" s="389" t="n"/>
    </row>
    <row r="23">
      <c r="A23" s="385" t="n"/>
      <c r="B23" s="387" t="n"/>
      <c r="C23" s="387" t="n"/>
      <c r="E23" s="398" t="inlineStr">
        <is>
          <t>在产品（自制半成品）</t>
        </is>
      </c>
      <c r="F23" s="398" t="n"/>
      <c r="G23" s="398" t="n"/>
      <c r="H23" s="398" t="n"/>
      <c r="I23" s="398" t="inlineStr">
        <is>
          <t>专项应付款</t>
        </is>
      </c>
      <c r="J23" s="389" t="n"/>
    </row>
    <row r="24">
      <c r="A24" s="385" t="n"/>
      <c r="E24" s="398" t="inlineStr">
        <is>
          <t>发出商品</t>
        </is>
      </c>
      <c r="F24" s="398" t="n"/>
      <c r="G24" s="398" t="n"/>
      <c r="H24" s="398" t="n"/>
      <c r="I24" s="398" t="inlineStr">
        <is>
          <t>预计负债</t>
        </is>
      </c>
      <c r="J24" s="389" t="n"/>
    </row>
    <row r="25">
      <c r="A25" s="385" t="n"/>
      <c r="E25" s="398" t="inlineStr">
        <is>
          <t>在用周转材料</t>
        </is>
      </c>
      <c r="F25" s="398" t="n"/>
      <c r="G25" s="398" t="n"/>
      <c r="H25" s="398" t="n"/>
      <c r="I25" s="398" t="inlineStr">
        <is>
          <t>递延所得税负债</t>
        </is>
      </c>
      <c r="J25" s="389" t="n"/>
    </row>
    <row r="26">
      <c r="A26" s="385" t="n"/>
      <c r="D26" s="398" t="inlineStr">
        <is>
          <t>一年到期非流动资产</t>
        </is>
      </c>
      <c r="E26" s="398" t="n"/>
      <c r="G26" s="398" t="n"/>
      <c r="H26" s="398" t="n"/>
      <c r="I26" s="398" t="inlineStr">
        <is>
          <t>其他非流动负债</t>
        </is>
      </c>
      <c r="J26" s="389" t="n"/>
    </row>
    <row r="27">
      <c r="A27" s="385" t="n"/>
      <c r="D27" s="398" t="inlineStr">
        <is>
          <t>其他流动资产</t>
        </is>
      </c>
      <c r="E27" s="398" t="n"/>
      <c r="G27" s="387" t="n"/>
      <c r="H27" s="387" t="n"/>
      <c r="I27" s="387" t="n"/>
      <c r="J27" s="389" t="n"/>
    </row>
    <row r="28">
      <c r="A28" s="385" t="n"/>
      <c r="B28" s="387" t="n"/>
      <c r="C28" s="398" t="inlineStr">
        <is>
          <t>长期投资</t>
        </is>
      </c>
      <c r="D28" s="398" t="inlineStr">
        <is>
          <t>可供出售金融资产</t>
        </is>
      </c>
      <c r="E28" s="398" t="inlineStr">
        <is>
          <t>股票投资</t>
        </is>
      </c>
      <c r="F28" s="402" t="n"/>
      <c r="G28" s="387" t="n"/>
      <c r="H28" s="387" t="n"/>
      <c r="I28" s="387" t="n"/>
      <c r="J28" s="389" t="n"/>
    </row>
    <row r="29">
      <c r="A29" s="385" t="n"/>
      <c r="D29" s="398" t="n"/>
      <c r="E29" s="398" t="inlineStr">
        <is>
          <t>债券投资</t>
        </is>
      </c>
      <c r="F29" s="398" t="n"/>
      <c r="G29" s="387" t="n"/>
      <c r="H29" s="387" t="n"/>
      <c r="I29" s="387" t="n"/>
      <c r="J29" s="389" t="n"/>
    </row>
    <row r="30">
      <c r="A30" s="385" t="n"/>
      <c r="B30" s="387" t="n"/>
      <c r="D30" s="398" t="n"/>
      <c r="E30" s="398" t="inlineStr">
        <is>
          <t>其他投资</t>
        </is>
      </c>
      <c r="F30" s="402" t="n"/>
      <c r="G30" s="387" t="n"/>
      <c r="H30" s="387" t="n"/>
      <c r="I30" s="387" t="n"/>
      <c r="J30" s="389" t="n"/>
    </row>
    <row r="31">
      <c r="A31" s="385" t="n"/>
      <c r="B31" s="387" t="n"/>
      <c r="C31" s="387" t="n"/>
      <c r="D31" s="398" t="inlineStr">
        <is>
          <t>持有至到期投资</t>
        </is>
      </c>
      <c r="E31" s="398" t="n"/>
      <c r="F31" s="402" t="n"/>
      <c r="G31" s="387" t="n"/>
      <c r="H31" s="387" t="n"/>
      <c r="I31" s="387" t="n"/>
      <c r="J31" s="389" t="n"/>
    </row>
    <row r="32" ht="14.25" customHeight="1">
      <c r="A32" s="385" t="n"/>
      <c r="B32" s="387" t="n"/>
      <c r="C32" s="387" t="n"/>
      <c r="D32" s="398" t="inlineStr">
        <is>
          <t>长期应收款</t>
        </is>
      </c>
      <c r="E32" s="398" t="n"/>
      <c r="F32" s="402" t="n"/>
      <c r="G32" s="387" t="n"/>
      <c r="H32" s="387" t="n"/>
      <c r="I32" s="387" t="n"/>
      <c r="J32" s="389" t="n"/>
    </row>
    <row r="33" ht="14.25" customHeight="1">
      <c r="A33" s="385" t="n"/>
      <c r="B33" s="387" t="n"/>
      <c r="C33" s="387" t="n"/>
      <c r="D33" s="398" t="inlineStr">
        <is>
          <t>长期股权投资</t>
        </is>
      </c>
      <c r="E33" s="398" t="n"/>
      <c r="F33" s="402" t="n"/>
      <c r="G33" s="387" t="n"/>
      <c r="H33" s="387" t="n"/>
      <c r="I33" s="387" t="n"/>
      <c r="J33" s="389" t="n"/>
    </row>
    <row r="34" ht="14.25" customHeight="1">
      <c r="A34" s="385" t="n"/>
      <c r="B34" s="387" t="n"/>
      <c r="C34" s="387" t="n"/>
      <c r="D34" s="398" t="inlineStr">
        <is>
          <t>投资性房地产</t>
        </is>
      </c>
      <c r="E34" s="398" t="n"/>
      <c r="F34" s="402" t="n"/>
      <c r="G34" s="387" t="n"/>
      <c r="H34" s="389" t="n"/>
      <c r="I34" s="389" t="n"/>
      <c r="J34" s="389" t="n"/>
    </row>
    <row r="35">
      <c r="A35" s="403" t="n"/>
      <c r="B35" s="387" t="n"/>
      <c r="C35" s="398" t="inlineStr">
        <is>
          <t>固定资产</t>
        </is>
      </c>
      <c r="D35" s="398" t="inlineStr">
        <is>
          <t>固定资产</t>
        </is>
      </c>
      <c r="E35" s="398" t="inlineStr">
        <is>
          <t>房屋建筑物</t>
        </is>
      </c>
      <c r="F35" s="387" t="n"/>
      <c r="G35" s="387" t="n"/>
      <c r="H35" s="389" t="n"/>
      <c r="I35" s="389" t="n"/>
      <c r="J35" s="389" t="n"/>
    </row>
    <row r="36">
      <c r="A36" s="403" t="n"/>
      <c r="B36" s="387" t="n"/>
      <c r="D36" s="398" t="n"/>
      <c r="E36" s="398" t="inlineStr">
        <is>
          <t>构筑物及其他辅助设施</t>
        </is>
      </c>
      <c r="F36" s="387" t="n"/>
      <c r="G36" s="387" t="n"/>
      <c r="H36" s="389" t="n"/>
      <c r="I36" s="389" t="n"/>
      <c r="J36" s="389" t="n"/>
    </row>
    <row r="37">
      <c r="A37" s="403" t="n"/>
      <c r="B37" s="387" t="n"/>
      <c r="D37" s="398" t="n"/>
      <c r="E37" s="398" t="inlineStr">
        <is>
          <t>管道及沟槽</t>
        </is>
      </c>
      <c r="F37" s="387" t="n"/>
      <c r="G37" s="387" t="n"/>
      <c r="H37" s="389" t="n"/>
      <c r="I37" s="389" t="n"/>
      <c r="J37" s="389" t="n"/>
    </row>
    <row r="38">
      <c r="A38" s="403" t="n"/>
      <c r="B38" s="387" t="n"/>
      <c r="D38" s="398" t="n"/>
      <c r="E38" s="398" t="inlineStr">
        <is>
          <t>机器设备</t>
        </is>
      </c>
      <c r="F38" s="387" t="n"/>
      <c r="G38" s="387" t="n"/>
      <c r="H38" s="389" t="n"/>
      <c r="I38" s="389" t="n"/>
      <c r="J38" s="389" t="n"/>
    </row>
    <row r="39">
      <c r="A39" s="403" t="n"/>
      <c r="B39" s="387" t="n"/>
      <c r="D39" s="398" t="n"/>
      <c r="E39" s="398" t="inlineStr">
        <is>
          <t>车辆</t>
        </is>
      </c>
      <c r="F39" s="387" t="n"/>
      <c r="G39" s="387" t="n"/>
      <c r="H39" s="389" t="n"/>
      <c r="I39" s="389" t="n"/>
      <c r="J39" s="389" t="n"/>
    </row>
    <row r="40">
      <c r="A40" s="403" t="n"/>
      <c r="B40" s="387" t="n"/>
      <c r="D40" s="398" t="n"/>
      <c r="E40" s="398" t="inlineStr">
        <is>
          <t>电子设备</t>
        </is>
      </c>
      <c r="F40" s="387" t="n"/>
      <c r="G40" s="387" t="n"/>
      <c r="H40" s="389" t="n"/>
      <c r="I40" s="389" t="n"/>
      <c r="J40" s="389" t="n"/>
    </row>
    <row r="41">
      <c r="A41" s="403" t="n"/>
      <c r="B41" s="387" t="n"/>
      <c r="D41" s="398" t="n"/>
      <c r="E41" s="398" t="inlineStr">
        <is>
          <t>土地</t>
        </is>
      </c>
      <c r="F41" s="389" t="n"/>
      <c r="G41" s="387" t="n"/>
      <c r="H41" s="389" t="n"/>
      <c r="I41" s="389" t="n"/>
      <c r="J41" s="389" t="n"/>
    </row>
    <row r="42">
      <c r="A42" s="403" t="n"/>
      <c r="B42" s="387" t="n"/>
      <c r="C42" s="387" t="n"/>
      <c r="D42" s="398" t="inlineStr">
        <is>
          <t>在建工程</t>
        </is>
      </c>
      <c r="E42" s="398" t="inlineStr">
        <is>
          <t>在建工程-土建工程</t>
        </is>
      </c>
      <c r="G42" s="387" t="n"/>
      <c r="H42" s="389" t="n"/>
      <c r="I42" s="389" t="n"/>
    </row>
    <row r="43">
      <c r="A43" s="403" t="n"/>
      <c r="B43" s="387" t="n"/>
      <c r="C43" s="387" t="n"/>
      <c r="D43" s="398" t="n"/>
      <c r="E43" s="398" t="inlineStr">
        <is>
          <t>在建工程-设备安装工程</t>
        </is>
      </c>
      <c r="G43" s="387" t="n"/>
    </row>
    <row r="44">
      <c r="B44" s="387" t="n"/>
      <c r="C44" s="398" t="n"/>
      <c r="D44" s="398" t="inlineStr">
        <is>
          <t>工程物资</t>
        </is>
      </c>
      <c r="E44" s="398" t="n"/>
      <c r="F44" s="387" t="n"/>
      <c r="G44" s="387" t="n"/>
    </row>
    <row r="45">
      <c r="B45" s="387" t="n"/>
      <c r="C45" s="398" t="n"/>
      <c r="D45" s="398" t="inlineStr">
        <is>
          <t>固定资产清理</t>
        </is>
      </c>
      <c r="E45" s="398" t="n"/>
      <c r="F45" s="389" t="n"/>
      <c r="G45" s="387" t="n"/>
    </row>
    <row r="46">
      <c r="B46" s="387" t="n"/>
      <c r="C46" s="398" t="n"/>
      <c r="D46" s="398" t="inlineStr">
        <is>
          <t>生产性生物资产</t>
        </is>
      </c>
      <c r="E46" s="398" t="n"/>
      <c r="F46" s="389" t="n"/>
      <c r="G46" s="387" t="n"/>
      <c r="J46" s="389" t="n"/>
    </row>
    <row r="47">
      <c r="B47" s="387" t="n"/>
      <c r="C47" s="398" t="n"/>
      <c r="D47" s="398" t="inlineStr">
        <is>
          <t>油气资产</t>
        </is>
      </c>
      <c r="E47" s="398" t="n"/>
      <c r="F47" s="389" t="n"/>
      <c r="G47" s="387" t="n"/>
      <c r="H47" s="389" t="n"/>
      <c r="I47" s="389" t="n"/>
      <c r="J47" s="389" t="n"/>
    </row>
    <row r="48">
      <c r="A48" s="403" t="n"/>
      <c r="B48" s="387" t="n"/>
      <c r="C48" s="398" t="inlineStr">
        <is>
          <t>无形资产</t>
        </is>
      </c>
      <c r="D48" s="398" t="inlineStr">
        <is>
          <t>无形资产</t>
        </is>
      </c>
      <c r="E48" s="398" t="inlineStr">
        <is>
          <t>土地使用权</t>
        </is>
      </c>
      <c r="G48" s="387" t="n"/>
      <c r="H48" s="389" t="n"/>
      <c r="I48" s="389" t="n"/>
    </row>
    <row r="49">
      <c r="A49" s="403" t="n"/>
      <c r="B49" s="387" t="n"/>
      <c r="C49" s="398" t="n"/>
      <c r="D49" s="398" t="n"/>
      <c r="E49" s="398" t="inlineStr">
        <is>
          <t>其他无形资产</t>
        </is>
      </c>
      <c r="G49" s="389" t="n"/>
    </row>
    <row r="50">
      <c r="B50" s="387" t="n"/>
      <c r="C50" s="398" t="n"/>
      <c r="D50" s="398" t="inlineStr">
        <is>
          <t>开发支出</t>
        </is>
      </c>
      <c r="E50" s="398" t="n"/>
      <c r="F50" s="387" t="n"/>
      <c r="G50" s="389" t="n"/>
    </row>
    <row r="51">
      <c r="B51" s="387" t="n"/>
      <c r="C51" s="398" t="n"/>
      <c r="D51" s="398" t="inlineStr">
        <is>
          <t>商誉</t>
        </is>
      </c>
      <c r="E51" s="398" t="n"/>
      <c r="G51" s="389" t="n"/>
    </row>
    <row r="52">
      <c r="B52" s="389" t="n"/>
      <c r="C52" s="398" t="inlineStr">
        <is>
          <t>其他资产</t>
        </is>
      </c>
      <c r="D52" s="398" t="inlineStr">
        <is>
          <t>长期待摊费用</t>
        </is>
      </c>
      <c r="E52" s="398" t="n"/>
      <c r="G52" s="389" t="n"/>
    </row>
    <row r="53">
      <c r="C53" s="398" t="n"/>
      <c r="D53" s="398" t="inlineStr">
        <is>
          <t>递延所得税资产</t>
        </is>
      </c>
      <c r="E53" s="398" t="n"/>
    </row>
    <row r="54">
      <c r="C54" s="398" t="n"/>
      <c r="D54" s="398" t="inlineStr">
        <is>
          <t>其他非流动资产</t>
        </is>
      </c>
      <c r="E54" s="398" t="n"/>
    </row>
  </sheetData>
  <sheetProtection selectLockedCells="0" selectUnlockedCells="0" sheet="1" objects="1" insertRows="1" insertHyperlinks="1" autoFilter="1" scenarios="1" formatColumns="1" deleteColumns="1" insertColumns="1" pivotTables="1" deleteRows="1" formatCells="1" formatRows="1" sort="1" password="EF09"/>
  <mergeCells count="1">
    <mergeCell ref="B3:C3"/>
  </mergeCells>
  <hyperlinks>
    <hyperlink ref="B2" location="封面!A1" display="评估申报表封面"/>
    <hyperlink ref="B3" location="填表说明!B2" display="评估申报表说明（填表前请先阅读）"/>
    <hyperlink ref="B4" location="基本情况!A1" display="基本情况表"/>
    <hyperlink ref="C4" location="资产负债表!A1" display="资产负债表"/>
    <hyperlink ref="D4" location="汇总表!A1" display="汇总表"/>
    <hyperlink ref="E4" location="分类汇总!A1" display="分类汇总表"/>
    <hyperlink ref="C6" location="流动汇总!A1" display="流动资产"/>
    <hyperlink ref="D6" location="流动汇总!B6" display="货币资金"/>
    <hyperlink ref="E6" location="现金!A1" display="现金"/>
    <hyperlink ref="G6" location="流动负债汇总!A1" display="流动负债"/>
    <hyperlink ref="I6" location="短期借款!A1" display="短期借款"/>
    <hyperlink ref="E7" location="银行存款!A1" display="银行存款"/>
    <hyperlink ref="I7" location="交易性金融负债!A1" display="交易性金融负债"/>
    <hyperlink ref="E8" location="其他货币资金!A1" display="其他货币资金"/>
    <hyperlink ref="I8" location="应付票据!A1" display="应付票据"/>
    <hyperlink ref="D9" location="交易性金融资产汇总!A1" display="交易性金融资产"/>
    <hyperlink ref="E9" location="'交易性-股票'!A1" display="股票投资"/>
    <hyperlink ref="I9" location="应付账款!A1" display="应付账款"/>
    <hyperlink ref="E10" location="'交易性-债券'!A1" display="债券投资"/>
    <hyperlink ref="I10" location="预收账款!A1" display="预收款项"/>
    <hyperlink ref="E11" location="'交易性-基金'!A1" display="基金投资"/>
    <hyperlink ref="I11" location="职工薪酬!A1" display="应付职工薪酬"/>
    <hyperlink ref="D12" location="应收票据!A1" display="应收票据"/>
    <hyperlink ref="I12" location="应交税费!A1" display="应交税费"/>
    <hyperlink ref="D13" location="应收账款!A1" display="应收账款"/>
    <hyperlink ref="I13" location="应付利息!A1" display="应付利息"/>
    <hyperlink ref="D14" location="预付账款!A1" display="预付账款"/>
    <hyperlink ref="I14" location="'应付股利（利润）'!A1" display="应付股利（应付利润）"/>
    <hyperlink ref="D15" location="应收利息!A1" display="应收利息"/>
    <hyperlink ref="I15" location="其他应付款!A1" display="其他应付款"/>
    <hyperlink ref="D16" location="'应收股利（利润）'!A1" display="应收股利"/>
    <hyperlink ref="I16" location="一年到期非流动负债!A1" display="一年内到期的非流动负债"/>
    <hyperlink ref="D17" location="其他应收款!A1" display="其他应收款"/>
    <hyperlink ref="I17" location="其他流动负债!A1" display="其他流动负债"/>
    <hyperlink ref="D18" location="存货汇总!A1" display="存货"/>
    <hyperlink ref="E18" location="'材料采购（在途物资）'!A1" display="材料采购（在途物资）"/>
    <hyperlink ref="E19" location="原材料!A1" display="原材料"/>
    <hyperlink ref="E20" location="在库周转材料!A1" display="在库周转材料"/>
    <hyperlink ref="G20" location="'非流动负债汇总 '!A1" display="非流动负债"/>
    <hyperlink ref="I20" location="长期借款!A1" display="长期借款"/>
    <hyperlink ref="E21" location="委托加工物资!A1" display="委托加工物资"/>
    <hyperlink ref="I21" location="应付债券!A1" display="应付债券"/>
    <hyperlink ref="E22" location="'产成品（库存商品）'!A1" display="产成品（库存商品）"/>
    <hyperlink ref="I22" location="长期应付款!A1" display="长期应付款"/>
    <hyperlink ref="E23" location="'在产品（自制半成品）'!A1" display="在产品（自制半成品）"/>
    <hyperlink ref="I23" location="专项应付款!A1" display="专项应付款"/>
    <hyperlink ref="E24" location="发出商品!A1" display="发出商品"/>
    <hyperlink ref="I24" location="预计负债!A1" display="预计负债"/>
    <hyperlink ref="E25" location="在用周转材料!A1" display="在用周转材料"/>
    <hyperlink ref="I25" location="递延所得税负债!A1" display="递延所得税负债"/>
    <hyperlink ref="D26" location="一年到期非流动资产!A1" display="一年到期非流动资产"/>
    <hyperlink ref="I26" location="其他非流动负债!A1" display="其他非流动负债"/>
    <hyperlink ref="D27" location="其他流动资产!A1" display="其他流动资产"/>
    <hyperlink ref="C28" location="长期投资汇总!A1" display="长期投资"/>
    <hyperlink ref="D28" location="可供出售金融资产汇总!A1" display="可供出售金融资产"/>
    <hyperlink ref="E28" location="'可出售-股票'!A1" display="股票投资"/>
    <hyperlink ref="E29" location="'可出售-债券'!A1" display="债券投资"/>
    <hyperlink ref="E30" location="'可出售-其他'!A1" display="其他投资"/>
    <hyperlink ref="D31" location="持有到期投资!A1" display="持有至到期投资"/>
    <hyperlink ref="D32" location="长期应收!A1" display="长期应收款"/>
    <hyperlink ref="D33" location="股权投资!A1" display="长期股权投资"/>
    <hyperlink ref="D34" location="投资性房地产!A1" display="投资性房地产"/>
    <hyperlink ref="C35" location="固定资产汇总!A1" display="固定资产"/>
    <hyperlink ref="D35" location="固定资产汇总!B18" display="固定资产"/>
    <hyperlink ref="E35" location="房屋建筑物!A1" display="房屋建筑物"/>
    <hyperlink ref="E36" location="构筑物!A1" display="构筑物及其他辅助设施"/>
    <hyperlink ref="E37" location="管道沟槽!A1" display="管道及沟槽"/>
    <hyperlink ref="E38" location="机器设备!A1" display="机器设备"/>
    <hyperlink ref="E39" location="车辆!A1" display="车辆"/>
    <hyperlink ref="E40" location="电子设备!A1" display="电子设备"/>
    <hyperlink ref="E41" location="土地!A1" display="土地"/>
    <hyperlink ref="D42" location="固定资产汇总!B20" display="在建工程"/>
    <hyperlink ref="E42" location="'在建（土建）'!A1" display="在建工程-土建工程"/>
    <hyperlink ref="E43" location="'在建（设备）'!A1" display="在建工程-设备安装工程"/>
    <hyperlink ref="D44" location="工程物资!A1" display="工程物资"/>
    <hyperlink ref="D45" location="固定资产清理!A1" display="固定资产清理"/>
    <hyperlink ref="D46" location="生产性生物资产!A1" display="生产性生物资产"/>
    <hyperlink ref="D47" location="油气资产!A1" display="油气资产"/>
    <hyperlink ref="C48" location="无形资产汇总!A1" display="无形资产"/>
    <hyperlink ref="D48" location="无形资产汇总!B10" display="无形资产"/>
    <hyperlink ref="E48" location="'在建（土建）'!A1" display="土地使用权"/>
    <hyperlink ref="E49" location="'在建（设备）'!A1" display="其他无形资产"/>
    <hyperlink ref="D50" location="开发支出!A1" display="开发支出"/>
    <hyperlink ref="D51" location="商誉!A1" display="商誉"/>
    <hyperlink ref="C52" location="汇总表!A16" display="其他资产"/>
    <hyperlink ref="D52" location="长期待摊费用!A1" display="长期待摊费用"/>
    <hyperlink ref="D53" location="递延所得税资产!A1" display="递延所得税资产"/>
    <hyperlink ref="D54" location="其他非流动资产!A1" display="其他非流动资产"/>
  </hyperlinks>
  <pageMargins left="0.748031496062992" right="0.748031496062992" top="0.78740157480315" bottom="0.196850393700787" header="0" footer="0"/>
  <pageSetup orientation="portrait" paperSize="9" scale="71"/>
</worksheet>
</file>

<file path=xl/worksheets/sheet4.xml><?xml version="1.0" encoding="utf-8"?>
<worksheet xmlns="http://schemas.openxmlformats.org/spreadsheetml/2006/main">
  <sheetPr codeName="Sheet4">
    <outlinePr summaryBelow="1" summaryRight="1"/>
    <pageSetUpPr/>
  </sheetPr>
  <dimension ref="A1:M23"/>
  <sheetViews>
    <sheetView showGridLines="0" workbookViewId="0">
      <selection activeCell="G451" sqref="G451"/>
    </sheetView>
  </sheetViews>
  <sheetFormatPr baseColWidth="8" defaultColWidth="9" defaultRowHeight="15.5"/>
  <sheetData>
    <row r="1" ht="33.25" customHeight="1">
      <c r="A1" s="364" t="inlineStr">
        <is>
          <t>评估申报表填表说明</t>
        </is>
      </c>
      <c r="B1" s="365" t="n"/>
      <c r="C1" s="365" t="n"/>
      <c r="D1" s="365" t="n"/>
      <c r="E1" s="365" t="n"/>
      <c r="F1" s="365" t="n"/>
      <c r="G1" s="365" t="n"/>
      <c r="H1" s="365" t="n"/>
      <c r="I1" s="365" t="n"/>
      <c r="J1" s="365" t="n"/>
      <c r="K1" s="365" t="n"/>
      <c r="L1" s="365" t="n"/>
      <c r="M1" s="365" t="n"/>
    </row>
    <row r="2" ht="18.75" customHeight="1">
      <c r="A2" s="366" t="inlineStr">
        <is>
          <t>返回索引页</t>
        </is>
      </c>
      <c r="B2" s="367" t="n"/>
      <c r="C2" s="368" t="n"/>
      <c r="D2" s="368" t="n"/>
      <c r="E2" s="368" t="n"/>
      <c r="F2" s="368" t="n"/>
      <c r="G2" s="368" t="n"/>
      <c r="H2" s="368" t="n"/>
      <c r="I2" s="368" t="n"/>
      <c r="J2" s="368" t="n"/>
      <c r="K2" s="368" t="n"/>
      <c r="L2" s="368" t="n"/>
      <c r="M2" s="368" t="n"/>
    </row>
    <row r="3">
      <c r="A3" s="369" t="inlineStr">
        <is>
          <t>1、</t>
        </is>
      </c>
      <c r="B3" s="370" t="inlineStr">
        <is>
          <t>本工作簿用于资产评估委托方或资产占有方对评估基准日下的委估资产及负债的账面价值的申报；</t>
        </is>
      </c>
      <c r="C3" s="371" t="n"/>
      <c r="D3" s="371" t="n"/>
      <c r="E3" s="371" t="n"/>
      <c r="F3" s="371" t="n"/>
      <c r="G3" s="371" t="n"/>
      <c r="H3" s="371" t="n"/>
      <c r="I3" s="371" t="n"/>
      <c r="J3" s="371" t="n"/>
      <c r="K3" s="371" t="n"/>
      <c r="L3" s="371" t="n"/>
      <c r="M3" s="371" t="n"/>
    </row>
    <row r="4">
      <c r="A4" s="369" t="n"/>
      <c r="B4" s="370" t="inlineStr">
        <is>
          <t>请贵单位填表人员按要求对工作表中账面价值及其以左各栏次或项目据实填写</t>
        </is>
      </c>
      <c r="C4" s="371" t="n"/>
      <c r="D4" s="371" t="n"/>
      <c r="E4" s="371" t="n"/>
      <c r="F4" s="371" t="n"/>
      <c r="G4" s="371" t="n"/>
      <c r="H4" s="371" t="n"/>
      <c r="I4" s="371" t="n"/>
      <c r="J4" s="371" t="n"/>
      <c r="K4" s="371" t="n"/>
      <c r="L4" s="371" t="n"/>
      <c r="M4" s="371" t="n"/>
    </row>
    <row r="5">
      <c r="A5" s="369" t="n"/>
      <c r="B5" s="370" t="inlineStr">
        <is>
          <t>（此外，应收账款、其他应收款还需要填写账龄分析内容）；</t>
        </is>
      </c>
      <c r="C5" s="371" t="n"/>
      <c r="D5" s="371" t="n"/>
      <c r="E5" s="371" t="n"/>
      <c r="F5" s="371" t="n"/>
      <c r="G5" s="371" t="n"/>
      <c r="H5" s="371" t="n"/>
      <c r="I5" s="371" t="n"/>
      <c r="J5" s="371" t="n"/>
      <c r="K5" s="371" t="n"/>
      <c r="L5" s="371" t="n"/>
      <c r="M5" s="371" t="n"/>
    </row>
    <row r="6">
      <c r="A6" s="369" t="inlineStr">
        <is>
          <t>2、</t>
        </is>
      </c>
      <c r="B6" s="370" t="inlineStr">
        <is>
          <t>此表各科目明细的合计数，应与本次资产评估范围内的资产评估基准日的资产负债表的数据相符；</t>
        </is>
      </c>
      <c r="C6" s="371" t="n"/>
      <c r="D6" s="371" t="n"/>
      <c r="E6" s="371" t="n"/>
      <c r="F6" s="371" t="n"/>
      <c r="G6" s="371" t="n"/>
      <c r="H6" s="371" t="n"/>
      <c r="I6" s="371" t="n"/>
      <c r="J6" s="371" t="n"/>
      <c r="K6" s="371" t="n"/>
      <c r="L6" s="371" t="n"/>
      <c r="M6" s="371" t="n"/>
    </row>
    <row r="7">
      <c r="A7" s="369" t="inlineStr">
        <is>
          <t>3、</t>
        </is>
      </c>
      <c r="B7" s="370" t="inlineStr">
        <is>
          <t>如有债权、债务性资产的未达、坏账及实物性资产的毁损、报废等的项目应在其备注中说明；</t>
        </is>
      </c>
      <c r="C7" s="371" t="n"/>
      <c r="D7" s="371" t="n"/>
      <c r="E7" s="371" t="n"/>
      <c r="F7" s="371" t="n"/>
      <c r="G7" s="371" t="n"/>
      <c r="H7" s="371" t="n"/>
      <c r="I7" s="371" t="n"/>
      <c r="J7" s="371" t="n"/>
      <c r="K7" s="371" t="n"/>
      <c r="L7" s="371" t="n"/>
      <c r="M7" s="371" t="n"/>
    </row>
    <row r="8">
      <c r="A8" s="369" t="inlineStr">
        <is>
          <t>4、</t>
        </is>
      </c>
      <c r="B8" s="370" t="inlineStr">
        <is>
          <t>明细表中如有日期档，除各明细表中有具体要求外，其格式应为“XXXX-XX”；</t>
        </is>
      </c>
      <c r="C8" s="371" t="n"/>
      <c r="D8" s="371" t="n"/>
      <c r="E8" s="371" t="n"/>
      <c r="F8" s="371" t="n"/>
      <c r="G8" s="371" t="n"/>
      <c r="H8" s="371" t="n"/>
      <c r="I8" s="371" t="n"/>
      <c r="J8" s="371" t="n"/>
      <c r="K8" s="371" t="n"/>
      <c r="L8" s="371" t="n"/>
      <c r="M8" s="371" t="n"/>
    </row>
    <row r="9">
      <c r="A9" s="369" t="n"/>
      <c r="B9" s="371" t="inlineStr">
        <is>
          <t xml:space="preserve">    例：“2000年09月10日”应填为“2000-09”</t>
        </is>
      </c>
      <c r="C9" s="371" t="n"/>
      <c r="D9" s="371" t="n"/>
      <c r="E9" s="371" t="n"/>
      <c r="F9" s="371" t="n"/>
      <c r="G9" s="371" t="n"/>
      <c r="H9" s="371" t="n"/>
      <c r="I9" s="371" t="n"/>
      <c r="J9" s="371" t="n"/>
      <c r="K9" s="371" t="n"/>
      <c r="L9" s="371" t="n"/>
      <c r="M9" s="371" t="n"/>
    </row>
    <row r="10">
      <c r="A10" s="369" t="n"/>
      <c r="B10" s="370" t="inlineStr">
        <is>
          <t>如无法确定具体月份，请将月份填为01月；</t>
        </is>
      </c>
      <c r="C10" s="371" t="n"/>
      <c r="D10" s="371" t="n"/>
      <c r="E10" s="371" t="n"/>
      <c r="F10" s="371" t="n"/>
      <c r="G10" s="371" t="n"/>
      <c r="H10" s="371" t="n"/>
      <c r="I10" s="371" t="n"/>
      <c r="J10" s="371" t="n"/>
      <c r="K10" s="371" t="n"/>
      <c r="L10" s="371" t="n"/>
      <c r="M10" s="371" t="n"/>
    </row>
    <row r="11">
      <c r="A11" s="369" t="n"/>
      <c r="B11" s="371" t="inlineStr">
        <is>
          <t xml:space="preserve">    例：“2000年”应填为“2000-01”</t>
        </is>
      </c>
      <c r="C11" s="371" t="n"/>
      <c r="D11" s="371" t="n"/>
      <c r="E11" s="371" t="n"/>
      <c r="F11" s="371" t="n"/>
      <c r="G11" s="371" t="n"/>
      <c r="H11" s="371" t="n"/>
      <c r="I11" s="371" t="n"/>
      <c r="J11" s="371" t="n"/>
      <c r="K11" s="371" t="n"/>
      <c r="L11" s="371" t="n"/>
      <c r="M11" s="371" t="n"/>
    </row>
    <row r="12">
      <c r="A12" s="369" t="n"/>
      <c r="B12" s="370" t="inlineStr">
        <is>
          <t>如为累计发生的业务，请将发生日期填为最后一笔业务的发生日期；</t>
        </is>
      </c>
      <c r="C12" s="371" t="n"/>
      <c r="D12" s="371" t="n"/>
      <c r="E12" s="371" t="n"/>
      <c r="F12" s="371" t="n"/>
      <c r="G12" s="371" t="n"/>
      <c r="H12" s="371" t="n"/>
      <c r="I12" s="371" t="n"/>
      <c r="J12" s="371" t="n"/>
      <c r="K12" s="371" t="n"/>
      <c r="L12" s="371" t="n"/>
      <c r="M12" s="371" t="n"/>
    </row>
    <row r="13">
      <c r="A13" s="369" t="inlineStr">
        <is>
          <t>5、</t>
        </is>
      </c>
      <c r="B13" s="370" t="inlineStr">
        <is>
          <t>如明细表的行数不够时，请填表人员在“合计”的上两行进行插入行。</t>
        </is>
      </c>
      <c r="C13" s="371" t="n"/>
      <c r="D13" s="371" t="n"/>
      <c r="E13" s="371" t="n"/>
      <c r="F13" s="371" t="n"/>
      <c r="G13" s="371" t="n"/>
      <c r="H13" s="371" t="n"/>
      <c r="I13" s="371" t="n"/>
      <c r="J13" s="371" t="n"/>
      <c r="K13" s="371" t="n"/>
      <c r="L13" s="371" t="n"/>
      <c r="M13" s="371" t="n"/>
    </row>
    <row r="14">
      <c r="A14" s="369" t="inlineStr">
        <is>
          <t>6、</t>
        </is>
      </c>
      <c r="B14" s="370" t="inlineStr">
        <is>
          <t>填表人可通过“资产评估申报表索引目录”来选择要查看或修改的科目,通过“返回索引页”按纽可返回“选择目录”</t>
        </is>
      </c>
      <c r="C14" s="371" t="n"/>
      <c r="D14" s="372" t="n"/>
      <c r="E14" s="371" t="n"/>
      <c r="F14" s="371" t="n"/>
      <c r="G14" s="371" t="n"/>
      <c r="H14" s="371" t="n"/>
      <c r="I14" s="371" t="n"/>
      <c r="J14" s="371" t="n"/>
      <c r="K14" s="371" t="n"/>
      <c r="L14" s="371" t="n"/>
      <c r="M14" s="371" t="n"/>
    </row>
    <row r="15">
      <c r="A15" s="369" t="inlineStr">
        <is>
          <t>7、</t>
        </is>
      </c>
      <c r="B15" s="370" t="inlineStr">
        <is>
          <t>填表人可通过点击各汇总表中的“科目名称”进入各明细表，再通过点击各工作表左上角的“返回”来返回上一级汇总表。</t>
        </is>
      </c>
      <c r="C15" s="371" t="n"/>
      <c r="D15" s="371" t="n"/>
      <c r="E15" s="371" t="n"/>
      <c r="F15" s="371" t="n"/>
      <c r="G15" s="371" t="n"/>
      <c r="H15" s="371" t="n"/>
      <c r="I15" s="371" t="n"/>
      <c r="J15" s="371" t="n"/>
      <c r="K15" s="371" t="n"/>
      <c r="L15" s="371" t="n"/>
      <c r="M15" s="371" t="n"/>
    </row>
    <row r="16">
      <c r="A16" s="373" t="inlineStr">
        <is>
          <t>注：</t>
        </is>
      </c>
      <c r="B16" s="374" t="inlineStr">
        <is>
          <t>除以上要求企业填写的或按具体情况评估人员另作要求填写的栏目或项外，企业不应对此套表的其它部分</t>
        </is>
      </c>
      <c r="C16" s="375" t="n"/>
      <c r="D16" s="375" t="n"/>
      <c r="E16" s="375" t="n"/>
      <c r="F16" s="375" t="n"/>
      <c r="G16" s="375" t="n"/>
      <c r="H16" s="375" t="n"/>
      <c r="I16" s="375" t="n"/>
      <c r="J16" s="375" t="n"/>
      <c r="K16" s="375" t="n"/>
      <c r="L16" s="375" t="n"/>
      <c r="M16" s="375" t="n"/>
    </row>
    <row r="17">
      <c r="A17" s="375" t="n"/>
      <c r="B17" s="374" t="inlineStr">
        <is>
          <t>作任何修改变动，谢谢合作！</t>
        </is>
      </c>
      <c r="C17" s="375" t="n"/>
      <c r="D17" s="375" t="n"/>
      <c r="E17" s="375" t="n"/>
      <c r="F17" s="375" t="n"/>
      <c r="G17" s="375" t="n"/>
      <c r="H17" s="375" t="n"/>
      <c r="I17" s="375" t="n"/>
      <c r="J17" s="375" t="n"/>
      <c r="K17" s="375" t="n"/>
      <c r="L17" s="375" t="n"/>
      <c r="M17" s="375" t="n"/>
    </row>
    <row r="18">
      <c r="A18" s="375" t="n"/>
      <c r="B18" s="374" t="n"/>
      <c r="C18" s="375" t="n"/>
      <c r="D18" s="375" t="n"/>
      <c r="E18" s="375" t="n"/>
      <c r="F18" s="375" t="n"/>
      <c r="G18" s="375" t="n"/>
      <c r="H18" s="375" t="n"/>
      <c r="I18" s="375" t="n"/>
      <c r="J18" s="375" t="n"/>
      <c r="K18" s="375" t="n"/>
      <c r="L18" s="375" t="n"/>
      <c r="M18" s="375" t="n"/>
    </row>
    <row r="19" ht="25.5" customFormat="1" customHeight="1" s="363">
      <c r="A19" s="376" t="inlineStr">
        <is>
          <t>核心提示：不适用的工作表可以隐藏，但不可删除！</t>
        </is>
      </c>
      <c r="B19" s="377" t="n"/>
      <c r="C19" s="377" t="n"/>
      <c r="D19" s="377" t="n"/>
      <c r="E19" s="377" t="n"/>
      <c r="F19" s="377" t="n"/>
      <c r="G19" s="377" t="n"/>
      <c r="H19" s="377" t="n"/>
      <c r="I19" s="377" t="n"/>
      <c r="J19" s="377" t="n"/>
      <c r="K19" s="377" t="n"/>
      <c r="L19" s="377" t="n"/>
      <c r="M19" s="377" t="n"/>
    </row>
    <row r="20" ht="25.5" customFormat="1" customHeight="1" s="363">
      <c r="A20" s="376" t="n"/>
      <c r="B20" s="377" t="n"/>
      <c r="C20" s="376" t="inlineStr">
        <is>
          <t>工作表标签不能更改！</t>
        </is>
      </c>
      <c r="D20" s="377" t="n"/>
      <c r="E20" s="377" t="n"/>
      <c r="F20" s="377" t="n"/>
      <c r="G20" s="377" t="n"/>
      <c r="H20" s="377" t="n"/>
      <c r="I20" s="377" t="n"/>
      <c r="J20" s="377" t="n"/>
      <c r="K20" s="377" t="n"/>
      <c r="L20" s="377" t="n"/>
      <c r="M20" s="377" t="n"/>
    </row>
    <row r="21">
      <c r="A21" s="375" t="n"/>
      <c r="B21" s="375" t="n"/>
      <c r="C21" s="375" t="n"/>
      <c r="D21" s="375" t="n"/>
      <c r="E21" s="375" t="n"/>
      <c r="F21" s="375" t="n"/>
      <c r="G21" s="375" t="n"/>
      <c r="H21" s="375" t="n"/>
      <c r="I21" s="375" t="n"/>
      <c r="J21" s="375" t="n"/>
      <c r="K21" s="375" t="n"/>
      <c r="L21" s="375" t="n"/>
      <c r="M21" s="375" t="n"/>
    </row>
    <row r="22" ht="18" customHeight="1">
      <c r="A22" s="378" t="n"/>
      <c r="B22" s="379" t="inlineStr">
        <is>
          <t>如有疑问请与我公司项目组或我公司现场人员联系</t>
        </is>
      </c>
      <c r="C22" s="380" t="n"/>
      <c r="D22" s="380" t="n"/>
      <c r="E22" s="380" t="n"/>
      <c r="F22" s="380" t="n"/>
      <c r="G22" s="381" t="n"/>
      <c r="H22" s="378" t="n"/>
      <c r="I22" s="371" t="n"/>
      <c r="J22" s="378" t="n"/>
      <c r="K22" s="378" t="n"/>
      <c r="L22" s="378" t="n"/>
      <c r="M22" s="378" t="n"/>
    </row>
    <row r="23" ht="18" customHeight="1">
      <c r="A23" s="378" t="n"/>
      <c r="B23" s="379" t="inlineStr">
        <is>
          <t>公司电话：010-68365066      传真：010-68365038</t>
        </is>
      </c>
      <c r="C23" s="380" t="n"/>
      <c r="D23" s="380" t="n"/>
      <c r="E23" s="380" t="n"/>
      <c r="F23" s="380" t="n"/>
      <c r="G23" s="380" t="n"/>
      <c r="H23" s="378" t="n"/>
      <c r="I23" s="371" t="n"/>
      <c r="J23" s="378" t="n"/>
      <c r="K23" s="378" t="n"/>
      <c r="L23" s="378" t="n"/>
      <c r="M23" s="378" t="n"/>
    </row>
  </sheetData>
  <sheetProtection selectLockedCells="1" selectUnlockedCells="0" sheet="1" objects="1" insertRows="1" insertHyperlinks="1" autoFilter="1" scenarios="1" formatColumns="1" deleteColumns="1" insertColumns="1" pivotTables="1" deleteRows="1" formatCells="1" formatRows="1" sort="1" password="EF09"/>
  <hyperlinks>
    <hyperlink ref="A2" location="索引目录!B3" display="返回索引页"/>
  </hyperlinks>
  <printOptions horizontalCentered="1"/>
  <pageMargins left="0.551181102362205" right="0.551181102362205" top="0.984251968503937" bottom="0.196850393700787" header="0.511811023622047" footer="0"/>
  <pageSetup orientation="landscape" paperSize="9"/>
</worksheet>
</file>

<file path=xl/worksheets/sheet5.xml><?xml version="1.0" encoding="utf-8"?>
<worksheet xmlns="http://schemas.openxmlformats.org/spreadsheetml/2006/main">
  <sheetPr codeName="Sheet5">
    <outlinePr summaryBelow="1" summaryRight="1"/>
    <pageSetUpPr fitToPage="1"/>
  </sheetPr>
  <dimension ref="A1:J40"/>
  <sheetViews>
    <sheetView view="pageBreakPreview" zoomScale="85" zoomScaleNormal="100" workbookViewId="0">
      <selection activeCell="G451" sqref="G451"/>
    </sheetView>
  </sheetViews>
  <sheetFormatPr baseColWidth="8" defaultColWidth="7" defaultRowHeight="18" customHeight="1"/>
  <cols>
    <col width="21.3333333333333" customWidth="1" style="491" min="1" max="1"/>
    <col width="4.5" customWidth="1" style="492" min="2" max="2"/>
    <col width="17.0833333333333" customWidth="1" style="493" min="3" max="4"/>
    <col width="9" customWidth="1" style="491" min="5" max="5"/>
    <col width="23" customWidth="1" style="491" min="6" max="6"/>
    <col width="4.58333333333333" customWidth="1" style="492" min="7" max="7"/>
    <col width="20.5" customWidth="1" style="493" min="8" max="9"/>
    <col width="12.5833333333333" customWidth="1" style="491" min="10" max="10"/>
    <col width="7" customWidth="1" style="491" min="11" max="16384"/>
  </cols>
  <sheetData>
    <row r="1" customFormat="1" s="494">
      <c r="A1" s="495" t="inlineStr">
        <is>
          <t>返回索引页</t>
        </is>
      </c>
      <c r="B1" s="496" t="n"/>
      <c r="C1" s="496" t="n"/>
      <c r="D1" s="496" t="n"/>
      <c r="E1" s="496" t="n"/>
      <c r="F1" s="496" t="n"/>
      <c r="G1" s="496" t="n"/>
      <c r="H1" s="496" t="n"/>
      <c r="I1" s="496" t="n"/>
      <c r="J1" s="496" t="n"/>
    </row>
    <row r="2" customFormat="1" s="494">
      <c r="A2" s="497" t="inlineStr">
        <is>
          <t>资产负债表</t>
        </is>
      </c>
      <c r="B2" s="330" t="n"/>
      <c r="C2" s="330" t="n"/>
      <c r="D2" s="330" t="n"/>
      <c r="E2" s="330" t="n"/>
      <c r="F2" s="330" t="n"/>
      <c r="G2" s="330" t="n"/>
      <c r="H2" s="330" t="n"/>
      <c r="I2" s="330" t="n"/>
      <c r="J2" s="330" t="n"/>
    </row>
    <row r="3" customFormat="1" s="498">
      <c r="A3" s="331">
        <f>CONCATENATE(封面!F9,封面!G9,封面!H9,封面!I9,封面!J9,封面!K9)</f>
      </c>
      <c r="B3" s="330" t="n"/>
      <c r="C3" s="330" t="n"/>
      <c r="D3" s="330" t="n"/>
      <c r="E3" s="330" t="n"/>
      <c r="F3" s="330" t="n"/>
      <c r="G3" s="330" t="n"/>
      <c r="H3" s="330" t="n"/>
      <c r="I3" s="330" t="n"/>
      <c r="J3" s="330" t="n"/>
    </row>
    <row r="4">
      <c r="A4" s="499">
        <f>"编制单位:"&amp;封面!F7</f>
      </c>
      <c r="B4" s="333" t="n"/>
      <c r="C4" s="333" t="n"/>
      <c r="E4" s="500" t="n"/>
      <c r="J4" s="501" t="inlineStr">
        <is>
          <t>金额单位：人民币元</t>
        </is>
      </c>
    </row>
    <row r="5" customFormat="1" s="502">
      <c r="A5" s="503" t="inlineStr">
        <is>
          <t>资产</t>
        </is>
      </c>
      <c r="B5" s="503" t="inlineStr">
        <is>
          <t>序号</t>
        </is>
      </c>
      <c r="C5" s="503" t="inlineStr">
        <is>
          <t>期初数</t>
        </is>
      </c>
      <c r="D5" s="503" t="inlineStr">
        <is>
          <t>期末数</t>
        </is>
      </c>
      <c r="E5" s="504" t="inlineStr">
        <is>
          <t>备注</t>
        </is>
      </c>
      <c r="F5" s="505" t="inlineStr">
        <is>
          <t>负债及所有者权益</t>
        </is>
      </c>
      <c r="G5" s="503" t="inlineStr">
        <is>
          <t>序号</t>
        </is>
      </c>
      <c r="H5" s="503" t="inlineStr">
        <is>
          <t>期初数</t>
        </is>
      </c>
      <c r="I5" s="503" t="inlineStr">
        <is>
          <t>期末数</t>
        </is>
      </c>
      <c r="J5" s="503" t="inlineStr">
        <is>
          <t>备注</t>
        </is>
      </c>
    </row>
    <row r="6">
      <c r="A6" s="506" t="inlineStr">
        <is>
          <t>流动资产：</t>
        </is>
      </c>
      <c r="B6" s="507" t="n">
        <v>1</v>
      </c>
      <c r="C6" s="508" t="n"/>
      <c r="D6" s="508" t="n"/>
      <c r="E6" s="509" t="n"/>
      <c r="F6" s="510" t="inlineStr">
        <is>
          <t>流动负债：</t>
        </is>
      </c>
      <c r="G6" s="507" t="n">
        <v>34</v>
      </c>
      <c r="H6" s="511" t="n"/>
      <c r="I6" s="511" t="n"/>
      <c r="J6" s="512" t="n"/>
    </row>
    <row r="7">
      <c r="A7" s="513" t="inlineStr">
        <is>
          <t>货币资金</t>
        </is>
      </c>
      <c r="B7" s="507" t="n">
        <v>2</v>
      </c>
      <c r="C7" s="514"/>
      <c r="D7" s="514"/>
      <c r="E7" s="509" t="n"/>
      <c r="F7" s="513" t="inlineStr">
        <is>
          <t>短期借款</t>
        </is>
      </c>
      <c r="G7" s="507" t="n">
        <v>35</v>
      </c>
      <c r="H7" s="514"/>
      <c r="I7" s="514"/>
      <c r="J7" s="512" t="n"/>
    </row>
    <row r="8">
      <c r="A8" s="513" t="inlineStr">
        <is>
          <t>交易性金融资产</t>
        </is>
      </c>
      <c r="B8" s="507" t="n">
        <v>3</v>
      </c>
      <c r="C8" s="514"/>
      <c r="D8" s="514"/>
      <c r="E8" s="509" t="n"/>
      <c r="F8" s="513" t="inlineStr">
        <is>
          <t>交易性金融负债</t>
        </is>
      </c>
      <c r="G8" s="507" t="n">
        <v>36</v>
      </c>
      <c r="H8" s="514"/>
      <c r="I8" s="514"/>
      <c r="J8" s="512" t="n"/>
    </row>
    <row r="9">
      <c r="A9" s="513" t="inlineStr">
        <is>
          <t>应收票据</t>
        </is>
      </c>
      <c r="B9" s="507" t="n">
        <v>4</v>
      </c>
      <c r="C9" s="514"/>
      <c r="D9" s="514"/>
      <c r="E9" s="509" t="n"/>
      <c r="F9" s="513" t="inlineStr">
        <is>
          <t>应付票据</t>
        </is>
      </c>
      <c r="G9" s="507" t="n">
        <v>37</v>
      </c>
      <c r="H9" s="514"/>
      <c r="I9" s="514"/>
      <c r="J9" s="512" t="n"/>
    </row>
    <row r="10">
      <c r="A10" s="513" t="inlineStr">
        <is>
          <t>应收账款</t>
        </is>
      </c>
      <c r="B10" s="507" t="n">
        <v>5</v>
      </c>
      <c r="C10" s="514"/>
      <c r="D10" s="514"/>
      <c r="E10" s="509" t="n"/>
      <c r="F10" s="513" t="inlineStr">
        <is>
          <t>应付账款</t>
        </is>
      </c>
      <c r="G10" s="507" t="n">
        <v>38</v>
      </c>
      <c r="H10" s="514"/>
      <c r="I10" s="514"/>
      <c r="J10" s="512" t="n"/>
    </row>
    <row r="11">
      <c r="A11" s="513" t="inlineStr">
        <is>
          <t>预付款项</t>
        </is>
      </c>
      <c r="B11" s="507" t="n">
        <v>6</v>
      </c>
      <c r="C11" s="514"/>
      <c r="D11" s="514"/>
      <c r="E11" s="509" t="n"/>
      <c r="F11" s="513" t="inlineStr">
        <is>
          <t>预收款项</t>
        </is>
      </c>
      <c r="G11" s="507" t="n">
        <v>39</v>
      </c>
      <c r="H11" s="514"/>
      <c r="I11" s="514"/>
      <c r="J11" s="512" t="n"/>
    </row>
    <row r="12">
      <c r="A12" s="513" t="inlineStr">
        <is>
          <t>应收利息</t>
        </is>
      </c>
      <c r="B12" s="507" t="n">
        <v>7</v>
      </c>
      <c r="C12" s="514"/>
      <c r="D12" s="514"/>
      <c r="E12" s="509" t="n"/>
      <c r="F12" s="513" t="inlineStr">
        <is>
          <t>应付职工薪酬</t>
        </is>
      </c>
      <c r="G12" s="507" t="n">
        <v>40</v>
      </c>
      <c r="H12" s="514"/>
      <c r="I12" s="514"/>
      <c r="J12" s="512" t="n"/>
    </row>
    <row r="13">
      <c r="A13" s="513" t="inlineStr">
        <is>
          <t>应收股利</t>
        </is>
      </c>
      <c r="B13" s="507" t="n">
        <v>8</v>
      </c>
      <c r="C13" s="511"/>
      <c r="D13" s="511"/>
      <c r="E13" s="509" t="n"/>
      <c r="F13" s="513" t="inlineStr">
        <is>
          <t>应交税费</t>
        </is>
      </c>
      <c r="G13" s="507" t="n">
        <v>41</v>
      </c>
      <c r="H13" s="514"/>
      <c r="I13" s="514"/>
      <c r="J13" s="512" t="n"/>
    </row>
    <row r="14">
      <c r="A14" s="513" t="inlineStr">
        <is>
          <t>其他应收款</t>
        </is>
      </c>
      <c r="B14" s="507" t="n">
        <v>9</v>
      </c>
      <c r="C14" s="511"/>
      <c r="D14" s="511"/>
      <c r="E14" s="509" t="n"/>
      <c r="F14" s="513" t="inlineStr">
        <is>
          <t>应付利息</t>
        </is>
      </c>
      <c r="G14" s="507" t="n">
        <v>42</v>
      </c>
      <c r="H14" s="514"/>
      <c r="I14" s="514"/>
      <c r="J14" s="512" t="n"/>
    </row>
    <row r="15">
      <c r="A15" s="513" t="inlineStr">
        <is>
          <t>存货</t>
        </is>
      </c>
      <c r="B15" s="507" t="n">
        <v>10</v>
      </c>
      <c r="C15" s="511"/>
      <c r="D15" s="511"/>
      <c r="E15" s="509" t="n"/>
      <c r="F15" s="513" t="inlineStr">
        <is>
          <t>应付股利</t>
        </is>
      </c>
      <c r="G15" s="507" t="n">
        <v>43</v>
      </c>
      <c r="H15" s="514"/>
      <c r="I15" s="514"/>
      <c r="J15" s="512" t="n"/>
    </row>
    <row r="16">
      <c r="A16" s="513" t="inlineStr">
        <is>
          <t>一年内到期的非流动资产</t>
        </is>
      </c>
      <c r="B16" s="507" t="n">
        <v>11</v>
      </c>
      <c r="C16" s="511"/>
      <c r="D16" s="511"/>
      <c r="E16" s="509" t="n"/>
      <c r="F16" s="513" t="inlineStr">
        <is>
          <t>其他应付款</t>
        </is>
      </c>
      <c r="G16" s="507" t="n">
        <v>44</v>
      </c>
      <c r="H16" s="514"/>
      <c r="I16" s="514"/>
      <c r="J16" s="512" t="n"/>
    </row>
    <row r="17">
      <c r="A17" s="513" t="inlineStr">
        <is>
          <t>其他流动资产</t>
        </is>
      </c>
      <c r="B17" s="507" t="n">
        <v>12</v>
      </c>
      <c r="C17" s="511"/>
      <c r="D17" s="511"/>
      <c r="E17" s="509" t="n"/>
      <c r="F17" s="513" t="inlineStr">
        <is>
          <t>一年内到期的非流动负债</t>
        </is>
      </c>
      <c r="G17" s="507" t="n">
        <v>45</v>
      </c>
      <c r="H17" s="514"/>
      <c r="I17" s="514"/>
      <c r="J17" s="512" t="n"/>
    </row>
    <row r="18">
      <c r="A18" s="515" t="inlineStr">
        <is>
          <t>流动资产合计</t>
        </is>
      </c>
      <c r="B18" s="507" t="n">
        <v>13</v>
      </c>
      <c r="C18" s="511">
        <f>SUM(C7:C17)</f>
      </c>
      <c r="D18" s="511">
        <f>SUM(D7:D17)</f>
      </c>
      <c r="E18" s="509" t="n"/>
      <c r="F18" s="513" t="inlineStr">
        <is>
          <t>其他流动负债</t>
        </is>
      </c>
      <c r="G18" s="507" t="n">
        <v>46</v>
      </c>
      <c r="H18" s="514"/>
      <c r="I18" s="514"/>
      <c r="J18" s="512" t="n"/>
    </row>
    <row r="19">
      <c r="A19" s="516" t="inlineStr">
        <is>
          <t>非流动资产：</t>
        </is>
      </c>
      <c r="B19" s="507" t="n">
        <v>14</v>
      </c>
      <c r="C19" s="514" t="n"/>
      <c r="D19" s="514" t="n"/>
      <c r="E19" s="509" t="n"/>
      <c r="F19" s="517" t="inlineStr">
        <is>
          <t>流动负债合计</t>
        </is>
      </c>
      <c r="G19" s="507" t="n">
        <v>47</v>
      </c>
      <c r="H19" s="514">
        <f>SUM(H7:H18)</f>
      </c>
      <c r="I19" s="514">
        <f>SUM(I7:I18)</f>
      </c>
      <c r="J19" s="512" t="n"/>
    </row>
    <row r="20">
      <c r="A20" s="513" t="inlineStr">
        <is>
          <t>可供出售金融资产</t>
        </is>
      </c>
      <c r="B20" s="507" t="n">
        <v>15</v>
      </c>
      <c r="C20" s="511" t="n"/>
      <c r="D20" s="511" t="n"/>
      <c r="E20" s="509" t="n"/>
      <c r="F20" s="518" t="inlineStr">
        <is>
          <t>非流动负债：</t>
        </is>
      </c>
      <c r="G20" s="507" t="n">
        <v>48</v>
      </c>
      <c r="H20" s="514" t="n"/>
      <c r="I20" s="514" t="n"/>
      <c r="J20" s="512" t="n"/>
    </row>
    <row r="21">
      <c r="A21" s="513" t="inlineStr">
        <is>
          <t>持有至到期投资</t>
        </is>
      </c>
      <c r="B21" s="507" t="n">
        <v>16</v>
      </c>
      <c r="C21" s="511" t="n"/>
      <c r="D21" s="511" t="n"/>
      <c r="E21" s="509" t="n"/>
      <c r="F21" s="513" t="inlineStr">
        <is>
          <t>长期借款</t>
        </is>
      </c>
      <c r="G21" s="507" t="n">
        <v>49</v>
      </c>
      <c r="H21" s="514"/>
      <c r="I21" s="514"/>
      <c r="J21" s="512" t="n"/>
    </row>
    <row r="22">
      <c r="A22" s="513" t="inlineStr">
        <is>
          <t>长期应收款</t>
        </is>
      </c>
      <c r="B22" s="507" t="n">
        <v>17</v>
      </c>
      <c r="C22" s="511"/>
      <c r="D22" s="511"/>
      <c r="E22" s="509" t="n"/>
      <c r="F22" s="513" t="inlineStr">
        <is>
          <t>应付债券</t>
        </is>
      </c>
      <c r="G22" s="507" t="n">
        <v>50</v>
      </c>
      <c r="H22" s="514"/>
      <c r="I22" s="514"/>
      <c r="J22" s="512" t="n"/>
    </row>
    <row r="23">
      <c r="A23" s="513" t="inlineStr">
        <is>
          <t>长期股权投资</t>
        </is>
      </c>
      <c r="B23" s="507" t="n">
        <v>18</v>
      </c>
      <c r="C23" s="511">
        <f>D23</f>
      </c>
      <c r="D23" s="511"/>
      <c r="E23" s="509" t="n"/>
      <c r="F23" s="513" t="inlineStr">
        <is>
          <t>长期应付款</t>
        </is>
      </c>
      <c r="G23" s="507" t="n">
        <v>51</v>
      </c>
      <c r="H23" s="514"/>
      <c r="I23" s="514"/>
      <c r="J23" s="512" t="n"/>
    </row>
    <row r="24">
      <c r="A24" s="513" t="inlineStr">
        <is>
          <t>投资性房地产</t>
        </is>
      </c>
      <c r="B24" s="507" t="n">
        <v>19</v>
      </c>
      <c r="C24" s="511"/>
      <c r="D24" s="511"/>
      <c r="E24" s="509" t="n"/>
      <c r="F24" s="513" t="inlineStr">
        <is>
          <t>专项应付款</t>
        </is>
      </c>
      <c r="G24" s="507" t="n">
        <v>52</v>
      </c>
      <c r="H24" s="514" t="n"/>
      <c r="I24" s="514" t="n"/>
      <c r="J24" s="512" t="n"/>
    </row>
    <row r="25">
      <c r="A25" s="513" t="inlineStr">
        <is>
          <t>固定资产</t>
        </is>
      </c>
      <c r="B25" s="507" t="n">
        <v>20</v>
      </c>
      <c r="C25" s="511"/>
      <c r="D25" s="511"/>
      <c r="E25" s="509" t="n"/>
      <c r="F25" s="513" t="inlineStr">
        <is>
          <t>预计负债</t>
        </is>
      </c>
      <c r="G25" s="507" t="n">
        <v>53</v>
      </c>
      <c r="H25" s="514"/>
      <c r="I25" s="514"/>
      <c r="J25" s="512" t="n"/>
    </row>
    <row r="26">
      <c r="A26" s="513" t="inlineStr">
        <is>
          <t>在建工程</t>
        </is>
      </c>
      <c r="B26" s="507" t="n">
        <v>21</v>
      </c>
      <c r="C26" s="511"/>
      <c r="D26" s="511"/>
      <c r="E26" s="509" t="n"/>
      <c r="F26" s="513" t="inlineStr">
        <is>
          <t>递延所得税负债</t>
        </is>
      </c>
      <c r="G26" s="507" t="n">
        <v>54</v>
      </c>
      <c r="H26" s="511"/>
      <c r="I26" s="511"/>
      <c r="J26" s="512" t="n"/>
    </row>
    <row r="27">
      <c r="A27" s="513" t="inlineStr">
        <is>
          <t>工程物资</t>
        </is>
      </c>
      <c r="B27" s="507" t="n">
        <v>22</v>
      </c>
      <c r="C27" s="511" t="n"/>
      <c r="D27" s="511" t="n"/>
      <c r="E27" s="509" t="n"/>
      <c r="F27" s="513" t="inlineStr">
        <is>
          <t>其他非流动负债</t>
        </is>
      </c>
      <c r="G27" s="507" t="n">
        <v>55</v>
      </c>
      <c r="H27" s="511"/>
      <c r="I27" s="511"/>
      <c r="J27" s="512" t="n"/>
    </row>
    <row r="28">
      <c r="A28" s="513" t="inlineStr">
        <is>
          <t>固定资产清理</t>
        </is>
      </c>
      <c r="B28" s="507" t="n">
        <v>23</v>
      </c>
      <c r="C28" s="511"/>
      <c r="D28" s="511"/>
      <c r="E28" s="509" t="n"/>
      <c r="F28" s="517" t="inlineStr">
        <is>
          <t>非流动负债合计</t>
        </is>
      </c>
      <c r="G28" s="507" t="n">
        <v>56</v>
      </c>
      <c r="H28" s="514">
        <f>SUM(H21:H27)</f>
      </c>
      <c r="I28" s="514">
        <f>SUM(I21:I27)</f>
      </c>
      <c r="J28" s="512" t="n"/>
    </row>
    <row r="29">
      <c r="A29" s="513" t="inlineStr">
        <is>
          <t>生产性生物资产</t>
        </is>
      </c>
      <c r="B29" s="507" t="n">
        <v>24</v>
      </c>
      <c r="C29" s="511" t="n"/>
      <c r="D29" s="511" t="n"/>
      <c r="E29" s="509" t="n"/>
      <c r="F29" s="519" t="inlineStr">
        <is>
          <t>负债合计</t>
        </is>
      </c>
      <c r="G29" s="520" t="n">
        <v>57</v>
      </c>
      <c r="H29" s="521">
        <f>H19+H28</f>
      </c>
      <c r="I29" s="521">
        <f>I19+I28</f>
      </c>
      <c r="J29" s="512" t="n"/>
    </row>
    <row r="30">
      <c r="A30" s="513" t="inlineStr">
        <is>
          <t>油气资产</t>
        </is>
      </c>
      <c r="B30" s="507" t="n">
        <v>25</v>
      </c>
      <c r="C30" s="511" t="n"/>
      <c r="D30" s="511" t="n"/>
      <c r="E30" s="509" t="n"/>
      <c r="F30" s="510" t="inlineStr">
        <is>
          <t>所有者权益：</t>
        </is>
      </c>
      <c r="G30" s="507" t="n">
        <v>58</v>
      </c>
      <c r="H30" s="511" t="n"/>
      <c r="I30" s="511" t="n"/>
      <c r="J30" s="512" t="n"/>
    </row>
    <row r="31">
      <c r="A31" s="513" t="inlineStr">
        <is>
          <t>无形资产</t>
        </is>
      </c>
      <c r="B31" s="507" t="n">
        <v>26</v>
      </c>
      <c r="C31" s="511"/>
      <c r="D31" s="511"/>
      <c r="E31" s="509" t="n"/>
      <c r="F31" s="513" t="inlineStr">
        <is>
          <t>实收资本</t>
        </is>
      </c>
      <c r="G31" s="507" t="n">
        <v>59</v>
      </c>
      <c r="H31" s="514"/>
      <c r="I31" s="514">
        <f>H31</f>
      </c>
      <c r="J31" s="512" t="n"/>
    </row>
    <row r="32">
      <c r="A32" s="513" t="inlineStr">
        <is>
          <t>开发支出</t>
        </is>
      </c>
      <c r="B32" s="507" t="n">
        <v>27</v>
      </c>
      <c r="C32" s="511" t="n"/>
      <c r="D32" s="511" t="n"/>
      <c r="E32" s="509" t="n"/>
      <c r="F32" s="513" t="inlineStr">
        <is>
          <t>资本公积</t>
        </is>
      </c>
      <c r="G32" s="507" t="n">
        <v>60</v>
      </c>
      <c r="H32" s="514"/>
      <c r="I32" s="514">
        <f>H32</f>
      </c>
      <c r="J32" s="512" t="n"/>
    </row>
    <row r="33">
      <c r="A33" s="513" t="inlineStr">
        <is>
          <t>商誉</t>
        </is>
      </c>
      <c r="B33" s="507" t="n">
        <v>28</v>
      </c>
      <c r="C33" s="511"/>
      <c r="D33" s="511"/>
      <c r="E33" s="509" t="n"/>
      <c r="F33" s="513" t="inlineStr">
        <is>
          <t>减：库存股</t>
        </is>
      </c>
      <c r="G33" s="507" t="n">
        <v>61</v>
      </c>
      <c r="J33" s="512" t="n"/>
    </row>
    <row r="34">
      <c r="A34" s="513" t="inlineStr">
        <is>
          <t>长期待摊费用</t>
        </is>
      </c>
      <c r="B34" s="507" t="n">
        <v>29</v>
      </c>
      <c r="C34" s="511"/>
      <c r="D34" s="511"/>
      <c r="E34" s="509" t="n"/>
      <c r="F34" s="513" t="inlineStr">
        <is>
          <t>盈余公积</t>
        </is>
      </c>
      <c r="G34" s="507" t="n">
        <v>62</v>
      </c>
      <c r="H34" s="511"/>
      <c r="I34" s="511"/>
      <c r="J34" s="512" t="n"/>
    </row>
    <row r="35">
      <c r="A35" s="513" t="inlineStr">
        <is>
          <t>递延所得税资产</t>
        </is>
      </c>
      <c r="B35" s="507" t="n">
        <v>30</v>
      </c>
      <c r="C35" s="511"/>
      <c r="D35" s="511"/>
      <c r="E35" s="509" t="n"/>
      <c r="F35" s="513" t="inlineStr">
        <is>
          <t>未分配利润</t>
        </is>
      </c>
      <c r="G35" s="507" t="n">
        <v>63</v>
      </c>
      <c r="H35" s="514"/>
      <c r="I35" s="514"/>
      <c r="J35" s="512" t="n"/>
    </row>
    <row r="36">
      <c r="A36" s="513" t="inlineStr">
        <is>
          <t>其他非流动资产</t>
        </is>
      </c>
      <c r="B36" s="507" t="n">
        <v>31</v>
      </c>
      <c r="C36" s="511"/>
      <c r="D36" s="511"/>
      <c r="E36" s="509" t="n"/>
      <c r="F36" s="522" t="inlineStr">
        <is>
          <t>所有者权益合计</t>
        </is>
      </c>
      <c r="G36" s="520" t="n">
        <v>64</v>
      </c>
      <c r="H36" s="523">
        <f>SUM(H31,H32,H34,H35)</f>
      </c>
      <c r="I36" s="523">
        <f>SUM(I31,I32,I34,I35)</f>
      </c>
      <c r="J36" s="512" t="n"/>
    </row>
    <row r="37">
      <c r="A37" s="515" t="inlineStr">
        <is>
          <t>非流动资产合计</t>
        </is>
      </c>
      <c r="B37" s="507" t="n">
        <v>32</v>
      </c>
      <c r="C37" s="511">
        <f>SUM(C20:C36)</f>
      </c>
      <c r="D37" s="511">
        <f>SUM(D20:D36)</f>
      </c>
      <c r="E37" s="509" t="n"/>
      <c r="J37" s="512" t="n"/>
    </row>
    <row r="38">
      <c r="A38" s="524" t="inlineStr">
        <is>
          <t>资产总计</t>
        </is>
      </c>
      <c r="B38" s="358" t="n">
        <v>33</v>
      </c>
      <c r="C38" s="525">
        <f>SUM(C37,C18)</f>
      </c>
      <c r="D38" s="525">
        <f>SUM(D37,D18)</f>
      </c>
      <c r="E38" s="509" t="n"/>
      <c r="F38" s="522" t="inlineStr">
        <is>
          <t>负债及所有者权益合计</t>
        </is>
      </c>
      <c r="G38" s="520" t="n">
        <v>65</v>
      </c>
      <c r="H38" s="523">
        <f>H29+H36</f>
      </c>
      <c r="I38" s="523">
        <f>I29+I36</f>
      </c>
      <c r="J38" s="512" t="n"/>
    </row>
    <row r="39">
      <c r="A39" s="526" t="n"/>
      <c r="B39" s="507" t="n"/>
      <c r="C39" s="511" t="n"/>
      <c r="D39" s="511" t="n"/>
      <c r="E39" s="509" t="n"/>
      <c r="F39" s="510" t="inlineStr">
        <is>
          <t>与总资产相差</t>
        </is>
      </c>
      <c r="G39" s="507" t="n">
        <v>66</v>
      </c>
      <c r="H39" s="511">
        <f>H38-C38</f>
      </c>
      <c r="I39" s="511">
        <f>I38-D38</f>
      </c>
      <c r="J39" s="512" t="n"/>
    </row>
    <row r="40">
      <c r="C40" s="527" t="inlineStr">
        <is>
          <t xml:space="preserve">填表人： </t>
        </is>
      </c>
      <c r="D40" s="491" t="n"/>
      <c r="E40" s="527" t="inlineStr">
        <is>
          <t>财务主管：</t>
        </is>
      </c>
      <c r="F40" s="491" t="inlineStr"/>
      <c r="H40" s="528" t="inlineStr">
        <is>
          <t>负责人：</t>
        </is>
      </c>
      <c r="I40" s="491" t="inlineStr"/>
    </row>
  </sheetData>
  <mergeCells count="3">
    <mergeCell ref="A4:C4"/>
    <mergeCell ref="A3:J3"/>
    <mergeCell ref="A2:J2"/>
  </mergeCells>
  <hyperlinks>
    <hyperlink ref="A1" location="索引目录!C4" display="返回索引页"/>
  </hyperlinks>
  <printOptions horizontalCentered="1"/>
  <pageMargins left="1.10236220472441" right="0.433070866141732" top="0.393700787401575" bottom="0.196850393700787" header="0.511811023622047" footer="0.511811023622047"/>
  <pageSetup orientation="landscape" paperSize="9" scale="77"/>
</worksheet>
</file>

<file path=xl/worksheets/sheet6.xml><?xml version="1.0" encoding="utf-8"?>
<worksheet xmlns="http://schemas.openxmlformats.org/spreadsheetml/2006/main">
  <sheetPr codeName="Sheet6">
    <outlinePr summaryBelow="1" summaryRight="1"/>
    <pageSetUpPr fitToPage="1"/>
  </sheetPr>
  <dimension ref="A1:G37"/>
  <sheetViews>
    <sheetView tabSelected="1" zoomScale="70" zoomScaleNormal="70" zoomScaleSheetLayoutView="75" workbookViewId="0">
      <selection activeCell="F14" sqref="F14"/>
    </sheetView>
  </sheetViews>
  <sheetFormatPr baseColWidth="8" defaultColWidth="9" defaultRowHeight="15.75" customHeight="1"/>
  <cols>
    <col width="11.5" customWidth="1" style="13" min="1" max="1"/>
    <col width="22.9166666666667" customWidth="1" style="12" min="2" max="2"/>
    <col hidden="1" outlineLevel="1" width="20.0833333333333" customWidth="1" style="13" min="3" max="3"/>
    <col collapsed="1" width="23.25" customWidth="1" style="13" min="4" max="4"/>
    <col width="21.3333333333333" customWidth="1" style="13" min="5" max="5"/>
    <col width="22" customWidth="1" style="13" min="6" max="6"/>
    <col width="20.1666666666667" customWidth="1" style="13" min="7" max="7"/>
    <col width="9" customWidth="1" style="13" min="8" max="16384"/>
  </cols>
  <sheetData>
    <row r="1" ht="20.25" customHeight="1">
      <c r="A1" s="529" t="inlineStr">
        <is>
          <t>返回索引页</t>
        </is>
      </c>
      <c r="B1" s="16" t="n"/>
      <c r="C1" s="16" t="n"/>
      <c r="D1" s="16" t="n"/>
      <c r="E1" s="16" t="n"/>
      <c r="F1" s="16" t="n"/>
      <c r="G1" s="16" t="n"/>
    </row>
    <row r="2" ht="30" customHeight="1">
      <c r="A2" s="307" t="inlineStr">
        <is>
          <t>资  产  评  估  结 果  汇  总  表</t>
        </is>
      </c>
    </row>
    <row r="3" ht="18" customFormat="1" customHeight="1" s="301">
      <c r="A3" s="530">
        <f>CONCATENATE(封面!D9,封面!F9,封面!G9,封面!H9,封面!I9,封面!J9,封面!K9)</f>
      </c>
    </row>
    <row r="4" ht="23.25" customFormat="1" customHeight="1" s="301">
      <c r="A4" s="531">
        <f>封面!D7&amp;封面!F7</f>
      </c>
      <c r="B4" s="310" t="n"/>
      <c r="G4" s="311" t="inlineStr">
        <is>
          <t>金额单位：人民币元</t>
        </is>
      </c>
    </row>
    <row r="5" ht="23.15" customFormat="1" customHeight="1" s="302">
      <c r="A5" s="312" t="inlineStr">
        <is>
          <t>项            目</t>
        </is>
      </c>
      <c r="B5" s="35" t="n"/>
      <c r="C5" s="313" t="inlineStr">
        <is>
          <t>审计前账面值</t>
        </is>
      </c>
      <c r="D5" s="313" t="inlineStr">
        <is>
          <t>账面价值</t>
        </is>
      </c>
      <c r="E5" s="313" t="inlineStr">
        <is>
          <t>评估价值</t>
        </is>
      </c>
      <c r="F5" s="313" t="inlineStr">
        <is>
          <t>增减值</t>
        </is>
      </c>
      <c r="G5" s="313" t="inlineStr">
        <is>
          <t>增值率％</t>
        </is>
      </c>
    </row>
    <row r="6" ht="13" customFormat="1" customHeight="1" s="302">
      <c r="A6" s="215" t="n"/>
      <c r="B6" s="176" t="n"/>
      <c r="C6" s="313" t="inlineStr">
        <is>
          <t>A</t>
        </is>
      </c>
      <c r="D6" s="313" t="inlineStr">
        <is>
          <t>B</t>
        </is>
      </c>
      <c r="E6" s="313" t="inlineStr">
        <is>
          <t>C</t>
        </is>
      </c>
      <c r="F6" s="313" t="inlineStr">
        <is>
          <t>D=C-B</t>
        </is>
      </c>
      <c r="G6" s="313" t="inlineStr">
        <is>
          <t>E=D/B×100%</t>
        </is>
      </c>
    </row>
    <row r="7" ht="23.15" customFormat="1" customHeight="1" s="303">
      <c r="A7" s="313" t="n">
        <v>1</v>
      </c>
      <c r="B7" s="314" t="inlineStr">
        <is>
          <t>流动资产</t>
        </is>
      </c>
      <c r="C7" s="532">
        <f>分类汇总!C6/10000</f>
      </c>
      <c r="D7" s="532">
        <f>分类汇总!E6/10000</f>
      </c>
      <c r="E7" s="532">
        <f>分类汇总!F6/10000</f>
      </c>
      <c r="F7" s="532">
        <f>E7-D7</f>
      </c>
      <c r="G7" s="532">
        <f>IF(D7=0,"",F7/ABS(D7)*100)</f>
      </c>
    </row>
    <row r="8" ht="23.15" customFormat="1" customHeight="1" s="303">
      <c r="A8" s="313" t="n">
        <v>2</v>
      </c>
      <c r="B8" s="314" t="inlineStr">
        <is>
          <t>非流动资产</t>
        </is>
      </c>
      <c r="C8" s="532">
        <f>分类汇总!C19/10000</f>
      </c>
      <c r="D8" s="532">
        <f>分类汇总!E19/10000</f>
      </c>
      <c r="E8" s="532">
        <f>分类汇总!F19/10000</f>
      </c>
      <c r="F8" s="532">
        <f>E8-D8</f>
      </c>
      <c r="G8" s="532">
        <f>IF(D8=0,"",F8/ABS(D8)*100)</f>
      </c>
    </row>
    <row r="9" hidden="1" ht="23.15" customFormat="1" customHeight="1" s="303">
      <c r="A9" s="313" t="n"/>
      <c r="B9" s="314" t="inlineStr">
        <is>
          <t xml:space="preserve">      可供出售金融资产</t>
        </is>
      </c>
      <c r="C9" s="532">
        <f>分类汇总!C20/10000</f>
      </c>
      <c r="D9" s="532">
        <f>分类汇总!E20/10000</f>
      </c>
      <c r="E9" s="532">
        <f>分类汇总!F20/10000</f>
      </c>
      <c r="F9" s="532">
        <f>E9-D9</f>
      </c>
      <c r="G9" s="532">
        <f>IF(D9=0,"",F9/ABS(D9)*100)</f>
      </c>
    </row>
    <row r="10" hidden="1" ht="23.15" customFormat="1" customHeight="1" s="303">
      <c r="A10" s="313" t="n"/>
      <c r="B10" s="314" t="inlineStr">
        <is>
          <t xml:space="preserve">      持有至到期投资</t>
        </is>
      </c>
      <c r="C10" s="532">
        <f>分类汇总!C21/10000</f>
      </c>
      <c r="D10" s="532">
        <f>分类汇总!E21/10000</f>
      </c>
      <c r="E10" s="532">
        <f>分类汇总!F21/10000</f>
      </c>
      <c r="F10" s="532">
        <f>E10-D10</f>
      </c>
      <c r="G10" s="532">
        <f>IF(D10=0,"",F10/ABS(D10)*100)</f>
      </c>
    </row>
    <row r="11" ht="23.15" customFormat="1" customHeight="1" s="303">
      <c r="A11" s="313" t="n">
        <v>3</v>
      </c>
      <c r="B11" s="316" t="inlineStr">
        <is>
          <t>其中：长期应收款</t>
        </is>
      </c>
      <c r="C11" s="532">
        <f>分类汇总!C22/10000</f>
      </c>
      <c r="D11" s="532">
        <f>分类汇总!E22/10000</f>
      </c>
      <c r="E11" s="532">
        <f>分类汇总!F22/10000</f>
      </c>
      <c r="F11" s="532">
        <f>E11-D11</f>
      </c>
      <c r="G11" s="532">
        <f>IF(D11=0,"",F11/ABS(D11)*100)</f>
      </c>
    </row>
    <row r="12" ht="23.15" customFormat="1" customHeight="1" s="303">
      <c r="A12" s="313" t="n">
        <v>4</v>
      </c>
      <c r="B12" s="316" t="inlineStr">
        <is>
          <t xml:space="preserve">   长期股权投资</t>
        </is>
      </c>
      <c r="C12" s="532">
        <f>分类汇总!C23/10000</f>
      </c>
      <c r="D12" s="532">
        <f>分类汇总!E23</f>
      </c>
      <c r="E12" s="532">
        <f>分类汇总!F23</f>
      </c>
      <c r="F12" s="532">
        <f>E12-D12</f>
      </c>
      <c r="G12" s="532">
        <f>IF(D12=0,"",F12/ABS(D12)*100)</f>
      </c>
    </row>
    <row r="13" ht="23.15" customFormat="1" customHeight="1" s="303">
      <c r="A13" s="313" t="n">
        <v>5</v>
      </c>
      <c r="B13" s="314" t="inlineStr">
        <is>
          <t xml:space="preserve">      投资性房地产</t>
        </is>
      </c>
      <c r="C13" s="532">
        <f>分类汇总!C24/10000</f>
      </c>
      <c r="D13" s="532">
        <f>分类汇总!E24/10000</f>
      </c>
      <c r="E13" s="532">
        <f>分类汇总!F24/10000</f>
      </c>
      <c r="F13" s="532">
        <f>E13-D13</f>
      </c>
      <c r="G13" s="532">
        <f>IF(D13=0,"",F13/ABS(D13)*100)</f>
      </c>
    </row>
    <row r="14" ht="23.15" customFormat="1" customHeight="1" s="303">
      <c r="A14" s="313" t="n">
        <v>6</v>
      </c>
      <c r="B14" s="316" t="inlineStr">
        <is>
          <t xml:space="preserve">   固定资产</t>
        </is>
      </c>
      <c r="C14" s="532">
        <f>分类汇总!C25/10000</f>
      </c>
      <c r="D14" s="532">
        <f>分类汇总!E25/10000</f>
      </c>
      <c r="E14" s="532">
        <f>分类汇总!F25/10000</f>
      </c>
      <c r="F14" s="532">
        <f>E14-D14</f>
      </c>
      <c r="G14" s="532">
        <f>IF(D14=0,"",F14/ABS(D14)*100)</f>
      </c>
    </row>
    <row r="15" hidden="1" outlineLevel="1" ht="23.15" customFormat="1" customHeight="1" s="304">
      <c r="A15" s="313" t="n">
        <v>7</v>
      </c>
      <c r="B15" s="314" t="inlineStr">
        <is>
          <t xml:space="preserve">      其中：建  筑  物</t>
        </is>
      </c>
      <c r="C15" s="532">
        <f>固定资产汇总!D7/10000</f>
      </c>
      <c r="D15" s="532">
        <f>固定资产汇总!F7/10000</f>
      </c>
      <c r="E15" s="532">
        <f>固定资产汇总!H7/10000</f>
      </c>
      <c r="F15" s="532">
        <f>E15-D15</f>
      </c>
      <c r="G15" s="532">
        <f>IF(D15=0,"",F15/ABS(D15)*100)</f>
      </c>
    </row>
    <row r="16" hidden="1" outlineLevel="1" ht="23.15" customFormat="1" customHeight="1" s="304">
      <c r="A16" s="313" t="n">
        <v>8</v>
      </c>
      <c r="B16" s="314" t="inlineStr">
        <is>
          <t xml:space="preserve">               设        备</t>
        </is>
      </c>
      <c r="C16" s="532">
        <f>固定资产汇总!D13/10000</f>
      </c>
      <c r="D16" s="532">
        <f>固定资产汇总!F13/10000</f>
      </c>
      <c r="E16" s="532">
        <f>固定资产汇总!H13/10000</f>
      </c>
      <c r="F16" s="532">
        <f>E16-D16</f>
      </c>
      <c r="G16" s="532">
        <f>IF(D16=0,"",F16/ABS(D16)*100)</f>
      </c>
    </row>
    <row r="17" hidden="1" outlineLevel="1" ht="23.15" customFormat="1" customHeight="1" s="304">
      <c r="A17" s="313" t="n">
        <v>9</v>
      </c>
      <c r="B17" s="314" t="inlineStr">
        <is>
          <t xml:space="preserve">               土        地</t>
        </is>
      </c>
      <c r="C17" s="532">
        <f>固定资产汇总!D19/10000</f>
      </c>
      <c r="D17" s="532">
        <f>固定资产汇总!F19/10000</f>
      </c>
      <c r="E17" s="532">
        <f>固定资产汇总!H19/10000</f>
      </c>
      <c r="F17" s="532">
        <f>E17-D17</f>
      </c>
      <c r="G17" s="532">
        <f>IF(D17=0,"",F17/ABS(D17)*100)</f>
      </c>
    </row>
    <row r="18" collapsed="1" ht="23.15" customFormat="1" customHeight="1" s="304">
      <c r="A18" s="313" t="n">
        <v>7</v>
      </c>
      <c r="B18" s="314" t="inlineStr">
        <is>
          <t xml:space="preserve">      在建工程</t>
        </is>
      </c>
      <c r="C18" s="532">
        <f>分类汇总!C26/10000</f>
      </c>
      <c r="D18" s="532">
        <f>分类汇总!E26/10000</f>
      </c>
      <c r="E18" s="532">
        <f>分类汇总!F26/10000</f>
      </c>
      <c r="F18" s="532">
        <f>E18-D18</f>
      </c>
      <c r="G18" s="532">
        <f>IF(D18=0,"",F18/ABS(D18)*100)</f>
      </c>
    </row>
    <row r="19" ht="23.15" customFormat="1" customHeight="1" s="304">
      <c r="A19" s="313" t="n">
        <v>8</v>
      </c>
      <c r="B19" s="314" t="inlineStr">
        <is>
          <t xml:space="preserve">      工程物资</t>
        </is>
      </c>
      <c r="C19" s="532">
        <f>分类汇总!C27/10000</f>
      </c>
      <c r="D19" s="532">
        <f>分类汇总!E27/10000</f>
      </c>
      <c r="E19" s="532">
        <f>分类汇总!F27/10000</f>
      </c>
      <c r="F19" s="532">
        <f>E19-D19</f>
      </c>
      <c r="G19" s="532">
        <f>IF(D19=0,"",F19/ABS(D19)*100)</f>
      </c>
    </row>
    <row r="20" ht="23.15" customFormat="1" customHeight="1" s="304">
      <c r="A20" s="313" t="n">
        <v>9</v>
      </c>
      <c r="B20" s="314" t="inlineStr">
        <is>
          <t xml:space="preserve">      固定资产清理</t>
        </is>
      </c>
      <c r="C20" s="532">
        <f>分类汇总!C28/10000</f>
      </c>
      <c r="D20" s="532">
        <f>分类汇总!E28/10000</f>
      </c>
      <c r="E20" s="532">
        <f>分类汇总!F28/10000</f>
      </c>
      <c r="F20" s="532">
        <f>E20-D20</f>
      </c>
      <c r="G20" s="532">
        <f>IF(D20=0,"",F20/ABS(D20)*100)</f>
      </c>
    </row>
    <row r="21" ht="23.15" customFormat="1" customHeight="1" s="304">
      <c r="A21" s="313" t="n">
        <v>10</v>
      </c>
      <c r="B21" s="314" t="inlineStr">
        <is>
          <t xml:space="preserve">      生产性生物资产</t>
        </is>
      </c>
      <c r="C21" s="532">
        <f>分类汇总!C29/10000</f>
      </c>
      <c r="D21" s="532">
        <f>分类汇总!E29/10000</f>
      </c>
      <c r="E21" s="532">
        <f>分类汇总!F29/10000</f>
      </c>
      <c r="F21" s="532">
        <f>E21-D21</f>
      </c>
      <c r="G21" s="532">
        <f>IF(D21=0,"",F21/ABS(D21)*100)</f>
      </c>
    </row>
    <row r="22" ht="23.15" customFormat="1" customHeight="1" s="304">
      <c r="A22" s="313" t="n">
        <v>11</v>
      </c>
      <c r="B22" s="314" t="inlineStr">
        <is>
          <t xml:space="preserve">      油气资产</t>
        </is>
      </c>
      <c r="C22" s="532">
        <f>分类汇总!C30/10000</f>
      </c>
      <c r="D22" s="532">
        <f>分类汇总!E30/10000</f>
      </c>
      <c r="E22" s="532">
        <f>分类汇总!F30/10000</f>
      </c>
      <c r="F22" s="532">
        <f>E22-D22</f>
      </c>
      <c r="G22" s="532">
        <f>IF(D22=0,"",F22/ABS(D22)*100)</f>
      </c>
    </row>
    <row r="23" ht="23.15" customFormat="1" customHeight="1" s="303">
      <c r="A23" s="313" t="n">
        <v>12</v>
      </c>
      <c r="B23" s="314" t="inlineStr">
        <is>
          <t xml:space="preserve">      无形资产</t>
        </is>
      </c>
      <c r="C23" s="532">
        <f>分类汇总!C31/10000</f>
      </c>
      <c r="D23" s="532">
        <f>分类汇总!E31/10000</f>
      </c>
      <c r="E23" s="532">
        <f>分类汇总!F31/10000</f>
      </c>
      <c r="F23" s="532">
        <f>E23-D23</f>
      </c>
      <c r="G23" s="532">
        <f>IF(D23=0,"",F23/ABS(D23)*100)</f>
      </c>
    </row>
    <row r="24" hidden="1" ht="23.15" customFormat="1" customHeight="1" s="303">
      <c r="A24" s="313" t="n">
        <v>13</v>
      </c>
      <c r="B24" s="314" t="inlineStr">
        <is>
          <t xml:space="preserve">      其中：土地使用权</t>
        </is>
      </c>
      <c r="C24" s="532">
        <f>无形资产汇总!C6/10000</f>
      </c>
      <c r="D24" s="532">
        <f>无形资产汇总!D6/10000</f>
      </c>
      <c r="E24" s="532">
        <f>无形资产汇总!E6/10000</f>
      </c>
      <c r="F24" s="532">
        <f>E24-D24</f>
      </c>
      <c r="G24" s="532">
        <f>IF(D24=0,"",F24/ABS(D24)*100)</f>
      </c>
    </row>
    <row r="25" hidden="1" outlineLevel="1" ht="23.15" customFormat="1" customHeight="1" s="303">
      <c r="A25" s="313" t="n">
        <v>17</v>
      </c>
      <c r="B25" s="314" t="inlineStr">
        <is>
          <t xml:space="preserve">      开发支出</t>
        </is>
      </c>
      <c r="C25" s="532">
        <f>分类汇总!C32/10000</f>
      </c>
      <c r="D25" s="532">
        <f>分类汇总!E32/10000</f>
      </c>
      <c r="E25" s="532">
        <f>分类汇总!F32/10000</f>
      </c>
      <c r="F25" s="532">
        <f>E25-D25</f>
      </c>
      <c r="G25" s="532">
        <f>IF(D25=0,"",F25/ABS(D25)*100)</f>
      </c>
    </row>
    <row r="26" hidden="1" outlineLevel="1" ht="23.15" customFormat="1" customHeight="1" s="303">
      <c r="A26" s="313" t="n">
        <v>18</v>
      </c>
      <c r="B26" s="314" t="inlineStr">
        <is>
          <t xml:space="preserve">      商誉</t>
        </is>
      </c>
      <c r="C26" s="532">
        <f>分类汇总!C33/10000</f>
      </c>
      <c r="D26" s="532">
        <f>分类汇总!E33/10000</f>
      </c>
      <c r="E26" s="532">
        <f>分类汇总!F33/10000</f>
      </c>
      <c r="F26" s="532">
        <f>E26-D26</f>
      </c>
      <c r="G26" s="532">
        <f>IF(D26=0,"",F26/ABS(D26)*100)</f>
      </c>
    </row>
    <row r="27" hidden="1" outlineLevel="1" ht="23.15" customFormat="1" customHeight="1" s="303">
      <c r="A27" s="313" t="n">
        <v>19</v>
      </c>
      <c r="B27" s="314" t="inlineStr">
        <is>
          <t xml:space="preserve">      长期待摊费用</t>
        </is>
      </c>
      <c r="C27" s="532">
        <f>分类汇总!C34/10000</f>
      </c>
      <c r="D27" s="532">
        <f>分类汇总!E34/10000</f>
      </c>
      <c r="E27" s="532">
        <f>分类汇总!F34/10000</f>
      </c>
      <c r="F27" s="532">
        <f>E27-D27</f>
      </c>
      <c r="G27" s="532">
        <f>IF(D27=0,"",F27/ABS(D27)*100)</f>
      </c>
    </row>
    <row r="28" hidden="1" outlineLevel="1" ht="23.15" customFormat="1" customHeight="1" s="303">
      <c r="A28" s="313" t="n">
        <v>20</v>
      </c>
      <c r="B28" s="314" t="inlineStr">
        <is>
          <t xml:space="preserve">      递延所得税资产</t>
        </is>
      </c>
      <c r="C28" s="532">
        <f>分类汇总!C35/10000</f>
      </c>
      <c r="D28" s="532">
        <f>分类汇总!E35/10000</f>
      </c>
      <c r="E28" s="532">
        <f>分类汇总!F35/10000</f>
      </c>
      <c r="F28" s="532">
        <f>E28-D28</f>
      </c>
      <c r="G28" s="532">
        <f>IF(D28=0,"",F28/ABS(D28)*100)</f>
      </c>
    </row>
    <row r="29" collapsed="1" ht="23.15" customFormat="1" customHeight="1" s="303">
      <c r="A29" s="313" t="n">
        <v>13</v>
      </c>
      <c r="B29" s="314" t="inlineStr">
        <is>
          <t xml:space="preserve">      其他非流动资产</t>
        </is>
      </c>
      <c r="C29" s="532">
        <f>分类汇总!C36/10000</f>
      </c>
      <c r="D29" s="532">
        <f>分类汇总!E36/10000</f>
      </c>
      <c r="E29" s="532">
        <f>分类汇总!F36/10000</f>
      </c>
      <c r="F29" s="532">
        <f>E29-D29</f>
      </c>
      <c r="G29" s="532">
        <f>IF(D29=0,"",F29/ABS(D29)*100)</f>
      </c>
    </row>
    <row r="30" ht="22.5" customFormat="1" customHeight="1" s="305">
      <c r="A30" s="313" t="n">
        <v>14</v>
      </c>
      <c r="B30" s="317" t="inlineStr">
        <is>
          <t>资产总计</t>
        </is>
      </c>
      <c r="C30" s="533">
        <f>SUM(C7,C8)</f>
      </c>
      <c r="D30" s="533">
        <f>SUM(D7,D8)</f>
      </c>
      <c r="E30" s="533">
        <f>SUM(E7,E8)</f>
      </c>
      <c r="F30" s="533">
        <f>SUM(F7,F8)</f>
      </c>
      <c r="G30" s="533">
        <f>IF(D30=0,"",F30/ABS(D30)*100)</f>
      </c>
    </row>
    <row r="31" ht="23.15" customFormat="1" customHeight="1" s="303">
      <c r="A31" s="313" t="n">
        <v>15</v>
      </c>
      <c r="B31" s="314" t="inlineStr">
        <is>
          <t>流动负债</t>
        </is>
      </c>
      <c r="C31" s="532">
        <f>分类汇总!C39/10000</f>
      </c>
      <c r="D31" s="532">
        <f>分类汇总!E39/10000</f>
      </c>
      <c r="E31" s="532">
        <f>分类汇总!F39/10000</f>
      </c>
      <c r="F31" s="532">
        <f>E31-D31</f>
      </c>
      <c r="G31" s="532">
        <f>IF(D31=0,"",F31/ABS(D31)*100)</f>
      </c>
    </row>
    <row r="32" ht="23.15" customFormat="1" customHeight="1" s="303">
      <c r="A32" s="313" t="n">
        <v>16</v>
      </c>
      <c r="B32" s="314" t="inlineStr">
        <is>
          <t>非流动负债</t>
        </is>
      </c>
      <c r="C32" s="532">
        <f>分类汇总!C53/10000</f>
      </c>
      <c r="D32" s="532">
        <f>分类汇总!E53/10000</f>
      </c>
      <c r="E32" s="532">
        <f>分类汇总!F53/10000</f>
      </c>
      <c r="F32" s="532">
        <f>E32-D32</f>
      </c>
      <c r="G32" s="532">
        <f>IF(D32=0,"",F32/ABS(D32)*100)</f>
      </c>
    </row>
    <row r="33" ht="23.15" customFormat="1" customHeight="1" s="305">
      <c r="A33" s="313" t="n">
        <v>17</v>
      </c>
      <c r="B33" s="317" t="inlineStr">
        <is>
          <t>负债总计</t>
        </is>
      </c>
      <c r="C33" s="533">
        <f>SUM(C31:C32)</f>
      </c>
      <c r="D33" s="533">
        <f>SUM(D31:D32)</f>
      </c>
      <c r="E33" s="533">
        <f>SUM(E31:E32)</f>
      </c>
      <c r="F33" s="533">
        <f>SUM(F31:F32)</f>
      </c>
      <c r="G33" s="533">
        <f>IF(D33=0,"",F33/ABS(D33)*100)</f>
      </c>
    </row>
    <row r="34" ht="23.15" customFormat="1" customHeight="1" s="305">
      <c r="A34" s="313" t="n">
        <v>18</v>
      </c>
      <c r="B34" s="317" t="inlineStr">
        <is>
          <t>净 资 产（所有者权益）</t>
        </is>
      </c>
      <c r="C34" s="533">
        <f>C30-C33</f>
      </c>
      <c r="D34" s="533">
        <f>D30-D33</f>
      </c>
      <c r="E34" s="533">
        <f>E30-E33</f>
      </c>
      <c r="F34" s="533">
        <f>F30-F33</f>
      </c>
      <c r="G34" s="533">
        <f>IF(D34=0,"",F34/ABS(D34)*100)</f>
      </c>
    </row>
    <row r="35" ht="31.5" customFormat="1" customHeight="1" s="306">
      <c r="B35" s="319" t="n"/>
      <c r="E35" s="294" t="inlineStr">
        <is>
          <t>评估机构：中立国际房地产土地资产评估有限公司</t>
        </is>
      </c>
    </row>
    <row r="36" ht="12.75" customFormat="1" customHeight="1" s="306">
      <c r="B36" s="319" t="n"/>
    </row>
    <row r="37" ht="20.15" customFormat="1" customHeight="1" s="306">
      <c r="B37" s="319" t="n"/>
      <c r="E37" s="320" t="n"/>
    </row>
  </sheetData>
  <mergeCells count="3">
    <mergeCell ref="A3:G3"/>
    <mergeCell ref="A2:G2"/>
    <mergeCell ref="A5:B6"/>
  </mergeCells>
  <hyperlinks>
    <hyperlink ref="A1" location="索引目录!D4" display="返回索引页"/>
    <hyperlink ref="B30" location="分类汇总!B38" display="资产总计"/>
    <hyperlink ref="B33" location="分类汇总!B62" display="负债总计"/>
    <hyperlink ref="B34" location="分类汇总!B64" display="净 资 产（所有者权益）"/>
  </hyperlinks>
  <printOptions horizontalCentered="1"/>
  <pageMargins left="0.590551181102362" right="0.590277777777778" top="0.904861111111111" bottom="0.196850393700787" header="1.18055555555556" footer="0.15748031496063"/>
  <pageSetup orientation="landscape" paperSize="9" scale="96"/>
  <headerFooter alignWithMargins="0">
    <oddHeader>&amp;R&amp;"宋体,常规"共&amp;"Times New Roman,常规"&amp;N&amp;"宋体,常规"页第&amp;"Times New Roman,常规"&amp;P&amp;"宋体,常规"_x000a_页</oddHeader>
    <oddFooter/>
    <evenHeader/>
    <evenFooter/>
    <firstHeader/>
    <firstFooter/>
  </headerFooter>
</worksheet>
</file>

<file path=xl/worksheets/sheet7.xml><?xml version="1.0" encoding="utf-8"?>
<worksheet xmlns="http://schemas.openxmlformats.org/spreadsheetml/2006/main">
  <sheetPr codeName="Sheet7">
    <outlinePr summaryBelow="1" summaryRight="1"/>
    <pageSetUpPr fitToPage="1"/>
  </sheetPr>
  <dimension ref="A1:J91"/>
  <sheetViews>
    <sheetView view="pageBreakPreview" zoomScale="90" zoomScaleNormal="100" workbookViewId="0">
      <pane xSplit="2" ySplit="5" topLeftCell="C6" activePane="bottomRight" state="frozen"/>
      <selection activeCell="A1" sqref="A1"/>
      <selection pane="topRight" activeCell="A1" sqref="A1"/>
      <selection pane="bottomLeft" activeCell="A1" sqref="A1"/>
      <selection pane="bottomRight" activeCell="E25" sqref="E25"/>
    </sheetView>
  </sheetViews>
  <sheetFormatPr baseColWidth="8" defaultColWidth="9" defaultRowHeight="15.75" customHeight="1"/>
  <cols>
    <col width="5.08333333333333" customWidth="1" style="13" min="1" max="1"/>
    <col width="26" customWidth="1" style="13" min="2" max="2"/>
    <col hidden="1" outlineLevel="1" width="16.5" customWidth="1" style="13" min="3" max="3"/>
    <col hidden="1" outlineLevel="1" width="0.833333333333333" customWidth="1" style="13" min="4" max="4"/>
    <col collapsed="1" width="24.5" customWidth="1" style="13" min="5" max="5"/>
    <col width="25.25" customWidth="1" style="13" min="6" max="6"/>
    <col width="22.3333333333333" customWidth="1" style="13" min="7" max="7"/>
    <col width="19.25" customWidth="1" style="13" min="8" max="8"/>
    <col width="13.8333333333333" customWidth="1" style="13" min="9" max="9"/>
    <col width="12.75" customWidth="1" style="13" min="10" max="10"/>
    <col width="9" customWidth="1" style="13" min="11" max="16384"/>
  </cols>
  <sheetData>
    <row r="1" ht="12.75" customHeight="1">
      <c r="A1" s="534" t="inlineStr">
        <is>
          <t>返回索引页</t>
        </is>
      </c>
      <c r="B1" s="52" t="inlineStr">
        <is>
          <t>返回</t>
        </is>
      </c>
      <c r="C1" s="16" t="n"/>
      <c r="D1" s="16" t="n"/>
      <c r="E1" s="16" t="n"/>
      <c r="F1" s="16" t="n"/>
      <c r="G1" s="16" t="n"/>
      <c r="H1" s="16" t="n"/>
    </row>
    <row r="2" ht="30" customFormat="1" customHeight="1" s="11">
      <c r="A2" s="17" t="inlineStr">
        <is>
          <t>资产评估结果分类汇总表</t>
        </is>
      </c>
    </row>
    <row r="3" ht="15" customHeight="1">
      <c r="A3" s="535">
        <f>CONCATENATE(封面!D9,封面!F9,封面!G9,封面!H9,封面!I9,封面!J9,封面!K9)</f>
      </c>
    </row>
    <row r="4" ht="12" customHeight="1">
      <c r="A4" s="536">
        <f>封面!D7&amp;封面!F7</f>
      </c>
      <c r="H4" s="54" t="inlineStr">
        <is>
          <t>金额单位：人民币元</t>
        </is>
      </c>
      <c r="J4" s="286">
        <f>IF(COUNTIF(J6:J91,"&gt;0")+COUNTIF(J6:J91,"&lt;0")&gt;0,"出错","OK")</f>
      </c>
    </row>
    <row r="5" ht="14.25" customFormat="1" customHeight="1" s="12">
      <c r="A5" s="23" t="inlineStr">
        <is>
          <t>序号</t>
        </is>
      </c>
      <c r="B5" s="279" t="inlineStr">
        <is>
          <t>科目名称</t>
        </is>
      </c>
      <c r="C5" s="23" t="inlineStr">
        <is>
          <t>审计前账面值</t>
        </is>
      </c>
      <c r="D5" s="23" t="inlineStr">
        <is>
          <t>账面调整值</t>
        </is>
      </c>
      <c r="E5" s="23" t="inlineStr">
        <is>
          <t>账面价值</t>
        </is>
      </c>
      <c r="F5" s="23" t="inlineStr">
        <is>
          <t>评估价值</t>
        </is>
      </c>
      <c r="G5" s="23" t="inlineStr">
        <is>
          <t>增值额</t>
        </is>
      </c>
      <c r="H5" s="23" t="inlineStr">
        <is>
          <t>增值率%</t>
        </is>
      </c>
      <c r="I5" s="61" t="inlineStr">
        <is>
          <t>企业报表数</t>
        </is>
      </c>
      <c r="J5" s="61" t="inlineStr">
        <is>
          <t>差异</t>
        </is>
      </c>
    </row>
    <row r="6" ht="14.25" customFormat="1" customHeight="1" s="42">
      <c r="A6" s="287" t="n">
        <v>1</v>
      </c>
      <c r="B6" s="288" t="inlineStr">
        <is>
          <t>一、流动资产合计</t>
        </is>
      </c>
      <c r="C6" s="537">
        <f>SUM(C7:C17)</f>
      </c>
      <c r="D6" s="537">
        <f>SUM(D7:D17)</f>
      </c>
      <c r="E6" s="537">
        <f>SUM(E7:E17)</f>
      </c>
      <c r="F6" s="537">
        <f>SUM(F7:F17)</f>
      </c>
      <c r="G6" s="537">
        <f>SUM(G7:G17)</f>
      </c>
      <c r="H6" s="537">
        <f>IF(E6=0,"",G6/ABS(E6)*100)</f>
      </c>
      <c r="I6" s="538">
        <f>资产负债表!D18</f>
      </c>
      <c r="J6" s="538">
        <f>ROUND(E6-I6,2)</f>
      </c>
    </row>
    <row r="7" ht="14.25" customHeight="1">
      <c r="A7" s="23" t="n">
        <v>2</v>
      </c>
      <c r="B7" s="291" t="inlineStr">
        <is>
          <t>货币资金</t>
        </is>
      </c>
      <c r="C7" s="539">
        <f>流动汇总!E6</f>
      </c>
      <c r="D7" s="539">
        <f>E7-C7</f>
      </c>
      <c r="E7" s="539">
        <f>流动汇总!F6</f>
      </c>
      <c r="F7" s="539">
        <f>流动汇总!G6</f>
      </c>
      <c r="G7" s="539">
        <f>F7-E7</f>
      </c>
      <c r="H7" s="539">
        <f>IF(E7=0,"",G7/ABS(E7)*100)</f>
      </c>
      <c r="I7" s="540">
        <f>资产负债表!D7</f>
      </c>
      <c r="J7" s="538">
        <f>ROUND(E7-I7,2)</f>
      </c>
    </row>
    <row r="8" ht="14.25" customHeight="1">
      <c r="A8" s="23" t="n">
        <v>3</v>
      </c>
      <c r="B8" s="291" t="inlineStr">
        <is>
          <t>交易性金融资产</t>
        </is>
      </c>
      <c r="C8" s="539">
        <f>流动汇总!E7</f>
      </c>
      <c r="D8" s="539">
        <f>E8-C8</f>
      </c>
      <c r="E8" s="539">
        <f>流动汇总!F7</f>
      </c>
      <c r="F8" s="539">
        <f>流动汇总!G7</f>
      </c>
      <c r="G8" s="539">
        <f>F8-E8</f>
      </c>
      <c r="H8" s="539">
        <f>IF(E8=0,"",G8/ABS(E8)*100)</f>
      </c>
      <c r="I8" s="540">
        <f>资产负债表!D8</f>
      </c>
      <c r="J8" s="538">
        <f>ROUND(E8-I8,2)</f>
      </c>
    </row>
    <row r="9" ht="14.25" customHeight="1">
      <c r="A9" s="23" t="n">
        <v>4</v>
      </c>
      <c r="B9" s="291" t="inlineStr">
        <is>
          <t>应收票据</t>
        </is>
      </c>
      <c r="C9" s="539">
        <f>流动汇总!E8</f>
      </c>
      <c r="D9" s="539">
        <f>E9-C9</f>
      </c>
      <c r="E9" s="539">
        <f>流动汇总!F8</f>
      </c>
      <c r="F9" s="539">
        <f>流动汇总!G8</f>
      </c>
      <c r="G9" s="539">
        <f>F9-E9</f>
      </c>
      <c r="H9" s="539">
        <f>IF(E9=0,"",G9/ABS(E9)*100)</f>
      </c>
      <c r="I9" s="540">
        <f>资产负债表!D9</f>
      </c>
      <c r="J9" s="538">
        <f>ROUND(E9-I9,2)</f>
      </c>
    </row>
    <row r="10" ht="14.25" customHeight="1">
      <c r="A10" s="23" t="n">
        <v>5</v>
      </c>
      <c r="B10" s="291" t="inlineStr">
        <is>
          <t>应收账款</t>
        </is>
      </c>
      <c r="C10" s="539">
        <f>流动汇总!E9</f>
      </c>
      <c r="D10" s="539">
        <f>E10-C10</f>
      </c>
      <c r="E10" s="539">
        <f>流动汇总!F9</f>
      </c>
      <c r="F10" s="539">
        <f>流动汇总!G9</f>
      </c>
      <c r="G10" s="539">
        <f>F10-E10</f>
      </c>
      <c r="H10" s="539">
        <f>IF(E10=0,"",G10/ABS(E10)*100)</f>
      </c>
      <c r="I10" s="540">
        <f>资产负债表!D10</f>
      </c>
      <c r="J10" s="538">
        <f>ROUND(E10-I10,2)</f>
      </c>
    </row>
    <row r="11" ht="14.25" customHeight="1">
      <c r="A11" s="23" t="n">
        <v>6</v>
      </c>
      <c r="B11" s="291" t="inlineStr">
        <is>
          <t>预付款项</t>
        </is>
      </c>
      <c r="C11" s="539">
        <f>流动汇总!E10</f>
      </c>
      <c r="D11" s="539">
        <f>E11-C11</f>
      </c>
      <c r="E11" s="539">
        <f>流动汇总!F10</f>
      </c>
      <c r="F11" s="539">
        <f>流动汇总!G10</f>
      </c>
      <c r="G11" s="539">
        <f>F11-E11</f>
      </c>
      <c r="H11" s="539">
        <f>IF(E11=0,"",G11/ABS(E11)*100)</f>
      </c>
      <c r="I11" s="540">
        <f>资产负债表!D11</f>
      </c>
      <c r="J11" s="538">
        <f>ROUND(E11-I11,2)</f>
      </c>
    </row>
    <row r="12" ht="14.25" customHeight="1">
      <c r="A12" s="23" t="n">
        <v>7</v>
      </c>
      <c r="B12" s="291" t="inlineStr">
        <is>
          <t>应收利息</t>
        </is>
      </c>
      <c r="C12" s="539">
        <f>流动汇总!E11</f>
      </c>
      <c r="D12" s="539">
        <f>E12-C12</f>
      </c>
      <c r="E12" s="539">
        <f>流动汇总!F11</f>
      </c>
      <c r="F12" s="539">
        <f>流动汇总!G11</f>
      </c>
      <c r="G12" s="539">
        <f>F12-E12</f>
      </c>
      <c r="H12" s="539">
        <f>IF(E12=0,"",G12/ABS(E12)*100)</f>
      </c>
      <c r="I12" s="540">
        <f>资产负债表!D12</f>
      </c>
      <c r="J12" s="538">
        <f>ROUND(E12-I12,2)</f>
      </c>
    </row>
    <row r="13" ht="14.25" customHeight="1">
      <c r="A13" s="23" t="n">
        <v>8</v>
      </c>
      <c r="B13" s="291" t="inlineStr">
        <is>
          <t>应收股利</t>
        </is>
      </c>
      <c r="C13" s="539">
        <f>流动汇总!E12</f>
      </c>
      <c r="D13" s="539">
        <f>E13-C13</f>
      </c>
      <c r="E13" s="539">
        <f>流动汇总!F12</f>
      </c>
      <c r="F13" s="539">
        <f>流动汇总!G12</f>
      </c>
      <c r="G13" s="539">
        <f>F13-E13</f>
      </c>
      <c r="H13" s="539">
        <f>IF(E13=0,"",G13/ABS(E13)*100)</f>
      </c>
      <c r="I13" s="540">
        <f>资产负债表!D13</f>
      </c>
      <c r="J13" s="538">
        <f>ROUND(E13-I13,2)</f>
      </c>
    </row>
    <row r="14" ht="14.25" customHeight="1">
      <c r="A14" s="23" t="n">
        <v>9</v>
      </c>
      <c r="B14" s="291" t="inlineStr">
        <is>
          <t>其他应收款</t>
        </is>
      </c>
      <c r="C14" s="539">
        <f>流动汇总!E13</f>
      </c>
      <c r="D14" s="539">
        <f>E14-C14</f>
      </c>
      <c r="E14" s="539">
        <f>流动汇总!F13</f>
      </c>
      <c r="F14" s="539">
        <f>流动汇总!G13</f>
      </c>
      <c r="G14" s="539">
        <f>F14-E14</f>
      </c>
      <c r="H14" s="539">
        <f>IF(E14=0,"",G14/ABS(E14)*100)</f>
      </c>
      <c r="I14" s="540">
        <f>资产负债表!D14</f>
      </c>
      <c r="J14" s="538">
        <f>ROUND(E14-I14,2)</f>
      </c>
    </row>
    <row r="15" ht="14.25" customHeight="1">
      <c r="A15" s="23" t="n">
        <v>10</v>
      </c>
      <c r="B15" s="291" t="inlineStr">
        <is>
          <t>存货</t>
        </is>
      </c>
      <c r="C15" s="539">
        <f>流动汇总!E14</f>
      </c>
      <c r="D15" s="539">
        <f>E15-C15</f>
      </c>
      <c r="E15" s="539">
        <f>流动汇总!F14</f>
      </c>
      <c r="F15" s="539">
        <f>流动汇总!G14</f>
      </c>
      <c r="G15" s="539">
        <f>F15-E15</f>
      </c>
      <c r="H15" s="539">
        <f>IF(E15=0,"",G15/ABS(E15)*100)</f>
      </c>
      <c r="I15" s="540">
        <f>资产负债表!D15</f>
      </c>
      <c r="J15" s="538">
        <f>ROUND(E15-I15,2)</f>
      </c>
    </row>
    <row r="16" ht="14.25" customHeight="1">
      <c r="A16" s="23" t="n">
        <v>11</v>
      </c>
      <c r="B16" s="291" t="inlineStr">
        <is>
          <t>一年内到期的非流动资产</t>
        </is>
      </c>
      <c r="C16" s="539">
        <f>流动汇总!E15</f>
      </c>
      <c r="D16" s="539">
        <f>E16-C16</f>
      </c>
      <c r="E16" s="539">
        <f>流动汇总!F15</f>
      </c>
      <c r="F16" s="539">
        <f>流动汇总!G15</f>
      </c>
      <c r="G16" s="539">
        <f>F16-E16</f>
      </c>
      <c r="H16" s="539">
        <f>IF(E16=0,"",G16/ABS(E16)*100)</f>
      </c>
      <c r="I16" s="540">
        <f>资产负债表!D16</f>
      </c>
      <c r="J16" s="538">
        <f>ROUND(E16-I16,2)</f>
      </c>
    </row>
    <row r="17" ht="14.25" customHeight="1">
      <c r="A17" s="23" t="n">
        <v>12</v>
      </c>
      <c r="B17" s="291" t="inlineStr">
        <is>
          <t>其他流动资产</t>
        </is>
      </c>
      <c r="C17" s="539">
        <f>流动汇总!E16</f>
      </c>
      <c r="D17" s="539">
        <f>E17-C17</f>
      </c>
      <c r="E17" s="539">
        <f>流动汇总!F16</f>
      </c>
      <c r="F17" s="539">
        <f>流动汇总!G16</f>
      </c>
      <c r="G17" s="539">
        <f>F17-E17</f>
      </c>
      <c r="H17" s="539">
        <f>IF(E17=0,"",G17/ABS(E17)*100)</f>
      </c>
      <c r="I17" s="540">
        <f>资产负债表!D17</f>
      </c>
      <c r="J17" s="538">
        <f>ROUND(E17-I17,2)</f>
      </c>
    </row>
    <row r="18" ht="14.25" customHeight="1">
      <c r="A18" s="23" t="n">
        <v>13</v>
      </c>
      <c r="B18" s="291" t="n"/>
      <c r="C18" s="539" t="n"/>
      <c r="D18" s="539" t="n"/>
      <c r="E18" s="539" t="n"/>
      <c r="F18" s="539" t="n"/>
      <c r="G18" s="539" t="n"/>
      <c r="H18" s="539">
        <f>IF(E18=0,"",G18/ABS(E18)*100)</f>
      </c>
      <c r="I18" s="540" t="n"/>
      <c r="J18" s="538">
        <f>ROUND(E18-I18,2)</f>
      </c>
    </row>
    <row r="19" ht="14.25" customFormat="1" customHeight="1" s="42">
      <c r="A19" s="287" t="n">
        <v>14</v>
      </c>
      <c r="B19" s="288" t="inlineStr">
        <is>
          <t>二、非流动资产合计</t>
        </is>
      </c>
      <c r="C19" s="537">
        <f>SUM(C20:C36)</f>
      </c>
      <c r="D19" s="537">
        <f>SUM(D20:D36)</f>
      </c>
      <c r="E19" s="537">
        <f>SUM(E20:E36)</f>
      </c>
      <c r="F19" s="537">
        <f>SUM(F20:F36)</f>
      </c>
      <c r="G19" s="537">
        <f>SUM(G20:G36)</f>
      </c>
      <c r="H19" s="537">
        <f>IF(E19=0,"",G19/ABS(E19)*100)</f>
      </c>
      <c r="I19" s="538">
        <f>资产负债表!D37</f>
      </c>
      <c r="J19" s="538">
        <f>ROUND(E19-I19,2)</f>
      </c>
    </row>
    <row r="20" ht="14.25" customHeight="1">
      <c r="A20" s="23" t="n">
        <v>15</v>
      </c>
      <c r="B20" s="291" t="inlineStr">
        <is>
          <t>可供出售金融资产</t>
        </is>
      </c>
      <c r="C20" s="539">
        <f>非流动资产汇总!C6</f>
      </c>
      <c r="D20" s="539">
        <f>E20-C20</f>
      </c>
      <c r="E20" s="539">
        <f>非流动资产汇总!D6</f>
      </c>
      <c r="F20" s="539">
        <f>非流动资产汇总!E6</f>
      </c>
      <c r="G20" s="539">
        <f>F20-E20</f>
      </c>
      <c r="H20" s="539">
        <f>IF(E20=0,"",G20/ABS(E20)*100)</f>
      </c>
      <c r="I20" s="540">
        <f>资产负债表!D20</f>
      </c>
      <c r="J20" s="538">
        <f>ROUND(E20-I20,2)</f>
      </c>
    </row>
    <row r="21" ht="14.25" customHeight="1">
      <c r="A21" s="23" t="n">
        <v>16</v>
      </c>
      <c r="B21" s="291" t="inlineStr">
        <is>
          <t>持有至到期投资</t>
        </is>
      </c>
      <c r="C21" s="539">
        <f>非流动资产汇总!C7</f>
      </c>
      <c r="D21" s="539">
        <f>E21-C21</f>
      </c>
      <c r="E21" s="539">
        <f>非流动资产汇总!D7</f>
      </c>
      <c r="F21" s="539">
        <f>非流动资产汇总!E7</f>
      </c>
      <c r="G21" s="539">
        <f>F21-E21</f>
      </c>
      <c r="H21" s="539">
        <f>IF(E21=0,"",G21/ABS(E21)*100)</f>
      </c>
      <c r="I21" s="540">
        <f>资产负债表!D21</f>
      </c>
      <c r="J21" s="538">
        <f>ROUND(E21-I21,2)</f>
      </c>
    </row>
    <row r="22" ht="14.25" customHeight="1">
      <c r="A22" s="23" t="n">
        <v>17</v>
      </c>
      <c r="B22" s="291" t="inlineStr">
        <is>
          <t>长期应收款</t>
        </is>
      </c>
      <c r="C22" s="539">
        <f>非流动资产汇总!C8</f>
      </c>
      <c r="D22" s="539">
        <f>E22-C22</f>
      </c>
      <c r="E22" s="539">
        <f>非流动资产汇总!D8</f>
      </c>
      <c r="F22" s="539">
        <f>非流动资产汇总!E8</f>
      </c>
      <c r="G22" s="539">
        <f>F22-E22</f>
      </c>
      <c r="H22" s="539">
        <f>IF(E22=0,"",G22/ABS(E22)*100)</f>
      </c>
      <c r="I22" s="540">
        <f>资产负债表!D22</f>
      </c>
      <c r="J22" s="538">
        <f>ROUND(E22-I22,2)</f>
      </c>
    </row>
    <row r="23" ht="14.25" customHeight="1">
      <c r="A23" s="23" t="n">
        <v>18</v>
      </c>
      <c r="B23" s="291" t="inlineStr">
        <is>
          <t>长期股权投资</t>
        </is>
      </c>
      <c r="C23" s="539">
        <f>非流动资产汇总!C9</f>
      </c>
      <c r="D23" s="539">
        <f>E23-C23</f>
      </c>
      <c r="E23" s="539">
        <f>非流动资产汇总!D9</f>
      </c>
      <c r="F23" s="539">
        <f>非流动资产汇总!E9</f>
      </c>
      <c r="G23" s="539">
        <f>F23-E23</f>
      </c>
      <c r="H23" s="539">
        <f>IF(E23=0,"",G23/ABS(E23)*100)</f>
      </c>
      <c r="I23" s="540">
        <f>资产负债表!D23</f>
      </c>
      <c r="J23" s="538">
        <f>ROUND(E23-I23,2)</f>
      </c>
    </row>
    <row r="24" ht="14.25" customHeight="1">
      <c r="A24" s="23" t="n">
        <v>19</v>
      </c>
      <c r="B24" s="291" t="inlineStr">
        <is>
          <t>投资性房地产</t>
        </is>
      </c>
      <c r="C24" s="539">
        <f>非流动资产汇总!C10</f>
      </c>
      <c r="D24" s="539">
        <f>E24-C24</f>
      </c>
      <c r="E24" s="539">
        <f>非流动资产汇总!D10</f>
      </c>
      <c r="F24" s="539">
        <f>非流动资产汇总!E10</f>
      </c>
      <c r="G24" s="539">
        <f>F24-E24</f>
      </c>
      <c r="H24" s="539">
        <f>IF(E24=0,"",G24/ABS(E24)*100)</f>
      </c>
      <c r="I24" s="540">
        <f>资产负债表!D24</f>
      </c>
      <c r="J24" s="538">
        <f>ROUND(E24-I24,2)</f>
      </c>
    </row>
    <row r="25" ht="14.25" customHeight="1">
      <c r="A25" s="23" t="n">
        <v>20</v>
      </c>
      <c r="B25" s="291" t="inlineStr">
        <is>
          <t>固定资产</t>
        </is>
      </c>
      <c r="C25" s="539">
        <f>非流动资产汇总!C11</f>
      </c>
      <c r="D25" s="539">
        <f>E25-C25</f>
      </c>
      <c r="E25" s="539">
        <f>非流动资产汇总!D11</f>
      </c>
      <c r="F25" s="539">
        <f>非流动资产汇总!E11</f>
      </c>
      <c r="G25" s="539">
        <f>F25-E25</f>
      </c>
      <c r="H25" s="539">
        <f>IF(E25=0,"",G25/ABS(E25)*100)</f>
      </c>
      <c r="I25" s="540">
        <f>资产负债表!D25</f>
      </c>
      <c r="J25" s="538">
        <f>ROUND(E25-I25,2)</f>
      </c>
    </row>
    <row r="26" ht="14.25" customHeight="1">
      <c r="A26" s="23" t="n">
        <v>21</v>
      </c>
      <c r="B26" s="291" t="inlineStr">
        <is>
          <t>在建工程</t>
        </is>
      </c>
      <c r="C26" s="539">
        <f>非流动资产汇总!C12</f>
      </c>
      <c r="D26" s="539">
        <f>E26-C26</f>
      </c>
      <c r="E26" s="539">
        <f>非流动资产汇总!D12</f>
      </c>
      <c r="F26" s="539">
        <f>非流动资产汇总!E12</f>
      </c>
      <c r="G26" s="539">
        <f>F26-E26</f>
      </c>
      <c r="H26" s="539">
        <f>IF(E26=0,"",G26/ABS(E26)*100)</f>
      </c>
      <c r="I26" s="540">
        <f>资产负债表!D26</f>
      </c>
      <c r="J26" s="538">
        <f>ROUND(E26-I26,2)</f>
      </c>
    </row>
    <row r="27" ht="14.25" customHeight="1">
      <c r="A27" s="23" t="n">
        <v>22</v>
      </c>
      <c r="B27" s="291" t="inlineStr">
        <is>
          <t>工程物资</t>
        </is>
      </c>
      <c r="C27" s="539">
        <f>非流动资产汇总!C13</f>
      </c>
      <c r="D27" s="539">
        <f>E27-C27</f>
      </c>
      <c r="E27" s="539">
        <f>非流动资产汇总!D13</f>
      </c>
      <c r="F27" s="539">
        <f>非流动资产汇总!E13</f>
      </c>
      <c r="G27" s="539">
        <f>F27-E27</f>
      </c>
      <c r="H27" s="539">
        <f>IF(E27=0,"",G27/ABS(E27)*100)</f>
      </c>
      <c r="I27" s="540">
        <f>资产负债表!D27</f>
      </c>
      <c r="J27" s="538">
        <f>ROUND(E27-I27,2)</f>
      </c>
    </row>
    <row r="28" ht="14.25" customHeight="1">
      <c r="A28" s="23" t="n">
        <v>23</v>
      </c>
      <c r="B28" s="291" t="inlineStr">
        <is>
          <t>固定资产清理</t>
        </is>
      </c>
      <c r="C28" s="539">
        <f>非流动资产汇总!C14</f>
      </c>
      <c r="D28" s="539">
        <f>E28-C28</f>
      </c>
      <c r="E28" s="539">
        <f>非流动资产汇总!D14</f>
      </c>
      <c r="F28" s="539">
        <f>非流动资产汇总!E14</f>
      </c>
      <c r="G28" s="539">
        <f>F28-E28</f>
      </c>
      <c r="H28" s="539">
        <f>IF(E28=0,"",G28/ABS(E28)*100)</f>
      </c>
      <c r="I28" s="540">
        <f>资产负债表!D28</f>
      </c>
      <c r="J28" s="538">
        <f>ROUND(E28-I28,2)</f>
      </c>
    </row>
    <row r="29" ht="14.25" customHeight="1">
      <c r="A29" s="23" t="n">
        <v>24</v>
      </c>
      <c r="B29" s="291" t="inlineStr">
        <is>
          <t>生产性生物资产</t>
        </is>
      </c>
      <c r="C29" s="539">
        <f>非流动资产汇总!C15</f>
      </c>
      <c r="D29" s="539">
        <f>E29-C29</f>
      </c>
      <c r="E29" s="539">
        <f>非流动资产汇总!D15</f>
      </c>
      <c r="F29" s="539">
        <f>非流动资产汇总!E15</f>
      </c>
      <c r="G29" s="539">
        <f>F29-E29</f>
      </c>
      <c r="H29" s="539">
        <f>IF(E29=0,"",G29/ABS(E29)*100)</f>
      </c>
      <c r="I29" s="540">
        <f>资产负债表!D29</f>
      </c>
      <c r="J29" s="538">
        <f>ROUND(E29-I29,2)</f>
      </c>
    </row>
    <row r="30" ht="14.25" customHeight="1">
      <c r="A30" s="23" t="n">
        <v>25</v>
      </c>
      <c r="B30" s="291" t="inlineStr">
        <is>
          <t>油气资产</t>
        </is>
      </c>
      <c r="C30" s="539">
        <f>非流动资产汇总!C16</f>
      </c>
      <c r="D30" s="539">
        <f>E30-C30</f>
      </c>
      <c r="E30" s="539">
        <f>非流动资产汇总!D16</f>
      </c>
      <c r="F30" s="539">
        <f>非流动资产汇总!E16</f>
      </c>
      <c r="G30" s="539">
        <f>F30-E30</f>
      </c>
      <c r="H30" s="539">
        <f>IF(E30=0,"",G30/ABS(E30)*100)</f>
      </c>
      <c r="I30" s="540">
        <f>资产负债表!D30</f>
      </c>
      <c r="J30" s="538">
        <f>ROUND(E30-I30,2)</f>
      </c>
    </row>
    <row r="31" ht="14.25" customHeight="1">
      <c r="A31" s="23" t="n">
        <v>26</v>
      </c>
      <c r="B31" s="291" t="inlineStr">
        <is>
          <t>无形资产</t>
        </is>
      </c>
      <c r="C31" s="539">
        <f>非流动资产汇总!C18</f>
      </c>
      <c r="D31" s="539">
        <f>E31-C31</f>
      </c>
      <c r="E31" s="539">
        <f>非流动资产汇总!D18</f>
      </c>
      <c r="F31" s="539">
        <f>非流动资产汇总!E18</f>
      </c>
      <c r="G31" s="539">
        <f>F31-E31</f>
      </c>
      <c r="H31" s="539">
        <f>IF(E31=0,"",G31/ABS(E31)*100)</f>
      </c>
      <c r="I31" s="540">
        <f>资产负债表!D31</f>
      </c>
      <c r="J31" s="538">
        <f>ROUND(E31-I31,2)</f>
      </c>
    </row>
    <row r="32" ht="14.25" customHeight="1">
      <c r="A32" s="23" t="n">
        <v>27</v>
      </c>
      <c r="B32" s="291" t="inlineStr">
        <is>
          <t>开发支出</t>
        </is>
      </c>
      <c r="C32" s="539">
        <f>非流动资产汇总!C19</f>
      </c>
      <c r="D32" s="539">
        <f>E32-C32</f>
      </c>
      <c r="E32" s="539">
        <f>非流动资产汇总!D19</f>
      </c>
      <c r="F32" s="539">
        <f>非流动资产汇总!E19</f>
      </c>
      <c r="G32" s="539">
        <f>F32-E32</f>
      </c>
      <c r="H32" s="539">
        <f>IF(E32=0,"",G32/ABS(E32)*100)</f>
      </c>
      <c r="I32" s="540">
        <f>资产负债表!D32</f>
      </c>
      <c r="J32" s="538">
        <f>ROUND(E32-I32,2)</f>
      </c>
    </row>
    <row r="33" ht="14.25" customHeight="1">
      <c r="A33" s="23" t="n">
        <v>28</v>
      </c>
      <c r="B33" s="291" t="inlineStr">
        <is>
          <t>商誉</t>
        </is>
      </c>
      <c r="C33" s="539">
        <f>非流动资产汇总!C20</f>
      </c>
      <c r="D33" s="539">
        <f>E33-C33</f>
      </c>
      <c r="E33" s="539">
        <f>非流动资产汇总!D20</f>
      </c>
      <c r="F33" s="539">
        <f>非流动资产汇总!E20</f>
      </c>
      <c r="G33" s="539">
        <f>F33-E33</f>
      </c>
      <c r="H33" s="539">
        <f>IF(E33=0,"",G33/ABS(E33)*100)</f>
      </c>
      <c r="I33" s="540">
        <f>资产负债表!D33</f>
      </c>
      <c r="J33" s="538">
        <f>ROUND(E33-I33,2)</f>
      </c>
    </row>
    <row r="34" ht="14.25" customHeight="1">
      <c r="A34" s="23" t="n">
        <v>29</v>
      </c>
      <c r="B34" s="291" t="inlineStr">
        <is>
          <t>长期待摊费用</t>
        </is>
      </c>
      <c r="C34" s="539">
        <f>非流动资产汇总!C21</f>
      </c>
      <c r="D34" s="539">
        <f>E34-C34</f>
      </c>
      <c r="E34" s="539">
        <f>非流动资产汇总!D21</f>
      </c>
      <c r="F34" s="539">
        <f>非流动资产汇总!E21</f>
      </c>
      <c r="G34" s="539">
        <f>F34-E34</f>
      </c>
      <c r="H34" s="539">
        <f>IF(E34=0,"",G34/ABS(E34)*100)</f>
      </c>
      <c r="I34" s="540">
        <f>资产负债表!D34</f>
      </c>
      <c r="J34" s="538">
        <f>ROUND(E34-I34,2)</f>
      </c>
    </row>
    <row r="35" ht="14.25" customHeight="1">
      <c r="A35" s="23" t="n">
        <v>30</v>
      </c>
      <c r="B35" s="291" t="inlineStr">
        <is>
          <t>递延所得税资产</t>
        </is>
      </c>
      <c r="C35" s="539">
        <f>非流动资产汇总!C22</f>
      </c>
      <c r="D35" s="539">
        <f>E35-C35</f>
      </c>
      <c r="E35" s="539">
        <f>非流动资产汇总!D22</f>
      </c>
      <c r="F35" s="539">
        <f>非流动资产汇总!E22</f>
      </c>
      <c r="G35" s="539">
        <f>F35-E35</f>
      </c>
      <c r="H35" s="539">
        <f>IF(E35=0,"",G35/ABS(E35)*100)</f>
      </c>
      <c r="I35" s="540">
        <f>资产负债表!D35</f>
      </c>
      <c r="J35" s="538">
        <f>ROUND(E35-I35,2)</f>
      </c>
    </row>
    <row r="36" ht="14.25" customHeight="1">
      <c r="A36" s="23" t="n">
        <v>31</v>
      </c>
      <c r="B36" s="291" t="inlineStr">
        <is>
          <t>其他非流动资产</t>
        </is>
      </c>
      <c r="C36" s="539">
        <f>非流动资产汇总!C23</f>
      </c>
      <c r="D36" s="539">
        <f>E36-C36</f>
      </c>
      <c r="E36" s="539">
        <f>非流动资产汇总!D23</f>
      </c>
      <c r="F36" s="539">
        <f>非流动资产汇总!E23</f>
      </c>
      <c r="G36" s="539">
        <f>F36-E36</f>
      </c>
      <c r="H36" s="539">
        <f>IF(E36=0,"",G36/ABS(E36)*100)</f>
      </c>
      <c r="I36" s="540">
        <f>资产负债表!D36</f>
      </c>
      <c r="J36" s="538">
        <f>ROUND(E36-I36,2)</f>
      </c>
    </row>
    <row r="37" ht="14.25" customHeight="1">
      <c r="A37" s="23" t="n">
        <v>32</v>
      </c>
      <c r="B37" s="291" t="n"/>
      <c r="C37" s="539" t="n"/>
      <c r="D37" s="539" t="n"/>
      <c r="E37" s="539" t="n"/>
      <c r="F37" s="539" t="n"/>
      <c r="G37" s="539" t="n"/>
      <c r="H37" s="539">
        <f>IF(E37=0,"",G37/ABS(E37)*100)</f>
      </c>
      <c r="I37" s="540" t="n"/>
      <c r="J37" s="538">
        <f>ROUND(E37-I37,2)</f>
      </c>
    </row>
    <row r="38" ht="14.25" customFormat="1" customHeight="1" s="42">
      <c r="A38" s="287" t="n">
        <v>33</v>
      </c>
      <c r="B38" s="293" t="inlineStr">
        <is>
          <t>三、资产总计</t>
        </is>
      </c>
      <c r="C38" s="537">
        <f>SUM(C6,C19)</f>
      </c>
      <c r="D38" s="537">
        <f>SUM(D6,D19)</f>
      </c>
      <c r="E38" s="537">
        <f>SUM(E6,E19)</f>
      </c>
      <c r="F38" s="537">
        <f>SUM(F6,F19)</f>
      </c>
      <c r="G38" s="537">
        <f>SUM(G6,G19)</f>
      </c>
      <c r="H38" s="537">
        <f>IF(E38=0,"",G38/ABS(E38)*100)</f>
      </c>
      <c r="I38" s="538">
        <f>资产负债表!D38</f>
      </c>
      <c r="J38" s="538">
        <f>ROUND(E38-I38,2)</f>
      </c>
    </row>
    <row r="39" ht="14.25" customFormat="1" customHeight="1" s="42">
      <c r="A39" s="287" t="n">
        <v>35</v>
      </c>
      <c r="B39" s="293" t="inlineStr">
        <is>
          <t>四、流动负债合计</t>
        </is>
      </c>
      <c r="C39" s="537">
        <f>SUM(C40:C51)</f>
      </c>
      <c r="D39" s="537">
        <f>SUM(D40:D51)</f>
      </c>
      <c r="E39" s="537">
        <f>SUM(E40:E51)</f>
      </c>
      <c r="F39" s="537">
        <f>SUM(F40:F51)</f>
      </c>
      <c r="G39" s="537">
        <f>SUM(G40:G51)</f>
      </c>
      <c r="H39" s="537">
        <f>IF(E39=0,"",G39/ABS(E39)*100)</f>
      </c>
      <c r="I39" s="538">
        <f>资产负债表!I19</f>
      </c>
      <c r="J39" s="538">
        <f>ROUND(E39-I39,2)</f>
      </c>
    </row>
    <row r="40" ht="14.25" customHeight="1">
      <c r="A40" s="23" t="n">
        <v>36</v>
      </c>
      <c r="B40" s="291" t="inlineStr">
        <is>
          <t>短期借款</t>
        </is>
      </c>
      <c r="C40" s="539">
        <f>流动负债汇总!C6</f>
      </c>
      <c r="D40" s="539">
        <f>E40-C40</f>
      </c>
      <c r="E40" s="539">
        <f>流动负债汇总!D6</f>
      </c>
      <c r="F40" s="539">
        <f>流动负债汇总!E6</f>
      </c>
      <c r="G40" s="539">
        <f>F40-E40</f>
      </c>
      <c r="H40" s="539">
        <f>IF(E40=0,"",G40/ABS(E40)*100)</f>
      </c>
      <c r="I40" s="540">
        <f>资产负债表!I7</f>
      </c>
      <c r="J40" s="538">
        <f>ROUND(E40-I40,2)</f>
      </c>
    </row>
    <row r="41" ht="14.25" customHeight="1">
      <c r="A41" s="23" t="n">
        <v>37</v>
      </c>
      <c r="B41" s="291" t="inlineStr">
        <is>
          <t>交易性金融负债</t>
        </is>
      </c>
      <c r="C41" s="539">
        <f>流动负债汇总!C7</f>
      </c>
      <c r="D41" s="539">
        <f>E41-C41</f>
      </c>
      <c r="E41" s="539">
        <f>流动负债汇总!D7</f>
      </c>
      <c r="F41" s="539">
        <f>流动负债汇总!E7</f>
      </c>
      <c r="G41" s="539">
        <f>F41-E41</f>
      </c>
      <c r="H41" s="539">
        <f>IF(E41=0,"",G41/ABS(E41)*100)</f>
      </c>
      <c r="I41" s="540">
        <f>资产负债表!I8</f>
      </c>
      <c r="J41" s="538">
        <f>ROUND(E41-I41,2)</f>
      </c>
    </row>
    <row r="42" ht="14.25" customHeight="1">
      <c r="A42" s="23" t="n">
        <v>38</v>
      </c>
      <c r="B42" s="291" t="inlineStr">
        <is>
          <t>应付票据</t>
        </is>
      </c>
      <c r="C42" s="539">
        <f>流动负债汇总!C8</f>
      </c>
      <c r="D42" s="539">
        <f>E42-C42</f>
      </c>
      <c r="E42" s="539">
        <f>流动负债汇总!D8</f>
      </c>
      <c r="F42" s="539">
        <f>流动负债汇总!E8</f>
      </c>
      <c r="G42" s="539">
        <f>F42-E42</f>
      </c>
      <c r="H42" s="539">
        <f>IF(E42=0,"",G42/ABS(E42)*100)</f>
      </c>
      <c r="I42" s="540">
        <f>资产负债表!I9</f>
      </c>
      <c r="J42" s="538">
        <f>ROUND(E42-I42,2)</f>
      </c>
    </row>
    <row r="43" ht="14.25" customHeight="1">
      <c r="A43" s="23" t="n">
        <v>39</v>
      </c>
      <c r="B43" s="291" t="inlineStr">
        <is>
          <t>应付账款</t>
        </is>
      </c>
      <c r="C43" s="539">
        <f>流动负债汇总!C9</f>
      </c>
      <c r="D43" s="539">
        <f>E43-C43</f>
      </c>
      <c r="E43" s="539">
        <f>流动负债汇总!D9</f>
      </c>
      <c r="F43" s="539">
        <f>流动负债汇总!E9</f>
      </c>
      <c r="G43" s="539">
        <f>F43-E43</f>
      </c>
      <c r="H43" s="539">
        <f>IF(E43=0,"",G43/ABS(E43)*100)</f>
      </c>
      <c r="I43" s="540">
        <f>资产负债表!I10</f>
      </c>
      <c r="J43" s="538">
        <f>ROUND(E43-I43,2)</f>
      </c>
    </row>
    <row r="44" ht="14.25" customHeight="1">
      <c r="A44" s="23" t="n">
        <v>40</v>
      </c>
      <c r="B44" s="291" t="inlineStr">
        <is>
          <t>预收款项</t>
        </is>
      </c>
      <c r="C44" s="539">
        <f>流动负债汇总!C10</f>
      </c>
      <c r="D44" s="539">
        <f>E44-C44</f>
      </c>
      <c r="E44" s="539">
        <f>流动负债汇总!D10</f>
      </c>
      <c r="F44" s="539">
        <f>流动负债汇总!E10</f>
      </c>
      <c r="G44" s="539">
        <f>F44-E44</f>
      </c>
      <c r="H44" s="539">
        <f>IF(E44=0,"",G44/ABS(E44)*100)</f>
      </c>
      <c r="I44" s="540">
        <f>资产负债表!I11</f>
      </c>
      <c r="J44" s="538">
        <f>ROUND(E44-I44,2)</f>
      </c>
    </row>
    <row r="45" ht="14.25" customHeight="1">
      <c r="A45" s="23" t="n">
        <v>41</v>
      </c>
      <c r="B45" s="291" t="inlineStr">
        <is>
          <t>应付职工薪酬</t>
        </is>
      </c>
      <c r="C45" s="539">
        <f>流动负债汇总!C11</f>
      </c>
      <c r="D45" s="539">
        <f>E45-C45</f>
      </c>
      <c r="E45" s="539">
        <f>流动负债汇总!D11</f>
      </c>
      <c r="F45" s="539">
        <f>流动负债汇总!E11</f>
      </c>
      <c r="G45" s="539">
        <f>F45-E45</f>
      </c>
      <c r="H45" s="539">
        <f>IF(E45=0,"",G45/ABS(E45)*100)</f>
      </c>
      <c r="I45" s="540">
        <f>资产负债表!I12</f>
      </c>
      <c r="J45" s="538">
        <f>ROUND(E45-I45,2)</f>
      </c>
    </row>
    <row r="46" ht="14.25" customHeight="1">
      <c r="A46" s="23" t="n">
        <v>42</v>
      </c>
      <c r="B46" s="291" t="inlineStr">
        <is>
          <t>应交税费</t>
        </is>
      </c>
      <c r="C46" s="539">
        <f>流动负债汇总!C12</f>
      </c>
      <c r="D46" s="539">
        <f>E46-C46</f>
      </c>
      <c r="E46" s="539">
        <f>流动负债汇总!D12</f>
      </c>
      <c r="F46" s="539">
        <f>流动负债汇总!E12</f>
      </c>
      <c r="G46" s="539">
        <f>F46-E46</f>
      </c>
      <c r="H46" s="539">
        <f>IF(E46=0,"",G46/ABS(E46)*100)</f>
      </c>
      <c r="I46" s="540">
        <f>资产负债表!I13</f>
      </c>
      <c r="J46" s="538">
        <f>ROUND(E46-I46,2)</f>
      </c>
    </row>
    <row r="47" ht="14.25" customHeight="1">
      <c r="A47" s="23" t="n">
        <v>43</v>
      </c>
      <c r="B47" s="291" t="inlineStr">
        <is>
          <t>应付利息</t>
        </is>
      </c>
      <c r="C47" s="539">
        <f>流动负债汇总!C13</f>
      </c>
      <c r="D47" s="539">
        <f>E47-C47</f>
      </c>
      <c r="E47" s="539">
        <f>流动负债汇总!D13</f>
      </c>
      <c r="F47" s="539">
        <f>流动负债汇总!E13</f>
      </c>
      <c r="G47" s="539">
        <f>F47-E47</f>
      </c>
      <c r="H47" s="539">
        <f>IF(E47=0,"",G47/ABS(E47)*100)</f>
      </c>
      <c r="I47" s="540">
        <f>资产负债表!I14</f>
      </c>
      <c r="J47" s="538">
        <f>ROUND(E47-I47,2)</f>
      </c>
    </row>
    <row r="48" ht="14.25" customHeight="1">
      <c r="A48" s="23" t="n">
        <v>44</v>
      </c>
      <c r="B48" s="291" t="inlineStr">
        <is>
          <t>应付股利</t>
        </is>
      </c>
      <c r="C48" s="539">
        <f>流动负债汇总!C14</f>
      </c>
      <c r="D48" s="539">
        <f>E48-C48</f>
      </c>
      <c r="E48" s="539">
        <f>流动负债汇总!D14</f>
      </c>
      <c r="F48" s="539">
        <f>流动负债汇总!E14</f>
      </c>
      <c r="G48" s="539">
        <f>F48-E48</f>
      </c>
      <c r="H48" s="539">
        <f>IF(E48=0,"",G48/ABS(E48)*100)</f>
      </c>
      <c r="I48" s="540">
        <f>资产负债表!I15</f>
      </c>
      <c r="J48" s="538">
        <f>ROUND(E48-I48,2)</f>
      </c>
    </row>
    <row r="49" ht="14.25" customHeight="1">
      <c r="A49" s="23" t="n">
        <v>45</v>
      </c>
      <c r="B49" s="291" t="inlineStr">
        <is>
          <t>其他应付款</t>
        </is>
      </c>
      <c r="C49" s="539">
        <f>流动负债汇总!C15</f>
      </c>
      <c r="D49" s="539">
        <f>E49-C49</f>
      </c>
      <c r="E49" s="539">
        <f>流动负债汇总!D15</f>
      </c>
      <c r="F49" s="539">
        <f>流动负债汇总!E15</f>
      </c>
      <c r="G49" s="539">
        <f>F49-E49</f>
      </c>
      <c r="H49" s="539">
        <f>IF(E49=0,"",G49/ABS(E49)*100)</f>
      </c>
      <c r="I49" s="540">
        <f>资产负债表!I16</f>
      </c>
      <c r="J49" s="538">
        <f>ROUND(E49-I49,2)</f>
      </c>
    </row>
    <row r="50" ht="14.25" customHeight="1">
      <c r="A50" s="23" t="n">
        <v>46</v>
      </c>
      <c r="B50" s="291" t="inlineStr">
        <is>
          <t>一年内到期的非流动负债</t>
        </is>
      </c>
      <c r="C50" s="539">
        <f>流动负债汇总!C16</f>
      </c>
      <c r="D50" s="539">
        <f>E50-C50</f>
      </c>
      <c r="E50" s="539">
        <f>流动负债汇总!D16</f>
      </c>
      <c r="F50" s="539">
        <f>流动负债汇总!E16</f>
      </c>
      <c r="G50" s="539">
        <f>F50-E50</f>
      </c>
      <c r="H50" s="539">
        <f>IF(E50=0,"",G50/ABS(E50)*100)</f>
      </c>
      <c r="I50" s="540">
        <f>资产负债表!I17</f>
      </c>
      <c r="J50" s="538">
        <f>ROUND(E50-I50,2)</f>
      </c>
    </row>
    <row r="51" ht="14.25" customHeight="1">
      <c r="A51" s="23" t="n">
        <v>47</v>
      </c>
      <c r="B51" s="291" t="inlineStr">
        <is>
          <t>其他流动负债</t>
        </is>
      </c>
      <c r="C51" s="539">
        <f>流动负债汇总!C17</f>
      </c>
      <c r="D51" s="539">
        <f>E51-C51</f>
      </c>
      <c r="E51" s="539">
        <f>流动负债汇总!D17</f>
      </c>
      <c r="F51" s="539">
        <f>流动负债汇总!E17</f>
      </c>
      <c r="G51" s="539">
        <f>F51-E51</f>
      </c>
      <c r="H51" s="539">
        <f>IF(E51=0,"",G51/ABS(E51)*100)</f>
      </c>
      <c r="I51" s="540">
        <f>资产负债表!I18</f>
      </c>
      <c r="J51" s="538">
        <f>ROUND(E51-I51,2)</f>
      </c>
    </row>
    <row r="52" ht="14.25" customHeight="1">
      <c r="A52" s="23" t="n">
        <v>48</v>
      </c>
      <c r="B52" s="284" t="n"/>
      <c r="C52" s="539" t="n"/>
      <c r="D52" s="539" t="n"/>
      <c r="E52" s="539" t="n"/>
      <c r="F52" s="539" t="n"/>
      <c r="G52" s="539" t="n"/>
      <c r="H52" s="539">
        <f>IF(E52=0,"",G52/ABS(E52)*100)</f>
      </c>
      <c r="I52" s="540" t="n"/>
      <c r="J52" s="538">
        <f>ROUND(E52-I52,2)</f>
      </c>
    </row>
    <row r="53" ht="14.25" customFormat="1" customHeight="1" s="42">
      <c r="A53" s="287" t="n">
        <v>49</v>
      </c>
      <c r="B53" s="293" t="inlineStr">
        <is>
          <t>五、非流动负债合计</t>
        </is>
      </c>
      <c r="C53" s="537">
        <f>SUM(C54:C60)</f>
      </c>
      <c r="D53" s="537">
        <f>SUM(D54:D60)</f>
      </c>
      <c r="E53" s="537">
        <f>SUM(E54:E60)</f>
      </c>
      <c r="F53" s="537">
        <f>SUM(F54:F60)</f>
      </c>
      <c r="G53" s="537">
        <f>SUM(G54:G60)</f>
      </c>
      <c r="H53" s="537">
        <f>IF(E53=0,"",G53/ABS(E53)*100)</f>
      </c>
      <c r="I53" s="538">
        <f>资产负债表!I28</f>
      </c>
      <c r="J53" s="538">
        <f>ROUND(E53-I53,2)</f>
      </c>
    </row>
    <row r="54" ht="14.25" customHeight="1">
      <c r="A54" s="23" t="n">
        <v>50</v>
      </c>
      <c r="B54" s="291" t="inlineStr">
        <is>
          <t>长期借款</t>
        </is>
      </c>
      <c r="C54" s="539">
        <f>'非流动负债汇总 '!C6</f>
      </c>
      <c r="D54" s="539">
        <f>E54-C54</f>
      </c>
      <c r="E54" s="539">
        <f>'非流动负债汇总 '!D6</f>
      </c>
      <c r="F54" s="539">
        <f>'非流动负债汇总 '!E6</f>
      </c>
      <c r="G54" s="539">
        <f>F54-E54</f>
      </c>
      <c r="H54" s="539">
        <f>IF(E54=0,"",G54/ABS(E54)*100)</f>
      </c>
      <c r="I54" s="540">
        <f>资产负债表!I21</f>
      </c>
      <c r="J54" s="538">
        <f>ROUND(E54-I54,2)</f>
      </c>
    </row>
    <row r="55" ht="14.25" customHeight="1">
      <c r="A55" s="23" t="n">
        <v>51</v>
      </c>
      <c r="B55" s="291" t="inlineStr">
        <is>
          <t>应付债券</t>
        </is>
      </c>
      <c r="C55" s="539">
        <f>'非流动负债汇总 '!C7</f>
      </c>
      <c r="D55" s="539">
        <f>E55-C55</f>
      </c>
      <c r="E55" s="539">
        <f>'非流动负债汇总 '!D7</f>
      </c>
      <c r="F55" s="539">
        <f>'非流动负债汇总 '!E7</f>
      </c>
      <c r="G55" s="539">
        <f>F55-E55</f>
      </c>
      <c r="H55" s="539">
        <f>IF(E55=0,"",G55/ABS(E55)*100)</f>
      </c>
      <c r="I55" s="540">
        <f>资产负债表!I22</f>
      </c>
      <c r="J55" s="538">
        <f>ROUND(E55-I55,2)</f>
      </c>
    </row>
    <row r="56" ht="14.25" customHeight="1">
      <c r="A56" s="23" t="n">
        <v>52</v>
      </c>
      <c r="B56" s="291" t="inlineStr">
        <is>
          <t>长期应付款</t>
        </is>
      </c>
      <c r="C56" s="539">
        <f>'非流动负债汇总 '!C8</f>
      </c>
      <c r="D56" s="539">
        <f>E56-C56</f>
      </c>
      <c r="E56" s="539">
        <f>'非流动负债汇总 '!D8</f>
      </c>
      <c r="F56" s="539">
        <f>'非流动负债汇总 '!E8</f>
      </c>
      <c r="G56" s="539">
        <f>F56-E56</f>
      </c>
      <c r="H56" s="539">
        <f>IF(E56=0,"",G56/ABS(E56)*100)</f>
      </c>
      <c r="I56" s="540">
        <f>资产负债表!I23</f>
      </c>
      <c r="J56" s="538">
        <f>ROUND(E56-I56,2)</f>
      </c>
    </row>
    <row r="57" ht="14.25" customHeight="1">
      <c r="A57" s="23" t="n">
        <v>53</v>
      </c>
      <c r="B57" s="291" t="inlineStr">
        <is>
          <t>专项应付款</t>
        </is>
      </c>
      <c r="C57" s="539">
        <f>'非流动负债汇总 '!C10</f>
      </c>
      <c r="D57" s="539">
        <f>E57-C57</f>
      </c>
      <c r="E57" s="539">
        <f>'非流动负债汇总 '!D10</f>
      </c>
      <c r="F57" s="539">
        <f>'非流动负债汇总 '!E10</f>
      </c>
      <c r="G57" s="539">
        <f>F57-E57</f>
      </c>
      <c r="H57" s="539">
        <f>IF(E57=0,"",G57/ABS(E57)*100)</f>
      </c>
      <c r="I57" s="540">
        <f>资产负债表!I24</f>
      </c>
      <c r="J57" s="538">
        <f>ROUND(E57-I57,2)</f>
      </c>
    </row>
    <row r="58" ht="14.25" customHeight="1">
      <c r="A58" s="23" t="n">
        <v>54</v>
      </c>
      <c r="B58" s="291" t="inlineStr">
        <is>
          <t>预计负债</t>
        </is>
      </c>
      <c r="C58" s="539">
        <f>'非流动负债汇总 '!C11</f>
      </c>
      <c r="D58" s="539">
        <f>E58-C58</f>
      </c>
      <c r="E58" s="539">
        <f>'非流动负债汇总 '!D11</f>
      </c>
      <c r="F58" s="539">
        <f>'非流动负债汇总 '!E11</f>
      </c>
      <c r="G58" s="539">
        <f>F58-E58</f>
      </c>
      <c r="H58" s="539">
        <f>IF(E58=0,"",G58/ABS(E58)*100)</f>
      </c>
      <c r="I58" s="540">
        <f>资产负债表!I25</f>
      </c>
      <c r="J58" s="538">
        <f>ROUND(E58-I58,2)</f>
      </c>
    </row>
    <row r="59" ht="14.25" customHeight="1">
      <c r="A59" s="23" t="n">
        <v>55</v>
      </c>
      <c r="B59" s="291" t="inlineStr">
        <is>
          <t>递延所得税负债</t>
        </is>
      </c>
      <c r="C59" s="539">
        <f>'非流动负债汇总 '!C12</f>
      </c>
      <c r="D59" s="539">
        <f>E59-C59</f>
      </c>
      <c r="E59" s="539">
        <f>'非流动负债汇总 '!D12</f>
      </c>
      <c r="F59" s="539">
        <f>'非流动负债汇总 '!E12</f>
      </c>
      <c r="G59" s="539">
        <f>F59-E59</f>
      </c>
      <c r="H59" s="539">
        <f>IF(E59=0,"",G59/ABS(E59)*100)</f>
      </c>
      <c r="I59" s="540">
        <f>资产负债表!I26</f>
      </c>
      <c r="J59" s="538">
        <f>ROUND(E59-I59,2)</f>
      </c>
    </row>
    <row r="60" ht="14.25" customHeight="1">
      <c r="A60" s="23" t="n">
        <v>56</v>
      </c>
      <c r="B60" s="291" t="inlineStr">
        <is>
          <t>其他非流动负债</t>
        </is>
      </c>
      <c r="C60" s="539">
        <f>'非流动负债汇总 '!C13</f>
      </c>
      <c r="D60" s="539">
        <f>E60-C60</f>
      </c>
      <c r="E60" s="539">
        <f>'非流动负债汇总 '!D13</f>
      </c>
      <c r="F60" s="539">
        <f>'非流动负债汇总 '!E13</f>
      </c>
      <c r="G60" s="539">
        <f>F60-E60</f>
      </c>
      <c r="H60" s="539">
        <f>IF(E60=0,"",G60/ABS(E60)*100)</f>
      </c>
      <c r="I60" s="540">
        <f>资产负债表!I27</f>
      </c>
      <c r="J60" s="538">
        <f>ROUND(E60-I60,2)</f>
      </c>
    </row>
    <row r="61" ht="14.25" customHeight="1">
      <c r="A61" s="23" t="n">
        <v>57</v>
      </c>
      <c r="B61" s="284" t="n"/>
      <c r="C61" s="539" t="n"/>
      <c r="D61" s="539" t="n"/>
      <c r="E61" s="539" t="n"/>
      <c r="F61" s="539" t="n"/>
      <c r="G61" s="539" t="n"/>
      <c r="H61" s="539">
        <f>IF(E61=0,"",G61/ABS(E61)*100)</f>
      </c>
      <c r="I61" s="540" t="n"/>
      <c r="J61" s="538">
        <f>ROUND(E61-I61,2)</f>
      </c>
    </row>
    <row r="62" ht="14.25" customFormat="1" customHeight="1" s="42">
      <c r="A62" s="287" t="n">
        <v>58</v>
      </c>
      <c r="B62" s="293" t="inlineStr">
        <is>
          <t>六、负债总计</t>
        </is>
      </c>
      <c r="C62" s="537">
        <f>SUM(C39,C53)</f>
      </c>
      <c r="D62" s="537">
        <f>SUM(D39,D53)</f>
      </c>
      <c r="E62" s="537">
        <f>SUM(E39,E53)</f>
      </c>
      <c r="F62" s="537">
        <f>SUM(F39,F53)</f>
      </c>
      <c r="G62" s="537">
        <f>SUM(G39,G53)</f>
      </c>
      <c r="H62" s="537">
        <f>IF(E62=0,"",G62/ABS(E62)*100)</f>
      </c>
      <c r="I62" s="538">
        <f>资产负债表!I29</f>
      </c>
      <c r="J62" s="538">
        <f>ROUND(E62-I62,2)</f>
      </c>
    </row>
    <row r="63" ht="14.25" customHeight="1">
      <c r="A63" s="23" t="n">
        <v>59</v>
      </c>
      <c r="B63" s="284" t="n"/>
      <c r="C63" s="539" t="n"/>
      <c r="D63" s="539" t="n"/>
      <c r="E63" s="539" t="n"/>
      <c r="F63" s="539" t="n"/>
      <c r="G63" s="539" t="n"/>
      <c r="H63" s="539">
        <f>IF(E63=0,"",G63/ABS(E63)*100)</f>
      </c>
      <c r="I63" s="540" t="n"/>
      <c r="J63" s="538">
        <f>ROUND(E63-I63,2)</f>
      </c>
    </row>
    <row r="64" ht="14.25" customFormat="1" customHeight="1" s="42">
      <c r="A64" s="287" t="n">
        <v>60</v>
      </c>
      <c r="B64" s="293" t="inlineStr">
        <is>
          <t>七、净资产（所有者权益）</t>
        </is>
      </c>
      <c r="C64" s="537">
        <f>C38-C62</f>
      </c>
      <c r="D64" s="537">
        <f>D38-D62</f>
      </c>
      <c r="E64" s="537">
        <f>E38-E62</f>
      </c>
      <c r="F64" s="537">
        <f>F38-F62</f>
      </c>
      <c r="G64" s="537">
        <f>G38-G62</f>
      </c>
      <c r="H64" s="537">
        <f>IF(E64=0,"",G64/ABS(E64)*100)</f>
      </c>
      <c r="I64" s="538">
        <f>资产负债表!I36</f>
      </c>
      <c r="J64" s="538">
        <f>ROUND(E64-I64,2)</f>
      </c>
    </row>
    <row r="65" ht="27.75" customFormat="1" customHeight="1" s="285">
      <c r="F65" s="294" t="inlineStr">
        <is>
          <t>评估机构：中立国际房地产土地资产评估有限公司</t>
        </is>
      </c>
    </row>
    <row r="66" ht="15.5" customHeight="1"/>
    <row r="67" ht="15.5" customHeight="1">
      <c r="B67" s="295" t="inlineStr">
        <is>
          <t>实物资产（万元）</t>
        </is>
      </c>
      <c r="E67" s="541">
        <f>SUM(E15,E24,E25,E26,E27,E29,E30,-固定资产汇总!F19)/10000</f>
      </c>
    </row>
    <row r="68" ht="15.5" customHeight="1">
      <c r="B68" s="295" t="inlineStr">
        <is>
          <t>比例（％）</t>
        </is>
      </c>
      <c r="E68" s="542">
        <f>E67*10000/E38*100</f>
      </c>
    </row>
    <row r="69" ht="15.5" customHeight="1"/>
    <row r="70" ht="15.5" customHeight="1"/>
    <row r="71" ht="15.5" customHeight="1">
      <c r="A71" s="42" t="inlineStr">
        <is>
          <t>资产减值准备</t>
        </is>
      </c>
    </row>
    <row r="72" ht="14.25" customFormat="1" customHeight="1" s="12">
      <c r="A72" s="23" t="inlineStr">
        <is>
          <t>序号</t>
        </is>
      </c>
      <c r="B72" s="279" t="inlineStr">
        <is>
          <t>科目名称</t>
        </is>
      </c>
      <c r="C72" s="23" t="inlineStr">
        <is>
          <t>审计前账面值</t>
        </is>
      </c>
      <c r="D72" s="23" t="inlineStr">
        <is>
          <t>账面调整值</t>
        </is>
      </c>
      <c r="E72" s="23" t="inlineStr">
        <is>
          <t>账面价值</t>
        </is>
      </c>
      <c r="F72" s="23" t="inlineStr">
        <is>
          <t>评估价值</t>
        </is>
      </c>
      <c r="G72" s="23" t="inlineStr">
        <is>
          <t>增值额</t>
        </is>
      </c>
      <c r="H72" s="23" t="inlineStr">
        <is>
          <t>增值率%</t>
        </is>
      </c>
      <c r="I72" s="61" t="inlineStr">
        <is>
          <t>企业报表数</t>
        </is>
      </c>
      <c r="J72" s="61" t="inlineStr">
        <is>
          <t>差异</t>
        </is>
      </c>
    </row>
    <row r="73" ht="14.25" customHeight="1">
      <c r="A73" s="23" t="inlineStr">
        <is>
          <t>一</t>
        </is>
      </c>
      <c r="B73" s="298" t="inlineStr">
        <is>
          <t>坏账准备</t>
        </is>
      </c>
      <c r="C73" s="539">
        <f>SUM(C74:C76)</f>
      </c>
      <c r="D73" s="539">
        <f>SUM(D74:D76)</f>
      </c>
      <c r="E73" s="539">
        <f>SUM(E74:E76)</f>
      </c>
      <c r="F73" s="539">
        <f>SUM(F74:F76)</f>
      </c>
      <c r="G73" s="539">
        <f>SUM(G74:G76)</f>
      </c>
      <c r="H73" s="539">
        <f>IF(E73=0,"",G73/E73*100)</f>
      </c>
      <c r="I73" s="540">
        <f>SUM(I74:I76)</f>
      </c>
      <c r="J73" s="540">
        <f>SUM(J74:J76)</f>
      </c>
    </row>
    <row r="74" ht="14.25" customHeight="1">
      <c r="A74" s="23" t="n">
        <v>1</v>
      </c>
      <c r="B74" s="291" t="inlineStr">
        <is>
          <t>其中：应收账款</t>
        </is>
      </c>
      <c r="C74" s="539">
        <f>应收账款!F25</f>
      </c>
      <c r="D74" s="539">
        <f>E74-C74</f>
      </c>
      <c r="E74" s="539">
        <f>应收账款!P25</f>
      </c>
      <c r="F74" s="539">
        <f>应收账款!Q25</f>
      </c>
      <c r="G74" s="539">
        <f>F74-E74</f>
      </c>
      <c r="H74" s="539">
        <f>IF(E74=0,"",G74/E74*100)</f>
      </c>
      <c r="I74" s="540" t="n"/>
      <c r="J74" s="540">
        <f>ROUND(C74-I74,2)</f>
      </c>
    </row>
    <row r="75" ht="14.25" customHeight="1">
      <c r="A75" s="23" t="n">
        <v>2</v>
      </c>
      <c r="B75" s="299" t="inlineStr">
        <is>
          <t>其他应收款</t>
        </is>
      </c>
      <c r="C75" s="539">
        <f>其他应收款!F43</f>
      </c>
      <c r="D75" s="539">
        <f>E75-C75</f>
      </c>
      <c r="E75" s="539">
        <f>其他应收款!P43</f>
      </c>
      <c r="F75" s="539">
        <f>其他应收款!Q43</f>
      </c>
      <c r="G75" s="539">
        <f>F75-E75</f>
      </c>
      <c r="H75" s="539">
        <f>IF(E75=0,"",G75/E75*100)</f>
      </c>
      <c r="I75" s="540" t="n"/>
      <c r="J75" s="540">
        <f>ROUND(C75-I75,2)</f>
      </c>
    </row>
    <row r="76" ht="14.25" customHeight="1">
      <c r="A76" s="23" t="n">
        <v>3</v>
      </c>
      <c r="B76" s="299" t="inlineStr">
        <is>
          <t>长期应收款</t>
        </is>
      </c>
      <c r="C76" s="539">
        <f>长期应收!E25</f>
      </c>
      <c r="D76" s="539">
        <f>E76-C76</f>
      </c>
      <c r="E76" s="539">
        <f>长期应收!G25</f>
      </c>
      <c r="F76" s="539">
        <f>长期应收!H25</f>
      </c>
      <c r="G76" s="539">
        <f>F76-E76</f>
      </c>
      <c r="H76" s="539">
        <f>IF(E76=0,"",G76/E76*100)</f>
      </c>
      <c r="I76" s="540" t="n"/>
      <c r="J76" s="540">
        <f>ROUND(C76-I76,2)</f>
      </c>
    </row>
    <row r="77" ht="14.25" customHeight="1">
      <c r="A77" s="23" t="inlineStr">
        <is>
          <t>二</t>
        </is>
      </c>
      <c r="B77" s="298" t="inlineStr">
        <is>
          <t>存货跌价准备</t>
        </is>
      </c>
      <c r="C77" s="539">
        <f>存货汇总!C26</f>
      </c>
      <c r="D77" s="539">
        <f>E77-C77</f>
      </c>
      <c r="E77" s="539">
        <f>存货汇总!D26</f>
      </c>
      <c r="F77" s="539">
        <f>存货汇总!E26</f>
      </c>
      <c r="G77" s="539">
        <f>F77-E77</f>
      </c>
      <c r="H77" s="539">
        <f>IF(E77=0,"",G77/E77*100)</f>
      </c>
      <c r="I77" s="540" t="n"/>
      <c r="J77" s="540">
        <f>ROUND(C77-I77,2)</f>
      </c>
    </row>
    <row r="78" ht="14.25" customHeight="1">
      <c r="A78" s="23" t="inlineStr">
        <is>
          <t>三</t>
        </is>
      </c>
      <c r="B78" s="298" t="inlineStr">
        <is>
          <t>可供出售金融资产减值准备</t>
        </is>
      </c>
      <c r="C78" s="539">
        <f>可供出售金融资产汇总!C26</f>
      </c>
      <c r="D78" s="539">
        <f>E78-C78</f>
      </c>
      <c r="E78" s="539">
        <f>可供出售金融资产汇总!E26</f>
      </c>
      <c r="F78" s="539">
        <f>可供出售金融资产汇总!F26</f>
      </c>
      <c r="G78" s="539">
        <f>F78-E78</f>
      </c>
      <c r="H78" s="539">
        <f>IF(E78=0,"",G78/E78*100)</f>
      </c>
      <c r="I78" s="540" t="n"/>
      <c r="J78" s="540">
        <f>ROUND(C78-I78,2)</f>
      </c>
    </row>
    <row r="79" ht="14.25" customHeight="1">
      <c r="A79" s="23" t="inlineStr">
        <is>
          <t>四</t>
        </is>
      </c>
      <c r="B79" s="298" t="inlineStr">
        <is>
          <t>持有至到期投资减值准备</t>
        </is>
      </c>
      <c r="C79" s="539">
        <f>持有到期投资!H26</f>
      </c>
      <c r="D79" s="539">
        <f>E79-C79</f>
      </c>
      <c r="E79" s="539">
        <f>持有到期投资!J26</f>
      </c>
      <c r="F79" s="539">
        <f>持有到期投资!K26</f>
      </c>
      <c r="G79" s="539">
        <f>F79-E79</f>
      </c>
      <c r="H79" s="539">
        <f>IF(E79=0,"",G79/E79*100)</f>
      </c>
      <c r="I79" s="540" t="n"/>
      <c r="J79" s="540">
        <f>ROUND(C79-I79,2)</f>
      </c>
    </row>
    <row r="80" ht="14.25" customHeight="1">
      <c r="A80" s="23" t="inlineStr">
        <is>
          <t>五</t>
        </is>
      </c>
      <c r="B80" s="298" t="inlineStr">
        <is>
          <t>长期股权投资减值准备</t>
        </is>
      </c>
      <c r="C80" s="539">
        <f>股权投资!G26</f>
      </c>
      <c r="D80" s="539">
        <f>E80-C80</f>
      </c>
      <c r="E80" s="539">
        <f>股权投资!I26</f>
      </c>
      <c r="F80" s="539">
        <f>股权投资!J26</f>
      </c>
      <c r="G80" s="539">
        <f>F80-E80</f>
      </c>
      <c r="H80" s="539">
        <f>IF(E80=0,"",G80/E80*100)</f>
      </c>
      <c r="I80" s="540" t="n"/>
      <c r="J80" s="540">
        <f>ROUND(C80-I80,2)</f>
      </c>
    </row>
    <row r="81" ht="14.25" customHeight="1">
      <c r="A81" s="23" t="inlineStr">
        <is>
          <t>六</t>
        </is>
      </c>
      <c r="B81" s="298" t="inlineStr">
        <is>
          <t>投资性房地产减值准备</t>
        </is>
      </c>
      <c r="C81" s="539">
        <f>'4-5-1投资性房地产'!K26+'4-5-3投资性地产'!M26</f>
      </c>
      <c r="D81" s="539">
        <f>E81-C81</f>
      </c>
      <c r="E81" s="539">
        <f>'4-5-1投资性房地产'!O26+'4-5-3投资性地产'!O26</f>
      </c>
      <c r="F81" s="539">
        <f>'4-5-1投资性房地产'!R26+'4-5-3投资性地产'!P26</f>
      </c>
      <c r="G81" s="539">
        <f>F81-E81</f>
      </c>
      <c r="H81" s="539">
        <f>IF(E81=0,"",G81/E81*100)</f>
      </c>
      <c r="I81" s="540" t="n"/>
      <c r="J81" s="540">
        <f>ROUND(C81-I81,2)</f>
      </c>
    </row>
    <row r="82" ht="14.25" customHeight="1">
      <c r="A82" s="23" t="inlineStr">
        <is>
          <t>七</t>
        </is>
      </c>
      <c r="B82" s="298" t="inlineStr">
        <is>
          <t>固定资产减值准备</t>
        </is>
      </c>
      <c r="C82" s="539">
        <f>固定资产汇总!D21</f>
      </c>
      <c r="D82" s="539">
        <f>E82-C82</f>
      </c>
      <c r="E82" s="539">
        <f>固定资产汇总!F21</f>
      </c>
      <c r="F82" s="539">
        <f>固定资产汇总!H21</f>
      </c>
      <c r="G82" s="539">
        <f>F82-E82</f>
      </c>
      <c r="H82" s="539">
        <f>IF(E82=0,"",G82/E82*100)</f>
      </c>
      <c r="I82" s="540" t="n"/>
      <c r="J82" s="540">
        <f>ROUND(C82-I82,2)</f>
      </c>
    </row>
    <row r="83" ht="14.25" customHeight="1">
      <c r="A83" s="23" t="inlineStr">
        <is>
          <t>八</t>
        </is>
      </c>
      <c r="B83" s="298" t="inlineStr">
        <is>
          <t>工程物资减值准备</t>
        </is>
      </c>
      <c r="C83" s="539">
        <f>工程物资!G26</f>
      </c>
      <c r="D83" s="539">
        <f>E83-C83</f>
      </c>
      <c r="E83" s="539">
        <f>工程物资!K26</f>
      </c>
      <c r="F83" s="539">
        <f>工程物资!N26</f>
      </c>
      <c r="G83" s="539">
        <f>F83-E83</f>
      </c>
      <c r="H83" s="539">
        <f>IF(E83=0,"",G83/E83*100)</f>
      </c>
      <c r="I83" s="540" t="n"/>
      <c r="J83" s="540">
        <f>ROUND(C83-I83,2)</f>
      </c>
    </row>
    <row r="84" ht="14.25" customHeight="1">
      <c r="A84" s="23" t="inlineStr">
        <is>
          <t>九</t>
        </is>
      </c>
      <c r="B84" s="298" t="inlineStr">
        <is>
          <t>在建工程减值准备</t>
        </is>
      </c>
      <c r="C84" s="539">
        <f>在建工程汇总!C26</f>
      </c>
      <c r="D84" s="539">
        <f>E84-C84</f>
      </c>
      <c r="E84" s="539">
        <f>在建工程汇总!D26</f>
      </c>
      <c r="F84" s="539">
        <f>在建工程汇总!E26</f>
      </c>
      <c r="G84" s="539">
        <f>F84-E84</f>
      </c>
      <c r="H84" s="539">
        <f>IF(E84=0,"",G84/E84*100)</f>
      </c>
      <c r="I84" s="540" t="n"/>
      <c r="J84" s="540">
        <f>ROUND(C84-I84,2)</f>
      </c>
    </row>
    <row r="85" ht="14.25" customHeight="1">
      <c r="A85" s="23" t="inlineStr">
        <is>
          <t>十</t>
        </is>
      </c>
      <c r="B85" s="298" t="inlineStr">
        <is>
          <t>生产性生物资产减值准备</t>
        </is>
      </c>
      <c r="C85" s="539">
        <f>生产性生物资产!I26</f>
      </c>
      <c r="D85" s="539">
        <f>E85-C85</f>
      </c>
      <c r="E85" s="539">
        <f>生产性生物资产!M26</f>
      </c>
      <c r="F85" s="539">
        <f>生产性生物资产!P26</f>
      </c>
      <c r="G85" s="539">
        <f>F85-E85</f>
      </c>
      <c r="H85" s="539">
        <f>IF(E85=0,"",G85/E85*100)</f>
      </c>
      <c r="I85" s="540" t="n"/>
      <c r="J85" s="540">
        <f>ROUND(C85-I85,2)</f>
      </c>
    </row>
    <row r="86" ht="14.25" customHeight="1">
      <c r="A86" s="23" t="n">
        <v>1</v>
      </c>
      <c r="B86" s="291" t="inlineStr">
        <is>
          <t>其中：成熟生产性生物资产</t>
        </is>
      </c>
      <c r="C86" s="539" t="n"/>
      <c r="D86" s="539">
        <f>E86-C86</f>
      </c>
      <c r="E86" s="539" t="n"/>
      <c r="F86" s="539" t="n"/>
      <c r="G86" s="539">
        <f>F86-E86</f>
      </c>
      <c r="H86" s="539">
        <f>IF(E86=0,"",G86/E86*100)</f>
      </c>
      <c r="I86" s="540" t="n"/>
      <c r="J86" s="540">
        <f>ROUND(C86-I86,2)</f>
      </c>
    </row>
    <row r="87" ht="14.25" customHeight="1">
      <c r="A87" s="23" t="inlineStr">
        <is>
          <t>十一</t>
        </is>
      </c>
      <c r="B87" s="298" t="inlineStr">
        <is>
          <t>油气资产减值准备</t>
        </is>
      </c>
      <c r="C87" s="539">
        <f>油气资产!J26</f>
      </c>
      <c r="D87" s="539">
        <f>E87-C87</f>
      </c>
      <c r="E87" s="539">
        <f>油气资产!N26</f>
      </c>
      <c r="F87" s="539">
        <f>油气资产!Q26</f>
      </c>
      <c r="G87" s="539">
        <f>F87-E87</f>
      </c>
      <c r="H87" s="539">
        <f>IF(E87=0,"",G87/E87*100)</f>
      </c>
      <c r="I87" s="540" t="n"/>
      <c r="J87" s="540">
        <f>ROUND(C87-I87,2)</f>
      </c>
    </row>
    <row r="88" ht="14.25" customHeight="1">
      <c r="A88" s="23" t="inlineStr">
        <is>
          <t>十二</t>
        </is>
      </c>
      <c r="B88" s="298" t="inlineStr">
        <is>
          <t>无形资产减值准备</t>
        </is>
      </c>
      <c r="C88" s="539">
        <f>无形资产汇总!C26</f>
      </c>
      <c r="D88" s="539">
        <f>E88-C88</f>
      </c>
      <c r="E88" s="539">
        <f>无形资产汇总!D26</f>
      </c>
      <c r="F88" s="539">
        <f>无形资产汇总!E26</f>
      </c>
      <c r="G88" s="539">
        <f>F88-E88</f>
      </c>
      <c r="H88" s="539">
        <f>IF(E88=0,"",G88/E88*100)</f>
      </c>
      <c r="I88" s="540" t="n"/>
      <c r="J88" s="540">
        <f>ROUND(C88-I88,2)</f>
      </c>
    </row>
    <row r="89" ht="14.25" customHeight="1">
      <c r="A89" s="23" t="inlineStr">
        <is>
          <t>十三</t>
        </is>
      </c>
      <c r="B89" s="298" t="inlineStr">
        <is>
          <t>商誉减值准备</t>
        </is>
      </c>
      <c r="C89" s="539">
        <f>商誉!D26</f>
      </c>
      <c r="D89" s="539">
        <f>E89-C89</f>
      </c>
      <c r="E89" s="539">
        <f>商誉!F26</f>
      </c>
      <c r="F89" s="539">
        <f>商誉!G26</f>
      </c>
      <c r="G89" s="539">
        <f>F89-E89</f>
      </c>
      <c r="H89" s="539">
        <f>IF(E89=0,"",G89/E89*100)</f>
      </c>
      <c r="I89" s="540" t="n"/>
      <c r="J89" s="540">
        <f>ROUND(C89-I89,2)</f>
      </c>
    </row>
    <row r="90" ht="14.25" customHeight="1">
      <c r="A90" s="23" t="inlineStr">
        <is>
          <t>十四</t>
        </is>
      </c>
      <c r="B90" s="298" t="inlineStr">
        <is>
          <t>其他</t>
        </is>
      </c>
      <c r="C90" s="539" t="n"/>
      <c r="D90" s="539">
        <f>E90-C90</f>
      </c>
      <c r="E90" s="539" t="n"/>
      <c r="F90" s="539" t="n"/>
      <c r="G90" s="539">
        <f>F90-E90</f>
      </c>
      <c r="H90" s="539">
        <f>IF(E90=0,"",G90/E90*100)</f>
      </c>
      <c r="I90" s="540" t="n"/>
      <c r="J90" s="540">
        <f>ROUND(C90-I90,2)</f>
      </c>
    </row>
    <row r="91" ht="14.25" customHeight="1">
      <c r="A91" s="23" t="n"/>
      <c r="B91" s="300" t="inlineStr">
        <is>
          <t>合计</t>
        </is>
      </c>
      <c r="C91" s="539">
        <f>SUM(C73,C77:C85,C87:C90)</f>
      </c>
      <c r="D91" s="539">
        <f>SUM(D73,D77:D85,D87:D90)</f>
      </c>
      <c r="E91" s="539">
        <f>SUM(E73,E77:E85,E87:E90)</f>
      </c>
      <c r="F91" s="539">
        <f>SUM(F73,F77:F85,F87:F90)</f>
      </c>
      <c r="G91" s="539">
        <f>SUM(G73,G77:G85,G87:G90)</f>
      </c>
      <c r="H91" s="539">
        <f>IF(E91=0,"",G91/E91*100)</f>
      </c>
      <c r="I91" s="540">
        <f>SUM(I73,I77:I85,I87:I90)</f>
      </c>
      <c r="J91" s="540">
        <f>SUM(J73,J77:J85,J87:J90)</f>
      </c>
    </row>
  </sheetData>
  <mergeCells count="2">
    <mergeCell ref="A3:H3"/>
    <mergeCell ref="A2:H2"/>
  </mergeCells>
  <hyperlinks>
    <hyperlink ref="A1" location="索引目录!B6" display="返回索引页"/>
    <hyperlink ref="B1" location="汇总表!A1" display="返回"/>
    <hyperlink ref="B6" location="流动汇总!B1" display="一、流动资产合计"/>
    <hyperlink ref="B7" location="流动汇总!B6" display="货币资金"/>
    <hyperlink ref="B8" location="流动汇总!B7" display="交易性金融资产"/>
    <hyperlink ref="B9" location="流动汇总!B8" display="应收票据"/>
    <hyperlink ref="B10" location="流动汇总!B9" display="应收账款"/>
    <hyperlink ref="B11" location="流动汇总!B10" display="预付款项"/>
    <hyperlink ref="B12" location="流动汇总!B11" display="应收利息"/>
    <hyperlink ref="B13" location="流动汇总!B12" display="应收股利"/>
    <hyperlink ref="B14" location="流动汇总!B13" display="其他应收款"/>
    <hyperlink ref="B15" location="流动汇总!B14" display="存货"/>
    <hyperlink ref="B16" location="流动汇总!B15" display="一年内到期的非流动资产"/>
    <hyperlink ref="B17" location="流动汇总!B16" display="其他流动资产"/>
    <hyperlink ref="B20" location="非流动资产汇总!B6" display="可供出售金融资产"/>
    <hyperlink ref="B21" location="非流动资产汇总!B7" display="持有至到期投资"/>
    <hyperlink ref="B22" location="非流动资产汇总!B8" display="长期应收款"/>
    <hyperlink ref="B23" location="非流动资产汇总!B9" display="长期股权投资"/>
    <hyperlink ref="B24" location="非流动资产汇总!B10" display="投资性房地产"/>
    <hyperlink ref="B25" location="非流动资产汇总!B11" display="固定资产"/>
    <hyperlink ref="B26" location="非流动资产汇总!B12" display="在建工程"/>
    <hyperlink ref="B27" location="非流动资产汇总!B13" display="工程物资"/>
    <hyperlink ref="B28" location="非流动资产汇总!B14" display="固定资产清理"/>
    <hyperlink ref="B29" location="非流动资产汇总!B15" display="生产性生物资产"/>
    <hyperlink ref="B30" location="非流动资产汇总!B16" display="油气资产"/>
    <hyperlink ref="B31" location="非流动资产汇总!B17" display="无形资产"/>
    <hyperlink ref="B32" location="非流动资产汇总!B18" display="开发支出"/>
    <hyperlink ref="B33" location="非流动资产汇总!B19" display="商誉"/>
    <hyperlink ref="B34" location="非流动资产汇总!B20" display="长期待摊费用"/>
    <hyperlink ref="B35" location="非流动资产汇总!B21" display="递延所得税资产"/>
    <hyperlink ref="B36" location="非流动资产汇总!B22" display="其他非流动资产"/>
    <hyperlink ref="B39" location="流动负债汇总!B1" display="四、流动负债合计"/>
    <hyperlink ref="B40" location="流动负债汇总!B6" display="短期借款"/>
    <hyperlink ref="B41" location="流动负债汇总!B7" display="交易性金融负债"/>
    <hyperlink ref="B42" location="流动负债汇总!B8" display="应付票据"/>
    <hyperlink ref="B43" location="流动负债汇总!B9" display="应付账款"/>
    <hyperlink ref="B44" location="流动负债汇总!B10" display="预收款项"/>
    <hyperlink ref="B45" location="流动负债汇总!B11" display="应付职工薪酬"/>
    <hyperlink ref="B46" location="流动负债汇总!B12" display="应交税费"/>
    <hyperlink ref="B47" location="流动负债汇总!B13" display="应付利息"/>
    <hyperlink ref="B48" location="流动负债汇总!B14" display="应付股利"/>
    <hyperlink ref="B49" location="流动负债汇总!B15" display="其他应付款"/>
    <hyperlink ref="B50" location="流动负债汇总!B16" display="一年内到期的非流动负债"/>
    <hyperlink ref="B51" location="流动负债汇总!B17" display="其他流动负债"/>
    <hyperlink ref="B53" location="'非流动负债汇总 '!B1" display="五、非流动负债合计"/>
    <hyperlink ref="B54" location="'非流动负债汇总 '!B6" display="长期借款"/>
    <hyperlink ref="B55" location="'非流动负债汇总 '!B7" display="应付债券"/>
    <hyperlink ref="B56" location="'非流动负债汇总 '!B8" display="长期应付款"/>
    <hyperlink ref="B57" location="'非流动负债汇总 '!B9" display="专项应付款"/>
    <hyperlink ref="B58" location="'非流动负债汇总 '!B10" display="预计负债"/>
    <hyperlink ref="B59" location="'非流动负债汇总 '!B11" display="递延所得税负债"/>
    <hyperlink ref="B60" location="'非流动负债汇总 '!B12" display="其他非流动负债"/>
  </hyperlinks>
  <printOptions horizontalCentered="1"/>
  <pageMargins left="0.551181102362205" right="0.551181102362205" top="0.511811023622047" bottom="0.393700787401575" header="0.71" footer="0.236220472440945"/>
  <pageSetup orientation="landscape" paperSize="9" fitToHeight="0"/>
  <headerFooter alignWithMargins="0">
    <oddHeader>&amp;R&amp;"宋体,常规"共&amp;"Times New Roman,常规"&amp;N&amp;"宋体,常规"页第&amp;"Times New Roman,常规"&amp;P&amp;"宋体,常规"2_x000a_页</oddHeader>
    <oddFooter/>
    <evenHeader/>
    <evenFooter/>
    <firstHeader/>
    <firstFooter/>
  </headerFooter>
  <rowBreaks count="1" manualBreakCount="1">
    <brk id="38" min="0" max="7" man="1"/>
  </rowBreaks>
</worksheet>
</file>

<file path=xl/worksheets/sheet8.xml><?xml version="1.0" encoding="utf-8"?>
<worksheet xmlns="http://schemas.openxmlformats.org/spreadsheetml/2006/main">
  <sheetPr codeName="Sheet8">
    <tabColor indexed="10"/>
    <outlinePr summaryBelow="1" summaryRight="1"/>
    <pageSetUpPr fitToPage="1"/>
  </sheetPr>
  <dimension ref="A1:I29"/>
  <sheetViews>
    <sheetView view="pageBreakPreview" topLeftCell="A3" zoomScale="90" zoomScaleNormal="85" workbookViewId="0">
      <selection activeCell="G451" sqref="G451"/>
    </sheetView>
  </sheetViews>
  <sheetFormatPr baseColWidth="8" defaultColWidth="9" defaultRowHeight="15.75" customHeight="1"/>
  <cols>
    <col width="7.75" customWidth="1" style="13" min="1" max="1"/>
    <col width="13.8333333333333" customWidth="1" style="13" min="2" max="2"/>
    <col width="6.83333333333333" customWidth="1" style="13" min="3" max="3"/>
    <col width="7.5" customWidth="1" style="13" min="4" max="4"/>
    <col hidden="1" outlineLevel="1" width="19.0833333333333" customWidth="1" style="13" min="5" max="5"/>
    <col collapsed="1" width="21.5833333333333" customWidth="1" style="13" min="6" max="6"/>
    <col width="21.5833333333333" customWidth="1" style="13" min="7" max="9"/>
    <col width="9" customWidth="1" style="13" min="10" max="16384"/>
  </cols>
  <sheetData>
    <row r="1" ht="12" customHeight="1">
      <c r="A1" s="534" t="inlineStr">
        <is>
          <t>返回索引页</t>
        </is>
      </c>
      <c r="B1" s="52" t="inlineStr">
        <is>
          <t>返回</t>
        </is>
      </c>
      <c r="C1" s="52" t="n"/>
      <c r="D1" s="52" t="n"/>
      <c r="E1" s="16" t="n"/>
      <c r="F1" s="16" t="n"/>
      <c r="G1" s="16" t="n"/>
      <c r="H1" s="16" t="n"/>
      <c r="I1" s="16" t="n"/>
    </row>
    <row r="2" ht="30" customFormat="1" customHeight="1" s="11">
      <c r="A2" s="53" t="inlineStr">
        <is>
          <t>流动资产评估汇总表</t>
        </is>
      </c>
    </row>
    <row r="3" ht="14.15" customHeight="1">
      <c r="A3" s="535">
        <f>CONCATENATE(封面!D9,封面!F9,封面!G9,封面!H9,封面!I9,封面!J9,封面!K9)</f>
      </c>
    </row>
    <row r="4" ht="15.5" customHeight="1">
      <c r="A4" s="277">
        <f>封面!D7&amp;封面!F7</f>
      </c>
      <c r="I4" s="278" t="inlineStr">
        <is>
          <t>金额单位：人民币元</t>
        </is>
      </c>
    </row>
    <row r="5" ht="13" customFormat="1" customHeight="1" s="12">
      <c r="A5" s="279" t="inlineStr">
        <is>
          <t>编号</t>
        </is>
      </c>
      <c r="B5" s="280" t="inlineStr">
        <is>
          <t>科目名称</t>
        </is>
      </c>
      <c r="C5" s="34" t="n"/>
      <c r="D5" s="35" t="n"/>
      <c r="E5" s="279" t="inlineStr">
        <is>
          <t>审计前账面值</t>
        </is>
      </c>
      <c r="F5" s="279" t="inlineStr">
        <is>
          <t>账面价值</t>
        </is>
      </c>
      <c r="G5" s="279" t="inlineStr">
        <is>
          <t>评估价值</t>
        </is>
      </c>
      <c r="H5" s="279" t="inlineStr">
        <is>
          <t>增值额</t>
        </is>
      </c>
      <c r="I5" s="279" t="inlineStr">
        <is>
          <t>增值率%</t>
        </is>
      </c>
    </row>
    <row r="6" ht="15.5" customHeight="1">
      <c r="A6" s="46" t="inlineStr">
        <is>
          <t>3-1</t>
        </is>
      </c>
      <c r="B6" s="281" t="inlineStr">
        <is>
          <t>货币资金（现金</t>
        </is>
      </c>
      <c r="C6" s="282" t="inlineStr">
        <is>
          <t>存款</t>
        </is>
      </c>
      <c r="D6" s="283" t="inlineStr">
        <is>
          <t>他币）</t>
        </is>
      </c>
      <c r="E6" s="539">
        <f>SUM(现金!F27,银行存款!G23,其他货币资金!G20)</f>
      </c>
      <c r="F6" s="539">
        <f>SUM(现金!H27,银行存款!I23,其他货币资金!I20)</f>
      </c>
      <c r="G6" s="539">
        <f>SUM(现金!I27,银行存款!J23,其他货币资金!J20)</f>
      </c>
      <c r="H6" s="539">
        <f>G6-F6</f>
      </c>
      <c r="I6" s="539">
        <f>IF(F6=0,"",H6/F6*100)</f>
      </c>
    </row>
    <row r="7" ht="15.5" customHeight="1">
      <c r="A7" s="46" t="inlineStr">
        <is>
          <t>3-2</t>
        </is>
      </c>
      <c r="B7" s="284" t="inlineStr">
        <is>
          <t>交易性金融资产</t>
        </is>
      </c>
      <c r="C7" s="138" t="n"/>
      <c r="D7" s="28" t="n"/>
      <c r="E7" s="539">
        <f>交易性金融资产汇总!C27</f>
      </c>
      <c r="F7" s="539">
        <f>交易性金融资产汇总!D27</f>
      </c>
      <c r="G7" s="539">
        <f>交易性金融资产汇总!E27</f>
      </c>
      <c r="H7" s="539">
        <f>G7-F7</f>
      </c>
      <c r="I7" s="539">
        <f>IF(F7=0,"",H7/F7*100)</f>
      </c>
    </row>
    <row r="8" ht="15.5" customHeight="1">
      <c r="A8" s="46" t="inlineStr">
        <is>
          <t>3-3</t>
        </is>
      </c>
      <c r="B8" s="284" t="inlineStr">
        <is>
          <t>应收票据</t>
        </is>
      </c>
      <c r="C8" s="138" t="n"/>
      <c r="D8" s="28" t="n"/>
      <c r="E8" s="539">
        <f>应收票据!F27</f>
      </c>
      <c r="F8" s="539">
        <f>应收票据!H27</f>
      </c>
      <c r="G8" s="539">
        <f>应收票据!I27</f>
      </c>
      <c r="H8" s="539">
        <f>G8-F8</f>
      </c>
      <c r="I8" s="539">
        <f>IF(F8=0,"",H8/F8*100)</f>
      </c>
    </row>
    <row r="9" ht="15.5" customHeight="1">
      <c r="A9" s="46" t="inlineStr">
        <is>
          <t>3-4</t>
        </is>
      </c>
      <c r="B9" s="284" t="inlineStr">
        <is>
          <t>应收账款</t>
        </is>
      </c>
      <c r="C9" s="138" t="n"/>
      <c r="D9" s="28" t="n"/>
      <c r="E9" s="539">
        <f>应收账款!F27</f>
      </c>
      <c r="F9" s="539">
        <f>应收账款!P27</f>
      </c>
      <c r="G9" s="539">
        <f>应收账款!Q27</f>
      </c>
      <c r="H9" s="539">
        <f>G9-F9</f>
      </c>
      <c r="I9" s="539">
        <f>IF(F9=0,"",H9/F9*100)</f>
      </c>
    </row>
    <row r="10" ht="15.5" customHeight="1">
      <c r="A10" s="46" t="inlineStr">
        <is>
          <t>3-5</t>
        </is>
      </c>
      <c r="B10" s="284" t="inlineStr">
        <is>
          <t>预付账款</t>
        </is>
      </c>
      <c r="C10" s="138" t="n"/>
      <c r="D10" s="28" t="n"/>
      <c r="E10" s="539">
        <f>预付账款!F27</f>
      </c>
      <c r="F10" s="539">
        <f>预付账款!H27</f>
      </c>
      <c r="G10" s="539">
        <f>预付账款!I27</f>
      </c>
      <c r="H10" s="543">
        <f>G10-F10</f>
      </c>
      <c r="I10" s="539">
        <f>IF(F10=0,"",H10/F10*100)</f>
      </c>
    </row>
    <row r="11" ht="15.5" customHeight="1">
      <c r="A11" s="46" t="inlineStr">
        <is>
          <t>3-6</t>
        </is>
      </c>
      <c r="B11" s="284" t="inlineStr">
        <is>
          <t>应收利息</t>
        </is>
      </c>
      <c r="C11" s="138" t="n"/>
      <c r="D11" s="28" t="n"/>
      <c r="E11" s="539">
        <f>应收利息!G27</f>
      </c>
      <c r="F11" s="539">
        <f>应收利息!I27</f>
      </c>
      <c r="G11" s="539">
        <f>应收利息!J27</f>
      </c>
      <c r="H11" s="539">
        <f>G11-F11</f>
      </c>
      <c r="I11" s="539">
        <f>IF(F11=0,"",H11/F11*100)</f>
      </c>
    </row>
    <row r="12" ht="15.5" customHeight="1">
      <c r="A12" s="46" t="inlineStr">
        <is>
          <t>3-7</t>
        </is>
      </c>
      <c r="B12" s="284" t="inlineStr">
        <is>
          <t>应收股利（应收利润）</t>
        </is>
      </c>
      <c r="C12" s="138" t="n"/>
      <c r="D12" s="28" t="n"/>
      <c r="E12" s="539">
        <f>'应收股利（利润）'!E27</f>
      </c>
      <c r="F12" s="539">
        <f>'应收股利（利润）'!G27</f>
      </c>
      <c r="G12" s="539">
        <f>'应收股利（利润）'!H27</f>
      </c>
      <c r="H12" s="539">
        <f>G12-F12</f>
      </c>
      <c r="I12" s="539">
        <f>IF(F12=0,"",H12/F12*100)</f>
      </c>
    </row>
    <row r="13" ht="15.5" customHeight="1">
      <c r="A13" s="46" t="inlineStr">
        <is>
          <t>3-8</t>
        </is>
      </c>
      <c r="B13" s="284" t="inlineStr">
        <is>
          <t>其他应收款</t>
        </is>
      </c>
      <c r="C13" s="138" t="n"/>
      <c r="D13" s="28" t="n"/>
      <c r="E13" s="539">
        <f>其他应收款!F45</f>
      </c>
      <c r="F13" s="539">
        <f>其他应收款!P45</f>
      </c>
      <c r="G13" s="539">
        <f>其他应收款!Q45</f>
      </c>
      <c r="H13" s="539">
        <f>G13-F13</f>
      </c>
      <c r="I13" s="539">
        <f>IF(F13=0,"",H13/F13*100)</f>
      </c>
    </row>
    <row r="14" ht="15.5" customHeight="1">
      <c r="A14" s="46" t="inlineStr">
        <is>
          <t>3-9</t>
        </is>
      </c>
      <c r="B14" s="284" t="inlineStr">
        <is>
          <t>存货</t>
        </is>
      </c>
      <c r="C14" s="138" t="n"/>
      <c r="D14" s="28" t="n"/>
      <c r="E14" s="539">
        <f>存货汇总!C27</f>
      </c>
      <c r="F14" s="539">
        <f>存货汇总!D27</f>
      </c>
      <c r="G14" s="539">
        <f>存货汇总!E27</f>
      </c>
      <c r="H14" s="539">
        <f>G14-F14</f>
      </c>
      <c r="I14" s="539">
        <f>IF(F14=0,"",H14/F14*100)</f>
      </c>
    </row>
    <row r="15" ht="15.5" customHeight="1">
      <c r="A15" s="46" t="inlineStr">
        <is>
          <t>3-10</t>
        </is>
      </c>
      <c r="B15" s="284" t="inlineStr">
        <is>
          <t>一年内到期的非流动资产</t>
        </is>
      </c>
      <c r="C15" s="138" t="n"/>
      <c r="D15" s="28" t="n"/>
      <c r="E15" s="539">
        <f>一年到期非流动资产!E27</f>
      </c>
      <c r="F15" s="539">
        <f>一年到期非流动资产!G27</f>
      </c>
      <c r="G15" s="539">
        <f>一年到期非流动资产!H27</f>
      </c>
      <c r="H15" s="539">
        <f>G15-F15</f>
      </c>
      <c r="I15" s="539">
        <f>IF(F15=0,"",H15/F15*100)</f>
      </c>
    </row>
    <row r="16" ht="15.5" customHeight="1">
      <c r="A16" s="46" t="inlineStr">
        <is>
          <t>3-11</t>
        </is>
      </c>
      <c r="B16" s="284" t="inlineStr">
        <is>
          <t>其他流动资产</t>
        </is>
      </c>
      <c r="C16" s="138" t="n"/>
      <c r="D16" s="28" t="n"/>
      <c r="E16" s="539">
        <f>其他流动资产!E27</f>
      </c>
      <c r="F16" s="539">
        <f>其他流动资产!G27</f>
      </c>
      <c r="G16" s="539">
        <f>其他流动资产!H27</f>
      </c>
      <c r="H16" s="539">
        <f>G16-F16</f>
      </c>
      <c r="I16" s="539">
        <f>IF(F16=0,"",H16/F16*100)</f>
      </c>
    </row>
    <row r="17" ht="15.5" customHeight="1">
      <c r="A17" s="45" t="n"/>
      <c r="B17" s="279" t="n"/>
      <c r="C17" s="138" t="n"/>
      <c r="D17" s="28" t="n"/>
      <c r="E17" s="539" t="n"/>
      <c r="F17" s="539" t="n"/>
      <c r="G17" s="539" t="n"/>
      <c r="H17" s="539" t="n"/>
      <c r="I17" s="539">
        <f>IF(F17=0,"",H17/F17*100)</f>
      </c>
    </row>
    <row r="18" ht="15.5" customHeight="1">
      <c r="A18" s="45" t="n"/>
      <c r="B18" s="279" t="n"/>
      <c r="C18" s="138" t="n"/>
      <c r="D18" s="28" t="n"/>
      <c r="E18" s="539" t="n"/>
      <c r="F18" s="539" t="n"/>
      <c r="G18" s="539" t="n"/>
      <c r="H18" s="539" t="n"/>
      <c r="I18" s="539">
        <f>IF(F18=0,"",H18/F18*100)</f>
      </c>
    </row>
    <row r="19" ht="15.5" customHeight="1">
      <c r="A19" s="45" t="n"/>
      <c r="B19" s="279" t="n"/>
      <c r="C19" s="138" t="n"/>
      <c r="D19" s="28" t="n"/>
      <c r="E19" s="539" t="n"/>
      <c r="F19" s="539" t="n"/>
      <c r="G19" s="539" t="n"/>
      <c r="H19" s="539" t="n"/>
      <c r="I19" s="539">
        <f>IF(F19=0,"",H19/F19*100)</f>
      </c>
    </row>
    <row r="20" ht="15.5" customHeight="1">
      <c r="A20" s="45" t="n"/>
      <c r="B20" s="279" t="n"/>
      <c r="C20" s="138" t="n"/>
      <c r="D20" s="28" t="n"/>
      <c r="E20" s="539" t="n"/>
      <c r="F20" s="539" t="n"/>
      <c r="G20" s="539" t="n"/>
      <c r="H20" s="539" t="n"/>
      <c r="I20" s="539">
        <f>IF(F20=0,"",H20/F20*100)</f>
      </c>
    </row>
    <row r="21" ht="15.5" customHeight="1">
      <c r="A21" s="45" t="n"/>
      <c r="B21" s="279" t="n"/>
      <c r="C21" s="138" t="n"/>
      <c r="D21" s="28" t="n"/>
      <c r="E21" s="539" t="n"/>
      <c r="F21" s="539" t="n"/>
      <c r="G21" s="539" t="n"/>
      <c r="H21" s="539" t="n"/>
      <c r="I21" s="539">
        <f>IF(F21=0,"",H21/F21*100)</f>
      </c>
    </row>
    <row r="22" ht="15.5" customHeight="1">
      <c r="A22" s="45" t="n"/>
      <c r="B22" s="279" t="n"/>
      <c r="C22" s="138" t="n"/>
      <c r="D22" s="28" t="n"/>
      <c r="E22" s="539" t="n"/>
      <c r="F22" s="539" t="n"/>
      <c r="G22" s="539" t="n"/>
      <c r="H22" s="539" t="n"/>
      <c r="I22" s="539">
        <f>IF(F22=0,"",H22/F22*100)</f>
      </c>
    </row>
    <row r="23" ht="15.5" customHeight="1">
      <c r="A23" s="45" t="n"/>
      <c r="B23" s="279" t="n"/>
      <c r="C23" s="138" t="n"/>
      <c r="D23" s="28" t="n"/>
      <c r="E23" s="539" t="n"/>
      <c r="F23" s="539" t="n"/>
      <c r="G23" s="539" t="n"/>
      <c r="H23" s="539" t="n"/>
      <c r="I23" s="539">
        <f>IF(F23=0,"",H23/F23*100)</f>
      </c>
    </row>
    <row r="24" ht="15.5" customHeight="1">
      <c r="A24" s="45" t="n"/>
      <c r="B24" s="279" t="n"/>
      <c r="C24" s="138" t="n"/>
      <c r="D24" s="28" t="n"/>
      <c r="E24" s="539" t="n"/>
      <c r="F24" s="539" t="n"/>
      <c r="G24" s="539" t="n"/>
      <c r="H24" s="539" t="n"/>
      <c r="I24" s="539">
        <f>IF(F24=0,"",H24/F24*100)</f>
      </c>
    </row>
    <row r="25" ht="15.5" customHeight="1">
      <c r="A25" s="45" t="n"/>
      <c r="B25" s="279" t="n"/>
      <c r="C25" s="138" t="n"/>
      <c r="D25" s="28" t="n"/>
      <c r="E25" s="539" t="n"/>
      <c r="F25" s="539" t="n"/>
      <c r="G25" s="539" t="n"/>
      <c r="H25" s="539" t="n"/>
      <c r="I25" s="539">
        <f>IF(F25=0,"",H25/F25*100)</f>
      </c>
    </row>
    <row r="26" ht="15.5" customHeight="1">
      <c r="A26" s="27" t="n"/>
      <c r="B26" s="279" t="n"/>
      <c r="C26" s="138" t="n"/>
      <c r="D26" s="28" t="n"/>
      <c r="E26" s="539" t="n"/>
      <c r="F26" s="539" t="n"/>
      <c r="G26" s="539" t="n"/>
      <c r="H26" s="539" t="n"/>
      <c r="I26" s="539" t="n"/>
    </row>
    <row r="27" ht="15.5" customHeight="1">
      <c r="A27" s="23" t="n">
        <v>3</v>
      </c>
      <c r="B27" s="279" t="inlineStr">
        <is>
          <t>流动资产合计</t>
        </is>
      </c>
      <c r="C27" s="138" t="n"/>
      <c r="D27" s="28" t="n"/>
      <c r="E27" s="539">
        <f>SUM(E6:E26)</f>
      </c>
      <c r="F27" s="539">
        <f>SUM(F6:F26)</f>
      </c>
      <c r="G27" s="539">
        <f>SUM(G6:G26)</f>
      </c>
      <c r="H27" s="539">
        <f>SUM(H6:H26)</f>
      </c>
      <c r="I27" s="539">
        <f>IF(F27=0,"",H27/F27*100)</f>
      </c>
    </row>
    <row r="28" ht="15.5" customHeight="1">
      <c r="A28" s="29">
        <f>封面!D11&amp;封面!G11</f>
      </c>
      <c r="G28" s="536">
        <f>"评估人员："&amp;封面!G20</f>
      </c>
    </row>
    <row r="29" ht="15.5" customHeight="1">
      <c r="A29" s="13">
        <f>CONCATENATE(封面!D13,封面!F13,封面!G13,封面!H13,封面!I13,封面!J13,封面!K13)</f>
      </c>
    </row>
  </sheetData>
  <mergeCells count="24">
    <mergeCell ref="B11:D11"/>
    <mergeCell ref="B14:D14"/>
    <mergeCell ref="B23:D23"/>
    <mergeCell ref="B8:D8"/>
    <mergeCell ref="B17:D17"/>
    <mergeCell ref="B13:D13"/>
    <mergeCell ref="A3:I3"/>
    <mergeCell ref="B10:D10"/>
    <mergeCell ref="B19:D19"/>
    <mergeCell ref="A2:I2"/>
    <mergeCell ref="B9:D9"/>
    <mergeCell ref="B15:D15"/>
    <mergeCell ref="B24:D24"/>
    <mergeCell ref="B20:D20"/>
    <mergeCell ref="B5:D5"/>
    <mergeCell ref="B26:D26"/>
    <mergeCell ref="B7:D7"/>
    <mergeCell ref="B25:D25"/>
    <mergeCell ref="B16:D16"/>
    <mergeCell ref="B22:D22"/>
    <mergeCell ref="B18:D18"/>
    <mergeCell ref="B27:D27"/>
    <mergeCell ref="B21:D21"/>
    <mergeCell ref="B12:D12"/>
  </mergeCells>
  <hyperlinks>
    <hyperlink ref="A1" location="索引目录!C6" display="返回索引页"/>
    <hyperlink ref="B1" location="分类汇总!B6" display="返回"/>
    <hyperlink ref="B6" location="现金!A1" display="货币资金（现金"/>
    <hyperlink ref="C6" location="银行存款!A1" display="存款"/>
    <hyperlink ref="D6" location="其他货币资金!A1" display="他币）"/>
    <hyperlink ref="B7" location="交易性金融资产汇总!B1" display="交易性金融资产"/>
    <hyperlink ref="B8" location="应收票据!A1" display="应收票据"/>
    <hyperlink ref="B9" location="应收账款!B1" display="应收账款"/>
    <hyperlink ref="B10" location="预付账款!B1" display="预付账款"/>
    <hyperlink ref="B11" location="应收利息!B1" display="应收利息"/>
    <hyperlink ref="B12" location="'应收股利（利润）'!B1" display="应收股利（应收利润）"/>
    <hyperlink ref="B13" location="其他应收款!B1" display="其他应收款"/>
    <hyperlink ref="B14" location="存货汇总!B1" display="存货"/>
    <hyperlink ref="B15" location="一年到期非流动资产!B1" display="一年内到期的非流动资产"/>
    <hyperlink ref="B16" location="其他流动资产!B1" display="其他流动资产"/>
  </hyperlinks>
  <printOptions horizontalCentered="1"/>
  <pageMargins left="0.354330708661417" right="0.354330708661417" top="0.78740157480315" bottom="0.354330708661417" header="0.98" footer="0.236220472440945"/>
  <pageSetup orientation="landscape" paperSize="9"/>
  <headerFooter alignWithMargins="0">
    <oddHeader>&amp;R&amp;"宋体,常规"共&amp;"Times New Roman,常规"&amp;N&amp;"宋体,常规"页第&amp;"Times New Roman,常规"&amp;P&amp;"宋体,常规"3_x000a_页</oddHeader>
    <oddFooter/>
    <evenHeader/>
    <evenFooter/>
    <firstHeader/>
    <firstFooter/>
  </headerFooter>
</worksheet>
</file>

<file path=xl/worksheets/sheet9.xml><?xml version="1.0" encoding="utf-8"?>
<worksheet xmlns="http://schemas.openxmlformats.org/spreadsheetml/2006/main">
  <sheetPr codeName="Sheet9">
    <outlinePr summaryBelow="1" summaryRight="1"/>
    <pageSetUpPr fitToPage="1"/>
  </sheetPr>
  <dimension ref="A1:J29"/>
  <sheetViews>
    <sheetView view="pageBreakPreview" zoomScale="90" zoomScaleNormal="100" workbookViewId="0">
      <selection activeCell="G451" sqref="G451"/>
    </sheetView>
  </sheetViews>
  <sheetFormatPr baseColWidth="8" defaultColWidth="9" defaultRowHeight="15.75" customHeight="1"/>
  <cols>
    <col width="4.58333333333333" customWidth="1" style="13" min="1" max="1"/>
    <col width="27.75" customWidth="1" style="13" min="2" max="2"/>
    <col width="9.25" customWidth="1" style="13" min="3" max="3"/>
    <col width="13.5" customWidth="1" style="13" min="4" max="4"/>
    <col width="14" customWidth="1" style="13" min="5" max="5"/>
    <col hidden="1" outlineLevel="1" width="15.3333333333333" customWidth="1" style="13" min="6" max="7"/>
    <col collapsed="1" width="17.75" customWidth="1" style="13" min="8" max="8"/>
    <col width="19.25" customWidth="1" style="13" min="9" max="9"/>
    <col width="16.3333333333333" customWidth="1" style="13" min="10" max="10"/>
    <col width="9" customWidth="1" style="13" min="11" max="16384"/>
  </cols>
  <sheetData>
    <row r="1" ht="15.5" customHeight="1">
      <c r="A1" s="544" t="inlineStr">
        <is>
          <t>返回索引页</t>
        </is>
      </c>
      <c r="B1" s="52" t="inlineStr">
        <is>
          <t>返回</t>
        </is>
      </c>
      <c r="C1" s="16" t="n"/>
      <c r="D1" s="16" t="n"/>
      <c r="E1" s="16" t="n"/>
      <c r="F1" s="16" t="n"/>
      <c r="G1" s="16" t="n"/>
      <c r="H1" s="16" t="n"/>
      <c r="I1" s="16" t="n"/>
      <c r="J1" s="16" t="n"/>
    </row>
    <row r="2" ht="30" customFormat="1" customHeight="1" s="11">
      <c r="A2" s="53" t="inlineStr">
        <is>
          <t>货币资金—现金评估明细表</t>
        </is>
      </c>
    </row>
    <row r="3" ht="14.15" customHeight="1">
      <c r="A3" s="535">
        <f>CONCATENATE(封面!D9,封面!F9,封面!G9,封面!H9,封面!I9,封面!J9,封面!K9)</f>
      </c>
    </row>
    <row r="4" ht="15.5" customHeight="1">
      <c r="A4" s="536">
        <f>封面!D7&amp;封面!F7</f>
      </c>
      <c r="J4" s="54" t="inlineStr">
        <is>
          <t>金额单位：人民币元</t>
        </is>
      </c>
    </row>
    <row r="5" ht="13" customFormat="1" customHeight="1" s="12">
      <c r="A5" s="23" t="inlineStr">
        <is>
          <t>序号</t>
        </is>
      </c>
      <c r="B5" s="23" t="inlineStr">
        <is>
          <t>存放部门（单位）</t>
        </is>
      </c>
      <c r="C5" s="23" t="inlineStr">
        <is>
          <t>币种</t>
        </is>
      </c>
      <c r="D5" s="23" t="inlineStr">
        <is>
          <t>外币账面金额</t>
        </is>
      </c>
      <c r="E5" s="23" t="inlineStr">
        <is>
          <t>评估基准日汇率</t>
        </is>
      </c>
      <c r="F5" s="23" t="inlineStr">
        <is>
          <t>审计前账面值</t>
        </is>
      </c>
      <c r="G5" s="23" t="inlineStr">
        <is>
          <t>审计调整</t>
        </is>
      </c>
      <c r="H5" s="23" t="inlineStr">
        <is>
          <t>账面价值</t>
        </is>
      </c>
      <c r="I5" s="23" t="inlineStr">
        <is>
          <t>评估价值</t>
        </is>
      </c>
      <c r="J5" s="23" t="inlineStr">
        <is>
          <t>增值率%</t>
        </is>
      </c>
    </row>
    <row r="6" ht="15.5" customHeight="1">
      <c r="A6" s="23" t="n">
        <v>1</v>
      </c>
      <c r="B6" s="24" t="n"/>
      <c r="C6" s="23" t="n"/>
      <c r="D6" s="539" t="n"/>
      <c r="E6" s="23" t="n"/>
      <c r="F6" s="539" t="n"/>
      <c r="G6" s="539" t="n"/>
      <c r="H6" s="539" t="n"/>
      <c r="I6" s="539">
        <f>H6</f>
      </c>
      <c r="J6" s="539">
        <f>IF(H6=0,"",(I6-H6)/H6*100)</f>
      </c>
    </row>
    <row r="7" ht="15.5" customHeight="1">
      <c r="A7" s="23" t="n"/>
      <c r="B7" s="24" t="n"/>
      <c r="C7" s="23" t="n"/>
      <c r="D7" s="539" t="n"/>
      <c r="E7" s="23" t="n"/>
      <c r="F7" s="539" t="n"/>
      <c r="G7" s="539" t="n"/>
      <c r="H7" s="539" t="n"/>
      <c r="I7" s="539" t="n"/>
      <c r="J7" s="539">
        <f>IF(H7=0,"",(I7-H7)/H7*100)</f>
      </c>
    </row>
    <row r="8" ht="15.5" customHeight="1">
      <c r="A8" s="23" t="n"/>
      <c r="B8" s="24" t="n"/>
      <c r="C8" s="23" t="n"/>
      <c r="D8" s="539" t="n"/>
      <c r="E8" s="23" t="n"/>
      <c r="F8" s="539" t="n"/>
      <c r="G8" s="539" t="n"/>
      <c r="H8" s="539" t="n"/>
      <c r="I8" s="539" t="n"/>
      <c r="J8" s="539">
        <f>IF(H8=0,"",(I8-H8)/H8*100)</f>
      </c>
    </row>
    <row r="9" ht="15.5" customHeight="1">
      <c r="A9" s="27" t="n"/>
      <c r="B9" s="24" t="n"/>
      <c r="C9" s="23" t="n"/>
      <c r="D9" s="539" t="n"/>
      <c r="E9" s="23" t="n"/>
      <c r="F9" s="539" t="n"/>
      <c r="G9" s="539" t="n"/>
      <c r="H9" s="539" t="n"/>
      <c r="I9" s="539" t="n"/>
      <c r="J9" s="539">
        <f>IF(H9=0,"",(I9-H9)/H9*100)</f>
      </c>
    </row>
    <row r="10" ht="15.5" customHeight="1">
      <c r="A10" s="27" t="n"/>
      <c r="B10" s="24" t="n"/>
      <c r="C10" s="23" t="n"/>
      <c r="D10" s="539" t="n"/>
      <c r="E10" s="23" t="n"/>
      <c r="F10" s="539" t="n"/>
      <c r="G10" s="539" t="n"/>
      <c r="H10" s="539" t="n"/>
      <c r="I10" s="539" t="n"/>
      <c r="J10" s="539">
        <f>IF(H10=0,"",(I10-H10)/H10*100)</f>
      </c>
    </row>
    <row r="11" ht="15.5" customHeight="1">
      <c r="A11" s="27" t="n"/>
      <c r="B11" s="24" t="n"/>
      <c r="C11" s="23" t="n"/>
      <c r="D11" s="539" t="n"/>
      <c r="E11" s="23" t="n"/>
      <c r="F11" s="539" t="n"/>
      <c r="G11" s="539" t="n"/>
      <c r="H11" s="539" t="n"/>
      <c r="I11" s="539" t="n"/>
      <c r="J11" s="539">
        <f>IF(H11=0,"",(I11-H11)/H11*100)</f>
      </c>
    </row>
    <row r="12" ht="15.5" customHeight="1">
      <c r="A12" s="27" t="n"/>
      <c r="B12" s="24" t="n"/>
      <c r="C12" s="23" t="n"/>
      <c r="D12" s="539" t="n"/>
      <c r="E12" s="23" t="n"/>
      <c r="F12" s="539" t="n"/>
      <c r="G12" s="539" t="n"/>
      <c r="H12" s="539" t="n"/>
      <c r="I12" s="539" t="n"/>
      <c r="J12" s="539">
        <f>IF(H12=0,"",(I12-H12)/H12*100)</f>
      </c>
    </row>
    <row r="13" ht="15.5" customHeight="1">
      <c r="A13" s="27" t="n"/>
      <c r="B13" s="24" t="n"/>
      <c r="C13" s="23" t="n"/>
      <c r="D13" s="539" t="n"/>
      <c r="E13" s="23" t="n"/>
      <c r="F13" s="539" t="n"/>
      <c r="G13" s="539" t="n"/>
      <c r="H13" s="539" t="n"/>
      <c r="I13" s="539" t="n"/>
      <c r="J13" s="539">
        <f>IF(H13=0,"",(I13-H13)/H13*100)</f>
      </c>
    </row>
    <row r="14" ht="15.5" customHeight="1">
      <c r="A14" s="27" t="n"/>
      <c r="B14" s="24" t="n"/>
      <c r="C14" s="23" t="n"/>
      <c r="D14" s="539" t="n"/>
      <c r="E14" s="23" t="n"/>
      <c r="F14" s="539" t="n"/>
      <c r="G14" s="539" t="n"/>
      <c r="H14" s="539" t="n"/>
      <c r="I14" s="539" t="n"/>
      <c r="J14" s="539">
        <f>IF(H14=0,"",(I14-H14)/H14*100)</f>
      </c>
    </row>
    <row r="15" ht="15.5" customHeight="1">
      <c r="A15" s="27" t="n"/>
      <c r="B15" s="24" t="n"/>
      <c r="C15" s="23" t="n"/>
      <c r="D15" s="539" t="n"/>
      <c r="E15" s="23" t="n"/>
      <c r="F15" s="539" t="n"/>
      <c r="G15" s="539" t="n"/>
      <c r="H15" s="539" t="n"/>
      <c r="I15" s="539" t="n"/>
      <c r="J15" s="539">
        <f>IF(H15=0,"",(I15-H15)/H15*100)</f>
      </c>
    </row>
    <row r="16" ht="15.5" customHeight="1">
      <c r="A16" s="27" t="n"/>
      <c r="B16" s="24" t="n"/>
      <c r="C16" s="23" t="n"/>
      <c r="D16" s="539" t="n"/>
      <c r="E16" s="23" t="n"/>
      <c r="F16" s="539" t="n"/>
      <c r="G16" s="539" t="n"/>
      <c r="H16" s="539" t="n"/>
      <c r="I16" s="539" t="n"/>
      <c r="J16" s="539">
        <f>IF(H16=0,"",(I16-H16)/H16*100)</f>
      </c>
    </row>
    <row r="17" ht="15.5" customHeight="1">
      <c r="A17" s="27" t="n"/>
      <c r="B17" s="24" t="n"/>
      <c r="C17" s="23" t="n"/>
      <c r="D17" s="539" t="n"/>
      <c r="E17" s="23" t="n"/>
      <c r="F17" s="539" t="n"/>
      <c r="G17" s="539" t="n"/>
      <c r="H17" s="539" t="n"/>
      <c r="I17" s="539" t="n"/>
      <c r="J17" s="539">
        <f>IF(H17=0,"",(I17-H17)/H17*100)</f>
      </c>
    </row>
    <row r="18" ht="15.5" customHeight="1">
      <c r="A18" s="27" t="n"/>
      <c r="B18" s="24" t="n"/>
      <c r="C18" s="23" t="n"/>
      <c r="D18" s="539" t="n"/>
      <c r="E18" s="23" t="n"/>
      <c r="F18" s="539" t="n"/>
      <c r="G18" s="539" t="n"/>
      <c r="H18" s="539" t="n"/>
      <c r="I18" s="539" t="n"/>
      <c r="J18" s="539">
        <f>IF(H18=0,"",(I18-H18)/H18*100)</f>
      </c>
    </row>
    <row r="19" ht="15.5" customHeight="1">
      <c r="A19" s="27" t="n"/>
      <c r="B19" s="24" t="n"/>
      <c r="C19" s="23" t="n"/>
      <c r="D19" s="539" t="n"/>
      <c r="E19" s="23" t="n"/>
      <c r="F19" s="539" t="n"/>
      <c r="G19" s="539" t="n"/>
      <c r="H19" s="539" t="n"/>
      <c r="I19" s="539" t="n"/>
      <c r="J19" s="539">
        <f>IF(H19=0,"",(I19-H19)/H19*100)</f>
      </c>
    </row>
    <row r="20" ht="15.5" customHeight="1">
      <c r="A20" s="27" t="n"/>
      <c r="B20" s="24" t="n"/>
      <c r="C20" s="23" t="n"/>
      <c r="D20" s="539" t="n"/>
      <c r="E20" s="23" t="n"/>
      <c r="F20" s="539" t="n"/>
      <c r="G20" s="539" t="n"/>
      <c r="H20" s="539" t="n"/>
      <c r="I20" s="539" t="n"/>
      <c r="J20" s="539">
        <f>IF(H20=0,"",(I20-H20)/H20*100)</f>
      </c>
    </row>
    <row r="21" ht="15.5" customHeight="1">
      <c r="A21" s="27" t="n"/>
      <c r="B21" s="24" t="n"/>
      <c r="C21" s="23" t="n"/>
      <c r="D21" s="539" t="n"/>
      <c r="E21" s="23" t="n"/>
      <c r="F21" s="539" t="n"/>
      <c r="G21" s="539" t="n"/>
      <c r="H21" s="539" t="n"/>
      <c r="I21" s="539" t="n"/>
      <c r="J21" s="539">
        <f>IF(H21=0,"",(I21-H21)/H21*100)</f>
      </c>
    </row>
    <row r="22" ht="15.5" customHeight="1">
      <c r="A22" s="27" t="n"/>
      <c r="B22" s="24" t="n"/>
      <c r="C22" s="23" t="n"/>
      <c r="D22" s="539" t="n"/>
      <c r="E22" s="23" t="n"/>
      <c r="F22" s="539" t="n"/>
      <c r="G22" s="539" t="n"/>
      <c r="H22" s="539" t="n"/>
      <c r="I22" s="539" t="n"/>
      <c r="J22" s="539">
        <f>IF(H22=0,"",(I22-H22)/H22*100)</f>
      </c>
    </row>
    <row r="23" ht="15.5" customHeight="1">
      <c r="A23" s="27" t="n"/>
      <c r="B23" s="24" t="n"/>
      <c r="C23" s="23" t="n"/>
      <c r="D23" s="539" t="n"/>
      <c r="E23" s="23" t="n"/>
      <c r="F23" s="539" t="n"/>
      <c r="G23" s="539" t="n"/>
      <c r="H23" s="539" t="n"/>
      <c r="I23" s="539" t="n"/>
      <c r="J23" s="539">
        <f>IF(H23=0,"",(I23-H23)/H23*100)</f>
      </c>
    </row>
    <row r="24" ht="15.5" customHeight="1">
      <c r="A24" s="27" t="n"/>
      <c r="B24" s="24" t="n"/>
      <c r="C24" s="23" t="n"/>
      <c r="D24" s="539" t="n"/>
      <c r="E24" s="23" t="n"/>
      <c r="F24" s="539" t="n"/>
      <c r="G24" s="539" t="n"/>
      <c r="H24" s="539" t="n"/>
      <c r="I24" s="539" t="n"/>
      <c r="J24" s="539">
        <f>IF(H24=0,"",(I24-H24)/H24*100)</f>
      </c>
    </row>
    <row r="25" ht="15.5" customHeight="1">
      <c r="A25" s="27" t="n"/>
      <c r="B25" s="24" t="n"/>
      <c r="C25" s="23" t="n"/>
      <c r="D25" s="539" t="n"/>
      <c r="E25" s="23" t="n"/>
      <c r="F25" s="539" t="n"/>
      <c r="G25" s="539" t="n"/>
      <c r="H25" s="539" t="n"/>
      <c r="I25" s="539" t="n"/>
      <c r="J25" s="539">
        <f>IF(H25=0,"",(I25-H25)/H25*100)</f>
      </c>
    </row>
    <row r="26" ht="15.5" customHeight="1">
      <c r="A26" s="27" t="n"/>
      <c r="B26" s="24" t="n"/>
      <c r="C26" s="23" t="n"/>
      <c r="D26" s="539" t="n"/>
      <c r="E26" s="23" t="n"/>
      <c r="F26" s="539" t="n"/>
      <c r="G26" s="539" t="n"/>
      <c r="H26" s="539" t="n"/>
      <c r="I26" s="539" t="n"/>
      <c r="J26" s="539" t="n"/>
    </row>
    <row r="27" ht="15.5" customHeight="1">
      <c r="A27" s="23" t="inlineStr">
        <is>
          <t>合         计</t>
        </is>
      </c>
      <c r="B27" s="28" t="n"/>
      <c r="C27" s="27" t="n"/>
      <c r="D27" s="539" t="n"/>
      <c r="E27" s="23" t="n"/>
      <c r="F27" s="539">
        <f>SUM(F6:F26)</f>
      </c>
      <c r="G27" s="539" t="n"/>
      <c r="H27" s="539">
        <f>SUM(H6:H26)</f>
      </c>
      <c r="I27" s="539">
        <f>SUM(I6:I26)</f>
      </c>
      <c r="J27" s="539">
        <f>IF(H27=0,"",(I27-H27)/H27*100)</f>
      </c>
    </row>
    <row r="28" ht="15.5" customHeight="1">
      <c r="A28" s="29">
        <f>封面!D11&amp;封面!G11</f>
      </c>
      <c r="H28" s="536">
        <f>"评估人员："&amp;封面!G20</f>
      </c>
    </row>
    <row r="29" ht="15.5" customHeight="1">
      <c r="A29" s="29">
        <f>CONCATENATE(封面!D13,封面!F13,封面!G13,封面!H13,封面!I13,封面!J13,封面!K13)</f>
      </c>
    </row>
  </sheetData>
  <mergeCells count="3">
    <mergeCell ref="A27:B27"/>
    <mergeCell ref="A3:J3"/>
    <mergeCell ref="A2:J2"/>
  </mergeCells>
  <hyperlinks>
    <hyperlink ref="A1" location="索引目录!E6" display="返回索引页"/>
    <hyperlink ref="B1" location="流动汇总!B6" display="返回"/>
  </hyperlinks>
  <printOptions horizontalCentered="1"/>
  <pageMargins left="0.354330708661417" right="0.354330708661417" top="0.78740157480315" bottom="0.78740157480315" header="0.96" footer="0.511811023622047"/>
  <pageSetup orientation="landscape" paperSize="9" fitToHeight="0"/>
  <headerFooter alignWithMargins="0">
    <oddHeader>&amp;R&amp;"宋体,常规"共&amp;"Times New Roman,常规"&amp;N&amp;"宋体,常规"页第&amp;"Times New Roman,常规"&amp;P&amp;"宋体,常规"3-1-1_x000a_页</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codeName="Sheet10">
    <outlinePr summaryBelow="1" summaryRight="1"/>
    <pageSetUpPr fitToPage="1"/>
  </sheetPr>
  <dimension ref="A1:K25"/>
  <sheetViews>
    <sheetView view="pageBreakPreview" zoomScale="85" zoomScaleNormal="100" workbookViewId="0">
      <selection activeCell="G451" sqref="G451"/>
    </sheetView>
  </sheetViews>
  <sheetFormatPr baseColWidth="8" defaultColWidth="9" defaultRowHeight="15.75" customHeight="1"/>
  <cols>
    <col width="4.75" customWidth="1" style="13" min="1" max="1"/>
    <col width="44.0833333333333" customWidth="1" style="13" min="2" max="2"/>
    <col width="12.5833333333333" customWidth="1" style="13" min="3" max="3"/>
    <col width="6.75" customWidth="1" style="13" min="4" max="4"/>
    <col hidden="1" width="11" customWidth="1" style="13" min="5" max="5"/>
    <col hidden="1" width="13.5" customWidth="1" style="13" min="6" max="6"/>
    <col hidden="1" outlineLevel="1" width="15.5" customWidth="1" style="13" min="7" max="8"/>
    <col collapsed="1" width="13.8333333333333" customWidth="1" style="13" min="9" max="9"/>
    <col width="12.3333333333333" customWidth="1" style="13" min="10" max="10"/>
    <col width="12.0833333333333" customWidth="1" style="13" min="11" max="11"/>
    <col width="9" customWidth="1" style="13" min="12" max="16384"/>
  </cols>
  <sheetData>
    <row r="1" ht="15.5" customHeight="1">
      <c r="A1" s="534" t="inlineStr">
        <is>
          <t>返回索引页</t>
        </is>
      </c>
      <c r="B1" s="52" t="inlineStr">
        <is>
          <t>返回</t>
        </is>
      </c>
      <c r="C1" s="16" t="n"/>
      <c r="D1" s="16" t="n"/>
      <c r="E1" s="16" t="n"/>
      <c r="F1" s="16" t="n"/>
      <c r="G1" s="16" t="n"/>
      <c r="H1" s="16" t="n"/>
      <c r="I1" s="16" t="n"/>
      <c r="J1" s="16" t="n"/>
      <c r="K1" s="16" t="n"/>
    </row>
    <row r="2" ht="30" customFormat="1" customHeight="1" s="11">
      <c r="A2" s="53" t="inlineStr">
        <is>
          <t>货币资金—银行存款评估明细表</t>
        </is>
      </c>
    </row>
    <row r="3" ht="14.15" customHeight="1">
      <c r="A3" s="535">
        <f>CONCATENATE(封面!D9,封面!F9,封面!G9,封面!H9,封面!I9,封面!J9,封面!K9)</f>
      </c>
    </row>
    <row r="4" ht="15.5" customHeight="1">
      <c r="A4" s="536">
        <f>封面!D7&amp;封面!F7</f>
      </c>
      <c r="K4" s="54" t="inlineStr">
        <is>
          <t>金额单位：人民币元</t>
        </is>
      </c>
    </row>
    <row r="5" ht="13" customFormat="1" customHeight="1" s="12">
      <c r="A5" s="23" t="inlineStr">
        <is>
          <t>序号</t>
        </is>
      </c>
      <c r="B5" s="23" t="inlineStr">
        <is>
          <t>开户银行</t>
        </is>
      </c>
      <c r="C5" s="23" t="inlineStr">
        <is>
          <t>账号</t>
        </is>
      </c>
      <c r="D5" s="23" t="inlineStr">
        <is>
          <t>币种</t>
        </is>
      </c>
      <c r="E5" s="23" t="inlineStr">
        <is>
          <t>外币账面金额</t>
        </is>
      </c>
      <c r="F5" s="23" t="inlineStr">
        <is>
          <t>评估基准日汇率</t>
        </is>
      </c>
      <c r="G5" s="23" t="inlineStr">
        <is>
          <t>审计前账面值</t>
        </is>
      </c>
      <c r="H5" s="23" t="inlineStr">
        <is>
          <t>审计调整</t>
        </is>
      </c>
      <c r="I5" s="23" t="inlineStr">
        <is>
          <t>账面价值</t>
        </is>
      </c>
      <c r="J5" s="23" t="inlineStr">
        <is>
          <t>评估价值</t>
        </is>
      </c>
      <c r="K5" s="23" t="inlineStr">
        <is>
          <t>增值率%</t>
        </is>
      </c>
    </row>
    <row r="6" ht="15.5" customHeight="1">
      <c r="A6" s="23" t="n">
        <v>1</v>
      </c>
      <c r="B6" s="59"/>
      <c r="C6" s="275" t="n"/>
      <c r="D6" s="274"/>
      <c r="E6" s="539" t="n"/>
      <c r="F6" s="23" t="n"/>
      <c r="G6" s="539" t="n"/>
      <c r="H6" s="539" t="n"/>
      <c r="I6" s="539"/>
      <c r="J6" s="539">
        <f>I6</f>
      </c>
      <c r="K6" s="539">
        <f>IF(I6=0,"",(J6-I6)/I6*100)</f>
      </c>
    </row>
    <row r="7" ht="15.5" customHeight="1">
      <c r="A7" s="23" t="n"/>
      <c r="B7" s="67" t="n"/>
      <c r="C7" s="539" t="n"/>
      <c r="D7" s="274" t="n"/>
      <c r="E7" s="539" t="n"/>
      <c r="F7" s="23" t="n"/>
      <c r="G7" s="539" t="n"/>
      <c r="H7" s="539" t="n"/>
      <c r="I7" s="539" t="n"/>
      <c r="J7" s="539">
        <f>I7</f>
      </c>
      <c r="K7" s="539">
        <f>IF(I7=0,"",(J7-I7)/I7*100)</f>
      </c>
    </row>
    <row r="8" ht="15.5" customHeight="1">
      <c r="A8" s="23" t="n"/>
      <c r="B8" s="67" t="n"/>
      <c r="C8" s="539" t="n"/>
      <c r="D8" s="274" t="n"/>
      <c r="E8" s="539" t="n"/>
      <c r="F8" s="23" t="n"/>
      <c r="G8" s="539" t="n"/>
      <c r="H8" s="539" t="n"/>
      <c r="I8" s="539" t="n"/>
      <c r="J8" s="539">
        <f>I8</f>
      </c>
      <c r="K8" s="539">
        <f>IF(I8=0,"",(J8-I8)/I8*100)</f>
      </c>
    </row>
    <row r="9" ht="15.5" customHeight="1">
      <c r="A9" s="23" t="n"/>
      <c r="B9" s="67" t="n"/>
      <c r="C9" s="539" t="n"/>
      <c r="D9" s="274" t="n"/>
      <c r="E9" s="539" t="n"/>
      <c r="F9" s="23" t="n"/>
      <c r="G9" s="539" t="n"/>
      <c r="H9" s="539" t="n"/>
      <c r="I9" s="539" t="n"/>
      <c r="J9" s="539">
        <f>I9</f>
      </c>
      <c r="K9" s="539">
        <f>IF(I9=0,"",(J9-I9)/I9*100)</f>
      </c>
    </row>
    <row r="10" ht="15.5" customHeight="1">
      <c r="A10" s="23" t="n"/>
      <c r="B10" s="67" t="n"/>
      <c r="C10" s="539" t="n"/>
      <c r="D10" s="274" t="n"/>
      <c r="E10" s="539" t="n"/>
      <c r="F10" s="23" t="n"/>
      <c r="G10" s="539" t="n"/>
      <c r="H10" s="539" t="n"/>
      <c r="I10" s="539" t="n"/>
      <c r="J10" s="539">
        <f>I10</f>
      </c>
      <c r="K10" s="539">
        <f>IF(I10=0,"",(J10-I10)/I10*100)</f>
      </c>
    </row>
    <row r="11" ht="15.5" customHeight="1">
      <c r="A11" s="23" t="n"/>
      <c r="B11" s="67" t="n"/>
      <c r="C11" s="539" t="n"/>
      <c r="D11" s="274" t="n"/>
      <c r="E11" s="539" t="n"/>
      <c r="F11" s="23" t="n"/>
      <c r="G11" s="539" t="n"/>
      <c r="H11" s="539" t="n"/>
      <c r="I11" s="539" t="n"/>
      <c r="J11" s="539">
        <f>I11</f>
      </c>
      <c r="K11" s="539">
        <f>IF(I11=0,"",(J11-I11)/I11*100)</f>
      </c>
    </row>
    <row r="12" ht="15.5" customHeight="1">
      <c r="A12" s="23" t="n"/>
      <c r="B12" s="67" t="n"/>
      <c r="C12" s="98" t="n"/>
      <c r="D12" s="274" t="n"/>
      <c r="E12" s="539" t="n"/>
      <c r="F12" s="23" t="n"/>
      <c r="G12" s="539" t="n"/>
      <c r="H12" s="539" t="n"/>
      <c r="I12" s="539" t="n"/>
      <c r="J12" s="539" t="n"/>
      <c r="K12" s="539" t="n"/>
    </row>
    <row r="13" ht="15.5" customHeight="1">
      <c r="A13" s="23" t="n"/>
      <c r="B13" s="67" t="n"/>
      <c r="C13" s="98" t="n"/>
      <c r="D13" s="274" t="n"/>
      <c r="E13" s="539" t="n"/>
      <c r="F13" s="23" t="n"/>
      <c r="G13" s="539" t="n"/>
      <c r="H13" s="539" t="n"/>
      <c r="I13" s="539" t="n"/>
      <c r="J13" s="539">
        <f>I13</f>
      </c>
      <c r="K13" s="539">
        <f>IF(I13=0,"",(J13-I13)/I13*100)</f>
      </c>
    </row>
    <row r="14" ht="15.5" customHeight="1">
      <c r="A14" s="23" t="n"/>
      <c r="B14" s="67" t="n"/>
      <c r="C14" s="98" t="n"/>
      <c r="D14" s="274" t="n"/>
      <c r="E14" s="539" t="n"/>
      <c r="F14" s="23" t="n"/>
      <c r="G14" s="539" t="n"/>
      <c r="H14" s="539" t="n"/>
      <c r="I14" s="539" t="n"/>
      <c r="J14" s="539">
        <f>I14</f>
      </c>
      <c r="K14" s="539">
        <f>IF(I14=0,"",(J14-I14)/I14*100)</f>
      </c>
    </row>
    <row r="15" ht="15.5" customHeight="1">
      <c r="A15" s="23" t="n"/>
      <c r="B15" s="67" t="n"/>
      <c r="C15" s="98" t="n"/>
      <c r="D15" s="274" t="n"/>
      <c r="E15" s="539" t="n"/>
      <c r="F15" s="23" t="n"/>
      <c r="G15" s="539" t="n"/>
      <c r="H15" s="539" t="n"/>
      <c r="I15" s="539" t="n"/>
      <c r="J15" s="539">
        <f>I15</f>
      </c>
      <c r="K15" s="539">
        <f>IF(I15=0,"",(J15-I15)/I15*100)</f>
      </c>
    </row>
    <row r="16" ht="15.5" customHeight="1">
      <c r="A16" s="23" t="n"/>
      <c r="B16" s="67" t="n"/>
      <c r="C16" s="98" t="n"/>
      <c r="D16" s="274" t="n"/>
      <c r="E16" s="539" t="n"/>
      <c r="F16" s="23" t="n"/>
      <c r="G16" s="539" t="n"/>
      <c r="H16" s="539" t="n"/>
      <c r="I16" s="539" t="n"/>
      <c r="J16" s="539">
        <f>I16</f>
      </c>
      <c r="K16" s="539">
        <f>IF(I16=0,"",(J16-I16)/I16*100)</f>
      </c>
    </row>
    <row r="17" ht="15.5" customHeight="1">
      <c r="A17" s="23" t="n"/>
      <c r="B17" s="67" t="n"/>
      <c r="C17" s="98" t="n"/>
      <c r="D17" s="274" t="n"/>
      <c r="E17" s="539" t="n"/>
      <c r="F17" s="23" t="n"/>
      <c r="G17" s="539" t="n"/>
      <c r="H17" s="539" t="n"/>
      <c r="I17" s="539" t="n"/>
      <c r="J17" s="539">
        <f>I17</f>
      </c>
      <c r="K17" s="539">
        <f>IF(I17=0,"",(J17-I17)/I17*100)</f>
      </c>
    </row>
    <row r="18" ht="15.5" customHeight="1">
      <c r="A18" s="23" t="n"/>
      <c r="B18" s="67" t="n"/>
      <c r="C18" s="98" t="n"/>
      <c r="D18" s="274" t="n"/>
      <c r="E18" s="539" t="n"/>
      <c r="F18" s="23" t="n"/>
      <c r="G18" s="539" t="n"/>
      <c r="H18" s="539" t="n"/>
      <c r="I18" s="539" t="n"/>
      <c r="J18" s="539">
        <f>I18</f>
      </c>
      <c r="K18" s="539">
        <f>IF(I18=0,"",(J18-I18)/I18*100)</f>
      </c>
    </row>
    <row r="19" ht="15.5" customHeight="1">
      <c r="A19" s="23" t="n"/>
      <c r="B19" s="67" t="n"/>
      <c r="C19" s="98" t="n"/>
      <c r="D19" s="274" t="n"/>
      <c r="E19" s="539" t="n"/>
      <c r="F19" s="23" t="n"/>
      <c r="G19" s="539" t="n"/>
      <c r="H19" s="539" t="n"/>
      <c r="I19" s="539" t="n"/>
      <c r="J19" s="539">
        <f>I19</f>
      </c>
      <c r="K19" s="539">
        <f>IF(I19=0,"",(J19-I19)/I19*100)</f>
      </c>
    </row>
    <row r="20" ht="15.5" customHeight="1">
      <c r="A20" s="23" t="n"/>
      <c r="B20" s="67" t="n"/>
      <c r="C20" s="98" t="n"/>
      <c r="D20" s="274" t="n"/>
      <c r="E20" s="539" t="n"/>
      <c r="F20" s="23" t="n"/>
      <c r="G20" s="539" t="n"/>
      <c r="H20" s="539" t="n"/>
      <c r="I20" s="539" t="n"/>
      <c r="J20" s="539">
        <f>I20</f>
      </c>
      <c r="K20" s="539">
        <f>IF(I20=0,"",(J20-I20)/I20*100)</f>
      </c>
    </row>
    <row r="21" ht="15.5" customHeight="1">
      <c r="A21" s="23" t="n"/>
      <c r="B21" s="24" t="n"/>
      <c r="C21" s="98" t="n"/>
      <c r="D21" s="98" t="n"/>
      <c r="E21" s="539" t="n"/>
      <c r="F21" s="23" t="n"/>
      <c r="G21" s="539" t="n"/>
      <c r="H21" s="539" t="n"/>
      <c r="I21" s="539" t="n"/>
      <c r="J21" s="539" t="n"/>
      <c r="K21" s="539">
        <f>IF(I21=0,"",(J21-I21)/I21*100)</f>
      </c>
    </row>
    <row r="22" ht="15.5" customHeight="1">
      <c r="A22" s="23" t="n"/>
      <c r="B22" s="24" t="n"/>
      <c r="C22" s="98" t="n"/>
      <c r="D22" s="98" t="n"/>
      <c r="E22" s="539" t="n"/>
      <c r="F22" s="23" t="n"/>
      <c r="G22" s="539" t="n"/>
      <c r="H22" s="539" t="n"/>
      <c r="I22" s="539" t="n"/>
      <c r="J22" s="539" t="n"/>
      <c r="K22" s="539" t="n"/>
    </row>
    <row r="23" ht="15.5" customHeight="1">
      <c r="A23" s="23" t="inlineStr">
        <is>
          <t>合         计</t>
        </is>
      </c>
      <c r="B23" s="28" t="n"/>
      <c r="C23" s="27" t="n"/>
      <c r="D23" s="27" t="n"/>
      <c r="E23" s="539" t="n"/>
      <c r="F23" s="23" t="n"/>
      <c r="G23" s="539">
        <f>SUM(G6:G22)</f>
      </c>
      <c r="H23" s="539" t="n"/>
      <c r="I23" s="539">
        <f>SUM(I6:I22)</f>
      </c>
      <c r="J23" s="539">
        <f>SUM(J6:J22)</f>
      </c>
      <c r="K23" s="539">
        <f>IF(I23=0,"",(J23-I23)/I23*100)</f>
      </c>
    </row>
    <row r="24" ht="15.5" customHeight="1">
      <c r="A24" s="29">
        <f>封面!D11&amp;封面!G11</f>
      </c>
      <c r="I24" s="536">
        <f>"评估人员："&amp;封面!G20</f>
      </c>
    </row>
    <row r="25" ht="15.5" customHeight="1">
      <c r="A25" s="29">
        <f>CONCATENATE(封面!D13,封面!F13,封面!G13,封面!H13,封面!I13,封面!J13,封面!K13)</f>
      </c>
    </row>
  </sheetData>
  <mergeCells count="3">
    <mergeCell ref="A2:K2"/>
    <mergeCell ref="A3:K3"/>
    <mergeCell ref="A23:B23"/>
  </mergeCells>
  <hyperlinks>
    <hyperlink ref="A1" location="索引目录!E7" display="返回索引页"/>
    <hyperlink ref="B1" location="流动汇总!B6" display="返回"/>
  </hyperlinks>
  <printOptions horizontalCentered="1"/>
  <pageMargins left="0.354330708661417" right="0.354330708661417" top="0.78740157480315" bottom="0.78740157480315" header="1.02" footer="0.511811023622047"/>
  <pageSetup orientation="landscape" paperSize="9" fitToHeight="0"/>
  <headerFooter alignWithMargins="0">
    <oddHeader>&amp;R&amp;"宋体,常规"共&amp;"Times New Roman,常规"&amp;N&amp;"宋体,常规"页第&amp;"Times New Roman,常规"&amp;P&amp;"宋体,常规"3-1-2_x000a_页</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Sheet11">
    <outlinePr summaryBelow="1" summaryRight="1"/>
    <pageSetUpPr fitToPage="1"/>
  </sheetPr>
  <dimension ref="A1:L22"/>
  <sheetViews>
    <sheetView view="pageBreakPreview" zoomScale="85" zoomScaleNormal="100" workbookViewId="0">
      <selection activeCell="G451" sqref="G451"/>
    </sheetView>
  </sheetViews>
  <sheetFormatPr baseColWidth="8" defaultColWidth="9" defaultRowHeight="15.75" customHeight="1"/>
  <cols>
    <col width="5.33333333333333" customWidth="1" style="13" min="1" max="1"/>
    <col width="44.5833333333333" customWidth="1" style="13" min="2" max="2"/>
    <col width="4.91666666666667" customWidth="1" style="13" min="3" max="3"/>
    <col width="6.5" customWidth="1" style="13" min="4" max="4"/>
    <col hidden="1" width="12" customWidth="1" style="13" min="5" max="5"/>
    <col hidden="1" width="12.25" customWidth="1" style="13" min="6" max="6"/>
    <col hidden="1" outlineLevel="1" width="14.25" customWidth="1" style="13" min="7" max="8"/>
    <col collapsed="1" width="12.8333333333333" customWidth="1" style="13" min="9" max="9"/>
    <col width="12.8333333333333" customWidth="1" style="13" min="10" max="10"/>
    <col width="7.83333333333333" customWidth="1" style="13" min="11" max="11"/>
    <col width="8.33333333333333" customWidth="1" style="13" min="12" max="12"/>
    <col width="9" customWidth="1" style="13" min="13" max="16384"/>
  </cols>
  <sheetData>
    <row r="1" ht="15.5" customHeight="1">
      <c r="A1" s="534" t="inlineStr">
        <is>
          <t>返回索引页</t>
        </is>
      </c>
      <c r="B1" s="52" t="inlineStr">
        <is>
          <t>返回</t>
        </is>
      </c>
      <c r="C1" s="16" t="n"/>
      <c r="D1" s="16" t="n"/>
      <c r="E1" s="16" t="n"/>
      <c r="F1" s="16" t="n"/>
      <c r="G1" s="16" t="n"/>
      <c r="H1" s="16" t="n"/>
      <c r="I1" s="16" t="n"/>
      <c r="J1" s="16" t="n"/>
      <c r="K1" s="16" t="n"/>
      <c r="L1" s="16" t="n"/>
    </row>
    <row r="2" ht="30" customFormat="1" customHeight="1" s="11">
      <c r="A2" s="53" t="inlineStr">
        <is>
          <t>货币资金—其他货币资金评估明细表</t>
        </is>
      </c>
    </row>
    <row r="3" ht="14.15" customHeight="1">
      <c r="A3" s="535">
        <f>CONCATENATE(封面!D9,封面!F9,封面!G9,封面!H9,封面!I9,封面!J9,封面!K9)</f>
      </c>
    </row>
    <row r="4" ht="15.5" customHeight="1">
      <c r="A4" s="536">
        <f>封面!D7&amp;封面!F7</f>
      </c>
      <c r="L4" s="54" t="inlineStr">
        <is>
          <t>金额单位：人民币元</t>
        </is>
      </c>
    </row>
    <row r="5" ht="13" customFormat="1" customHeight="1" s="12">
      <c r="A5" s="23" t="inlineStr">
        <is>
          <t>序号</t>
        </is>
      </c>
      <c r="B5" s="23" t="inlineStr">
        <is>
          <t>名称及内容</t>
        </is>
      </c>
      <c r="C5" s="23" t="inlineStr">
        <is>
          <t>用途</t>
        </is>
      </c>
      <c r="D5" s="23" t="inlineStr">
        <is>
          <t>币种</t>
        </is>
      </c>
      <c r="E5" s="23" t="inlineStr">
        <is>
          <t>外币账面金额</t>
        </is>
      </c>
      <c r="F5" s="23" t="inlineStr">
        <is>
          <t>评估基准日汇率</t>
        </is>
      </c>
      <c r="G5" s="23" t="inlineStr">
        <is>
          <t>审计前账面值</t>
        </is>
      </c>
      <c r="H5" s="23" t="inlineStr">
        <is>
          <t>审计调整</t>
        </is>
      </c>
      <c r="I5" s="23" t="inlineStr">
        <is>
          <t>账面价值</t>
        </is>
      </c>
      <c r="J5" s="23" t="inlineStr">
        <is>
          <t>评估价值</t>
        </is>
      </c>
      <c r="K5" s="23" t="inlineStr">
        <is>
          <t>增值率%</t>
        </is>
      </c>
      <c r="L5" s="23" t="inlineStr">
        <is>
          <t>备注</t>
        </is>
      </c>
    </row>
    <row r="6" ht="15.5" customHeight="1">
      <c r="A6" s="23" t="n">
        <v>1</v>
      </c>
      <c r="B6" s="67" t="n"/>
      <c r="C6" s="274" t="n"/>
      <c r="D6" s="274" t="n"/>
      <c r="E6" s="539" t="n"/>
      <c r="F6" s="23" t="n"/>
      <c r="G6" s="539" t="n"/>
      <c r="H6" s="539" t="n"/>
      <c r="I6" s="539" t="n"/>
      <c r="J6" s="539" t="n"/>
      <c r="K6" s="539">
        <f>IF(I6=0,"",(J6-I6)/I6*100)</f>
      </c>
      <c r="L6" s="27" t="n"/>
    </row>
    <row r="7" ht="15.5" customHeight="1">
      <c r="A7" s="23" t="n">
        <v>2</v>
      </c>
      <c r="B7" s="67" t="n"/>
      <c r="C7" s="274" t="n"/>
      <c r="D7" s="274" t="n"/>
      <c r="E7" s="539" t="n"/>
      <c r="F7" s="23" t="n"/>
      <c r="G7" s="539" t="n"/>
      <c r="H7" s="539" t="n"/>
      <c r="I7" s="539" t="n"/>
      <c r="J7" s="539" t="n"/>
      <c r="K7" s="539">
        <f>IF(I7=0,"",(J7-I7)/I7*100)</f>
      </c>
      <c r="L7" s="27" t="n"/>
    </row>
    <row r="8" ht="15.5" customHeight="1">
      <c r="A8" s="23" t="n">
        <v>3</v>
      </c>
      <c r="B8" s="67" t="n"/>
      <c r="C8" s="274" t="n"/>
      <c r="D8" s="274" t="n"/>
      <c r="E8" s="539" t="n"/>
      <c r="F8" s="23" t="n"/>
      <c r="G8" s="539" t="n"/>
      <c r="H8" s="539" t="n"/>
      <c r="I8" s="539" t="n"/>
      <c r="J8" s="539" t="n"/>
      <c r="K8" s="539">
        <f>IF(I8=0,"",(J8-I8)/I8*100)</f>
      </c>
      <c r="L8" s="27" t="n"/>
    </row>
    <row r="9" ht="15.5" customHeight="1">
      <c r="A9" s="23" t="n">
        <v>4</v>
      </c>
      <c r="B9" s="67" t="n"/>
      <c r="C9" s="274" t="n"/>
      <c r="D9" s="274" t="n"/>
      <c r="E9" s="539" t="n"/>
      <c r="F9" s="23" t="n"/>
      <c r="G9" s="539" t="n"/>
      <c r="H9" s="539" t="n"/>
      <c r="I9" s="539" t="n"/>
      <c r="J9" s="539" t="n"/>
      <c r="K9" s="539">
        <f>IF(I9=0,"",(J9-I9)/I9*100)</f>
      </c>
      <c r="L9" s="27" t="n"/>
    </row>
    <row r="10" ht="15.5" customHeight="1">
      <c r="A10" s="23" t="n">
        <v>5</v>
      </c>
      <c r="B10" s="67" t="n"/>
      <c r="C10" s="274" t="n"/>
      <c r="D10" s="274" t="n"/>
      <c r="E10" s="539" t="n"/>
      <c r="F10" s="23" t="n"/>
      <c r="G10" s="539" t="n"/>
      <c r="H10" s="539" t="n"/>
      <c r="I10" s="539" t="n"/>
      <c r="J10" s="539" t="n"/>
      <c r="K10" s="539">
        <f>IF(I10=0,"",(J10-I10)/I10*100)</f>
      </c>
      <c r="L10" s="27" t="n"/>
    </row>
    <row r="11" ht="15.5" customHeight="1">
      <c r="A11" s="23" t="n">
        <v>6</v>
      </c>
      <c r="B11" s="67" t="n"/>
      <c r="C11" s="274" t="n"/>
      <c r="D11" s="274" t="n"/>
      <c r="E11" s="539" t="n"/>
      <c r="F11" s="23" t="n"/>
      <c r="G11" s="539" t="n"/>
      <c r="H11" s="539" t="n"/>
      <c r="I11" s="539" t="n"/>
      <c r="J11" s="539" t="n"/>
      <c r="K11" s="539">
        <f>IF(I11=0,"",(J11-I11)/I11*100)</f>
      </c>
      <c r="L11" s="27" t="n"/>
    </row>
    <row r="12" ht="15.5" customHeight="1">
      <c r="A12" s="23" t="n"/>
      <c r="B12" s="67" t="n"/>
      <c r="C12" s="274" t="n"/>
      <c r="D12" s="274" t="n"/>
      <c r="E12" s="539" t="n"/>
      <c r="F12" s="23" t="n"/>
      <c r="G12" s="539" t="n"/>
      <c r="H12" s="539" t="n"/>
      <c r="I12" s="539" t="n"/>
      <c r="J12" s="539" t="n"/>
      <c r="K12" s="539" t="n"/>
      <c r="L12" s="27" t="n"/>
    </row>
    <row r="13" ht="15.5" customHeight="1">
      <c r="A13" s="23" t="n"/>
      <c r="B13" s="67" t="n"/>
      <c r="C13" s="274" t="n"/>
      <c r="D13" s="274" t="n"/>
      <c r="E13" s="539" t="n"/>
      <c r="F13" s="23" t="n"/>
      <c r="G13" s="539" t="n"/>
      <c r="H13" s="539" t="n"/>
      <c r="I13" s="539" t="n"/>
      <c r="J13" s="539" t="n"/>
      <c r="K13" s="539" t="n"/>
      <c r="L13" s="27" t="n"/>
    </row>
    <row r="14" ht="15.5" customHeight="1">
      <c r="A14" s="23" t="n"/>
      <c r="B14" s="67" t="n"/>
      <c r="C14" s="274" t="n"/>
      <c r="D14" s="274" t="n"/>
      <c r="E14" s="539" t="n"/>
      <c r="F14" s="23" t="n"/>
      <c r="G14" s="539" t="n"/>
      <c r="H14" s="539" t="n"/>
      <c r="I14" s="539" t="n"/>
      <c r="J14" s="539" t="n"/>
      <c r="K14" s="539" t="n"/>
      <c r="L14" s="27" t="n"/>
    </row>
    <row r="15" ht="15.5" customHeight="1">
      <c r="A15" s="23" t="n"/>
      <c r="B15" s="67" t="n"/>
      <c r="C15" s="274" t="n"/>
      <c r="D15" s="274" t="n"/>
      <c r="E15" s="539" t="n"/>
      <c r="F15" s="23" t="n"/>
      <c r="G15" s="539" t="n"/>
      <c r="H15" s="539" t="n"/>
      <c r="I15" s="539" t="n"/>
      <c r="J15" s="539" t="n"/>
      <c r="K15" s="539" t="n"/>
      <c r="L15" s="27" t="n"/>
    </row>
    <row r="16" ht="15.5" customHeight="1">
      <c r="A16" s="23" t="n"/>
      <c r="B16" s="67" t="n"/>
      <c r="C16" s="274" t="n"/>
      <c r="D16" s="274" t="n"/>
      <c r="E16" s="539" t="n"/>
      <c r="F16" s="23" t="n"/>
      <c r="G16" s="539" t="n"/>
      <c r="H16" s="539" t="n"/>
      <c r="I16" s="539" t="n"/>
      <c r="J16" s="539" t="n"/>
      <c r="K16" s="539" t="n"/>
      <c r="L16" s="27" t="n"/>
    </row>
    <row r="17" ht="15.5" customHeight="1">
      <c r="A17" s="23" t="n"/>
      <c r="B17" s="24" t="n"/>
      <c r="C17" s="24" t="n"/>
      <c r="D17" s="23" t="n"/>
      <c r="E17" s="539" t="n"/>
      <c r="F17" s="23" t="n"/>
      <c r="G17" s="539" t="n"/>
      <c r="H17" s="539" t="n"/>
      <c r="I17" s="539" t="n"/>
      <c r="J17" s="539" t="n"/>
      <c r="K17" s="539">
        <f>IF(I17=0,"",(J17-I17)/I17*100)</f>
      </c>
      <c r="L17" s="27" t="n"/>
    </row>
    <row r="18" ht="15.5" customHeight="1">
      <c r="A18" s="23" t="n"/>
      <c r="B18" s="24" t="n"/>
      <c r="C18" s="24" t="n"/>
      <c r="D18" s="23" t="n"/>
      <c r="E18" s="539" t="n"/>
      <c r="F18" s="23" t="n"/>
      <c r="G18" s="539" t="n"/>
      <c r="H18" s="539" t="n"/>
      <c r="I18" s="539" t="n"/>
      <c r="J18" s="539" t="n"/>
      <c r="K18" s="539">
        <f>IF(I18=0,"",(J18-I18)/I18*100)</f>
      </c>
      <c r="L18" s="27" t="n"/>
    </row>
    <row r="19" ht="15.5" customHeight="1">
      <c r="A19" s="23" t="n"/>
      <c r="B19" s="24" t="n"/>
      <c r="C19" s="24" t="n"/>
      <c r="D19" s="23" t="n"/>
      <c r="E19" s="539" t="n"/>
      <c r="F19" s="23" t="n"/>
      <c r="G19" s="539" t="n"/>
      <c r="H19" s="539" t="n"/>
      <c r="I19" s="539" t="n"/>
      <c r="J19" s="539" t="n"/>
      <c r="K19" s="539" t="n"/>
      <c r="L19" s="27" t="n"/>
    </row>
    <row r="20" ht="15.5" customHeight="1">
      <c r="A20" s="23" t="inlineStr">
        <is>
          <t>合         计</t>
        </is>
      </c>
      <c r="B20" s="28" t="n"/>
      <c r="C20" s="27" t="n"/>
      <c r="D20" s="27" t="n"/>
      <c r="E20" s="539" t="n"/>
      <c r="F20" s="27" t="n"/>
      <c r="G20" s="539">
        <f>SUM(G6:G19)</f>
      </c>
      <c r="H20" s="539" t="n"/>
      <c r="I20" s="539">
        <f>SUM(I6:I19)</f>
      </c>
      <c r="J20" s="539">
        <f>SUM(J6:J19)</f>
      </c>
      <c r="K20" s="539">
        <f>IF(I20=0,"",(J20-I20)/I20*100)</f>
      </c>
      <c r="L20" s="27" t="n"/>
    </row>
    <row r="21" ht="15.5" customHeight="1">
      <c r="A21" s="29">
        <f>封面!D11&amp;封面!G11</f>
      </c>
      <c r="I21" s="536">
        <f>"评估人员："&amp;封面!G20</f>
      </c>
    </row>
    <row r="22" ht="15.5" customHeight="1">
      <c r="A22" s="29">
        <f>CONCATENATE(封面!D13,封面!F13,封面!G13,封面!H13,封面!I13,封面!J13,封面!K13)</f>
      </c>
    </row>
  </sheetData>
  <mergeCells count="3">
    <mergeCell ref="A3:L3"/>
    <mergeCell ref="A2:L2"/>
    <mergeCell ref="A20:B20"/>
  </mergeCells>
  <hyperlinks>
    <hyperlink ref="A1" location="索引目录!E8" display="返回索引页"/>
    <hyperlink ref="B1" location="流动汇总!B6" display="返回"/>
  </hyperlinks>
  <printOptions horizontalCentered="1"/>
  <pageMargins left="0.354330708661417" right="0.354330708661417" top="0.78740157480315" bottom="0.78740157480315" header="1.02" footer="0.511811023622047"/>
  <pageSetup orientation="landscape" paperSize="9" fitToHeight="0"/>
  <headerFooter alignWithMargins="0">
    <oddHeader>&amp;R&amp;"宋体,常规"共&amp;"Times New Roman,常规"&amp;N&amp;"宋体,常规"页第&amp;"Times New Roman,常规"&amp;P&amp;"宋体,常规"3-1-3_x000a_页</oddHeader>
    <oddFooter/>
    <evenHeader/>
    <evenFooter/>
    <firstHeader/>
    <firstFooter/>
  </headerFooter>
</worksheet>
</file>

<file path=xl/worksheets/sheet12.xml><?xml version="1.0" encoding="utf-8"?>
<worksheet xmlns="http://schemas.openxmlformats.org/spreadsheetml/2006/main">
  <sheetPr codeName="Sheet12">
    <tabColor indexed="15"/>
    <outlinePr summaryBelow="1" summaryRight="1"/>
    <pageSetUpPr fitToPage="1"/>
  </sheetPr>
  <dimension ref="A1:G29"/>
  <sheetViews>
    <sheetView view="pageBreakPreview" zoomScale="60" zoomScaleNormal="85" workbookViewId="0">
      <selection activeCell="G451" sqref="G451"/>
    </sheetView>
  </sheetViews>
  <sheetFormatPr baseColWidth="8" defaultColWidth="9" defaultRowHeight="15.75" customHeight="1"/>
  <cols>
    <col width="7.83333333333333" customWidth="1" style="13" min="1" max="1"/>
    <col width="26.3333333333333" customWidth="1" style="13" min="2" max="2"/>
    <col hidden="1" outlineLevel="1" width="19.0833333333333" customWidth="1" style="13" min="3" max="3"/>
    <col collapsed="1" width="24.25" customWidth="1" style="13" min="4" max="4"/>
    <col width="24.25" customWidth="1" style="13" min="5" max="6"/>
    <col width="15.25" customWidth="1" style="13" min="7" max="7"/>
    <col width="9" customWidth="1" style="13" min="8" max="16384"/>
  </cols>
  <sheetData>
    <row r="1" ht="15.5" customHeight="1">
      <c r="A1" s="545" t="inlineStr">
        <is>
          <t>返回索引页</t>
        </is>
      </c>
      <c r="B1" s="15" t="inlineStr">
        <is>
          <t>返回</t>
        </is>
      </c>
      <c r="C1" s="16" t="n"/>
      <c r="D1" s="16" t="n"/>
      <c r="E1" s="16" t="n"/>
      <c r="F1" s="16" t="n"/>
      <c r="G1" s="16" t="n"/>
    </row>
    <row r="2" ht="30" customFormat="1" customHeight="1" s="11">
      <c r="A2" s="17" t="inlineStr">
        <is>
          <t>交易性金融资产评估汇总表</t>
        </is>
      </c>
    </row>
    <row r="3" ht="14.15" customHeight="1">
      <c r="A3" s="535">
        <f>CONCATENATE(封面!D9,封面!F9,封面!G9,封面!H9,封面!I9,封面!J9,封面!K9)</f>
      </c>
    </row>
    <row r="4" ht="15.5" customHeight="1">
      <c r="A4" s="536">
        <f>封面!D7&amp;封面!F7</f>
      </c>
      <c r="G4" s="44" t="inlineStr">
        <is>
          <t>金额单位：人民币元</t>
        </is>
      </c>
    </row>
    <row r="5" ht="13" customFormat="1" customHeight="1" s="43">
      <c r="A5" s="45" t="inlineStr">
        <is>
          <t>编号</t>
        </is>
      </c>
      <c r="B5" s="45" t="inlineStr">
        <is>
          <t>科目名称</t>
        </is>
      </c>
      <c r="C5" s="45" t="inlineStr">
        <is>
          <t>审计前账面值</t>
        </is>
      </c>
      <c r="D5" s="45" t="inlineStr">
        <is>
          <t>账面价值</t>
        </is>
      </c>
      <c r="E5" s="45" t="inlineStr">
        <is>
          <t>评估价值</t>
        </is>
      </c>
      <c r="F5" s="46" t="inlineStr">
        <is>
          <t>增值额</t>
        </is>
      </c>
      <c r="G5" s="45" t="inlineStr">
        <is>
          <t>增值率%</t>
        </is>
      </c>
    </row>
    <row r="6" ht="15.5" customHeight="1">
      <c r="A6" s="45" t="inlineStr">
        <is>
          <t>3-2-1</t>
        </is>
      </c>
      <c r="B6" s="50" t="inlineStr">
        <is>
          <t>交易性金融资产-股票投资</t>
        </is>
      </c>
      <c r="C6" s="539">
        <f>'交易性-股票'!G27</f>
      </c>
      <c r="D6" s="539">
        <f>'交易性-股票'!I27</f>
      </c>
      <c r="E6" s="539">
        <f>'交易性-股票'!K27</f>
      </c>
      <c r="F6" s="539">
        <f>E6-D6</f>
      </c>
      <c r="G6" s="546">
        <f>IF(D6=0,"",F6/D6*100)</f>
      </c>
    </row>
    <row r="7" ht="15.5" customHeight="1">
      <c r="A7" s="45" t="inlineStr">
        <is>
          <t>3-2-2</t>
        </is>
      </c>
      <c r="B7" s="50" t="inlineStr">
        <is>
          <t>交易性金融资产-债券投资</t>
        </is>
      </c>
      <c r="C7" s="539">
        <f>'交易性-债券'!H27</f>
      </c>
      <c r="D7" s="539">
        <f>'交易性-债券'!J27</f>
      </c>
      <c r="E7" s="539">
        <f>'交易性-债券'!K27</f>
      </c>
      <c r="F7" s="539">
        <f>E7-D7</f>
      </c>
      <c r="G7" s="539">
        <f>IF(D7=0,"",F7/D7*100)</f>
      </c>
    </row>
    <row r="8" ht="15.5" customHeight="1">
      <c r="A8" s="45" t="inlineStr">
        <is>
          <t>3-2-3</t>
        </is>
      </c>
      <c r="B8" s="50" t="inlineStr">
        <is>
          <t>交易性金融资产-基金投资</t>
        </is>
      </c>
      <c r="C8" s="539">
        <f>'交易性-基金'!H27</f>
      </c>
      <c r="D8" s="539">
        <f>'交易性-基金'!J27</f>
      </c>
      <c r="E8" s="539">
        <f>'交易性-基金'!L27</f>
      </c>
      <c r="F8" s="539">
        <f>E8-D8</f>
      </c>
      <c r="G8" s="539">
        <f>IF(D8=0,"",F8/D8*100)</f>
      </c>
    </row>
    <row r="9" ht="15.5" customHeight="1">
      <c r="A9" s="23" t="n"/>
      <c r="B9" s="27" t="n"/>
      <c r="C9" s="539" t="n"/>
      <c r="D9" s="539" t="n"/>
      <c r="E9" s="539" t="n"/>
      <c r="F9" s="539" t="n"/>
      <c r="G9" s="539" t="n"/>
    </row>
    <row r="10" ht="15.5" customHeight="1">
      <c r="A10" s="23" t="n"/>
      <c r="B10" s="27" t="n"/>
      <c r="C10" s="539" t="n"/>
      <c r="D10" s="539" t="n"/>
      <c r="E10" s="539" t="n"/>
      <c r="F10" s="539" t="n"/>
      <c r="G10" s="539" t="n"/>
    </row>
    <row r="11" ht="15.5" customHeight="1">
      <c r="A11" s="23" t="n"/>
      <c r="B11" s="27" t="n"/>
      <c r="C11" s="539" t="n"/>
      <c r="D11" s="539" t="n"/>
      <c r="E11" s="539" t="n"/>
      <c r="F11" s="539" t="n"/>
      <c r="G11" s="539" t="n"/>
    </row>
    <row r="12" ht="15.5" customHeight="1">
      <c r="A12" s="23" t="n"/>
      <c r="B12" s="27" t="n"/>
      <c r="C12" s="539" t="n"/>
      <c r="D12" s="539" t="n"/>
      <c r="E12" s="539" t="n"/>
      <c r="F12" s="539" t="n"/>
      <c r="G12" s="539" t="n"/>
    </row>
    <row r="13" ht="15.5" customHeight="1">
      <c r="A13" s="23" t="n"/>
      <c r="B13" s="27" t="n"/>
      <c r="C13" s="539" t="n"/>
      <c r="D13" s="539" t="n"/>
      <c r="E13" s="539" t="n"/>
      <c r="F13" s="539" t="n"/>
      <c r="G13" s="539" t="n"/>
    </row>
    <row r="14" ht="15.5" customHeight="1">
      <c r="A14" s="23" t="n"/>
      <c r="B14" s="27" t="n"/>
      <c r="C14" s="539" t="n"/>
      <c r="D14" s="539" t="n"/>
      <c r="E14" s="539" t="n"/>
      <c r="F14" s="539" t="n"/>
      <c r="G14" s="539" t="n"/>
    </row>
    <row r="15" ht="15.5" customHeight="1">
      <c r="A15" s="23" t="n"/>
      <c r="B15" s="27" t="n"/>
      <c r="C15" s="539" t="n"/>
      <c r="D15" s="539" t="n"/>
      <c r="E15" s="539" t="n"/>
      <c r="F15" s="539" t="n"/>
      <c r="G15" s="539" t="n"/>
    </row>
    <row r="16" ht="15.5" customHeight="1">
      <c r="A16" s="23" t="n"/>
      <c r="B16" s="27" t="n"/>
      <c r="C16" s="539" t="n"/>
      <c r="D16" s="539" t="n"/>
      <c r="E16" s="539" t="n"/>
      <c r="F16" s="539" t="n"/>
      <c r="G16" s="539" t="n"/>
    </row>
    <row r="17" ht="15.5" customHeight="1">
      <c r="A17" s="23" t="n"/>
      <c r="B17" s="27" t="n"/>
      <c r="C17" s="539" t="n"/>
      <c r="D17" s="539" t="n"/>
      <c r="E17" s="539" t="n"/>
      <c r="F17" s="539" t="n"/>
      <c r="G17" s="539" t="n"/>
    </row>
    <row r="18" ht="15.5" customHeight="1">
      <c r="A18" s="23" t="n"/>
      <c r="B18" s="27" t="n"/>
      <c r="C18" s="539" t="n"/>
      <c r="D18" s="539" t="n"/>
      <c r="E18" s="539" t="n"/>
      <c r="F18" s="539" t="n"/>
      <c r="G18" s="539" t="n"/>
    </row>
    <row r="19" ht="15.5" customHeight="1">
      <c r="A19" s="23" t="n"/>
      <c r="B19" s="27" t="n"/>
      <c r="C19" s="539" t="n"/>
      <c r="D19" s="539" t="n"/>
      <c r="E19" s="539" t="n"/>
      <c r="F19" s="539" t="n"/>
      <c r="G19" s="539" t="n"/>
    </row>
    <row r="20" ht="15.5" customHeight="1">
      <c r="A20" s="23" t="n"/>
      <c r="B20" s="27" t="n"/>
      <c r="C20" s="539" t="n"/>
      <c r="D20" s="539" t="n"/>
      <c r="E20" s="539" t="n"/>
      <c r="F20" s="539" t="n"/>
      <c r="G20" s="539" t="n"/>
    </row>
    <row r="21" ht="15.5" customHeight="1">
      <c r="A21" s="23" t="n"/>
      <c r="B21" s="27" t="n"/>
      <c r="C21" s="539" t="n"/>
      <c r="D21" s="539" t="n"/>
      <c r="E21" s="539" t="n"/>
      <c r="F21" s="539" t="n"/>
      <c r="G21" s="539" t="n"/>
    </row>
    <row r="22" ht="15.5" customHeight="1">
      <c r="A22" s="23" t="n"/>
      <c r="B22" s="27" t="n"/>
      <c r="C22" s="539" t="n"/>
      <c r="D22" s="539" t="n"/>
      <c r="E22" s="539" t="n"/>
      <c r="F22" s="539" t="n"/>
      <c r="G22" s="539" t="n"/>
    </row>
    <row r="23" ht="15.5" customHeight="1">
      <c r="A23" s="23" t="n"/>
      <c r="B23" s="27" t="n"/>
      <c r="C23" s="539" t="n"/>
      <c r="D23" s="539" t="n"/>
      <c r="E23" s="539" t="n"/>
      <c r="F23" s="539" t="n"/>
      <c r="G23" s="539" t="n"/>
    </row>
    <row r="24" ht="15.5" customHeight="1">
      <c r="A24" s="23" t="n"/>
      <c r="B24" s="27" t="n"/>
      <c r="C24" s="539" t="n"/>
      <c r="D24" s="539" t="n"/>
      <c r="E24" s="539" t="n"/>
      <c r="F24" s="539" t="n"/>
      <c r="G24" s="539" t="n"/>
    </row>
    <row r="25" ht="15.5" customHeight="1">
      <c r="A25" s="23" t="n"/>
      <c r="B25" s="27" t="n"/>
      <c r="C25" s="539" t="n"/>
      <c r="D25" s="539" t="n"/>
      <c r="E25" s="539" t="n"/>
      <c r="F25" s="539" t="n"/>
      <c r="G25" s="539" t="n"/>
    </row>
    <row r="26" ht="15.5" customHeight="1">
      <c r="A26" s="23" t="n"/>
      <c r="B26" s="27" t="n"/>
      <c r="C26" s="539" t="n"/>
      <c r="D26" s="539" t="n"/>
      <c r="E26" s="539" t="n"/>
      <c r="F26" s="539" t="n"/>
      <c r="G26" s="539" t="n"/>
    </row>
    <row r="27" ht="15.5" customHeight="1">
      <c r="A27" s="45" t="inlineStr">
        <is>
          <t>3-2</t>
        </is>
      </c>
      <c r="B27" s="45" t="inlineStr">
        <is>
          <t>交易性金融资产合计</t>
        </is>
      </c>
      <c r="C27" s="539">
        <f>SUM(C6:C26)</f>
      </c>
      <c r="D27" s="539">
        <f>SUM(D6:D26)</f>
      </c>
      <c r="E27" s="539">
        <f>SUM(E6:E26)</f>
      </c>
      <c r="F27" s="539">
        <f>SUM(F6:F26)</f>
      </c>
      <c r="G27" s="539">
        <f>IF(D27=0,"",F27/D27*100)</f>
      </c>
    </row>
    <row r="28" ht="15.5" customHeight="1">
      <c r="A28" s="29">
        <f>封面!D11&amp;封面!G11</f>
      </c>
      <c r="D28" s="536" t="n"/>
      <c r="E28" s="13">
        <f>"评估人员："&amp;封面!G20</f>
      </c>
    </row>
    <row r="29" ht="15.5" customHeight="1">
      <c r="A29" s="29">
        <f>CONCATENATE(封面!D13,封面!F13,封面!G13,封面!H13,封面!I13,封面!J13,封面!K13)</f>
      </c>
    </row>
  </sheetData>
  <mergeCells count="2">
    <mergeCell ref="A3:G3"/>
    <mergeCell ref="A2:G2"/>
  </mergeCells>
  <hyperlinks>
    <hyperlink ref="A1" location="索引目录!D9" display="返回索引页"/>
    <hyperlink ref="B1" location="流动汇总!B7" display="返回"/>
    <hyperlink ref="B6" location="'交易性-股票'!B1" display="交易性金融资产-股票投资"/>
    <hyperlink ref="B7" location="'交易性-债券'!B1" display="交易性金融资产-债券投资"/>
    <hyperlink ref="B8" location="'交易性-基金'!B1" display="交易性金融资产-基金投资"/>
  </hyperlinks>
  <printOptions horizontalCentered="1"/>
  <pageMargins left="0.354330708661417" right="0.354330708661417" top="0.78740157480315" bottom="0.78740157480315" header="1.01" footer="0.511811023622047"/>
  <pageSetup orientation="landscape" paperSize="9" fitToHeight="0"/>
  <headerFooter alignWithMargins="0">
    <oddHeader>&amp;R&amp;"宋体,常规"共&amp;"Times New Roman,常规"&amp;N&amp;"宋体,常规"页第&amp;"Times New Roman,常规"&amp;P&amp;"宋体,常规"3-2_x000a_页</oddHeader>
    <oddFooter/>
    <evenHeader/>
    <evenFooter/>
    <firstHeader/>
    <firstFooter/>
  </headerFooter>
</worksheet>
</file>

<file path=xl/worksheets/sheet13.xml><?xml version="1.0" encoding="utf-8"?>
<worksheet xmlns="http://schemas.openxmlformats.org/spreadsheetml/2006/main">
  <sheetPr codeName="Sheet13">
    <outlinePr summaryBelow="1" summaryRight="1"/>
    <pageSetUpPr fitToPage="1"/>
  </sheetPr>
  <dimension ref="A1:L29"/>
  <sheetViews>
    <sheetView view="pageBreakPreview" zoomScale="60" zoomScaleNormal="100" workbookViewId="0">
      <selection activeCell="G451" sqref="G451"/>
    </sheetView>
  </sheetViews>
  <sheetFormatPr baseColWidth="8" defaultColWidth="9" defaultRowHeight="15.75" customHeight="1"/>
  <cols>
    <col width="5.83333333333333" customWidth="1" style="13" min="1" max="1"/>
    <col width="16.5833333333333" customWidth="1" style="13" min="2" max="2"/>
    <col width="12.5" customWidth="1" style="13" min="3" max="3"/>
    <col width="10.0833333333333" customWidth="1" style="13" min="4" max="5"/>
    <col width="10.5" customWidth="1" style="13" min="6" max="6"/>
    <col hidden="1" outlineLevel="1" width="15.5" customWidth="1" style="13" min="7" max="8"/>
    <col collapsed="1" width="15.5" customWidth="1" style="13" min="9" max="9"/>
    <col width="12.8333333333333" customWidth="1" style="13" min="10" max="10"/>
    <col width="14.8333333333333" customWidth="1" style="13" min="11" max="11"/>
    <col width="12.8333333333333" customWidth="1" style="13" min="12" max="12"/>
    <col width="9" customWidth="1" style="13" min="13" max="16384"/>
  </cols>
  <sheetData>
    <row r="1" ht="15.5" customHeight="1">
      <c r="A1" s="545" t="inlineStr">
        <is>
          <t>返回索引页</t>
        </is>
      </c>
      <c r="B1" s="15" t="inlineStr">
        <is>
          <t>返回</t>
        </is>
      </c>
      <c r="C1" s="16" t="n"/>
      <c r="D1" s="16" t="n"/>
      <c r="E1" s="16" t="n"/>
      <c r="F1" s="16" t="n"/>
      <c r="G1" s="16" t="n"/>
      <c r="H1" s="16" t="n"/>
      <c r="I1" s="16" t="n"/>
      <c r="J1" s="16" t="n"/>
      <c r="K1" s="16" t="n"/>
      <c r="L1" s="16" t="n"/>
    </row>
    <row r="2" ht="30" customFormat="1" customHeight="1" s="11">
      <c r="A2" s="17" t="inlineStr">
        <is>
          <t>交易性金融资产—股票投资评估明细表</t>
        </is>
      </c>
    </row>
    <row r="3" ht="14.15" customHeight="1">
      <c r="A3" s="535">
        <f>CONCATENATE(封面!D9,封面!F9,封面!G9,封面!H9,封面!I9,封面!J9,封面!K9)</f>
      </c>
    </row>
    <row r="4" ht="15.5" customHeight="1">
      <c r="A4" s="536">
        <f>封面!D7&amp;封面!F7</f>
      </c>
      <c r="L4" s="20" t="inlineStr">
        <is>
          <t>金额单位：人民币元</t>
        </is>
      </c>
    </row>
    <row r="5" ht="13" customFormat="1" customHeight="1" s="12">
      <c r="A5" s="21" t="inlineStr">
        <is>
          <t>序号</t>
        </is>
      </c>
      <c r="B5" s="21" t="inlineStr">
        <is>
          <t>被投资单位名称</t>
        </is>
      </c>
      <c r="C5" s="21" t="inlineStr">
        <is>
          <t>股票名称</t>
        </is>
      </c>
      <c r="D5" s="21" t="inlineStr">
        <is>
          <t>投资日期</t>
        </is>
      </c>
      <c r="E5" s="21" t="inlineStr">
        <is>
          <t>持股数量</t>
        </is>
      </c>
      <c r="F5" s="21" t="inlineStr">
        <is>
          <t>成本</t>
        </is>
      </c>
      <c r="G5" s="21" t="inlineStr">
        <is>
          <t>审计前账面值</t>
        </is>
      </c>
      <c r="H5" s="21" t="inlineStr">
        <is>
          <t>审计调整</t>
        </is>
      </c>
      <c r="I5" s="21" t="inlineStr">
        <is>
          <t>账面价值</t>
        </is>
      </c>
      <c r="J5" s="21" t="inlineStr">
        <is>
          <t>基准日收盘价/股</t>
        </is>
      </c>
      <c r="K5" s="21" t="inlineStr">
        <is>
          <t>评估价值</t>
        </is>
      </c>
      <c r="L5" s="21" t="inlineStr">
        <is>
          <t>增值率%</t>
        </is>
      </c>
    </row>
    <row r="6" ht="15.5" customHeight="1">
      <c r="A6" s="23" t="n"/>
      <c r="B6" s="24" t="n"/>
      <c r="C6" s="23" t="n"/>
      <c r="D6" s="25" t="n"/>
      <c r="E6" s="38" t="n"/>
      <c r="F6" s="23" t="n"/>
      <c r="G6" s="539" t="n"/>
      <c r="H6" s="539" t="n"/>
      <c r="I6" s="539" t="n"/>
      <c r="J6" s="539" t="n"/>
      <c r="K6" s="539" t="n"/>
      <c r="L6" s="539">
        <f>IF(I6=0,"",(K6-I6)/I6*100)</f>
      </c>
    </row>
    <row r="7" ht="15.5" customHeight="1">
      <c r="A7" s="23" t="n"/>
      <c r="B7" s="24" t="n"/>
      <c r="C7" s="23" t="n"/>
      <c r="D7" s="25" t="n"/>
      <c r="E7" s="38" t="n"/>
      <c r="F7" s="23" t="n"/>
      <c r="G7" s="539" t="n"/>
      <c r="H7" s="539" t="n"/>
      <c r="I7" s="539" t="n"/>
      <c r="J7" s="539" t="n"/>
      <c r="K7" s="539" t="n"/>
      <c r="L7" s="539">
        <f>IF(I7=0,"",(K7-I7)/I7*100)</f>
      </c>
    </row>
    <row r="8" ht="15.5" customHeight="1">
      <c r="A8" s="23" t="n"/>
      <c r="B8" s="24" t="n"/>
      <c r="C8" s="23" t="n"/>
      <c r="D8" s="25" t="n"/>
      <c r="E8" s="38" t="n"/>
      <c r="F8" s="23" t="n"/>
      <c r="G8" s="539" t="n"/>
      <c r="H8" s="539" t="n"/>
      <c r="I8" s="539" t="n"/>
      <c r="J8" s="539" t="n"/>
      <c r="K8" s="539" t="n"/>
      <c r="L8" s="539">
        <f>IF(I8=0,"",(K8-I8)/I8*100)</f>
      </c>
    </row>
    <row r="9" ht="15.5" customHeight="1">
      <c r="A9" s="23" t="n"/>
      <c r="B9" s="24" t="n"/>
      <c r="C9" s="23" t="n"/>
      <c r="D9" s="25" t="n"/>
      <c r="E9" s="38" t="n"/>
      <c r="F9" s="23" t="n"/>
      <c r="G9" s="539" t="n"/>
      <c r="H9" s="539" t="n"/>
      <c r="I9" s="539" t="n"/>
      <c r="J9" s="539" t="n"/>
      <c r="K9" s="539" t="n"/>
      <c r="L9" s="539">
        <f>IF(I9=0,"",(K9-I9)/I9*100)</f>
      </c>
    </row>
    <row r="10" ht="15.5" customHeight="1">
      <c r="A10" s="23" t="n"/>
      <c r="B10" s="24" t="n"/>
      <c r="C10" s="23" t="n"/>
      <c r="D10" s="25" t="n"/>
      <c r="E10" s="38" t="n"/>
      <c r="F10" s="23" t="n"/>
      <c r="G10" s="539" t="n"/>
      <c r="H10" s="539" t="n"/>
      <c r="I10" s="539" t="n"/>
      <c r="J10" s="539" t="n"/>
      <c r="K10" s="539" t="n"/>
      <c r="L10" s="539">
        <f>IF(I10=0,"",(K10-I10)/I10*100)</f>
      </c>
    </row>
    <row r="11" ht="15.5" customHeight="1">
      <c r="A11" s="23" t="n"/>
      <c r="B11" s="24" t="n"/>
      <c r="C11" s="23" t="n"/>
      <c r="D11" s="25" t="n"/>
      <c r="E11" s="38" t="n"/>
      <c r="F11" s="23" t="n"/>
      <c r="G11" s="539" t="n"/>
      <c r="H11" s="539" t="n"/>
      <c r="I11" s="539" t="n"/>
      <c r="J11" s="539" t="n"/>
      <c r="K11" s="539" t="n"/>
      <c r="L11" s="539">
        <f>IF(I11=0,"",(K11-I11)/I11*100)</f>
      </c>
    </row>
    <row r="12" ht="15.5" customHeight="1">
      <c r="A12" s="23" t="n"/>
      <c r="B12" s="24" t="n"/>
      <c r="C12" s="23" t="n"/>
      <c r="D12" s="25" t="n"/>
      <c r="E12" s="38" t="n"/>
      <c r="F12" s="23" t="n"/>
      <c r="G12" s="539" t="n"/>
      <c r="H12" s="539" t="n"/>
      <c r="I12" s="539" t="n"/>
      <c r="J12" s="539" t="n"/>
      <c r="K12" s="539" t="n"/>
      <c r="L12" s="539">
        <f>IF(I12=0,"",(K12-I12)/I12*100)</f>
      </c>
    </row>
    <row r="13" ht="15.5" customHeight="1">
      <c r="A13" s="23" t="n"/>
      <c r="B13" s="24" t="n"/>
      <c r="C13" s="23" t="n"/>
      <c r="D13" s="25" t="n"/>
      <c r="E13" s="38" t="n"/>
      <c r="F13" s="23" t="n"/>
      <c r="G13" s="539" t="n"/>
      <c r="H13" s="539" t="n"/>
      <c r="I13" s="539" t="n"/>
      <c r="J13" s="539" t="n"/>
      <c r="K13" s="539" t="n"/>
      <c r="L13" s="539">
        <f>IF(I13=0,"",(K13-I13)/I13*100)</f>
      </c>
    </row>
    <row r="14" ht="15.5" customHeight="1">
      <c r="A14" s="23" t="n"/>
      <c r="B14" s="24" t="n"/>
      <c r="C14" s="23" t="n"/>
      <c r="D14" s="25" t="n"/>
      <c r="E14" s="38" t="n"/>
      <c r="F14" s="23" t="n"/>
      <c r="G14" s="539" t="n"/>
      <c r="H14" s="539" t="n"/>
      <c r="I14" s="539" t="n"/>
      <c r="J14" s="539" t="n"/>
      <c r="K14" s="539" t="n"/>
      <c r="L14" s="539">
        <f>IF(I14=0,"",(K14-I14)/I14*100)</f>
      </c>
    </row>
    <row r="15" ht="15.5" customHeight="1">
      <c r="A15" s="23" t="n"/>
      <c r="B15" s="24" t="n"/>
      <c r="C15" s="23" t="n"/>
      <c r="D15" s="25" t="n"/>
      <c r="E15" s="38" t="n"/>
      <c r="F15" s="23" t="n"/>
      <c r="G15" s="539" t="n"/>
      <c r="H15" s="539" t="n"/>
      <c r="I15" s="539" t="n"/>
      <c r="J15" s="539" t="n"/>
      <c r="K15" s="539" t="n"/>
      <c r="L15" s="539">
        <f>IF(I15=0,"",(K15-I15)/I15*100)</f>
      </c>
    </row>
    <row r="16" ht="15.5" customHeight="1">
      <c r="A16" s="23" t="n"/>
      <c r="B16" s="24" t="n"/>
      <c r="C16" s="23" t="n"/>
      <c r="D16" s="25" t="n"/>
      <c r="E16" s="38" t="n"/>
      <c r="F16" s="23" t="n"/>
      <c r="G16" s="539" t="n"/>
      <c r="H16" s="539" t="n"/>
      <c r="I16" s="539" t="n"/>
      <c r="J16" s="539" t="n"/>
      <c r="K16" s="539" t="n"/>
      <c r="L16" s="539">
        <f>IF(I16=0,"",(K16-I16)/I16*100)</f>
      </c>
    </row>
    <row r="17" ht="15.5" customHeight="1">
      <c r="A17" s="23" t="n"/>
      <c r="B17" s="24" t="n"/>
      <c r="C17" s="23" t="n"/>
      <c r="D17" s="25" t="n"/>
      <c r="E17" s="38" t="n"/>
      <c r="F17" s="23" t="n"/>
      <c r="G17" s="539" t="n"/>
      <c r="H17" s="539" t="n"/>
      <c r="I17" s="539" t="n"/>
      <c r="J17" s="539" t="n"/>
      <c r="K17" s="539" t="n"/>
      <c r="L17" s="539">
        <f>IF(I17=0,"",(K17-I17)/I17*100)</f>
      </c>
    </row>
    <row r="18" ht="15.5" customHeight="1">
      <c r="A18" s="23" t="n"/>
      <c r="B18" s="24" t="n"/>
      <c r="C18" s="23" t="n"/>
      <c r="D18" s="25" t="n"/>
      <c r="E18" s="38" t="n"/>
      <c r="F18" s="23" t="n"/>
      <c r="G18" s="539" t="n"/>
      <c r="H18" s="539" t="n"/>
      <c r="I18" s="539" t="n"/>
      <c r="J18" s="539" t="n"/>
      <c r="K18" s="539" t="n"/>
      <c r="L18" s="539">
        <f>IF(I18=0,"",(K18-I18)/I18*100)</f>
      </c>
    </row>
    <row r="19" ht="15.5" customHeight="1">
      <c r="A19" s="23" t="n"/>
      <c r="B19" s="24" t="n"/>
      <c r="C19" s="23" t="n"/>
      <c r="D19" s="25" t="n"/>
      <c r="E19" s="38" t="n"/>
      <c r="F19" s="23" t="n"/>
      <c r="G19" s="539" t="n"/>
      <c r="H19" s="539" t="n"/>
      <c r="I19" s="539" t="n"/>
      <c r="J19" s="539" t="n"/>
      <c r="K19" s="539" t="n"/>
      <c r="L19" s="539">
        <f>IF(I19=0,"",(K19-I19)/I19*100)</f>
      </c>
    </row>
    <row r="20" ht="15.5" customHeight="1">
      <c r="A20" s="23" t="n"/>
      <c r="B20" s="24" t="n"/>
      <c r="C20" s="23" t="n"/>
      <c r="D20" s="25" t="n"/>
      <c r="E20" s="38" t="n"/>
      <c r="F20" s="23" t="n"/>
      <c r="G20" s="539" t="n"/>
      <c r="H20" s="539" t="n"/>
      <c r="I20" s="539" t="n"/>
      <c r="J20" s="539" t="n"/>
      <c r="K20" s="539" t="n"/>
      <c r="L20" s="539">
        <f>IF(I20=0,"",(K20-I20)/I20*100)</f>
      </c>
    </row>
    <row r="21" ht="15.5" customHeight="1">
      <c r="A21" s="23" t="n"/>
      <c r="B21" s="24" t="n"/>
      <c r="C21" s="23" t="n"/>
      <c r="D21" s="25" t="n"/>
      <c r="E21" s="38" t="n"/>
      <c r="F21" s="23" t="n"/>
      <c r="G21" s="539" t="n"/>
      <c r="H21" s="539" t="n"/>
      <c r="I21" s="539" t="n"/>
      <c r="J21" s="539" t="n"/>
      <c r="K21" s="539" t="n"/>
      <c r="L21" s="539">
        <f>IF(I21=0,"",(K21-I21)/I21*100)</f>
      </c>
    </row>
    <row r="22" ht="15.5" customHeight="1">
      <c r="A22" s="23" t="n"/>
      <c r="B22" s="24" t="n"/>
      <c r="C22" s="23" t="n"/>
      <c r="D22" s="25" t="n"/>
      <c r="E22" s="38" t="n"/>
      <c r="F22" s="23" t="n"/>
      <c r="G22" s="539" t="n"/>
      <c r="H22" s="539" t="n"/>
      <c r="I22" s="539" t="n"/>
      <c r="J22" s="539" t="n"/>
      <c r="K22" s="539" t="n"/>
      <c r="L22" s="539">
        <f>IF(I22=0,"",(K22-I22)/I22*100)</f>
      </c>
    </row>
    <row r="23" ht="15.5" customHeight="1">
      <c r="A23" s="23" t="n"/>
      <c r="B23" s="24" t="n"/>
      <c r="C23" s="23" t="n"/>
      <c r="D23" s="25" t="n"/>
      <c r="E23" s="38" t="n"/>
      <c r="F23" s="23" t="n"/>
      <c r="G23" s="539" t="n"/>
      <c r="H23" s="539" t="n"/>
      <c r="I23" s="539" t="n"/>
      <c r="J23" s="539" t="n"/>
      <c r="K23" s="539" t="n"/>
      <c r="L23" s="539">
        <f>IF(I23=0,"",(K23-I23)/I23*100)</f>
      </c>
    </row>
    <row r="24" ht="15.5" customHeight="1">
      <c r="A24" s="23" t="n"/>
      <c r="B24" s="24" t="n"/>
      <c r="C24" s="23" t="n"/>
      <c r="D24" s="25" t="n"/>
      <c r="E24" s="38" t="n"/>
      <c r="F24" s="23" t="n"/>
      <c r="G24" s="539" t="n"/>
      <c r="H24" s="539" t="n"/>
      <c r="I24" s="539" t="n"/>
      <c r="J24" s="539" t="n"/>
      <c r="K24" s="539" t="n"/>
      <c r="L24" s="539">
        <f>IF(I24=0,"",(K24-I24)/I24*100)</f>
      </c>
    </row>
    <row r="25" ht="15.5" customHeight="1">
      <c r="A25" s="23" t="n"/>
      <c r="B25" s="24" t="n"/>
      <c r="C25" s="23" t="n"/>
      <c r="D25" s="25" t="n"/>
      <c r="E25" s="38" t="n"/>
      <c r="F25" s="23" t="n"/>
      <c r="G25" s="539" t="n"/>
      <c r="H25" s="539" t="n"/>
      <c r="I25" s="539" t="n"/>
      <c r="J25" s="539" t="n"/>
      <c r="K25" s="539" t="n"/>
      <c r="L25" s="539">
        <f>IF(I25=0,"",(K25-I25)/I25*100)</f>
      </c>
    </row>
    <row r="26" ht="15.5" customHeight="1">
      <c r="A26" s="23" t="n"/>
      <c r="B26" s="24" t="n"/>
      <c r="C26" s="23" t="n"/>
      <c r="D26" s="25" t="n"/>
      <c r="E26" s="38" t="n"/>
      <c r="F26" s="23" t="n"/>
      <c r="G26" s="539" t="n"/>
      <c r="H26" s="539" t="n"/>
      <c r="I26" s="539" t="n"/>
      <c r="J26" s="539" t="n"/>
      <c r="K26" s="539" t="n"/>
      <c r="L26" s="539" t="n"/>
    </row>
    <row r="27" ht="15.5" customHeight="1">
      <c r="A27" s="21" t="inlineStr">
        <is>
          <t>合          计</t>
        </is>
      </c>
      <c r="B27" s="28" t="n"/>
      <c r="C27" s="27" t="n"/>
      <c r="D27" s="25" t="n"/>
      <c r="E27" s="27" t="n"/>
      <c r="F27" s="27" t="n"/>
      <c r="G27" s="539">
        <f>SUM(G6:G26)</f>
      </c>
      <c r="H27" s="539" t="n"/>
      <c r="I27" s="539">
        <f>SUM(I6:I26)</f>
      </c>
      <c r="J27" s="539" t="n"/>
      <c r="K27" s="539">
        <f>SUM(K6:K26)</f>
      </c>
      <c r="L27" s="539">
        <f>IF(I27=0,"",(K27-I27)/I27*100)</f>
      </c>
    </row>
    <row r="28" ht="15.5" customHeight="1">
      <c r="A28" s="29">
        <f>封面!D11&amp;封面!G11</f>
      </c>
      <c r="I28" s="536">
        <f>"评估人员："&amp;封面!G20</f>
      </c>
    </row>
    <row r="29" ht="15.5" customHeight="1">
      <c r="A29" s="29">
        <f>CONCATENATE(封面!D13,封面!F13,封面!G13,封面!H13,封面!I13,封面!J13,封面!K13)</f>
      </c>
    </row>
  </sheetData>
  <mergeCells count="3">
    <mergeCell ref="A3:L3"/>
    <mergeCell ref="A2:L2"/>
    <mergeCell ref="A27:B27"/>
  </mergeCells>
  <hyperlinks>
    <hyperlink ref="A1" location="索引目录!E9" display="返回索引页"/>
    <hyperlink ref="B1" location="交易性金融资产汇总!B6" display="返回"/>
  </hyperlinks>
  <printOptions horizontalCentered="1"/>
  <pageMargins left="0.354330708661417" right="0.354330708661417" top="0.78740157480315" bottom="0.78740157480315" header="1.01" footer="0.511811023622047"/>
  <pageSetup orientation="landscape" paperSize="9" fitToHeight="0"/>
  <headerFooter alignWithMargins="0">
    <oddHeader>&amp;R&amp;"宋体,常规"共&amp;"Times New Roman,常规"&amp;N&amp;"宋体,常规"页第&amp;"Times New Roman,常规"&amp;P&amp;"宋体,常规"3-2-1_x000a_页</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codeName="Sheet14">
    <outlinePr summaryBelow="1" summaryRight="1"/>
    <pageSetUpPr fitToPage="1"/>
  </sheetPr>
  <dimension ref="A1:L29"/>
  <sheetViews>
    <sheetView view="pageBreakPreview" zoomScale="60" zoomScaleNormal="100" workbookViewId="0">
      <selection activeCell="G451" sqref="G451"/>
    </sheetView>
  </sheetViews>
  <sheetFormatPr baseColWidth="8" defaultColWidth="9" defaultRowHeight="15.75" customHeight="1"/>
  <cols>
    <col width="5.5" customWidth="1" style="13" min="1" max="1"/>
    <col width="21" customWidth="1" style="13" min="2" max="2"/>
    <col width="13.25" customWidth="1" style="13" min="3" max="3"/>
    <col width="11.5833333333333" customWidth="1" style="13" min="4" max="4"/>
    <col width="11.3333333333333" customWidth="1" style="13" min="5" max="5"/>
    <col width="9" customWidth="1" style="13" min="6" max="6"/>
    <col width="10" customWidth="1" style="13" min="7" max="7"/>
    <col hidden="1" outlineLevel="1" width="14.5" customWidth="1" style="13" min="8" max="9"/>
    <col collapsed="1" width="14.5" customWidth="1" style="13" min="10" max="10"/>
    <col width="14.5" customWidth="1" style="13" min="11" max="11"/>
    <col width="11.75" customWidth="1" style="13" min="12" max="12"/>
    <col width="9" customWidth="1" style="13" min="13" max="16384"/>
  </cols>
  <sheetData>
    <row r="1" ht="15.5" customHeight="1">
      <c r="A1" s="545" t="inlineStr">
        <is>
          <t>返回索引页</t>
        </is>
      </c>
      <c r="B1" s="15" t="inlineStr">
        <is>
          <t>返回</t>
        </is>
      </c>
      <c r="C1" s="16" t="n"/>
      <c r="D1" s="16" t="n"/>
      <c r="E1" s="16" t="n"/>
      <c r="F1" s="16" t="n"/>
      <c r="G1" s="16" t="n"/>
      <c r="H1" s="16" t="n"/>
      <c r="I1" s="16" t="n"/>
      <c r="J1" s="16" t="n"/>
      <c r="K1" s="16" t="n"/>
      <c r="L1" s="16" t="n"/>
    </row>
    <row r="2" ht="30" customFormat="1" customHeight="1" s="11">
      <c r="A2" s="17" t="inlineStr">
        <is>
          <t>交易性金融资产—债券投资评估明细表</t>
        </is>
      </c>
    </row>
    <row r="3" ht="14.15" customHeight="1">
      <c r="A3" s="535">
        <f>CONCATENATE(封面!D9,封面!F9,封面!G9,封面!H9,封面!I9,封面!J9,封面!K9)</f>
      </c>
    </row>
    <row r="4" ht="15.5" customHeight="1">
      <c r="A4" s="536">
        <f>封面!D7&amp;封面!F7</f>
      </c>
      <c r="L4" s="20" t="inlineStr">
        <is>
          <t>金额单位：人民币元</t>
        </is>
      </c>
    </row>
    <row r="5" ht="13" customFormat="1" customHeight="1" s="12">
      <c r="A5" s="21" t="inlineStr">
        <is>
          <t>序号</t>
        </is>
      </c>
      <c r="B5" s="21" t="inlineStr">
        <is>
          <t>被投资单位名称</t>
        </is>
      </c>
      <c r="C5" s="21" t="inlineStr">
        <is>
          <t>债券名称</t>
        </is>
      </c>
      <c r="D5" s="21" t="inlineStr">
        <is>
          <t>发行日期</t>
        </is>
      </c>
      <c r="E5" s="21" t="inlineStr">
        <is>
          <t>投资日期</t>
        </is>
      </c>
      <c r="F5" s="21" t="inlineStr">
        <is>
          <t>票面利率%</t>
        </is>
      </c>
      <c r="G5" s="21" t="inlineStr">
        <is>
          <t>成本</t>
        </is>
      </c>
      <c r="H5" s="21" t="inlineStr">
        <is>
          <t>审计前账面值</t>
        </is>
      </c>
      <c r="I5" s="21" t="inlineStr">
        <is>
          <t>审计调整</t>
        </is>
      </c>
      <c r="J5" s="21" t="inlineStr">
        <is>
          <t>账面价值</t>
        </is>
      </c>
      <c r="K5" s="21" t="inlineStr">
        <is>
          <t>评估价值</t>
        </is>
      </c>
      <c r="L5" s="21" t="inlineStr">
        <is>
          <t>增值率%</t>
        </is>
      </c>
    </row>
    <row r="6" ht="15.5" customHeight="1">
      <c r="A6" s="23" t="n"/>
      <c r="B6" s="24" t="n"/>
      <c r="C6" s="23" t="n"/>
      <c r="D6" s="25" t="n"/>
      <c r="E6" s="25" t="n"/>
      <c r="F6" s="23" t="n"/>
      <c r="G6" s="23" t="n"/>
      <c r="H6" s="539" t="n"/>
      <c r="I6" s="539" t="n"/>
      <c r="J6" s="539" t="n"/>
      <c r="K6" s="539" t="n"/>
      <c r="L6" s="539">
        <f>IF(J6=0,"",(K6-J6)/J6*100)</f>
      </c>
    </row>
    <row r="7" ht="15.5" customHeight="1">
      <c r="A7" s="23" t="n"/>
      <c r="B7" s="24" t="n"/>
      <c r="C7" s="23" t="n"/>
      <c r="D7" s="25" t="n"/>
      <c r="E7" s="25" t="n"/>
      <c r="F7" s="23" t="n"/>
      <c r="G7" s="23" t="n"/>
      <c r="H7" s="539" t="n"/>
      <c r="I7" s="539" t="n"/>
      <c r="J7" s="539" t="n"/>
      <c r="K7" s="539" t="n"/>
      <c r="L7" s="539">
        <f>IF(J7=0,"",(K7-J7)/J7*100)</f>
      </c>
    </row>
    <row r="8" ht="15.5" customHeight="1">
      <c r="A8" s="23" t="n"/>
      <c r="B8" s="24" t="n"/>
      <c r="C8" s="23" t="n"/>
      <c r="D8" s="25" t="n"/>
      <c r="E8" s="25" t="n"/>
      <c r="F8" s="23" t="n"/>
      <c r="G8" s="23" t="n"/>
      <c r="H8" s="539" t="n"/>
      <c r="I8" s="539" t="n"/>
      <c r="J8" s="539" t="n"/>
      <c r="K8" s="539" t="n"/>
      <c r="L8" s="539">
        <f>IF(J8=0,"",(K8-J8)/J8*100)</f>
      </c>
    </row>
    <row r="9" ht="15.5" customHeight="1">
      <c r="A9" s="23" t="n"/>
      <c r="B9" s="24" t="n"/>
      <c r="C9" s="23" t="n"/>
      <c r="D9" s="25" t="n"/>
      <c r="E9" s="25" t="n"/>
      <c r="F9" s="23" t="n"/>
      <c r="G9" s="23" t="n"/>
      <c r="H9" s="539" t="n"/>
      <c r="I9" s="539" t="n"/>
      <c r="J9" s="539" t="n"/>
      <c r="K9" s="539" t="n"/>
      <c r="L9" s="539">
        <f>IF(J9=0,"",(K9-J9)/J9*100)</f>
      </c>
    </row>
    <row r="10" ht="15.5" customHeight="1">
      <c r="A10" s="23" t="n"/>
      <c r="B10" s="24" t="n"/>
      <c r="C10" s="23" t="n"/>
      <c r="D10" s="25" t="n"/>
      <c r="E10" s="25" t="n"/>
      <c r="F10" s="23" t="n"/>
      <c r="G10" s="23" t="n"/>
      <c r="H10" s="539" t="n"/>
      <c r="I10" s="539" t="n"/>
      <c r="J10" s="539" t="n"/>
      <c r="K10" s="539" t="n"/>
      <c r="L10" s="539">
        <f>IF(J10=0,"",(K10-J10)/J10*100)</f>
      </c>
    </row>
    <row r="11" ht="15.5" customHeight="1">
      <c r="A11" s="23" t="n"/>
      <c r="B11" s="24" t="n"/>
      <c r="C11" s="23" t="n"/>
      <c r="D11" s="25" t="n"/>
      <c r="E11" s="25" t="n"/>
      <c r="F11" s="23" t="n"/>
      <c r="G11" s="23" t="n"/>
      <c r="H11" s="539" t="n"/>
      <c r="I11" s="539" t="n"/>
      <c r="J11" s="539" t="n"/>
      <c r="K11" s="539" t="n"/>
      <c r="L11" s="539">
        <f>IF(J11=0,"",(K11-J11)/J11*100)</f>
      </c>
    </row>
    <row r="12" ht="15.5" customHeight="1">
      <c r="A12" s="23" t="n"/>
      <c r="B12" s="24" t="n"/>
      <c r="C12" s="23" t="n"/>
      <c r="D12" s="25" t="n"/>
      <c r="E12" s="25" t="n"/>
      <c r="F12" s="23" t="n"/>
      <c r="G12" s="23" t="n"/>
      <c r="H12" s="539" t="n"/>
      <c r="I12" s="539" t="n"/>
      <c r="J12" s="539" t="n"/>
      <c r="K12" s="539" t="n"/>
      <c r="L12" s="539">
        <f>IF(J12=0,"",(K12-J12)/J12*100)</f>
      </c>
    </row>
    <row r="13" ht="15.5" customHeight="1">
      <c r="A13" s="23" t="n"/>
      <c r="B13" s="24" t="n"/>
      <c r="C13" s="23" t="n"/>
      <c r="D13" s="25" t="n"/>
      <c r="E13" s="25" t="n"/>
      <c r="F13" s="23" t="n"/>
      <c r="G13" s="23" t="n"/>
      <c r="H13" s="539" t="n"/>
      <c r="I13" s="539" t="n"/>
      <c r="J13" s="539" t="n"/>
      <c r="K13" s="539" t="n"/>
      <c r="L13" s="539">
        <f>IF(J13=0,"",(K13-J13)/J13*100)</f>
      </c>
    </row>
    <row r="14" ht="15.5" customHeight="1">
      <c r="A14" s="23" t="n"/>
      <c r="B14" s="24" t="n"/>
      <c r="C14" s="23" t="n"/>
      <c r="D14" s="25" t="n"/>
      <c r="E14" s="25" t="n"/>
      <c r="F14" s="23" t="n"/>
      <c r="G14" s="23" t="n"/>
      <c r="H14" s="539" t="n"/>
      <c r="I14" s="539" t="n"/>
      <c r="J14" s="539" t="n"/>
      <c r="K14" s="539" t="n"/>
      <c r="L14" s="539">
        <f>IF(J14=0,"",(K14-J14)/J14*100)</f>
      </c>
    </row>
    <row r="15" ht="15.5" customHeight="1">
      <c r="A15" s="23" t="n"/>
      <c r="B15" s="24" t="n"/>
      <c r="C15" s="23" t="n"/>
      <c r="D15" s="25" t="n"/>
      <c r="E15" s="25" t="n"/>
      <c r="F15" s="23" t="n"/>
      <c r="G15" s="23" t="n"/>
      <c r="H15" s="539" t="n"/>
      <c r="I15" s="539" t="n"/>
      <c r="J15" s="539" t="n"/>
      <c r="K15" s="539" t="n"/>
      <c r="L15" s="539">
        <f>IF(J15=0,"",(K15-J15)/J15*100)</f>
      </c>
    </row>
    <row r="16" ht="15.5" customHeight="1">
      <c r="A16" s="23" t="n"/>
      <c r="B16" s="24" t="n"/>
      <c r="C16" s="23" t="n"/>
      <c r="D16" s="25" t="n"/>
      <c r="E16" s="25" t="n"/>
      <c r="F16" s="23" t="n"/>
      <c r="G16" s="23" t="n"/>
      <c r="H16" s="539" t="n"/>
      <c r="I16" s="539" t="n"/>
      <c r="J16" s="539" t="n"/>
      <c r="K16" s="539" t="n"/>
      <c r="L16" s="539">
        <f>IF(J16=0,"",(K16-J16)/J16*100)</f>
      </c>
    </row>
    <row r="17" ht="15.5" customHeight="1">
      <c r="A17" s="23" t="n"/>
      <c r="B17" s="24" t="n"/>
      <c r="C17" s="23" t="n"/>
      <c r="D17" s="25" t="n"/>
      <c r="E17" s="25" t="n"/>
      <c r="F17" s="23" t="n"/>
      <c r="G17" s="23" t="n"/>
      <c r="H17" s="539" t="n"/>
      <c r="I17" s="539" t="n"/>
      <c r="J17" s="539" t="n"/>
      <c r="K17" s="539" t="n"/>
      <c r="L17" s="539">
        <f>IF(J17=0,"",(K17-J17)/J17*100)</f>
      </c>
    </row>
    <row r="18" ht="15.5" customHeight="1">
      <c r="A18" s="23" t="n"/>
      <c r="B18" s="24" t="n"/>
      <c r="C18" s="23" t="n"/>
      <c r="D18" s="25" t="n"/>
      <c r="E18" s="25" t="n"/>
      <c r="F18" s="23" t="n"/>
      <c r="G18" s="23" t="n"/>
      <c r="H18" s="539" t="n"/>
      <c r="I18" s="539" t="n"/>
      <c r="J18" s="539" t="n"/>
      <c r="K18" s="539" t="n"/>
      <c r="L18" s="539">
        <f>IF(J18=0,"",(K18-J18)/J18*100)</f>
      </c>
    </row>
    <row r="19" ht="15.5" customHeight="1">
      <c r="A19" s="23" t="n"/>
      <c r="B19" s="24" t="n"/>
      <c r="C19" s="23" t="n"/>
      <c r="D19" s="25" t="n"/>
      <c r="E19" s="25" t="n"/>
      <c r="F19" s="23" t="n"/>
      <c r="G19" s="23" t="n"/>
      <c r="H19" s="539" t="n"/>
      <c r="I19" s="539" t="n"/>
      <c r="J19" s="539" t="n"/>
      <c r="K19" s="539" t="n"/>
      <c r="L19" s="539">
        <f>IF(J19=0,"",(K19-J19)/J19*100)</f>
      </c>
    </row>
    <row r="20" ht="15.5" customHeight="1">
      <c r="A20" s="23" t="n"/>
      <c r="B20" s="24" t="n"/>
      <c r="C20" s="23" t="n"/>
      <c r="D20" s="25" t="n"/>
      <c r="E20" s="25" t="n"/>
      <c r="F20" s="23" t="n"/>
      <c r="G20" s="23" t="n"/>
      <c r="H20" s="539" t="n"/>
      <c r="I20" s="539" t="n"/>
      <c r="J20" s="539" t="n"/>
      <c r="K20" s="539" t="n"/>
      <c r="L20" s="539">
        <f>IF(J20=0,"",(K20-J20)/J20*100)</f>
      </c>
    </row>
    <row r="21" ht="15.5" customHeight="1">
      <c r="A21" s="23" t="n"/>
      <c r="B21" s="24" t="n"/>
      <c r="C21" s="23" t="n"/>
      <c r="D21" s="25" t="n"/>
      <c r="E21" s="25" t="n"/>
      <c r="F21" s="23" t="n"/>
      <c r="G21" s="23" t="n"/>
      <c r="H21" s="539" t="n"/>
      <c r="I21" s="539" t="n"/>
      <c r="J21" s="539" t="n"/>
      <c r="K21" s="539" t="n"/>
      <c r="L21" s="539">
        <f>IF(J21=0,"",(K21-J21)/J21*100)</f>
      </c>
    </row>
    <row r="22" ht="15.5" customHeight="1">
      <c r="A22" s="23" t="n"/>
      <c r="B22" s="24" t="n"/>
      <c r="C22" s="23" t="n"/>
      <c r="D22" s="25" t="n"/>
      <c r="E22" s="25" t="n"/>
      <c r="F22" s="23" t="n"/>
      <c r="G22" s="23" t="n"/>
      <c r="H22" s="539" t="n"/>
      <c r="I22" s="539" t="n"/>
      <c r="J22" s="539" t="n"/>
      <c r="K22" s="539" t="n"/>
      <c r="L22" s="539">
        <f>IF(J22=0,"",(K22-J22)/J22*100)</f>
      </c>
    </row>
    <row r="23" ht="15.5" customHeight="1">
      <c r="A23" s="23" t="n"/>
      <c r="B23" s="24" t="n"/>
      <c r="C23" s="23" t="n"/>
      <c r="D23" s="25" t="n"/>
      <c r="E23" s="25" t="n"/>
      <c r="F23" s="23" t="n"/>
      <c r="G23" s="23" t="n"/>
      <c r="H23" s="539" t="n"/>
      <c r="I23" s="539" t="n"/>
      <c r="J23" s="539" t="n"/>
      <c r="K23" s="539" t="n"/>
      <c r="L23" s="539">
        <f>IF(J23=0,"",(K23-J23)/J23*100)</f>
      </c>
    </row>
    <row r="24" ht="15.5" customHeight="1">
      <c r="A24" s="23" t="n"/>
      <c r="B24" s="24" t="n"/>
      <c r="C24" s="23" t="n"/>
      <c r="D24" s="25" t="n"/>
      <c r="E24" s="25" t="n"/>
      <c r="F24" s="23" t="n"/>
      <c r="G24" s="23" t="n"/>
      <c r="H24" s="539" t="n"/>
      <c r="I24" s="539" t="n"/>
      <c r="J24" s="539" t="n"/>
      <c r="K24" s="539" t="n"/>
      <c r="L24" s="539">
        <f>IF(J24=0,"",(K24-J24)/J24*100)</f>
      </c>
    </row>
    <row r="25" ht="15.5" customHeight="1">
      <c r="A25" s="23" t="n"/>
      <c r="B25" s="24" t="n"/>
      <c r="C25" s="23" t="n"/>
      <c r="D25" s="25" t="n"/>
      <c r="E25" s="25" t="n"/>
      <c r="F25" s="23" t="n"/>
      <c r="G25" s="23" t="n"/>
      <c r="H25" s="539" t="n"/>
      <c r="I25" s="539" t="n"/>
      <c r="J25" s="539" t="n"/>
      <c r="K25" s="539" t="n"/>
      <c r="L25" s="539">
        <f>IF(J25=0,"",(K25-J25)/J25*100)</f>
      </c>
    </row>
    <row r="26" ht="15.5" customHeight="1">
      <c r="A26" s="23" t="n"/>
      <c r="B26" s="24" t="n"/>
      <c r="C26" s="23" t="n"/>
      <c r="D26" s="25" t="n"/>
      <c r="E26" s="25" t="n"/>
      <c r="F26" s="23" t="n"/>
      <c r="G26" s="23" t="n"/>
      <c r="H26" s="539" t="n"/>
      <c r="I26" s="539" t="n"/>
      <c r="J26" s="539" t="n"/>
      <c r="K26" s="539" t="n"/>
      <c r="L26" s="539" t="n"/>
    </row>
    <row r="27" ht="15.5" customHeight="1">
      <c r="A27" s="21" t="inlineStr">
        <is>
          <t>合          计</t>
        </is>
      </c>
      <c r="B27" s="28" t="n"/>
      <c r="C27" s="27" t="n"/>
      <c r="D27" s="25" t="n"/>
      <c r="E27" s="25" t="n"/>
      <c r="F27" s="27" t="n"/>
      <c r="G27" s="27" t="n"/>
      <c r="H27" s="539">
        <f>SUM(H6:H26)</f>
      </c>
      <c r="I27" s="539" t="n"/>
      <c r="J27" s="539">
        <f>SUM(J6:J26)</f>
      </c>
      <c r="K27" s="539">
        <f>SUM(K6:K26)</f>
      </c>
      <c r="L27" s="539">
        <f>IF(J27=0,"",(K27-J27)/J27*100)</f>
      </c>
    </row>
    <row r="28" ht="15.5" customHeight="1">
      <c r="A28" s="29">
        <f>封面!D11&amp;封面!G11</f>
      </c>
      <c r="J28" s="536">
        <f>"评估人员："&amp;封面!G20</f>
      </c>
    </row>
    <row r="29" ht="15.5" customHeight="1">
      <c r="A29" s="29">
        <f>CONCATENATE(封面!D13,封面!F13,封面!G13,封面!H13,封面!I13,封面!J13,封面!K13)</f>
      </c>
    </row>
  </sheetData>
  <mergeCells count="3">
    <mergeCell ref="A3:L3"/>
    <mergeCell ref="A2:L2"/>
    <mergeCell ref="A27:B27"/>
  </mergeCells>
  <hyperlinks>
    <hyperlink ref="A1" location="索引目录!E10" display="返回索引页"/>
    <hyperlink ref="B1" location="交易性金融资产汇总!B7" display="返回"/>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Roman,常规"&amp;P&amp;"宋体,常规"3-2-2_x000a_页</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codeName="Sheet15">
    <outlinePr summaryBelow="1" summaryRight="1"/>
    <pageSetUpPr fitToPage="1"/>
  </sheetPr>
  <dimension ref="A1:M29"/>
  <sheetViews>
    <sheetView view="pageBreakPreview" zoomScale="60" zoomScaleNormal="100" workbookViewId="0">
      <selection activeCell="G451" sqref="G451"/>
    </sheetView>
  </sheetViews>
  <sheetFormatPr baseColWidth="8" defaultColWidth="9" defaultRowHeight="15.75" customHeight="1"/>
  <cols>
    <col width="5.33333333333333" customWidth="1" style="13" min="1" max="1"/>
    <col width="16.5833333333333" customWidth="1" style="13" min="2" max="2"/>
    <col width="13.75" customWidth="1" style="13" min="3" max="3"/>
    <col width="8.25" customWidth="1" style="13" min="4" max="5"/>
    <col width="9.33333333333333" customWidth="1" style="13" min="6" max="7"/>
    <col hidden="1" outlineLevel="1" width="15.25" customWidth="1" style="13" min="8" max="9"/>
    <col collapsed="1" width="15.25" customWidth="1" style="13" min="10" max="10"/>
    <col width="12.8333333333333" customWidth="1" style="13" min="11" max="11"/>
    <col width="14.8333333333333" customWidth="1" style="13" min="12" max="12"/>
    <col width="10.5833333333333" customWidth="1" style="13" min="13" max="13"/>
    <col width="9" customWidth="1" style="13" min="14" max="16384"/>
  </cols>
  <sheetData>
    <row r="1" ht="15.5" customHeight="1">
      <c r="A1" s="545" t="inlineStr">
        <is>
          <t>返回索引页</t>
        </is>
      </c>
      <c r="B1" s="15" t="inlineStr">
        <is>
          <t>返回</t>
        </is>
      </c>
      <c r="C1" s="16" t="n"/>
      <c r="D1" s="16" t="n"/>
      <c r="E1" s="16" t="n"/>
      <c r="F1" s="16" t="n"/>
      <c r="G1" s="16" t="n"/>
      <c r="H1" s="16" t="n"/>
      <c r="I1" s="16" t="n"/>
      <c r="J1" s="16" t="n"/>
      <c r="K1" s="16" t="n"/>
      <c r="L1" s="16" t="n"/>
      <c r="M1" s="16" t="n"/>
    </row>
    <row r="2" ht="30" customFormat="1" customHeight="1" s="11">
      <c r="A2" s="17" t="inlineStr">
        <is>
          <t>交易性金融资产—基金投资评估明细表</t>
        </is>
      </c>
    </row>
    <row r="3" ht="14.15" customHeight="1">
      <c r="A3" s="535">
        <f>CONCATENATE(封面!D9,封面!F9,封面!G9,封面!H9,封面!I9,封面!J9,封面!K9)</f>
      </c>
    </row>
    <row r="4" ht="15.5" customHeight="1">
      <c r="A4" s="536">
        <f>封面!D7&amp;封面!F7</f>
      </c>
      <c r="M4" s="20" t="inlineStr">
        <is>
          <t>金额单位：人民币元</t>
        </is>
      </c>
    </row>
    <row r="5" ht="13" customFormat="1" customHeight="1" s="12">
      <c r="A5" s="21" t="inlineStr">
        <is>
          <t>序号</t>
        </is>
      </c>
      <c r="B5" s="21" t="inlineStr">
        <is>
          <t>基金发行单位</t>
        </is>
      </c>
      <c r="C5" s="21" t="inlineStr">
        <is>
          <t>基金名称</t>
        </is>
      </c>
      <c r="D5" s="21" t="inlineStr">
        <is>
          <t>基金类型</t>
        </is>
      </c>
      <c r="E5" s="21" t="inlineStr">
        <is>
          <t>投资日期</t>
        </is>
      </c>
      <c r="F5" s="21" t="inlineStr">
        <is>
          <t>基金份额</t>
        </is>
      </c>
      <c r="G5" s="21" t="inlineStr">
        <is>
          <t>成本</t>
        </is>
      </c>
      <c r="H5" s="21" t="inlineStr">
        <is>
          <t>审计前账面值</t>
        </is>
      </c>
      <c r="I5" s="21" t="inlineStr">
        <is>
          <t>审计调整</t>
        </is>
      </c>
      <c r="J5" s="21" t="inlineStr">
        <is>
          <t>账面价值</t>
        </is>
      </c>
      <c r="K5" s="21" t="inlineStr">
        <is>
          <t>基准日净值/份</t>
        </is>
      </c>
      <c r="L5" s="21" t="inlineStr">
        <is>
          <t>评估价值</t>
        </is>
      </c>
      <c r="M5" s="21" t="inlineStr">
        <is>
          <t>增值率%</t>
        </is>
      </c>
    </row>
    <row r="6" ht="15.5" customHeight="1">
      <c r="A6" s="23" t="n"/>
      <c r="B6" s="24" t="n"/>
      <c r="C6" s="23" t="n"/>
      <c r="D6" s="25" t="n"/>
      <c r="E6" s="25" t="n"/>
      <c r="F6" s="23" t="n"/>
      <c r="G6" s="23" t="n"/>
      <c r="H6" s="539" t="n"/>
      <c r="I6" s="539" t="n"/>
      <c r="J6" s="539" t="n"/>
      <c r="K6" s="539" t="n"/>
      <c r="L6" s="539" t="n"/>
      <c r="M6" s="539">
        <f>IF(J6=0,"",(L6-J6)/J6*100)</f>
      </c>
    </row>
    <row r="7" ht="15.5" customHeight="1">
      <c r="A7" s="23" t="n"/>
      <c r="B7" s="24" t="n"/>
      <c r="C7" s="23" t="n"/>
      <c r="D7" s="25" t="n"/>
      <c r="E7" s="38" t="n"/>
      <c r="F7" s="23" t="n"/>
      <c r="G7" s="23" t="n"/>
      <c r="H7" s="539" t="n"/>
      <c r="I7" s="539" t="n"/>
      <c r="J7" s="539" t="n"/>
      <c r="K7" s="539" t="n"/>
      <c r="L7" s="539" t="n"/>
      <c r="M7" s="539">
        <f>IF(J7=0,"",(L7-J7)/J7*100)</f>
      </c>
    </row>
    <row r="8" ht="15.5" customHeight="1">
      <c r="A8" s="23" t="n"/>
      <c r="B8" s="24" t="n"/>
      <c r="C8" s="23" t="n"/>
      <c r="D8" s="25" t="n"/>
      <c r="E8" s="38" t="n"/>
      <c r="F8" s="23" t="n"/>
      <c r="G8" s="23" t="n"/>
      <c r="H8" s="539" t="n"/>
      <c r="I8" s="539" t="n"/>
      <c r="J8" s="539" t="n"/>
      <c r="K8" s="539" t="n"/>
      <c r="L8" s="539" t="n"/>
      <c r="M8" s="539">
        <f>IF(J8=0,"",(L8-J8)/J8*100)</f>
      </c>
    </row>
    <row r="9" ht="15.5" customHeight="1">
      <c r="A9" s="23" t="n"/>
      <c r="B9" s="24" t="n"/>
      <c r="C9" s="23" t="n"/>
      <c r="D9" s="25" t="n"/>
      <c r="E9" s="38" t="n"/>
      <c r="F9" s="23" t="n"/>
      <c r="G9" s="23" t="n"/>
      <c r="H9" s="539" t="n"/>
      <c r="I9" s="539" t="n"/>
      <c r="J9" s="539" t="n"/>
      <c r="K9" s="539" t="n"/>
      <c r="L9" s="539" t="n"/>
      <c r="M9" s="539">
        <f>IF(J9=0,"",(L9-J9)/J9*100)</f>
      </c>
    </row>
    <row r="10" ht="15.5" customHeight="1">
      <c r="A10" s="23" t="n"/>
      <c r="B10" s="24" t="n"/>
      <c r="C10" s="23" t="n"/>
      <c r="D10" s="25" t="n"/>
      <c r="E10" s="38" t="n"/>
      <c r="F10" s="23" t="n"/>
      <c r="G10" s="23" t="n"/>
      <c r="H10" s="539" t="n"/>
      <c r="I10" s="539" t="n"/>
      <c r="J10" s="539" t="n"/>
      <c r="K10" s="539" t="n"/>
      <c r="L10" s="539" t="n"/>
      <c r="M10" s="539">
        <f>IF(J10=0,"",(L10-J10)/J10*100)</f>
      </c>
    </row>
    <row r="11" ht="15.5" customHeight="1">
      <c r="A11" s="23" t="n"/>
      <c r="B11" s="24" t="n"/>
      <c r="C11" s="23" t="n"/>
      <c r="D11" s="25" t="n"/>
      <c r="E11" s="38" t="n"/>
      <c r="F11" s="23" t="n"/>
      <c r="G11" s="23" t="n"/>
      <c r="H11" s="539" t="n"/>
      <c r="I11" s="539" t="n"/>
      <c r="J11" s="539" t="n"/>
      <c r="K11" s="539" t="n"/>
      <c r="L11" s="539" t="n"/>
      <c r="M11" s="539">
        <f>IF(J11=0,"",(L11-J11)/J11*100)</f>
      </c>
    </row>
    <row r="12" ht="15.5" customHeight="1">
      <c r="A12" s="23" t="n"/>
      <c r="B12" s="24" t="n"/>
      <c r="C12" s="23" t="n"/>
      <c r="D12" s="25" t="n"/>
      <c r="E12" s="38" t="n"/>
      <c r="F12" s="23" t="n"/>
      <c r="G12" s="23" t="n"/>
      <c r="H12" s="539" t="n"/>
      <c r="I12" s="539" t="n"/>
      <c r="J12" s="539" t="n"/>
      <c r="K12" s="539" t="n"/>
      <c r="L12" s="539" t="n"/>
      <c r="M12" s="539">
        <f>IF(J12=0,"",(L12-J12)/J12*100)</f>
      </c>
    </row>
    <row r="13" ht="15.5" customHeight="1">
      <c r="A13" s="23" t="n"/>
      <c r="B13" s="24" t="n"/>
      <c r="C13" s="23" t="n"/>
      <c r="D13" s="25" t="n"/>
      <c r="E13" s="38" t="n"/>
      <c r="F13" s="23" t="n"/>
      <c r="G13" s="23" t="n"/>
      <c r="H13" s="539" t="n"/>
      <c r="I13" s="539" t="n"/>
      <c r="J13" s="539" t="n"/>
      <c r="K13" s="539" t="n"/>
      <c r="L13" s="539" t="n"/>
      <c r="M13" s="539">
        <f>IF(J13=0,"",(L13-J13)/J13*100)</f>
      </c>
    </row>
    <row r="14" ht="15.5" customHeight="1">
      <c r="A14" s="23" t="n"/>
      <c r="B14" s="24" t="n"/>
      <c r="C14" s="23" t="n"/>
      <c r="D14" s="25" t="n"/>
      <c r="E14" s="38" t="n"/>
      <c r="F14" s="23" t="n"/>
      <c r="G14" s="23" t="n"/>
      <c r="H14" s="539" t="n"/>
      <c r="I14" s="539" t="n"/>
      <c r="J14" s="539" t="n"/>
      <c r="K14" s="539" t="n"/>
      <c r="L14" s="539" t="n"/>
      <c r="M14" s="539">
        <f>IF(J14=0,"",(L14-J14)/J14*100)</f>
      </c>
    </row>
    <row r="15" ht="15.5" customHeight="1">
      <c r="A15" s="23" t="n"/>
      <c r="B15" s="24" t="n"/>
      <c r="C15" s="23" t="n"/>
      <c r="D15" s="25" t="n"/>
      <c r="E15" s="38" t="n"/>
      <c r="F15" s="23" t="n"/>
      <c r="G15" s="23" t="n"/>
      <c r="H15" s="539" t="n"/>
      <c r="I15" s="539" t="n"/>
      <c r="J15" s="539" t="n"/>
      <c r="K15" s="539" t="n"/>
      <c r="L15" s="539" t="n"/>
      <c r="M15" s="539">
        <f>IF(J15=0,"",(L15-J15)/J15*100)</f>
      </c>
    </row>
    <row r="16" ht="15.5" customHeight="1">
      <c r="A16" s="23" t="n"/>
      <c r="B16" s="24" t="n"/>
      <c r="C16" s="23" t="n"/>
      <c r="D16" s="25" t="n"/>
      <c r="E16" s="38" t="n"/>
      <c r="F16" s="23" t="n"/>
      <c r="G16" s="23" t="n"/>
      <c r="H16" s="539" t="n"/>
      <c r="I16" s="539" t="n"/>
      <c r="J16" s="539" t="n"/>
      <c r="K16" s="539" t="n"/>
      <c r="L16" s="539" t="n"/>
      <c r="M16" s="539">
        <f>IF(J16=0,"",(L16-J16)/J16*100)</f>
      </c>
    </row>
    <row r="17" ht="15.5" customHeight="1">
      <c r="A17" s="23" t="n"/>
      <c r="B17" s="24" t="n"/>
      <c r="C17" s="23" t="n"/>
      <c r="D17" s="25" t="n"/>
      <c r="E17" s="38" t="n"/>
      <c r="F17" s="23" t="n"/>
      <c r="G17" s="23" t="n"/>
      <c r="H17" s="539" t="n"/>
      <c r="I17" s="539" t="n"/>
      <c r="J17" s="539" t="n"/>
      <c r="K17" s="539" t="n"/>
      <c r="L17" s="539" t="n"/>
      <c r="M17" s="539">
        <f>IF(J17=0,"",(L17-J17)/J17*100)</f>
      </c>
    </row>
    <row r="18" ht="15.5" customHeight="1">
      <c r="A18" s="23" t="n"/>
      <c r="B18" s="24" t="n"/>
      <c r="C18" s="23" t="n"/>
      <c r="D18" s="25" t="n"/>
      <c r="E18" s="38" t="n"/>
      <c r="F18" s="23" t="n"/>
      <c r="G18" s="23" t="n"/>
      <c r="H18" s="539" t="n"/>
      <c r="I18" s="539" t="n"/>
      <c r="J18" s="539" t="n"/>
      <c r="K18" s="539" t="n"/>
      <c r="L18" s="539" t="n"/>
      <c r="M18" s="539">
        <f>IF(J18=0,"",(L18-J18)/J18*100)</f>
      </c>
    </row>
    <row r="19" ht="15.5" customHeight="1">
      <c r="A19" s="23" t="n"/>
      <c r="B19" s="24" t="n"/>
      <c r="C19" s="23" t="n"/>
      <c r="D19" s="25" t="n"/>
      <c r="E19" s="38" t="n"/>
      <c r="F19" s="23" t="n"/>
      <c r="G19" s="23" t="n"/>
      <c r="H19" s="539" t="n"/>
      <c r="I19" s="539" t="n"/>
      <c r="J19" s="539" t="n"/>
      <c r="K19" s="539" t="n"/>
      <c r="L19" s="539" t="n"/>
      <c r="M19" s="539">
        <f>IF(J19=0,"",(L19-J19)/J19*100)</f>
      </c>
    </row>
    <row r="20" ht="15.5" customHeight="1">
      <c r="A20" s="23" t="n"/>
      <c r="B20" s="24" t="n"/>
      <c r="C20" s="23" t="n"/>
      <c r="D20" s="25" t="n"/>
      <c r="E20" s="38" t="n"/>
      <c r="F20" s="23" t="n"/>
      <c r="G20" s="23" t="n"/>
      <c r="H20" s="539" t="n"/>
      <c r="I20" s="539" t="n"/>
      <c r="J20" s="539" t="n"/>
      <c r="K20" s="539" t="n"/>
      <c r="L20" s="539" t="n"/>
      <c r="M20" s="539">
        <f>IF(J20=0,"",(L20-J20)/J20*100)</f>
      </c>
    </row>
    <row r="21" ht="15.5" customHeight="1">
      <c r="A21" s="23" t="n"/>
      <c r="B21" s="24" t="n"/>
      <c r="C21" s="23" t="n"/>
      <c r="D21" s="25" t="n"/>
      <c r="E21" s="38" t="n"/>
      <c r="F21" s="23" t="n"/>
      <c r="G21" s="23" t="n"/>
      <c r="H21" s="539" t="n"/>
      <c r="I21" s="539" t="n"/>
      <c r="J21" s="539" t="n"/>
      <c r="K21" s="539" t="n"/>
      <c r="L21" s="539" t="n"/>
      <c r="M21" s="539">
        <f>IF(J21=0,"",(L21-J21)/J21*100)</f>
      </c>
    </row>
    <row r="22" ht="15.5" customHeight="1">
      <c r="A22" s="23" t="n"/>
      <c r="B22" s="24" t="n"/>
      <c r="C22" s="23" t="n"/>
      <c r="D22" s="25" t="n"/>
      <c r="E22" s="38" t="n"/>
      <c r="F22" s="23" t="n"/>
      <c r="G22" s="23" t="n"/>
      <c r="H22" s="539" t="n"/>
      <c r="I22" s="539" t="n"/>
      <c r="J22" s="539" t="n"/>
      <c r="K22" s="539" t="n"/>
      <c r="L22" s="539" t="n"/>
      <c r="M22" s="539">
        <f>IF(J22=0,"",(L22-J22)/J22*100)</f>
      </c>
    </row>
    <row r="23" ht="15.5" customHeight="1">
      <c r="A23" s="23" t="n"/>
      <c r="B23" s="24" t="n"/>
      <c r="C23" s="23" t="n"/>
      <c r="D23" s="25" t="n"/>
      <c r="E23" s="38" t="n"/>
      <c r="F23" s="23" t="n"/>
      <c r="G23" s="23" t="n"/>
      <c r="H23" s="539" t="n"/>
      <c r="I23" s="539" t="n"/>
      <c r="J23" s="539" t="n"/>
      <c r="K23" s="539" t="n"/>
      <c r="L23" s="539" t="n"/>
      <c r="M23" s="539">
        <f>IF(J23=0,"",(L23-J23)/J23*100)</f>
      </c>
    </row>
    <row r="24" ht="15.5" customHeight="1">
      <c r="A24" s="23" t="n"/>
      <c r="B24" s="24" t="n"/>
      <c r="C24" s="23" t="n"/>
      <c r="D24" s="25" t="n"/>
      <c r="E24" s="38" t="n"/>
      <c r="F24" s="23" t="n"/>
      <c r="G24" s="23" t="n"/>
      <c r="H24" s="539" t="n"/>
      <c r="I24" s="539" t="n"/>
      <c r="J24" s="539" t="n"/>
      <c r="K24" s="539" t="n"/>
      <c r="L24" s="539" t="n"/>
      <c r="M24" s="539">
        <f>IF(J24=0,"",(L24-J24)/J24*100)</f>
      </c>
    </row>
    <row r="25" ht="15.5" customHeight="1">
      <c r="A25" s="23" t="n"/>
      <c r="B25" s="24" t="n"/>
      <c r="C25" s="23" t="n"/>
      <c r="D25" s="25" t="n"/>
      <c r="E25" s="38" t="n"/>
      <c r="F25" s="23" t="n"/>
      <c r="G25" s="23" t="n"/>
      <c r="H25" s="539" t="n"/>
      <c r="I25" s="539" t="n"/>
      <c r="J25" s="539" t="n"/>
      <c r="K25" s="539" t="n"/>
      <c r="L25" s="539" t="n"/>
      <c r="M25" s="539">
        <f>IF(J25=0,"",(L25-J25)/J25*100)</f>
      </c>
    </row>
    <row r="26" ht="15.5" customHeight="1">
      <c r="A26" s="23" t="n"/>
      <c r="B26" s="24" t="n"/>
      <c r="C26" s="23" t="n"/>
      <c r="D26" s="25" t="n"/>
      <c r="E26" s="38" t="n"/>
      <c r="F26" s="23" t="n"/>
      <c r="G26" s="23" t="n"/>
      <c r="H26" s="539" t="n"/>
      <c r="I26" s="539" t="n"/>
      <c r="J26" s="539" t="n"/>
      <c r="K26" s="539" t="n"/>
      <c r="L26" s="539" t="n"/>
      <c r="M26" s="539" t="n"/>
    </row>
    <row r="27" ht="15.5" customHeight="1">
      <c r="A27" s="21" t="inlineStr">
        <is>
          <t>合          计</t>
        </is>
      </c>
      <c r="B27" s="28" t="n"/>
      <c r="C27" s="27" t="n"/>
      <c r="D27" s="25" t="n"/>
      <c r="E27" s="27" t="n"/>
      <c r="F27" s="27" t="n"/>
      <c r="G27" s="27" t="n"/>
      <c r="H27" s="539">
        <f>SUM(H6:H26)</f>
      </c>
      <c r="I27" s="539" t="n"/>
      <c r="J27" s="539">
        <f>SUM(J6:J26)</f>
      </c>
      <c r="K27" s="539" t="n"/>
      <c r="L27" s="539">
        <f>SUM(L6:L26)</f>
      </c>
      <c r="M27" s="539">
        <f>IF(J27=0,"",(L27-J27)/J27*100)</f>
      </c>
    </row>
    <row r="28" ht="15.5" customHeight="1">
      <c r="A28" s="29">
        <f>封面!D11&amp;封面!G11</f>
      </c>
      <c r="J28" s="536">
        <f>"评估人员："&amp;封面!G20</f>
      </c>
    </row>
    <row r="29" ht="15.5" customHeight="1">
      <c r="A29" s="29">
        <f>CONCATENATE(封面!D13,封面!F13,封面!G13,封面!H13,封面!I13,封面!J13,封面!K13)</f>
      </c>
    </row>
  </sheetData>
  <mergeCells count="3">
    <mergeCell ref="A27:B27"/>
    <mergeCell ref="A3:M3"/>
    <mergeCell ref="A2:M2"/>
  </mergeCells>
  <hyperlinks>
    <hyperlink ref="A1" location="索引目录!E11" display="返回索引页"/>
    <hyperlink ref="B1" location="交易性金融资产汇总!B8" display="返回"/>
  </hyperlinks>
  <printOptions horizontalCentered="1"/>
  <pageMargins left="0.354330708661417" right="0.354330708661417" top="0.78740157480315" bottom="0.78740157480315" header="1.01" footer="0.511811023622047"/>
  <pageSetup orientation="landscape" paperSize="9" fitToHeight="0"/>
  <headerFooter alignWithMargins="0">
    <oddHeader>&amp;R&amp;"宋体,常规"共&amp;"Times New Roman,常规"&amp;N&amp;"宋体,常规"页第&amp;"Times New Roman,常规"&amp;P&amp;"宋体,常规"3-2-3_x000a_页</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codeName="Sheet16">
    <outlinePr summaryBelow="1" summaryRight="1"/>
    <pageSetUpPr fitToPage="1"/>
  </sheetPr>
  <dimension ref="A1:K29"/>
  <sheetViews>
    <sheetView view="pageBreakPreview" zoomScale="60" zoomScaleNormal="100" workbookViewId="0">
      <selection activeCell="G451" sqref="G451"/>
    </sheetView>
  </sheetViews>
  <sheetFormatPr baseColWidth="8" defaultColWidth="9" defaultRowHeight="15.75" customHeight="1"/>
  <cols>
    <col width="5.25" customWidth="1" style="13" min="1" max="1"/>
    <col width="26.3333333333333" customWidth="1" style="13" min="2" max="2"/>
    <col width="9.58333333333333" customWidth="1" style="13" min="3" max="4"/>
    <col width="10.3333333333333" customWidth="1" style="13" min="5" max="5"/>
    <col hidden="1" outlineLevel="1" width="13.0833333333333" customWidth="1" style="547" min="6" max="7"/>
    <col collapsed="1" width="16.5833333333333" customWidth="1" style="547" min="8" max="8"/>
    <col width="14.5833333333333" customWidth="1" style="547" min="9" max="10"/>
    <col width="14.5833333333333" customWidth="1" style="13" min="11" max="11"/>
    <col width="9" customWidth="1" style="13" min="12" max="16384"/>
  </cols>
  <sheetData>
    <row r="1" ht="15.5" customHeight="1">
      <c r="A1" s="545" t="inlineStr">
        <is>
          <t>返回索引页</t>
        </is>
      </c>
      <c r="B1" s="15" t="inlineStr">
        <is>
          <t>返回</t>
        </is>
      </c>
      <c r="C1" s="16" t="n"/>
      <c r="D1" s="16" t="n"/>
      <c r="E1" s="16" t="n"/>
      <c r="F1" s="16" t="n"/>
      <c r="G1" s="16" t="n"/>
      <c r="H1" s="16" t="n"/>
      <c r="I1" s="16" t="n"/>
      <c r="J1" s="16" t="n"/>
      <c r="K1" s="16" t="n"/>
    </row>
    <row r="2" ht="30" customFormat="1" customHeight="1" s="11">
      <c r="A2" s="17" t="inlineStr">
        <is>
          <t>应收票据评估明细表</t>
        </is>
      </c>
    </row>
    <row r="3" ht="14.15" customHeight="1">
      <c r="A3" s="535">
        <f>CONCATENATE(封面!D9,封面!F9,封面!G9,封面!H9,封面!I9,封面!J9,封面!K9)</f>
      </c>
    </row>
    <row r="4" ht="15.5" customHeight="1">
      <c r="A4" s="536">
        <f>封面!D7&amp;封面!F7</f>
      </c>
      <c r="K4" s="20" t="inlineStr">
        <is>
          <t>金额单位：人民币元</t>
        </is>
      </c>
    </row>
    <row r="5" ht="13" customFormat="1" customHeight="1" s="12">
      <c r="A5" s="21" t="inlineStr">
        <is>
          <t>序号</t>
        </is>
      </c>
      <c r="B5" s="21" t="inlineStr">
        <is>
          <t>户名（结算对象）</t>
        </is>
      </c>
      <c r="C5" s="21" t="inlineStr">
        <is>
          <t>出票日期</t>
        </is>
      </c>
      <c r="D5" s="21" t="inlineStr">
        <is>
          <t>到期日期</t>
        </is>
      </c>
      <c r="E5" s="21" t="inlineStr">
        <is>
          <t>票面利率%</t>
        </is>
      </c>
      <c r="F5" s="21" t="inlineStr">
        <is>
          <t>审计前账面值</t>
        </is>
      </c>
      <c r="G5" s="21" t="inlineStr">
        <is>
          <t>审计调整</t>
        </is>
      </c>
      <c r="H5" s="548" t="inlineStr">
        <is>
          <t>账面价值</t>
        </is>
      </c>
      <c r="I5" s="548" t="inlineStr">
        <is>
          <t>评估价值</t>
        </is>
      </c>
      <c r="J5" s="548" t="inlineStr">
        <is>
          <t>增值率%</t>
        </is>
      </c>
      <c r="K5" s="21" t="inlineStr">
        <is>
          <t>备注</t>
        </is>
      </c>
    </row>
    <row r="6" ht="15.5" customHeight="1">
      <c r="A6" s="23" t="n"/>
      <c r="B6" s="24" t="n"/>
      <c r="C6" s="25" t="n"/>
      <c r="D6" s="25" t="n"/>
      <c r="E6" s="27" t="n"/>
      <c r="F6" s="539" t="n"/>
      <c r="G6" s="539" t="n"/>
      <c r="H6" s="539" t="n"/>
      <c r="I6" s="539" t="n"/>
      <c r="J6" s="539">
        <f>IF(H6=0,"",(I6-H6)/H6*100)</f>
      </c>
      <c r="K6" s="27" t="n"/>
    </row>
    <row r="7" ht="15.5" customHeight="1">
      <c r="A7" s="23" t="n"/>
      <c r="B7" s="24" t="n"/>
      <c r="C7" s="25" t="n"/>
      <c r="D7" s="25" t="n"/>
      <c r="E7" s="27" t="n"/>
      <c r="F7" s="539" t="n"/>
      <c r="G7" s="539" t="n"/>
      <c r="H7" s="539" t="n"/>
      <c r="I7" s="539" t="n"/>
      <c r="J7" s="539">
        <f>IF(H7=0,"",(I7-H7)/H7*100)</f>
      </c>
      <c r="K7" s="27" t="n"/>
    </row>
    <row r="8" ht="15.5" customHeight="1">
      <c r="A8" s="23" t="n"/>
      <c r="B8" s="24" t="n"/>
      <c r="C8" s="25" t="n"/>
      <c r="D8" s="25" t="n"/>
      <c r="E8" s="27" t="n"/>
      <c r="F8" s="539" t="n"/>
      <c r="G8" s="539" t="n"/>
      <c r="H8" s="539" t="n"/>
      <c r="I8" s="539" t="n"/>
      <c r="J8" s="539">
        <f>IF(H8=0,"",(I8-H8)/H8*100)</f>
      </c>
      <c r="K8" s="27" t="n"/>
    </row>
    <row r="9" ht="15.5" customHeight="1">
      <c r="A9" s="23" t="n"/>
      <c r="B9" s="24" t="n"/>
      <c r="C9" s="25" t="n"/>
      <c r="D9" s="25" t="n"/>
      <c r="E9" s="27" t="n"/>
      <c r="F9" s="539" t="n"/>
      <c r="G9" s="539" t="n"/>
      <c r="H9" s="539" t="n"/>
      <c r="I9" s="539" t="n"/>
      <c r="J9" s="539">
        <f>IF(H9=0,"",(I9-H9)/H9*100)</f>
      </c>
      <c r="K9" s="27" t="n"/>
    </row>
    <row r="10" ht="15.5" customHeight="1">
      <c r="A10" s="23" t="n"/>
      <c r="B10" s="24" t="n"/>
      <c r="C10" s="25" t="n"/>
      <c r="D10" s="25" t="n"/>
      <c r="E10" s="27" t="n"/>
      <c r="F10" s="539" t="n"/>
      <c r="G10" s="539" t="n"/>
      <c r="H10" s="539" t="n"/>
      <c r="I10" s="539" t="n"/>
      <c r="J10" s="539">
        <f>IF(H10=0,"",(I10-H10)/H10*100)</f>
      </c>
      <c r="K10" s="27" t="n"/>
    </row>
    <row r="11" ht="15.5" customHeight="1">
      <c r="A11" s="23" t="n"/>
      <c r="B11" s="24" t="n"/>
      <c r="C11" s="25" t="n"/>
      <c r="D11" s="25" t="n"/>
      <c r="E11" s="27" t="n"/>
      <c r="F11" s="539" t="n"/>
      <c r="G11" s="539" t="n"/>
      <c r="H11" s="539" t="n"/>
      <c r="I11" s="539" t="n"/>
      <c r="J11" s="539">
        <f>IF(H11=0,"",(I11-H11)/H11*100)</f>
      </c>
      <c r="K11" s="27" t="n"/>
    </row>
    <row r="12" ht="15.5" customHeight="1">
      <c r="A12" s="23" t="n"/>
      <c r="B12" s="24" t="n"/>
      <c r="C12" s="25" t="n"/>
      <c r="D12" s="25" t="n"/>
      <c r="E12" s="27" t="n"/>
      <c r="F12" s="539" t="n"/>
      <c r="G12" s="539" t="n"/>
      <c r="H12" s="539" t="n"/>
      <c r="I12" s="539" t="n"/>
      <c r="J12" s="539">
        <f>IF(H12=0,"",(I12-H12)/H12*100)</f>
      </c>
      <c r="K12" s="27" t="n"/>
    </row>
    <row r="13" ht="15.5" customHeight="1">
      <c r="A13" s="23" t="n"/>
      <c r="B13" s="24" t="n"/>
      <c r="C13" s="25" t="n"/>
      <c r="D13" s="25" t="n"/>
      <c r="E13" s="27" t="n"/>
      <c r="F13" s="539" t="n"/>
      <c r="G13" s="539" t="n"/>
      <c r="H13" s="539" t="n"/>
      <c r="I13" s="539" t="n"/>
      <c r="J13" s="539">
        <f>IF(H13=0,"",(I13-H13)/H13*100)</f>
      </c>
      <c r="K13" s="27" t="n"/>
    </row>
    <row r="14" ht="15.5" customHeight="1">
      <c r="A14" s="23" t="n"/>
      <c r="B14" s="24" t="n"/>
      <c r="C14" s="25" t="n"/>
      <c r="D14" s="25" t="n"/>
      <c r="E14" s="27" t="n"/>
      <c r="F14" s="539" t="n"/>
      <c r="G14" s="539" t="n"/>
      <c r="H14" s="539" t="n"/>
      <c r="I14" s="539" t="n"/>
      <c r="J14" s="539">
        <f>IF(H14=0,"",(I14-H14)/H14*100)</f>
      </c>
      <c r="K14" s="27" t="n"/>
    </row>
    <row r="15" ht="15.5" customHeight="1">
      <c r="A15" s="23" t="n"/>
      <c r="B15" s="24" t="n"/>
      <c r="C15" s="25" t="n"/>
      <c r="D15" s="25" t="n"/>
      <c r="E15" s="27" t="n"/>
      <c r="F15" s="539" t="n"/>
      <c r="G15" s="539" t="n"/>
      <c r="H15" s="539" t="n"/>
      <c r="I15" s="539" t="n"/>
      <c r="J15" s="539">
        <f>IF(H15=0,"",(I15-H15)/H15*100)</f>
      </c>
      <c r="K15" s="27" t="n"/>
    </row>
    <row r="16" ht="15.5" customHeight="1">
      <c r="A16" s="23" t="n"/>
      <c r="B16" s="24" t="n"/>
      <c r="C16" s="25" t="n"/>
      <c r="D16" s="25" t="n"/>
      <c r="E16" s="27" t="n"/>
      <c r="F16" s="539" t="n"/>
      <c r="G16" s="539" t="n"/>
      <c r="H16" s="539" t="n"/>
      <c r="I16" s="539" t="n"/>
      <c r="J16" s="539">
        <f>IF(H16=0,"",(I16-H16)/H16*100)</f>
      </c>
      <c r="K16" s="27" t="n"/>
    </row>
    <row r="17" ht="15.5" customHeight="1">
      <c r="A17" s="23" t="n"/>
      <c r="B17" s="24" t="n"/>
      <c r="C17" s="25" t="n"/>
      <c r="D17" s="25" t="n"/>
      <c r="E17" s="27" t="n"/>
      <c r="F17" s="539" t="n"/>
      <c r="G17" s="539" t="n"/>
      <c r="H17" s="539" t="n"/>
      <c r="I17" s="539" t="n"/>
      <c r="J17" s="539">
        <f>IF(H17=0,"",(I17-H17)/H17*100)</f>
      </c>
      <c r="K17" s="27" t="n"/>
    </row>
    <row r="18" ht="15.5" customHeight="1">
      <c r="A18" s="23" t="n"/>
      <c r="B18" s="24" t="n"/>
      <c r="C18" s="25" t="n"/>
      <c r="D18" s="25" t="n"/>
      <c r="E18" s="27" t="n"/>
      <c r="F18" s="539" t="n"/>
      <c r="G18" s="539" t="n"/>
      <c r="H18" s="539" t="n"/>
      <c r="I18" s="539" t="n"/>
      <c r="J18" s="539">
        <f>IF(H18=0,"",(I18-H18)/H18*100)</f>
      </c>
      <c r="K18" s="27" t="n"/>
    </row>
    <row r="19" ht="15.5" customHeight="1">
      <c r="A19" s="23" t="n"/>
      <c r="B19" s="24" t="n"/>
      <c r="C19" s="25" t="n"/>
      <c r="D19" s="25" t="n"/>
      <c r="E19" s="27" t="n"/>
      <c r="F19" s="539" t="n"/>
      <c r="G19" s="539" t="n"/>
      <c r="H19" s="539" t="n"/>
      <c r="I19" s="539" t="n"/>
      <c r="J19" s="539">
        <f>IF(H19=0,"",(I19-H19)/H19*100)</f>
      </c>
      <c r="K19" s="27" t="n"/>
    </row>
    <row r="20" ht="15.5" customHeight="1">
      <c r="A20" s="23" t="n"/>
      <c r="B20" s="24" t="n"/>
      <c r="C20" s="25" t="n"/>
      <c r="D20" s="25" t="n"/>
      <c r="E20" s="27" t="n"/>
      <c r="F20" s="539" t="n"/>
      <c r="G20" s="539" t="n"/>
      <c r="H20" s="539" t="n"/>
      <c r="I20" s="539" t="n"/>
      <c r="J20" s="539">
        <f>IF(H20=0,"",(I20-H20)/H20*100)</f>
      </c>
      <c r="K20" s="27" t="n"/>
    </row>
    <row r="21" ht="15.5" customHeight="1">
      <c r="A21" s="23" t="n"/>
      <c r="B21" s="24" t="n"/>
      <c r="C21" s="25" t="n"/>
      <c r="D21" s="25" t="n"/>
      <c r="E21" s="27" t="n"/>
      <c r="F21" s="539" t="n"/>
      <c r="G21" s="539" t="n"/>
      <c r="H21" s="539" t="n"/>
      <c r="I21" s="539" t="n"/>
      <c r="J21" s="539">
        <f>IF(H21=0,"",(I21-H21)/H21*100)</f>
      </c>
      <c r="K21" s="27" t="n"/>
    </row>
    <row r="22" ht="15.5" customHeight="1">
      <c r="A22" s="23" t="n"/>
      <c r="B22" s="24" t="n"/>
      <c r="C22" s="25" t="n"/>
      <c r="D22" s="25" t="n"/>
      <c r="E22" s="27" t="n"/>
      <c r="F22" s="539" t="n"/>
      <c r="G22" s="539" t="n"/>
      <c r="H22" s="539" t="n"/>
      <c r="I22" s="539" t="n"/>
      <c r="J22" s="539">
        <f>IF(H22=0,"",(I22-H22)/H22*100)</f>
      </c>
      <c r="K22" s="27" t="n"/>
    </row>
    <row r="23" ht="15.5" customHeight="1">
      <c r="A23" s="23" t="n"/>
      <c r="B23" s="24" t="n"/>
      <c r="C23" s="25" t="n"/>
      <c r="D23" s="25" t="n"/>
      <c r="E23" s="27" t="n"/>
      <c r="F23" s="539" t="n"/>
      <c r="G23" s="539" t="n"/>
      <c r="H23" s="539" t="n"/>
      <c r="I23" s="539" t="n"/>
      <c r="J23" s="539">
        <f>IF(H23=0,"",(I23-H23)/H23*100)</f>
      </c>
      <c r="K23" s="27" t="n"/>
    </row>
    <row r="24" ht="15.5" customHeight="1">
      <c r="A24" s="23" t="n"/>
      <c r="B24" s="24" t="n"/>
      <c r="C24" s="25" t="n"/>
      <c r="D24" s="25" t="n"/>
      <c r="E24" s="27" t="n"/>
      <c r="F24" s="539" t="n"/>
      <c r="G24" s="539" t="n"/>
      <c r="H24" s="539" t="n"/>
      <c r="I24" s="539" t="n"/>
      <c r="J24" s="539">
        <f>IF(H24=0,"",(I24-H24)/H24*100)</f>
      </c>
      <c r="K24" s="27" t="n"/>
    </row>
    <row r="25" ht="15.5" customHeight="1">
      <c r="A25" s="23" t="n"/>
      <c r="B25" s="24" t="n"/>
      <c r="C25" s="25" t="n"/>
      <c r="D25" s="25" t="n"/>
      <c r="E25" s="27" t="n"/>
      <c r="F25" s="539" t="n"/>
      <c r="G25" s="539" t="n"/>
      <c r="H25" s="539" t="n"/>
      <c r="I25" s="539" t="n"/>
      <c r="J25" s="539">
        <f>IF(H25=0,"",(I25-H25)/H25*100)</f>
      </c>
      <c r="K25" s="27" t="n"/>
    </row>
    <row r="26" ht="15.5" customHeight="1">
      <c r="A26" s="23" t="n"/>
      <c r="B26" s="24" t="n"/>
      <c r="C26" s="25" t="n"/>
      <c r="D26" s="25" t="n"/>
      <c r="E26" s="27" t="n"/>
      <c r="F26" s="539" t="n"/>
      <c r="G26" s="539" t="n"/>
      <c r="H26" s="539" t="n"/>
      <c r="I26" s="539" t="n"/>
      <c r="J26" s="539">
        <f>IF(H26=0,"",(I26-H26)/H26*100)</f>
      </c>
      <c r="K26" s="27" t="n"/>
    </row>
    <row r="27" ht="15.5" customHeight="1">
      <c r="A27" s="21" t="inlineStr">
        <is>
          <t>合            计</t>
        </is>
      </c>
      <c r="B27" s="28" t="n"/>
      <c r="C27" s="25" t="n"/>
      <c r="D27" s="25" t="n"/>
      <c r="E27" s="27" t="n"/>
      <c r="F27" s="539">
        <f>SUM(F6:F26)</f>
      </c>
      <c r="G27" s="539" t="n"/>
      <c r="H27" s="539">
        <f>SUM(H6:H26)</f>
      </c>
      <c r="I27" s="539">
        <f>SUM(I6:I26)</f>
      </c>
      <c r="J27" s="539">
        <f>IF(H27=0,"",(I27-H27)/H27*100)</f>
      </c>
      <c r="K27" s="27" t="n"/>
    </row>
    <row r="28" ht="15.5" customHeight="1">
      <c r="A28" s="29">
        <f>封面!D11&amp;封面!G11</f>
      </c>
      <c r="H28" s="536">
        <f>"评估人员："&amp;封面!G20</f>
      </c>
    </row>
    <row r="29" ht="15.5" customHeight="1">
      <c r="A29" s="29">
        <f>CONCATENATE(封面!D13,封面!F13,封面!G13,封面!H13,封面!I13,封面!J13,封面!K13)</f>
      </c>
    </row>
  </sheetData>
  <mergeCells count="3">
    <mergeCell ref="A2:K2"/>
    <mergeCell ref="A27:B27"/>
    <mergeCell ref="A3:K3"/>
  </mergeCells>
  <hyperlinks>
    <hyperlink ref="A1" location="索引目录!D12" display="返回索引页"/>
    <hyperlink ref="B1" location="流动汇总!B8" display="返回"/>
  </hyperlinks>
  <printOptions horizontalCentered="1"/>
  <pageMargins left="0.354330708661417" right="0.354330708661417" top="0.78740157480315" bottom="0.78740157480315" header="1.02" footer="0.511811023622047"/>
  <pageSetup orientation="landscape" paperSize="9" fitToHeight="0"/>
  <headerFooter alignWithMargins="0">
    <oddHeader>&amp;R&amp;"宋体,常规"共&amp;"Times New Roman,常规"&amp;N&amp;"宋体,常规"页第&amp;"Times New Roman,常规"&amp;P&amp;"宋体,常规"3-3_x000a_页</oddHeader>
    <oddFooter/>
    <evenHeader/>
    <evenFooter/>
    <firstHeader/>
    <firstFooter/>
  </headerFooter>
</worksheet>
</file>

<file path=xl/worksheets/sheet17.xml><?xml version="1.0" encoding="utf-8"?>
<worksheet xmlns="http://schemas.openxmlformats.org/spreadsheetml/2006/main">
  <sheetPr codeName="Sheet17">
    <outlinePr summaryBelow="1" summaryRight="1"/>
    <pageSetUpPr fitToPage="1"/>
  </sheetPr>
  <dimension ref="A1:S34"/>
  <sheetViews>
    <sheetView view="pageBreakPreview" zoomScale="90" zoomScaleNormal="100" workbookViewId="0">
      <selection activeCell="G451" sqref="G451"/>
    </sheetView>
  </sheetViews>
  <sheetFormatPr baseColWidth="8" defaultColWidth="9" defaultRowHeight="15.75" customHeight="1"/>
  <cols>
    <col width="5.25" customWidth="1" style="13" min="1" max="1"/>
    <col width="24.0833333333333" customWidth="1" style="13" min="2" max="2"/>
    <col width="19.8333333333333" customWidth="1" style="13" min="3" max="3"/>
    <col width="9.5" customWidth="1" style="13" min="4" max="4"/>
    <col width="8" customWidth="1" style="13" min="5" max="5"/>
    <col hidden="1" outlineLevel="1" width="13.0833333333333" customWidth="1" style="13" min="6" max="6"/>
    <col hidden="1" outlineLevel="1" width="10.3333333333333" customWidth="1" style="547" min="7" max="7"/>
    <col hidden="1" outlineLevel="1" width="8.75" customWidth="1" style="547" min="8" max="11"/>
    <col hidden="1" outlineLevel="1" width="10.3333333333333" customWidth="1" style="547" min="12" max="12"/>
    <col hidden="1" outlineLevel="1" width="8.25" customWidth="1" style="547" min="13" max="13"/>
    <col hidden="1" outlineLevel="1" width="10.75" customWidth="1" style="150" min="14" max="15"/>
    <col collapsed="1" width="16.6666666666667" customWidth="1" style="13" min="16" max="16"/>
    <col width="16.3333333333333" customWidth="1" style="13" min="17" max="17"/>
    <col width="11.1666666666667" customWidth="1" style="13" min="18" max="18"/>
    <col width="11.5" customWidth="1" style="13" min="19" max="19"/>
    <col width="9" customWidth="1" style="13" min="20" max="16384"/>
  </cols>
  <sheetData>
    <row r="1" ht="15.5" customHeight="1">
      <c r="A1" s="529" t="inlineStr">
        <is>
          <t>返回索引页</t>
        </is>
      </c>
      <c r="B1" s="52" t="inlineStr">
        <is>
          <t xml:space="preserve">返回 </t>
        </is>
      </c>
      <c r="C1" s="16" t="n"/>
      <c r="D1" s="16" t="n"/>
      <c r="E1" s="16" t="n"/>
      <c r="F1" s="16" t="n"/>
      <c r="G1" s="16" t="n"/>
      <c r="H1" s="16" t="n"/>
      <c r="I1" s="16" t="n"/>
      <c r="J1" s="16" t="n"/>
      <c r="K1" s="16" t="n"/>
      <c r="L1" s="16" t="n"/>
      <c r="M1" s="16" t="n"/>
      <c r="N1" s="16" t="n"/>
      <c r="O1" s="16" t="n"/>
      <c r="P1" s="16" t="n"/>
      <c r="Q1" s="16" t="n"/>
      <c r="R1" s="16" t="n"/>
      <c r="S1" s="16" t="n"/>
    </row>
    <row r="2" ht="30" customFormat="1" customHeight="1" s="11">
      <c r="A2" s="53" t="inlineStr">
        <is>
          <t>应收账款评估明细表</t>
        </is>
      </c>
    </row>
    <row r="3" ht="14.15" customHeight="1">
      <c r="A3" s="535">
        <f>CONCATENATE(封面!D9,封面!F9,封面!G9,封面!H9,封面!I9,封面!J9,封面!K9)</f>
      </c>
    </row>
    <row r="4" ht="15.5" customHeight="1">
      <c r="A4" s="536">
        <f>封面!D7&amp;封面!F7</f>
      </c>
      <c r="M4" s="263" t="inlineStr">
        <is>
          <t>账龄总数与审计前账面值差异(应等于0)</t>
        </is>
      </c>
      <c r="N4" s="549" t="inlineStr">
        <is>
          <t>预计不可收回金额(注1)</t>
        </is>
      </c>
      <c r="O4" s="550" t="n"/>
      <c r="S4" s="54" t="inlineStr">
        <is>
          <t>金额单位：人民币元</t>
        </is>
      </c>
    </row>
    <row r="5" ht="13" customFormat="1" customHeight="1" s="12">
      <c r="A5" s="23" t="inlineStr">
        <is>
          <t>序号</t>
        </is>
      </c>
      <c r="B5" s="63" t="inlineStr">
        <is>
          <t>欠款单位名称（结算对象）</t>
        </is>
      </c>
      <c r="C5" s="63" t="inlineStr">
        <is>
          <t>业务内容</t>
        </is>
      </c>
      <c r="D5" s="23" t="inlineStr">
        <is>
          <t>发生日期</t>
        </is>
      </c>
      <c r="E5" s="23" t="inlineStr">
        <is>
          <t>账龄</t>
        </is>
      </c>
      <c r="F5" s="23" t="inlineStr">
        <is>
          <t>审计前账面值</t>
        </is>
      </c>
      <c r="G5" s="551" t="inlineStr">
        <is>
          <t>1年以内金额</t>
        </is>
      </c>
      <c r="H5" s="552" t="inlineStr">
        <is>
          <t>1~2年金额</t>
        </is>
      </c>
      <c r="I5" s="551" t="inlineStr">
        <is>
          <t>2~3年金额</t>
        </is>
      </c>
      <c r="J5" s="551" t="inlineStr">
        <is>
          <t>3~4年金额</t>
        </is>
      </c>
      <c r="K5" s="551" t="inlineStr">
        <is>
          <t>4~5年金额</t>
        </is>
      </c>
      <c r="L5" s="551" t="inlineStr">
        <is>
          <t>5年以上金额</t>
        </is>
      </c>
      <c r="M5" s="36" t="n"/>
      <c r="N5" s="36" t="n"/>
      <c r="O5" s="549" t="inlineStr">
        <is>
          <t>审计调整</t>
        </is>
      </c>
      <c r="P5" s="23" t="inlineStr">
        <is>
          <t>账面价值</t>
        </is>
      </c>
      <c r="Q5" s="23" t="inlineStr">
        <is>
          <t>评估价值</t>
        </is>
      </c>
      <c r="R5" s="23" t="inlineStr">
        <is>
          <t>增值率%</t>
        </is>
      </c>
      <c r="S5" s="23" t="inlineStr">
        <is>
          <t>备注</t>
        </is>
      </c>
    </row>
    <row r="6" ht="15.5" customHeight="1">
      <c r="A6" s="23" t="n">
        <v>1</v>
      </c>
      <c r="B6" s="553"/>
      <c r="C6" s="554"/>
      <c r="D6" s="555"/>
      <c r="E6" s="539"/>
      <c r="F6" s="539" t="n"/>
      <c r="G6" s="556"/>
      <c r="H6" s="556" t="n"/>
      <c r="I6" s="556" t="n"/>
      <c r="J6" s="556" t="n"/>
      <c r="K6" s="556" t="n"/>
      <c r="L6" s="556" t="n"/>
      <c r="M6" s="556" t="n"/>
      <c r="N6" s="557" t="n"/>
      <c r="O6" s="557" t="n"/>
      <c r="P6" s="539"/>
      <c r="Q6" s="539">
        <f>P6</f>
      </c>
      <c r="R6" s="539">
        <f>IF(P6=0,"",(Q6-P6)/P6*100)</f>
      </c>
      <c r="S6" s="27" t="n"/>
    </row>
    <row r="7" ht="15.5" customHeight="1">
      <c r="A7" s="23" t="n"/>
      <c r="B7" s="553" t="n"/>
      <c r="C7" s="554" t="n"/>
      <c r="D7" s="558" t="n"/>
      <c r="E7" s="539" t="n"/>
      <c r="F7" s="539" t="n"/>
      <c r="G7" s="556" t="n"/>
      <c r="H7" s="556" t="n"/>
      <c r="I7" s="556" t="n"/>
      <c r="J7" s="556" t="n"/>
      <c r="K7" s="556" t="n"/>
      <c r="L7" s="556" t="n"/>
      <c r="M7" s="556" t="n"/>
      <c r="N7" s="557" t="n"/>
      <c r="O7" s="557" t="n"/>
      <c r="P7" s="539" t="n"/>
      <c r="Q7" s="539" t="n"/>
      <c r="R7" s="539" t="n"/>
      <c r="S7" s="27" t="n"/>
    </row>
    <row r="8" ht="15.5" customHeight="1">
      <c r="A8" s="23" t="n"/>
      <c r="B8" s="553" t="n"/>
      <c r="C8" s="554" t="n"/>
      <c r="D8" s="558" t="n"/>
      <c r="E8" s="539" t="n"/>
      <c r="F8" s="539" t="n"/>
      <c r="G8" s="556" t="n"/>
      <c r="H8" s="556" t="n"/>
      <c r="I8" s="556" t="n"/>
      <c r="J8" s="556" t="n"/>
      <c r="K8" s="556" t="n"/>
      <c r="L8" s="556" t="n"/>
      <c r="M8" s="556" t="n"/>
      <c r="N8" s="557" t="n"/>
      <c r="O8" s="557" t="n"/>
      <c r="P8" s="539" t="n"/>
      <c r="Q8" s="539" t="n"/>
      <c r="R8" s="539" t="n"/>
      <c r="S8" s="27" t="n"/>
    </row>
    <row r="9" ht="15.5" customHeight="1">
      <c r="A9" s="23" t="n"/>
      <c r="B9" s="553" t="n"/>
      <c r="C9" s="554" t="n"/>
      <c r="D9" s="558" t="n"/>
      <c r="E9" s="539" t="n"/>
      <c r="F9" s="539" t="n"/>
      <c r="G9" s="556" t="n"/>
      <c r="H9" s="556" t="n"/>
      <c r="I9" s="556" t="n"/>
      <c r="J9" s="556" t="n"/>
      <c r="K9" s="556" t="n"/>
      <c r="L9" s="556" t="n"/>
      <c r="M9" s="556" t="n"/>
      <c r="N9" s="557" t="n"/>
      <c r="O9" s="557" t="n"/>
      <c r="P9" s="539" t="n"/>
      <c r="Q9" s="539" t="n"/>
      <c r="R9" s="539" t="n"/>
      <c r="S9" s="27" t="n"/>
    </row>
    <row r="10" ht="15.5" customHeight="1">
      <c r="A10" s="23" t="n"/>
      <c r="B10" s="553" t="n"/>
      <c r="C10" s="554" t="n"/>
      <c r="D10" s="558" t="n"/>
      <c r="E10" s="539" t="n"/>
      <c r="F10" s="539" t="n"/>
      <c r="G10" s="556" t="n"/>
      <c r="H10" s="556" t="n"/>
      <c r="I10" s="556" t="n"/>
      <c r="J10" s="556" t="n"/>
      <c r="K10" s="556" t="n"/>
      <c r="L10" s="556" t="n"/>
      <c r="M10" s="556" t="n"/>
      <c r="N10" s="557" t="n"/>
      <c r="O10" s="557" t="n"/>
      <c r="P10" s="539" t="n"/>
      <c r="Q10" s="539" t="n"/>
      <c r="R10" s="539" t="n"/>
      <c r="S10" s="27" t="n"/>
    </row>
    <row r="11" ht="15.5" customHeight="1">
      <c r="A11" s="23" t="n"/>
      <c r="B11" s="553" t="n"/>
      <c r="C11" s="554" t="n"/>
      <c r="D11" s="558" t="n"/>
      <c r="E11" s="539" t="n"/>
      <c r="F11" s="539" t="n"/>
      <c r="G11" s="556" t="n"/>
      <c r="H11" s="556" t="n"/>
      <c r="I11" s="556" t="n"/>
      <c r="J11" s="556" t="n"/>
      <c r="K11" s="556" t="n"/>
      <c r="L11" s="556" t="n"/>
      <c r="M11" s="556" t="n"/>
      <c r="N11" s="557" t="n"/>
      <c r="O11" s="557" t="n"/>
      <c r="P11" s="539" t="n"/>
      <c r="Q11" s="539" t="n"/>
      <c r="R11" s="539" t="n"/>
      <c r="S11" s="27" t="n"/>
    </row>
    <row r="12" ht="15.5" customHeight="1">
      <c r="A12" s="23" t="n"/>
      <c r="B12" s="553" t="n"/>
      <c r="C12" s="554" t="n"/>
      <c r="D12" s="558" t="n"/>
      <c r="E12" s="539" t="n"/>
      <c r="F12" s="539" t="n"/>
      <c r="G12" s="556" t="n"/>
      <c r="H12" s="556" t="n"/>
      <c r="I12" s="556" t="n"/>
      <c r="J12" s="556" t="n"/>
      <c r="K12" s="556" t="n"/>
      <c r="L12" s="556" t="n"/>
      <c r="M12" s="556" t="n"/>
      <c r="N12" s="557" t="n"/>
      <c r="O12" s="557" t="n"/>
      <c r="P12" s="539" t="n"/>
      <c r="Q12" s="539" t="n"/>
      <c r="R12" s="539" t="n"/>
      <c r="S12" s="27" t="n"/>
    </row>
    <row r="13" ht="15.5" customHeight="1">
      <c r="A13" s="23" t="n"/>
      <c r="B13" s="539" t="n"/>
      <c r="C13" s="539" t="n"/>
      <c r="D13" s="539" t="n"/>
      <c r="E13" s="539" t="n"/>
      <c r="F13" s="539" t="n"/>
      <c r="G13" s="556" t="n"/>
      <c r="H13" s="556" t="n"/>
      <c r="I13" s="556" t="n"/>
      <c r="J13" s="556" t="n"/>
      <c r="K13" s="556" t="n"/>
      <c r="L13" s="556" t="n"/>
      <c r="M13" s="556" t="n"/>
      <c r="N13" s="557" t="n"/>
      <c r="O13" s="557" t="n"/>
      <c r="P13" s="539" t="n"/>
      <c r="Q13" s="539" t="n"/>
      <c r="R13" s="539" t="n"/>
      <c r="S13" s="27" t="n"/>
    </row>
    <row r="14" ht="15.5" customHeight="1">
      <c r="A14" s="23" t="n"/>
      <c r="B14" s="539" t="n"/>
      <c r="C14" s="539" t="n"/>
      <c r="D14" s="539" t="n"/>
      <c r="E14" s="539" t="n"/>
      <c r="F14" s="539" t="n"/>
      <c r="G14" s="556" t="n"/>
      <c r="H14" s="556" t="n"/>
      <c r="I14" s="556" t="n"/>
      <c r="J14" s="556" t="n"/>
      <c r="K14" s="556" t="n"/>
      <c r="L14" s="556" t="n"/>
      <c r="M14" s="556" t="n"/>
      <c r="N14" s="557" t="n"/>
      <c r="O14" s="557" t="n"/>
      <c r="P14" s="539" t="n"/>
      <c r="Q14" s="539" t="n"/>
      <c r="R14" s="539" t="n"/>
      <c r="S14" s="27" t="n"/>
    </row>
    <row r="15" ht="15.5" customHeight="1">
      <c r="A15" s="23" t="n"/>
      <c r="B15" s="539" t="n"/>
      <c r="C15" s="539" t="n"/>
      <c r="D15" s="539" t="n"/>
      <c r="E15" s="539" t="n"/>
      <c r="F15" s="539" t="n"/>
      <c r="G15" s="556" t="n"/>
      <c r="H15" s="556" t="n"/>
      <c r="I15" s="556" t="n"/>
      <c r="J15" s="556" t="n"/>
      <c r="K15" s="556" t="n"/>
      <c r="L15" s="556" t="n"/>
      <c r="M15" s="556" t="n"/>
      <c r="N15" s="557" t="n"/>
      <c r="O15" s="557" t="n"/>
      <c r="P15" s="539" t="n"/>
      <c r="Q15" s="539" t="n"/>
      <c r="R15" s="539" t="n"/>
      <c r="S15" s="27" t="n"/>
    </row>
    <row r="16" ht="15.5" customHeight="1">
      <c r="A16" s="23" t="n"/>
      <c r="B16" s="539" t="n"/>
      <c r="C16" s="539" t="n"/>
      <c r="D16" s="539" t="n"/>
      <c r="E16" s="539" t="n"/>
      <c r="F16" s="539" t="n"/>
      <c r="G16" s="556" t="n"/>
      <c r="H16" s="556" t="n"/>
      <c r="I16" s="556" t="n"/>
      <c r="J16" s="556" t="n"/>
      <c r="K16" s="556" t="n"/>
      <c r="L16" s="556" t="n"/>
      <c r="M16" s="556" t="n"/>
      <c r="N16" s="557" t="n"/>
      <c r="O16" s="557" t="n"/>
      <c r="P16" s="539" t="n"/>
      <c r="Q16" s="539" t="n"/>
      <c r="R16" s="539" t="n"/>
      <c r="S16" s="27" t="n"/>
    </row>
    <row r="17" ht="15.5" customHeight="1">
      <c r="A17" s="23" t="n"/>
      <c r="B17" s="24" t="n"/>
      <c r="C17" s="23" t="n"/>
      <c r="D17" s="25" t="n"/>
      <c r="E17" s="23" t="n"/>
      <c r="F17" s="539" t="n"/>
      <c r="G17" s="556" t="n"/>
      <c r="H17" s="556" t="n"/>
      <c r="I17" s="556" t="n"/>
      <c r="J17" s="556" t="n"/>
      <c r="K17" s="556" t="n"/>
      <c r="L17" s="556" t="n"/>
      <c r="M17" s="556" t="n"/>
      <c r="N17" s="557" t="n"/>
      <c r="O17" s="557" t="n"/>
      <c r="P17" s="539" t="n"/>
      <c r="Q17" s="539" t="n"/>
      <c r="R17" s="539" t="n"/>
      <c r="S17" s="27" t="n"/>
    </row>
    <row r="18" ht="15.5" customHeight="1">
      <c r="A18" s="23" t="n"/>
      <c r="B18" s="24" t="n"/>
      <c r="C18" s="23" t="n"/>
      <c r="D18" s="25" t="n"/>
      <c r="E18" s="23" t="n"/>
      <c r="F18" s="539" t="n"/>
      <c r="G18" s="556" t="n"/>
      <c r="H18" s="556" t="n"/>
      <c r="I18" s="556" t="n"/>
      <c r="J18" s="556" t="n"/>
      <c r="K18" s="556" t="n"/>
      <c r="L18" s="556" t="n"/>
      <c r="M18" s="556" t="n"/>
      <c r="N18" s="557" t="n"/>
      <c r="O18" s="557" t="n"/>
      <c r="P18" s="539" t="n"/>
      <c r="Q18" s="539" t="n"/>
      <c r="R18" s="539" t="n"/>
      <c r="S18" s="27" t="n"/>
    </row>
    <row r="19" ht="15.5" customHeight="1">
      <c r="A19" s="23" t="n"/>
      <c r="B19" s="24" t="n"/>
      <c r="C19" s="23" t="n"/>
      <c r="D19" s="25" t="n"/>
      <c r="E19" s="23" t="n"/>
      <c r="F19" s="539" t="n"/>
      <c r="G19" s="556" t="n"/>
      <c r="H19" s="556" t="n"/>
      <c r="I19" s="556" t="n"/>
      <c r="J19" s="556" t="n"/>
      <c r="K19" s="556" t="n"/>
      <c r="L19" s="556" t="n"/>
      <c r="M19" s="556" t="n"/>
      <c r="N19" s="557" t="n"/>
      <c r="O19" s="557" t="n"/>
      <c r="P19" s="539" t="n"/>
      <c r="Q19" s="539" t="n"/>
      <c r="R19" s="539" t="n"/>
      <c r="S19" s="27" t="n"/>
    </row>
    <row r="20" ht="15.5" customHeight="1">
      <c r="A20" s="23" t="n"/>
      <c r="B20" s="24" t="n"/>
      <c r="C20" s="23" t="n"/>
      <c r="D20" s="25" t="n"/>
      <c r="E20" s="23" t="n"/>
      <c r="F20" s="539" t="n"/>
      <c r="G20" s="556" t="n"/>
      <c r="H20" s="556" t="n"/>
      <c r="I20" s="556" t="n"/>
      <c r="J20" s="556" t="n"/>
      <c r="K20" s="556" t="n"/>
      <c r="L20" s="556" t="n"/>
      <c r="M20" s="556" t="n"/>
      <c r="N20" s="557" t="n"/>
      <c r="O20" s="557" t="n"/>
      <c r="P20" s="539" t="n"/>
      <c r="Q20" s="539" t="n"/>
      <c r="R20" s="539" t="n"/>
      <c r="S20" s="27" t="n"/>
    </row>
    <row r="21" ht="15.5" customHeight="1">
      <c r="A21" s="23" t="n"/>
      <c r="B21" s="24" t="n"/>
      <c r="C21" s="23" t="n"/>
      <c r="D21" s="25" t="n"/>
      <c r="E21" s="23" t="n"/>
      <c r="F21" s="539" t="n"/>
      <c r="G21" s="556" t="n"/>
      <c r="H21" s="556" t="n"/>
      <c r="I21" s="556" t="n"/>
      <c r="J21" s="556" t="n"/>
      <c r="K21" s="556" t="n"/>
      <c r="L21" s="556" t="n"/>
      <c r="M21" s="556" t="n"/>
      <c r="N21" s="557" t="n"/>
      <c r="O21" s="557" t="n"/>
      <c r="P21" s="539" t="n"/>
      <c r="Q21" s="539" t="n"/>
      <c r="R21" s="539" t="n"/>
      <c r="S21" s="27" t="n"/>
    </row>
    <row r="22" ht="15.5" customHeight="1">
      <c r="A22" s="23" t="n"/>
      <c r="B22" s="24" t="n"/>
      <c r="C22" s="23" t="n"/>
      <c r="D22" s="25" t="n"/>
      <c r="E22" s="23" t="n"/>
      <c r="F22" s="539" t="n"/>
      <c r="G22" s="556" t="n"/>
      <c r="H22" s="556" t="n"/>
      <c r="I22" s="556" t="n"/>
      <c r="J22" s="556" t="n"/>
      <c r="K22" s="556" t="n"/>
      <c r="L22" s="556" t="n"/>
      <c r="M22" s="556" t="n"/>
      <c r="N22" s="557" t="n"/>
      <c r="O22" s="557" t="n"/>
      <c r="P22" s="539" t="n"/>
      <c r="Q22" s="539" t="n"/>
      <c r="R22" s="539" t="n"/>
      <c r="S22" s="27" t="n"/>
    </row>
    <row r="23" ht="15.5" customHeight="1">
      <c r="A23" s="23" t="n"/>
      <c r="B23" s="24" t="n"/>
      <c r="C23" s="23" t="n"/>
      <c r="D23" s="25" t="n"/>
      <c r="E23" s="23" t="n"/>
      <c r="F23" s="539" t="n"/>
      <c r="G23" s="556" t="n"/>
      <c r="H23" s="556" t="n"/>
      <c r="I23" s="556" t="n"/>
      <c r="J23" s="556" t="n"/>
      <c r="K23" s="556" t="n"/>
      <c r="L23" s="556" t="n"/>
      <c r="M23" s="556" t="n"/>
      <c r="N23" s="557" t="n"/>
      <c r="O23" s="557" t="n"/>
      <c r="P23" s="539" t="n"/>
      <c r="Q23" s="539" t="n"/>
      <c r="R23" s="539" t="n"/>
      <c r="S23" s="27" t="n"/>
    </row>
    <row r="24" ht="15.5" customHeight="1">
      <c r="A24" s="23" t="inlineStr">
        <is>
          <t>合            计</t>
        </is>
      </c>
      <c r="B24" s="28" t="n"/>
      <c r="C24" s="23" t="n"/>
      <c r="D24" s="25" t="n"/>
      <c r="E24" s="23" t="n"/>
      <c r="F24" s="539">
        <f>SUM(F6:F23)</f>
      </c>
      <c r="G24" s="556">
        <f>SUM(G6:G23)</f>
      </c>
      <c r="H24" s="556">
        <f>SUM(H6:H23)</f>
      </c>
      <c r="I24" s="556">
        <f>SUM(I6:I23)</f>
      </c>
      <c r="J24" s="556">
        <f>SUM(J6:J23)</f>
      </c>
      <c r="K24" s="556">
        <f>SUM(K6:K23)</f>
      </c>
      <c r="L24" s="556">
        <f>SUM(L6:L23)</f>
      </c>
      <c r="M24" s="556">
        <f>SUM(M6:M23)</f>
      </c>
      <c r="N24" s="557">
        <f>SUM(N6:N23)</f>
      </c>
      <c r="O24" s="557" t="n"/>
      <c r="P24" s="539">
        <f>SUM(P6:P23)</f>
      </c>
      <c r="Q24" s="539">
        <f>SUM(Q6:Q23)</f>
      </c>
      <c r="R24" s="539">
        <f>IF(P24=0,"",(Q24-P24)/P24*100)</f>
      </c>
      <c r="S24" s="27" t="n"/>
    </row>
    <row r="25" ht="15.5" customHeight="1">
      <c r="A25" s="23" t="inlineStr">
        <is>
          <t>减：坏账准备</t>
        </is>
      </c>
      <c r="B25" s="28" t="n"/>
      <c r="C25" s="23" t="n"/>
      <c r="D25" s="25" t="n"/>
      <c r="E25" s="23" t="n"/>
      <c r="F25" s="539" t="n"/>
      <c r="G25" s="556" t="n"/>
      <c r="H25" s="556" t="n"/>
      <c r="I25" s="556" t="n"/>
      <c r="J25" s="556" t="n"/>
      <c r="K25" s="556" t="n"/>
      <c r="L25" s="556" t="n"/>
      <c r="M25" s="556">
        <f>SUM(G25:L25)-F25</f>
      </c>
      <c r="N25" s="557" t="n"/>
      <c r="O25" s="557" t="n"/>
      <c r="P25" s="539">
        <f>F24</f>
      </c>
      <c r="Q25" s="539"/>
      <c r="R25" s="539">
        <f>IF(P25=0,"",(Q25-P25)/P25*100)</f>
      </c>
      <c r="S25" s="27" t="n"/>
    </row>
    <row r="26" ht="15.5" customHeight="1">
      <c r="A26" s="23" t="inlineStr">
        <is>
          <t>减：评估风险损失</t>
        </is>
      </c>
      <c r="B26" s="28" t="n"/>
      <c r="C26" s="23" t="n"/>
      <c r="D26" s="25" t="n"/>
      <c r="E26" s="23" t="n"/>
      <c r="F26" s="539" t="n"/>
      <c r="G26" s="556" t="n"/>
      <c r="H26" s="556" t="n"/>
      <c r="I26" s="556" t="n"/>
      <c r="J26" s="556" t="n"/>
      <c r="K26" s="556" t="n"/>
      <c r="L26" s="556" t="n"/>
      <c r="M26" s="556" t="n"/>
      <c r="N26" s="557" t="n"/>
      <c r="O26" s="557" t="n"/>
      <c r="P26" s="539" t="n"/>
      <c r="Q26" s="539" t="n"/>
      <c r="R26" s="539">
        <f>IF(P26=0,"",(Q26-P26)/P26*100)</f>
      </c>
      <c r="S26" s="27" t="n"/>
    </row>
    <row r="27" ht="15.5" customHeight="1">
      <c r="A27" s="23" t="inlineStr">
        <is>
          <t>净            额</t>
        </is>
      </c>
      <c r="B27" s="28" t="n"/>
      <c r="C27" s="27" t="n"/>
      <c r="D27" s="25" t="n"/>
      <c r="E27" s="27" t="n"/>
      <c r="F27" s="539">
        <f>F24-F25-F26</f>
      </c>
      <c r="G27" s="556">
        <f>G24-G25-G26</f>
      </c>
      <c r="H27" s="556">
        <f>H24-H25-H26</f>
      </c>
      <c r="I27" s="556">
        <f>I24-I25-I26</f>
      </c>
      <c r="J27" s="556">
        <f>J24-J25-J26</f>
      </c>
      <c r="K27" s="556">
        <f>K24-K25-K26</f>
      </c>
      <c r="L27" s="556">
        <f>L24-L25-L26</f>
      </c>
      <c r="M27" s="556">
        <f>M24-M25-M26</f>
      </c>
      <c r="N27" s="557">
        <f>N24-N25-N26</f>
      </c>
      <c r="O27" s="557" t="n"/>
      <c r="P27" s="539">
        <f>P24-P25-P26</f>
      </c>
      <c r="Q27" s="539">
        <f>Q24-Q25-Q26</f>
      </c>
      <c r="R27" s="539">
        <f>IF(P27=0,"",(Q27-P27)/P27*100)</f>
      </c>
      <c r="S27" s="27" t="n"/>
    </row>
    <row r="28" ht="15.5" customHeight="1">
      <c r="A28" s="29">
        <f>封面!D11&amp;封面!G11</f>
      </c>
      <c r="G28" s="13" t="n"/>
      <c r="P28" s="536">
        <f>"评估人员："&amp;封面!G20</f>
      </c>
    </row>
    <row r="29" ht="15.5" customHeight="1">
      <c r="A29" s="29">
        <f>CONCATENATE(封面!D13,封面!F13,封面!G13,封面!H13,封面!I13,封面!J13,封面!K13)</f>
      </c>
    </row>
    <row r="30" ht="15.5" customHeight="1">
      <c r="B30" s="54" t="inlineStr">
        <is>
          <t>注1：</t>
        </is>
      </c>
      <c r="C30" s="13" t="inlineStr">
        <is>
          <t>注明账齡在一年以上的账款的可收回性，若有部分可能不能收回，请估计不能收回的金額，以供评估时作參考。</t>
        </is>
      </c>
    </row>
    <row r="31" ht="15.5" customHeight="1">
      <c r="B31" s="54" t="inlineStr">
        <is>
          <t>注2：“备注”栏填写方法：</t>
        </is>
      </c>
      <c r="C31" s="13" t="inlineStr">
        <is>
          <t>1）欠款单位为关联方、总公司内部或本公司内部单位的，应在备注栏注明“关联方”、“总公司内部”、“内部单位”；</t>
        </is>
      </c>
    </row>
    <row r="32" ht="15.5" customHeight="1">
      <c r="C32" s="13" t="inlineStr">
        <is>
          <t>2） 涉诉款项应在备注中标明“涉诉”；</t>
        </is>
      </c>
    </row>
    <row r="33" ht="15.5" customHeight="1">
      <c r="C33" s="13" t="inlineStr">
        <is>
          <t>3）评估基准日后已部分或全部收回款项的，应注明日期及金额，如“2003年2月4日收回8,530.00元”；</t>
        </is>
      </c>
    </row>
    <row r="34" ht="15.5" customHeight="1">
      <c r="C34" s="13" t="inlineStr">
        <is>
          <t>4）填表单位认为其他应说明的事项</t>
        </is>
      </c>
    </row>
  </sheetData>
  <mergeCells count="8">
    <mergeCell ref="A26:B26"/>
    <mergeCell ref="A24:B24"/>
    <mergeCell ref="M4:M5"/>
    <mergeCell ref="A25:B25"/>
    <mergeCell ref="N4:N5"/>
    <mergeCell ref="A3:S3"/>
    <mergeCell ref="A27:B27"/>
    <mergeCell ref="A2:S2"/>
  </mergeCells>
  <hyperlinks>
    <hyperlink ref="A1" location="索引目录!D13" display="返回索引页"/>
    <hyperlink ref="B1" location="流动汇总!B9" display="返回 "/>
  </hyperlinks>
  <printOptions horizontalCentered="1"/>
  <pageMargins left="0.354330708661417" right="0.354330708661417" top="0.78740157480315" bottom="0.78740157480315" header="0.99" footer="0.511811023622047"/>
  <pageSetup orientation="landscape" paperSize="9" fitToHeight="0"/>
  <headerFooter alignWithMargins="0">
    <oddHeader>&amp;R&amp;"宋体,常规"共&amp;"Times New Roman,常规"&amp;N&amp;"宋体,常规"页第&amp;"Times New Roman,常规"&amp;P&amp;"宋体,常规"3-4_x000a_页</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codeName="Sheet18">
    <outlinePr summaryBelow="1" summaryRight="1"/>
    <pageSetUpPr fitToPage="1"/>
  </sheetPr>
  <dimension ref="A1:K29"/>
  <sheetViews>
    <sheetView view="pageBreakPreview" zoomScale="90" zoomScaleNormal="100" workbookViewId="0">
      <selection activeCell="G451" sqref="G451"/>
    </sheetView>
  </sheetViews>
  <sheetFormatPr baseColWidth="8" defaultColWidth="9" defaultRowHeight="15.75" customHeight="1"/>
  <cols>
    <col width="6.33333333333333" customWidth="1" style="13" min="1" max="1"/>
    <col width="24.8333333333333" customWidth="1" style="13" min="2" max="2"/>
    <col width="23.8333333333333" customWidth="1" style="13" min="3" max="3"/>
    <col width="9.08333333333333" customWidth="1" style="13" min="4" max="5"/>
    <col hidden="1" outlineLevel="1" width="13.0833333333333" customWidth="1" style="13" min="6" max="6"/>
    <col hidden="1" outlineLevel="1" width="15.75" customWidth="1" style="13" min="7" max="7"/>
    <col collapsed="1" width="13.8333333333333" customWidth="1" style="13" min="8" max="8"/>
    <col width="13.6666666666667" customWidth="1" style="13" min="9" max="9"/>
    <col width="9.41666666666667" customWidth="1" style="13" min="10" max="10"/>
    <col width="12.0833333333333" customWidth="1" style="13" min="11" max="11"/>
    <col width="9" customWidth="1" style="13" min="12" max="16384"/>
  </cols>
  <sheetData>
    <row r="1" ht="15.5" customHeight="1">
      <c r="A1" s="529" t="inlineStr">
        <is>
          <t>返回索引页</t>
        </is>
      </c>
      <c r="B1" s="52" t="inlineStr">
        <is>
          <t>返回</t>
        </is>
      </c>
      <c r="C1" s="16" t="n"/>
      <c r="D1" s="16" t="n"/>
      <c r="E1" s="16" t="n"/>
      <c r="F1" s="16" t="n"/>
      <c r="G1" s="16" t="n"/>
      <c r="H1" s="16" t="n"/>
      <c r="I1" s="16" t="n"/>
      <c r="J1" s="16" t="n"/>
      <c r="K1" s="16" t="n"/>
    </row>
    <row r="2" ht="30" customFormat="1" customHeight="1" s="11">
      <c r="A2" s="53" t="inlineStr">
        <is>
          <t>预付账款评估明细表</t>
        </is>
      </c>
    </row>
    <row r="3" ht="14.15" customHeight="1">
      <c r="A3" s="535">
        <f>CONCATENATE(封面!D9,封面!F9,封面!G9,封面!H9,封面!I9,封面!J9,封面!K9)</f>
      </c>
    </row>
    <row r="4" ht="15.5" customHeight="1">
      <c r="A4" s="536">
        <f>封面!D7&amp;封面!F7</f>
      </c>
      <c r="K4" s="54" t="inlineStr">
        <is>
          <t>金额单位：人民币元</t>
        </is>
      </c>
    </row>
    <row r="5" ht="13" customFormat="1" customHeight="1" s="12">
      <c r="A5" s="23" t="inlineStr">
        <is>
          <t>序号</t>
        </is>
      </c>
      <c r="B5" s="23" t="inlineStr">
        <is>
          <t>收款单位名称（结算对象）</t>
        </is>
      </c>
      <c r="C5" s="23" t="inlineStr">
        <is>
          <t>业务内容</t>
        </is>
      </c>
      <c r="D5" s="23" t="inlineStr">
        <is>
          <t>发生日期</t>
        </is>
      </c>
      <c r="E5" s="23" t="inlineStr">
        <is>
          <t>账龄</t>
        </is>
      </c>
      <c r="F5" s="23" t="inlineStr">
        <is>
          <t>审计前账面值</t>
        </is>
      </c>
      <c r="G5" s="23" t="inlineStr">
        <is>
          <t>审计调整</t>
        </is>
      </c>
      <c r="H5" s="23" t="inlineStr">
        <is>
          <t>账面价值</t>
        </is>
      </c>
      <c r="I5" s="23" t="inlineStr">
        <is>
          <t>评估价值</t>
        </is>
      </c>
      <c r="J5" s="23" t="inlineStr">
        <is>
          <t>增值率%</t>
        </is>
      </c>
      <c r="K5" s="23" t="inlineStr">
        <is>
          <t>备注</t>
        </is>
      </c>
    </row>
    <row r="6" ht="15.5" customHeight="1">
      <c r="A6" s="23" t="n">
        <v>1</v>
      </c>
      <c r="B6" s="56"/>
      <c r="C6" s="63"/>
      <c r="D6" s="555"/>
      <c r="E6" s="23"/>
      <c r="F6" s="539" t="n"/>
      <c r="G6" s="539" t="n"/>
      <c r="H6" s="539"/>
      <c r="I6" s="539">
        <f>H6</f>
      </c>
      <c r="J6" s="539">
        <f>IF(H6=0,"",(I6-H6)/H6*100)</f>
      </c>
      <c r="K6" s="27" t="n"/>
    </row>
    <row r="7" ht="15.5" customHeight="1">
      <c r="A7" s="23" t="n">
        <v>2</v>
      </c>
      <c r="B7" s="56"/>
      <c r="C7" s="63"/>
      <c r="D7" s="555"/>
      <c r="E7" s="23"/>
      <c r="F7" s="539" t="n"/>
      <c r="G7" s="539" t="n"/>
      <c r="H7" s="539"/>
      <c r="I7" s="539">
        <f>H7</f>
      </c>
      <c r="J7" s="539">
        <f>IF(H7=0,"",(I7-H7)/H7*100)</f>
      </c>
      <c r="K7" s="27" t="n"/>
    </row>
    <row r="8" ht="15.5" customHeight="1">
      <c r="A8" s="23" t="n"/>
      <c r="B8" s="56" t="n"/>
      <c r="C8" s="63" t="n"/>
      <c r="D8" s="25" t="n"/>
      <c r="E8" s="23" t="n"/>
      <c r="F8" s="539" t="n"/>
      <c r="G8" s="539" t="n"/>
      <c r="H8" s="539" t="n"/>
      <c r="I8" s="539" t="n"/>
      <c r="J8" s="539" t="n"/>
      <c r="K8" s="27" t="n"/>
    </row>
    <row r="9" ht="15.5" customHeight="1">
      <c r="A9" s="23" t="n"/>
      <c r="B9" s="56" t="n"/>
      <c r="C9" s="63" t="n"/>
      <c r="D9" s="25" t="n"/>
      <c r="E9" s="23" t="n"/>
      <c r="F9" s="539" t="n"/>
      <c r="G9" s="539" t="n"/>
      <c r="H9" s="539" t="n"/>
      <c r="I9" s="539" t="n"/>
      <c r="J9" s="539" t="n"/>
      <c r="K9" s="27" t="n"/>
    </row>
    <row r="10" ht="15.5" customHeight="1">
      <c r="A10" s="23" t="n"/>
      <c r="B10" s="56" t="n"/>
      <c r="C10" s="63" t="n"/>
      <c r="D10" s="25" t="n"/>
      <c r="E10" s="23" t="n"/>
      <c r="F10" s="539" t="n"/>
      <c r="G10" s="539" t="n"/>
      <c r="H10" s="539" t="n"/>
      <c r="I10" s="539" t="n"/>
      <c r="J10" s="539" t="n"/>
      <c r="K10" s="27" t="n"/>
    </row>
    <row r="11" ht="15.5" customHeight="1">
      <c r="A11" s="23" t="n"/>
      <c r="B11" s="56" t="n"/>
      <c r="C11" s="63" t="n"/>
      <c r="D11" s="25" t="n"/>
      <c r="E11" s="23" t="n"/>
      <c r="F11" s="539" t="n"/>
      <c r="G11" s="539" t="n"/>
      <c r="H11" s="539" t="n"/>
      <c r="I11" s="539" t="n"/>
      <c r="J11" s="539" t="n"/>
      <c r="K11" s="27" t="n"/>
    </row>
    <row r="12" ht="15.5" customHeight="1">
      <c r="A12" s="23" t="n"/>
      <c r="B12" s="56" t="n"/>
      <c r="C12" s="63" t="n"/>
      <c r="D12" s="25" t="n"/>
      <c r="E12" s="23" t="n"/>
      <c r="F12" s="539" t="n"/>
      <c r="G12" s="539" t="n"/>
      <c r="H12" s="539" t="n"/>
      <c r="I12" s="539" t="n"/>
      <c r="J12" s="539" t="n"/>
      <c r="K12" s="27" t="n"/>
    </row>
    <row r="13" ht="15.5" customHeight="1">
      <c r="A13" s="23" t="n"/>
      <c r="B13" s="56" t="n"/>
      <c r="C13" s="63" t="n"/>
      <c r="D13" s="25" t="n"/>
      <c r="E13" s="23" t="n"/>
      <c r="F13" s="539" t="n"/>
      <c r="G13" s="539" t="n"/>
      <c r="H13" s="539" t="n"/>
      <c r="I13" s="539" t="n"/>
      <c r="J13" s="539" t="n"/>
      <c r="K13" s="27" t="n"/>
    </row>
    <row r="14" ht="15.5" customHeight="1">
      <c r="A14" s="23" t="n"/>
      <c r="B14" s="56" t="n"/>
      <c r="C14" s="63" t="n"/>
      <c r="D14" s="25" t="n"/>
      <c r="E14" s="23" t="n"/>
      <c r="F14" s="539" t="n"/>
      <c r="G14" s="539" t="n"/>
      <c r="H14" s="539" t="n"/>
      <c r="I14" s="539" t="n"/>
      <c r="J14" s="539" t="n"/>
      <c r="K14" s="27" t="n"/>
    </row>
    <row r="15" ht="15.5" customHeight="1">
      <c r="A15" s="23" t="n"/>
      <c r="B15" s="24" t="n"/>
      <c r="C15" s="23" t="n"/>
      <c r="D15" s="25" t="n"/>
      <c r="E15" s="27" t="n"/>
      <c r="F15" s="539" t="n"/>
      <c r="G15" s="539" t="n"/>
      <c r="H15" s="539" t="n"/>
      <c r="I15" s="539" t="n"/>
      <c r="J15" s="539" t="n"/>
      <c r="K15" s="27" t="n"/>
    </row>
    <row r="16" ht="15.5" customHeight="1">
      <c r="A16" s="23" t="n"/>
      <c r="B16" s="24" t="n"/>
      <c r="C16" s="23" t="n"/>
      <c r="D16" s="25" t="n"/>
      <c r="E16" s="27" t="n"/>
      <c r="F16" s="539" t="n"/>
      <c r="G16" s="539" t="n"/>
      <c r="H16" s="539" t="n"/>
      <c r="I16" s="539" t="n"/>
      <c r="J16" s="539" t="n"/>
      <c r="K16" s="27" t="n"/>
    </row>
    <row r="17" ht="15.5" customHeight="1">
      <c r="A17" s="23" t="n"/>
      <c r="B17" s="24" t="n"/>
      <c r="C17" s="23" t="n"/>
      <c r="D17" s="25" t="n"/>
      <c r="E17" s="27" t="n"/>
      <c r="F17" s="539" t="n"/>
      <c r="G17" s="539" t="n"/>
      <c r="H17" s="539" t="n"/>
      <c r="I17" s="539" t="n"/>
      <c r="J17" s="539" t="n"/>
      <c r="K17" s="27" t="n"/>
    </row>
    <row r="18" ht="15.5" customHeight="1">
      <c r="A18" s="23" t="n"/>
      <c r="B18" s="24" t="n"/>
      <c r="C18" s="23" t="n"/>
      <c r="D18" s="25" t="n"/>
      <c r="E18" s="27" t="n"/>
      <c r="F18" s="539" t="n"/>
      <c r="G18" s="539" t="n"/>
      <c r="H18" s="539" t="n"/>
      <c r="I18" s="539" t="n"/>
      <c r="J18" s="539" t="n"/>
      <c r="K18" s="27" t="n"/>
    </row>
    <row r="19" ht="15.5" customHeight="1">
      <c r="A19" s="23" t="n"/>
      <c r="B19" s="24" t="n"/>
      <c r="C19" s="23" t="n"/>
      <c r="D19" s="25" t="n"/>
      <c r="E19" s="27" t="n"/>
      <c r="F19" s="539" t="n"/>
      <c r="G19" s="539" t="n"/>
      <c r="H19" s="539" t="n"/>
      <c r="I19" s="539" t="n"/>
      <c r="J19" s="539" t="n"/>
      <c r="K19" s="27" t="n"/>
    </row>
    <row r="20" ht="15.5" customHeight="1">
      <c r="A20" s="23" t="n"/>
      <c r="B20" s="24" t="n"/>
      <c r="C20" s="23" t="n"/>
      <c r="D20" s="25" t="n"/>
      <c r="E20" s="27" t="n"/>
      <c r="F20" s="539" t="n"/>
      <c r="G20" s="539" t="n"/>
      <c r="H20" s="539" t="n"/>
      <c r="I20" s="539" t="n"/>
      <c r="J20" s="539" t="n"/>
      <c r="K20" s="27" t="n"/>
    </row>
    <row r="21" ht="15.5" customHeight="1">
      <c r="A21" s="23" t="n"/>
      <c r="B21" s="24" t="n"/>
      <c r="C21" s="23" t="n"/>
      <c r="D21" s="25" t="n"/>
      <c r="E21" s="27" t="n"/>
      <c r="F21" s="539" t="n"/>
      <c r="G21" s="539" t="n"/>
      <c r="H21" s="539" t="n"/>
      <c r="I21" s="539" t="n"/>
      <c r="J21" s="539" t="n"/>
      <c r="K21" s="27" t="n"/>
    </row>
    <row r="22" ht="15.5" customHeight="1">
      <c r="A22" s="23" t="n"/>
      <c r="B22" s="24" t="n"/>
      <c r="C22" s="23" t="n"/>
      <c r="D22" s="25" t="n"/>
      <c r="E22" s="27" t="n"/>
      <c r="F22" s="539" t="n"/>
      <c r="G22" s="539" t="n"/>
      <c r="H22" s="539" t="n"/>
      <c r="I22" s="539" t="n"/>
      <c r="J22" s="539" t="n"/>
      <c r="K22" s="27" t="n"/>
    </row>
    <row r="23" ht="15.5" customHeight="1">
      <c r="A23" s="23" t="n"/>
      <c r="B23" s="24" t="n"/>
      <c r="C23" s="23" t="n"/>
      <c r="D23" s="25" t="n"/>
      <c r="E23" s="27" t="n"/>
      <c r="F23" s="539" t="n"/>
      <c r="G23" s="539" t="n"/>
      <c r="H23" s="539" t="n"/>
      <c r="I23" s="539" t="n"/>
      <c r="J23" s="539" t="n"/>
      <c r="K23" s="27" t="n"/>
    </row>
    <row r="24" ht="15.5" customHeight="1">
      <c r="A24" s="23" t="n"/>
      <c r="B24" s="24" t="n"/>
      <c r="C24" s="23" t="n"/>
      <c r="D24" s="25" t="n"/>
      <c r="E24" s="27" t="n"/>
      <c r="F24" s="539" t="n"/>
      <c r="G24" s="539" t="n"/>
      <c r="H24" s="539" t="n"/>
      <c r="I24" s="539" t="n"/>
      <c r="J24" s="539" t="n"/>
      <c r="K24" s="27" t="n"/>
    </row>
    <row r="25" ht="15.5" customHeight="1">
      <c r="A25" s="23" t="n"/>
      <c r="B25" s="24" t="n"/>
      <c r="C25" s="23" t="n"/>
      <c r="D25" s="25" t="n"/>
      <c r="E25" s="27" t="n"/>
      <c r="F25" s="539" t="n"/>
      <c r="G25" s="539" t="n"/>
      <c r="H25" s="539" t="n"/>
      <c r="I25" s="539" t="n"/>
      <c r="J25" s="539" t="n"/>
      <c r="K25" s="27" t="n"/>
    </row>
    <row r="26" ht="15.5" customHeight="1">
      <c r="A26" s="23" t="n"/>
      <c r="B26" s="24" t="n"/>
      <c r="C26" s="23" t="n"/>
      <c r="D26" s="25" t="n"/>
      <c r="E26" s="27" t="n"/>
      <c r="F26" s="539" t="n"/>
      <c r="G26" s="539" t="n"/>
      <c r="H26" s="539" t="n"/>
      <c r="I26" s="539" t="n"/>
      <c r="J26" s="539" t="n"/>
      <c r="K26" s="27" t="n"/>
    </row>
    <row r="27" ht="15.5" customHeight="1">
      <c r="A27" s="23" t="inlineStr">
        <is>
          <t>合            计</t>
        </is>
      </c>
      <c r="B27" s="28" t="n"/>
      <c r="C27" s="27" t="n"/>
      <c r="D27" s="25" t="n"/>
      <c r="E27" s="27" t="n"/>
      <c r="F27" s="539">
        <f>SUM(F6:F26)</f>
      </c>
      <c r="G27" s="539" t="n"/>
      <c r="H27" s="539">
        <f>SUM(H6:H26)</f>
      </c>
      <c r="I27" s="539">
        <f>SUM(I6:I26)</f>
      </c>
      <c r="J27" s="539">
        <f>IF(H27=0,"",(I27-H27)/H27*100)</f>
      </c>
      <c r="K27" s="27" t="n"/>
    </row>
    <row r="28" ht="15.5" customHeight="1">
      <c r="A28" s="29">
        <f>封面!D11&amp;封面!G11</f>
      </c>
      <c r="H28" s="536">
        <f>"评估人员："&amp;封面!G20</f>
      </c>
    </row>
    <row r="29" ht="15.5" customHeight="1">
      <c r="A29" s="29">
        <f>CONCATENATE(封面!D13,封面!F13,封面!G13,封面!H13,封面!I13,封面!J13,封面!K13)</f>
      </c>
    </row>
  </sheetData>
  <mergeCells count="3">
    <mergeCell ref="A2:K2"/>
    <mergeCell ref="A27:B27"/>
    <mergeCell ref="A3:K3"/>
  </mergeCells>
  <hyperlinks>
    <hyperlink ref="A1" location="索引目录!D14" display="返回索引页"/>
    <hyperlink ref="B1" location="流动汇总!B10" display="返回"/>
  </hyperlinks>
  <printOptions horizontalCentered="1"/>
  <pageMargins left="0.354330708661417" right="0.354330708661417" top="0.78740157480315" bottom="0.78740157480315" header="0.98" footer="0.511811023622047"/>
  <pageSetup orientation="landscape" paperSize="9" fitToHeight="0"/>
  <headerFooter alignWithMargins="0">
    <oddHeader>&amp;R&amp;"宋体,常规"共&amp;"Times New Roman,常规"&amp;N&amp;"宋体,常规"页第&amp;"Times New Roman,常规"&amp;P&amp;"宋体,常规"3-5_x000a_页</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codeName="Sheet19">
    <outlinePr summaryBelow="1" summaryRight="1"/>
    <pageSetUpPr fitToPage="1"/>
  </sheetPr>
  <dimension ref="A1:L29"/>
  <sheetViews>
    <sheetView view="pageBreakPreview" zoomScale="60" zoomScaleNormal="100" workbookViewId="0">
      <selection activeCell="G451" sqref="G451"/>
    </sheetView>
  </sheetViews>
  <sheetFormatPr baseColWidth="8" defaultColWidth="9" defaultRowHeight="15.75" customHeight="1"/>
  <cols>
    <col width="5" customWidth="1" style="13" min="1" max="1"/>
    <col width="24.3333333333333" customWidth="1" style="13" min="2" max="2"/>
    <col width="9" customWidth="1" style="13" min="3" max="3"/>
    <col width="11" customWidth="1" style="13" min="4" max="4"/>
    <col width="13" customWidth="1" style="13" min="5" max="5"/>
    <col width="7" customWidth="1" style="13" min="6" max="6"/>
    <col hidden="1" outlineLevel="1" width="14" customWidth="1" style="13" min="7" max="8"/>
    <col collapsed="1" width="15.75" customWidth="1" style="13" min="9" max="9"/>
    <col width="15.75" customWidth="1" style="13" min="10" max="10"/>
    <col width="12.5833333333333" customWidth="1" style="13" min="11" max="11"/>
    <col width="9" customWidth="1" style="13" min="12" max="16384"/>
  </cols>
  <sheetData>
    <row r="1" ht="15.5" customHeight="1">
      <c r="A1" s="559" t="inlineStr">
        <is>
          <t>返回索引页</t>
        </is>
      </c>
      <c r="B1" s="15" t="inlineStr">
        <is>
          <t>返回</t>
        </is>
      </c>
      <c r="C1" s="16" t="n"/>
      <c r="D1" s="16" t="n"/>
      <c r="E1" s="16" t="n"/>
      <c r="F1" s="16" t="n"/>
      <c r="G1" s="16" t="n"/>
      <c r="H1" s="16" t="n"/>
      <c r="I1" s="16" t="n"/>
      <c r="J1" s="16" t="n"/>
      <c r="K1" s="16" t="n"/>
      <c r="L1" s="16" t="n"/>
    </row>
    <row r="2" ht="30" customFormat="1" customHeight="1" s="11">
      <c r="A2" s="17" t="inlineStr">
        <is>
          <t>应收利息评估明细表</t>
        </is>
      </c>
    </row>
    <row r="3" ht="14.15" customHeight="1">
      <c r="A3" s="535">
        <f>CONCATENATE(封面!D9,封面!F9,封面!G9,封面!H9,封面!I9,封面!J9,封面!K9)</f>
      </c>
    </row>
    <row r="4" ht="15.5" customHeight="1">
      <c r="A4" s="536">
        <f>封面!D7&amp;封面!F7</f>
      </c>
      <c r="L4" s="20" t="inlineStr">
        <is>
          <t>金额单位：人民币元</t>
        </is>
      </c>
    </row>
    <row r="5" ht="13" customFormat="1" customHeight="1" s="12">
      <c r="A5" s="21" t="inlineStr">
        <is>
          <t>序号</t>
        </is>
      </c>
      <c r="B5" s="21" t="inlineStr">
        <is>
          <t>欠款单位名称（结算对象）</t>
        </is>
      </c>
      <c r="C5" s="21" t="inlineStr">
        <is>
          <t>发生日期</t>
        </is>
      </c>
      <c r="D5" s="21" t="inlineStr">
        <is>
          <t>本金</t>
        </is>
      </c>
      <c r="E5" s="21" t="inlineStr">
        <is>
          <t>利息所属期间</t>
        </is>
      </c>
      <c r="F5" s="21" t="inlineStr">
        <is>
          <t>利息率%</t>
        </is>
      </c>
      <c r="G5" s="21" t="inlineStr">
        <is>
          <t>审计前账面值</t>
        </is>
      </c>
      <c r="H5" s="21" t="inlineStr">
        <is>
          <t>审计调整</t>
        </is>
      </c>
      <c r="I5" s="21" t="inlineStr">
        <is>
          <t>账面价值</t>
        </is>
      </c>
      <c r="J5" s="21" t="inlineStr">
        <is>
          <t>评估价值</t>
        </is>
      </c>
      <c r="K5" s="21" t="inlineStr">
        <is>
          <t>增值率%</t>
        </is>
      </c>
      <c r="L5" s="21" t="inlineStr">
        <is>
          <t>备注</t>
        </is>
      </c>
    </row>
    <row r="6" ht="15.5" customHeight="1">
      <c r="A6" s="23" t="n"/>
      <c r="B6" s="24" t="n"/>
      <c r="C6" s="25" t="n"/>
      <c r="D6" s="539" t="n"/>
      <c r="E6" s="23" t="n"/>
      <c r="F6" s="23" t="n"/>
      <c r="G6" s="539" t="n"/>
      <c r="H6" s="539" t="n"/>
      <c r="I6" s="539" t="n"/>
      <c r="J6" s="539" t="n"/>
      <c r="K6" s="539">
        <f>IF(I6=0,"",(J6-I6)/I6*100)</f>
      </c>
      <c r="L6" s="27" t="n"/>
    </row>
    <row r="7" ht="15.5" customHeight="1">
      <c r="A7" s="23" t="n"/>
      <c r="B7" s="24" t="n"/>
      <c r="C7" s="25" t="n"/>
      <c r="D7" s="539" t="n"/>
      <c r="E7" s="23" t="n"/>
      <c r="F7" s="23" t="n"/>
      <c r="G7" s="539" t="n"/>
      <c r="H7" s="539" t="n"/>
      <c r="I7" s="539" t="n"/>
      <c r="J7" s="539" t="n"/>
      <c r="K7" s="539">
        <f>IF(I7=0,"",(J7-I7)/I7*100)</f>
      </c>
      <c r="L7" s="27" t="n"/>
    </row>
    <row r="8" ht="15.5" customHeight="1">
      <c r="A8" s="23" t="n"/>
      <c r="B8" s="24" t="n"/>
      <c r="C8" s="25" t="n"/>
      <c r="D8" s="539" t="n"/>
      <c r="E8" s="23" t="n"/>
      <c r="F8" s="23" t="n"/>
      <c r="G8" s="539" t="n"/>
      <c r="H8" s="539" t="n"/>
      <c r="I8" s="539" t="n"/>
      <c r="J8" s="539" t="n"/>
      <c r="K8" s="539">
        <f>IF(I8=0,"",(J8-I8)/I8*100)</f>
      </c>
      <c r="L8" s="27" t="n"/>
    </row>
    <row r="9" ht="15.5" customHeight="1">
      <c r="A9" s="23" t="n"/>
      <c r="B9" s="24" t="n"/>
      <c r="C9" s="25" t="n"/>
      <c r="D9" s="539" t="n"/>
      <c r="E9" s="23" t="n"/>
      <c r="F9" s="23" t="n"/>
      <c r="G9" s="539" t="n"/>
      <c r="H9" s="539" t="n"/>
      <c r="I9" s="539" t="n"/>
      <c r="J9" s="539" t="n"/>
      <c r="K9" s="539">
        <f>IF(I9=0,"",(J9-I9)/I9*100)</f>
      </c>
      <c r="L9" s="27" t="n"/>
    </row>
    <row r="10" ht="15.5" customHeight="1">
      <c r="A10" s="23" t="n"/>
      <c r="B10" s="24" t="n"/>
      <c r="C10" s="25" t="n"/>
      <c r="D10" s="539" t="n"/>
      <c r="E10" s="23" t="n"/>
      <c r="F10" s="23" t="n"/>
      <c r="G10" s="539" t="n"/>
      <c r="H10" s="539" t="n"/>
      <c r="I10" s="539" t="n"/>
      <c r="J10" s="539" t="n"/>
      <c r="K10" s="539">
        <f>IF(I10=0,"",(J10-I10)/I10*100)</f>
      </c>
      <c r="L10" s="27" t="n"/>
    </row>
    <row r="11" ht="15.5" customHeight="1">
      <c r="A11" s="23" t="n"/>
      <c r="B11" s="24" t="n"/>
      <c r="C11" s="25" t="n"/>
      <c r="D11" s="539" t="n"/>
      <c r="E11" s="23" t="n"/>
      <c r="F11" s="23" t="n"/>
      <c r="G11" s="539" t="n"/>
      <c r="H11" s="539" t="n"/>
      <c r="I11" s="539" t="n"/>
      <c r="J11" s="539" t="n"/>
      <c r="K11" s="539">
        <f>IF(I11=0,"",(J11-I11)/I11*100)</f>
      </c>
      <c r="L11" s="27" t="n"/>
    </row>
    <row r="12" ht="15.5" customHeight="1">
      <c r="A12" s="23" t="n"/>
      <c r="B12" s="24" t="n"/>
      <c r="C12" s="25" t="n"/>
      <c r="D12" s="539" t="n"/>
      <c r="E12" s="23" t="n"/>
      <c r="F12" s="23" t="n"/>
      <c r="G12" s="539" t="n"/>
      <c r="H12" s="539" t="n"/>
      <c r="I12" s="539" t="n"/>
      <c r="J12" s="539" t="n"/>
      <c r="K12" s="539">
        <f>IF(I12=0,"",(J12-I12)/I12*100)</f>
      </c>
      <c r="L12" s="27" t="n"/>
    </row>
    <row r="13" ht="15.5" customHeight="1">
      <c r="A13" s="23" t="n"/>
      <c r="B13" s="24" t="n"/>
      <c r="C13" s="25" t="n"/>
      <c r="D13" s="539" t="n"/>
      <c r="E13" s="23" t="n"/>
      <c r="F13" s="23" t="n"/>
      <c r="G13" s="539" t="n"/>
      <c r="H13" s="539" t="n"/>
      <c r="I13" s="539" t="n"/>
      <c r="J13" s="539" t="n"/>
      <c r="K13" s="539">
        <f>IF(I13=0,"",(J13-I13)/I13*100)</f>
      </c>
      <c r="L13" s="27" t="n"/>
    </row>
    <row r="14" ht="15.5" customHeight="1">
      <c r="A14" s="23" t="n"/>
      <c r="B14" s="24" t="n"/>
      <c r="C14" s="25" t="n"/>
      <c r="D14" s="539" t="n"/>
      <c r="E14" s="23" t="n"/>
      <c r="F14" s="23" t="n"/>
      <c r="G14" s="539" t="n"/>
      <c r="H14" s="539" t="n"/>
      <c r="I14" s="539" t="n"/>
      <c r="J14" s="539" t="n"/>
      <c r="K14" s="539">
        <f>IF(I14=0,"",(J14-I14)/I14*100)</f>
      </c>
      <c r="L14" s="27" t="n"/>
    </row>
    <row r="15" ht="15.5" customHeight="1">
      <c r="A15" s="23" t="n"/>
      <c r="B15" s="24" t="n"/>
      <c r="C15" s="25" t="n"/>
      <c r="D15" s="539" t="n"/>
      <c r="E15" s="23" t="n"/>
      <c r="F15" s="23" t="n"/>
      <c r="G15" s="539" t="n"/>
      <c r="H15" s="539" t="n"/>
      <c r="I15" s="539" t="n"/>
      <c r="J15" s="539" t="n"/>
      <c r="K15" s="539">
        <f>IF(I15=0,"",(J15-I15)/I15*100)</f>
      </c>
      <c r="L15" s="27" t="n"/>
    </row>
    <row r="16" ht="15.5" customHeight="1">
      <c r="A16" s="23" t="n"/>
      <c r="B16" s="24" t="n"/>
      <c r="C16" s="25" t="n"/>
      <c r="D16" s="539" t="n"/>
      <c r="E16" s="23" t="n"/>
      <c r="F16" s="23" t="n"/>
      <c r="G16" s="539" t="n"/>
      <c r="H16" s="539" t="n"/>
      <c r="I16" s="539" t="n"/>
      <c r="J16" s="539" t="n"/>
      <c r="K16" s="539">
        <f>IF(I16=0,"",(J16-I16)/I16*100)</f>
      </c>
      <c r="L16" s="27" t="n"/>
    </row>
    <row r="17" ht="15.5" customHeight="1">
      <c r="A17" s="23" t="n"/>
      <c r="B17" s="24" t="n"/>
      <c r="C17" s="25" t="n"/>
      <c r="D17" s="539" t="n"/>
      <c r="E17" s="23" t="n"/>
      <c r="F17" s="23" t="n"/>
      <c r="G17" s="539" t="n"/>
      <c r="H17" s="539" t="n"/>
      <c r="I17" s="539" t="n"/>
      <c r="J17" s="539" t="n"/>
      <c r="K17" s="539">
        <f>IF(I17=0,"",(J17-I17)/I17*100)</f>
      </c>
      <c r="L17" s="27" t="n"/>
    </row>
    <row r="18" ht="15.5" customHeight="1">
      <c r="A18" s="23" t="n"/>
      <c r="B18" s="24" t="n"/>
      <c r="C18" s="25" t="n"/>
      <c r="D18" s="539" t="n"/>
      <c r="E18" s="23" t="n"/>
      <c r="F18" s="23" t="n"/>
      <c r="G18" s="539" t="n"/>
      <c r="H18" s="539" t="n"/>
      <c r="I18" s="539" t="n"/>
      <c r="J18" s="539" t="n"/>
      <c r="K18" s="539">
        <f>IF(I18=0,"",(J18-I18)/I18*100)</f>
      </c>
      <c r="L18" s="27" t="n"/>
    </row>
    <row r="19" ht="15.5" customHeight="1">
      <c r="A19" s="23" t="n"/>
      <c r="B19" s="24" t="n"/>
      <c r="C19" s="25" t="n"/>
      <c r="D19" s="539" t="n"/>
      <c r="E19" s="23" t="n"/>
      <c r="F19" s="23" t="n"/>
      <c r="G19" s="539" t="n"/>
      <c r="H19" s="539" t="n"/>
      <c r="I19" s="539" t="n"/>
      <c r="J19" s="539" t="n"/>
      <c r="K19" s="539">
        <f>IF(I19=0,"",(J19-I19)/I19*100)</f>
      </c>
      <c r="L19" s="27" t="n"/>
    </row>
    <row r="20" ht="15.5" customHeight="1">
      <c r="A20" s="23" t="n"/>
      <c r="B20" s="24" t="n"/>
      <c r="C20" s="25" t="n"/>
      <c r="D20" s="539" t="n"/>
      <c r="E20" s="23" t="n"/>
      <c r="F20" s="23" t="n"/>
      <c r="G20" s="539" t="n"/>
      <c r="H20" s="539" t="n"/>
      <c r="I20" s="539" t="n"/>
      <c r="J20" s="539" t="n"/>
      <c r="K20" s="539">
        <f>IF(I20=0,"",(J20-I20)/I20*100)</f>
      </c>
      <c r="L20" s="27" t="n"/>
    </row>
    <row r="21" ht="15.5" customHeight="1">
      <c r="A21" s="23" t="n"/>
      <c r="B21" s="24" t="n"/>
      <c r="C21" s="25" t="n"/>
      <c r="D21" s="539" t="n"/>
      <c r="E21" s="23" t="n"/>
      <c r="F21" s="23" t="n"/>
      <c r="G21" s="539" t="n"/>
      <c r="H21" s="539" t="n"/>
      <c r="I21" s="539" t="n"/>
      <c r="J21" s="539" t="n"/>
      <c r="K21" s="539">
        <f>IF(I21=0,"",(J21-I21)/I21*100)</f>
      </c>
      <c r="L21" s="27" t="n"/>
    </row>
    <row r="22" ht="15.5" customHeight="1">
      <c r="A22" s="23" t="n"/>
      <c r="B22" s="24" t="n"/>
      <c r="C22" s="25" t="n"/>
      <c r="D22" s="539" t="n"/>
      <c r="E22" s="23" t="n"/>
      <c r="F22" s="23" t="n"/>
      <c r="G22" s="539" t="n"/>
      <c r="H22" s="539" t="n"/>
      <c r="I22" s="539" t="n"/>
      <c r="J22" s="539" t="n"/>
      <c r="K22" s="539">
        <f>IF(I22=0,"",(J22-I22)/I22*100)</f>
      </c>
      <c r="L22" s="27" t="n"/>
    </row>
    <row r="23" ht="15.5" customHeight="1">
      <c r="A23" s="23" t="n"/>
      <c r="B23" s="24" t="n"/>
      <c r="C23" s="25" t="n"/>
      <c r="D23" s="539" t="n"/>
      <c r="E23" s="23" t="n"/>
      <c r="F23" s="23" t="n"/>
      <c r="G23" s="539" t="n"/>
      <c r="H23" s="539" t="n"/>
      <c r="I23" s="539" t="n"/>
      <c r="J23" s="539" t="n"/>
      <c r="K23" s="539">
        <f>IF(I23=0,"",(J23-I23)/I23*100)</f>
      </c>
      <c r="L23" s="27" t="n"/>
    </row>
    <row r="24" ht="15.5" customHeight="1">
      <c r="A24" s="23" t="n"/>
      <c r="B24" s="24" t="n"/>
      <c r="C24" s="25" t="n"/>
      <c r="D24" s="539" t="n"/>
      <c r="E24" s="23" t="n"/>
      <c r="F24" s="23" t="n"/>
      <c r="G24" s="539" t="n"/>
      <c r="H24" s="539" t="n"/>
      <c r="I24" s="539" t="n"/>
      <c r="J24" s="539" t="n"/>
      <c r="K24" s="539">
        <f>IF(I24=0,"",(J24-I24)/I24*100)</f>
      </c>
      <c r="L24" s="27" t="n"/>
    </row>
    <row r="25" ht="15.5" customHeight="1">
      <c r="A25" s="23" t="n"/>
      <c r="B25" s="24" t="n"/>
      <c r="C25" s="25" t="n"/>
      <c r="D25" s="539" t="n"/>
      <c r="E25" s="23" t="n"/>
      <c r="F25" s="23" t="n"/>
      <c r="G25" s="539" t="n"/>
      <c r="H25" s="539" t="n"/>
      <c r="I25" s="539" t="n"/>
      <c r="J25" s="539" t="n"/>
      <c r="K25" s="539">
        <f>IF(I25=0,"",(J25-I25)/I25*100)</f>
      </c>
      <c r="L25" s="27" t="n"/>
    </row>
    <row r="26" ht="15.5" customHeight="1">
      <c r="A26" s="23" t="n"/>
      <c r="B26" s="24" t="n"/>
      <c r="C26" s="25" t="n"/>
      <c r="D26" s="539" t="n"/>
      <c r="E26" s="23" t="n"/>
      <c r="F26" s="23" t="n"/>
      <c r="G26" s="539" t="n"/>
      <c r="H26" s="539" t="n"/>
      <c r="I26" s="539" t="n"/>
      <c r="J26" s="539" t="n"/>
      <c r="K26" s="539" t="n"/>
      <c r="L26" s="27" t="n"/>
    </row>
    <row r="27" ht="15.5" customHeight="1">
      <c r="A27" s="21" t="inlineStr">
        <is>
          <t>合            计</t>
        </is>
      </c>
      <c r="B27" s="28" t="n"/>
      <c r="C27" s="27" t="n"/>
      <c r="D27" s="539">
        <f>SUM(D6:D26)</f>
      </c>
      <c r="E27" s="27" t="n"/>
      <c r="F27" s="27" t="n"/>
      <c r="G27" s="539">
        <f>SUM(G6:G26)</f>
      </c>
      <c r="H27" s="539" t="n"/>
      <c r="I27" s="539">
        <f>SUM(I6:I26)</f>
      </c>
      <c r="J27" s="539">
        <f>SUM(J6:J26)</f>
      </c>
      <c r="K27" s="539">
        <f>IF(I27=0,"",(J27-I27)/I27*100)</f>
      </c>
      <c r="L27" s="27" t="n"/>
    </row>
    <row r="28" ht="15.5" customHeight="1">
      <c r="A28" s="29">
        <f>封面!D11&amp;封面!G11</f>
      </c>
      <c r="I28" s="536">
        <f>"评估人员："&amp;封面!G20</f>
      </c>
    </row>
    <row r="29" ht="15.5" customHeight="1">
      <c r="A29" s="29">
        <f>CONCATENATE(封面!D13,封面!F13,封面!G13,封面!H13,封面!I13,封面!J13,封面!K13)</f>
      </c>
    </row>
  </sheetData>
  <mergeCells count="3">
    <mergeCell ref="A3:L3"/>
    <mergeCell ref="A2:L2"/>
    <mergeCell ref="A27:B27"/>
  </mergeCells>
  <hyperlinks>
    <hyperlink ref="A1" location="索引目录!D15" display="返回索引页"/>
    <hyperlink ref="B1" location="流动汇总!B11"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Roman,常规"&amp;P&amp;"宋体,常规"3-6_x000a_页</oddHeader>
    <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codeName="Sheet20">
    <outlinePr summaryBelow="1" summaryRight="1"/>
    <pageSetUpPr fitToPage="1"/>
  </sheetPr>
  <dimension ref="A1:J29"/>
  <sheetViews>
    <sheetView view="pageBreakPreview" zoomScale="60" zoomScaleNormal="100" workbookViewId="0">
      <selection activeCell="G451" sqref="G451"/>
    </sheetView>
  </sheetViews>
  <sheetFormatPr baseColWidth="8" defaultColWidth="9" defaultRowHeight="15.75" customHeight="1"/>
  <cols>
    <col width="5.5" customWidth="1" style="13" min="1" max="1"/>
    <col width="24.8333333333333" customWidth="1" style="13" min="2" max="2"/>
    <col width="10" customWidth="1" style="13" min="3" max="3"/>
    <col width="12.5" customWidth="1" style="13" min="4" max="4"/>
    <col hidden="1" outlineLevel="1" width="15.8333333333333" customWidth="1" style="13" min="5" max="6"/>
    <col collapsed="1" width="17.5" customWidth="1" style="13" min="7" max="7"/>
    <col width="18.25" customWidth="1" style="13" min="8" max="8"/>
    <col width="15.5833333333333" customWidth="1" style="13" min="9" max="9"/>
    <col width="17.5" customWidth="1" style="13" min="10" max="10"/>
    <col width="9" customWidth="1" style="13" min="11" max="16384"/>
  </cols>
  <sheetData>
    <row r="1" ht="15.5" customHeight="1">
      <c r="A1" s="559" t="inlineStr">
        <is>
          <t>返回索引页</t>
        </is>
      </c>
      <c r="B1" s="15" t="inlineStr">
        <is>
          <t>返回</t>
        </is>
      </c>
      <c r="C1" s="16" t="n"/>
      <c r="D1" s="16" t="n"/>
      <c r="E1" s="16" t="n"/>
      <c r="F1" s="16" t="n"/>
      <c r="G1" s="16" t="n"/>
      <c r="H1" s="16" t="n"/>
      <c r="I1" s="16" t="n"/>
      <c r="J1" s="16" t="n"/>
    </row>
    <row r="2" ht="30" customFormat="1" customHeight="1" s="11">
      <c r="A2" s="17" t="inlineStr">
        <is>
          <t>应收股利（应收利润）评估明细表</t>
        </is>
      </c>
    </row>
    <row r="3" ht="14.15" customHeight="1">
      <c r="A3" s="535">
        <f>CONCATENATE(封面!D9,封面!F9,封面!G9,封面!H9,封面!I9,封面!J9,封面!K9)</f>
      </c>
    </row>
    <row r="4" ht="15.5" customHeight="1">
      <c r="A4" s="536">
        <f>封面!D7&amp;封面!F7</f>
      </c>
      <c r="J4" s="20" t="inlineStr">
        <is>
          <t>金额单位：人民币元</t>
        </is>
      </c>
    </row>
    <row r="5" ht="13" customFormat="1" customHeight="1" s="12">
      <c r="A5" s="21" t="inlineStr">
        <is>
          <t>序号</t>
        </is>
      </c>
      <c r="B5" s="21" t="inlineStr">
        <is>
          <t>户名（结算对象）</t>
        </is>
      </c>
      <c r="C5" s="21" t="inlineStr">
        <is>
          <t>发生日期</t>
        </is>
      </c>
      <c r="D5" s="21" t="inlineStr">
        <is>
          <t>股利所属期间</t>
        </is>
      </c>
      <c r="E5" s="77" t="inlineStr">
        <is>
          <t>审计前账面值</t>
        </is>
      </c>
      <c r="F5" s="77" t="inlineStr">
        <is>
          <t>审计调整</t>
        </is>
      </c>
      <c r="G5" s="21" t="inlineStr">
        <is>
          <t>账面价值</t>
        </is>
      </c>
      <c r="H5" s="21" t="inlineStr">
        <is>
          <t>评估价值</t>
        </is>
      </c>
      <c r="I5" s="21" t="inlineStr">
        <is>
          <t>增值率%</t>
        </is>
      </c>
      <c r="J5" s="21" t="inlineStr">
        <is>
          <t>备注</t>
        </is>
      </c>
    </row>
    <row r="6" ht="15.5" customHeight="1">
      <c r="A6" s="23" t="n"/>
      <c r="B6" s="24" t="n"/>
      <c r="C6" s="25" t="n"/>
      <c r="D6" s="27" t="n"/>
      <c r="E6" s="543" t="n"/>
      <c r="F6" s="543" t="n"/>
      <c r="G6" s="539" t="n"/>
      <c r="H6" s="539" t="n"/>
      <c r="I6" s="539">
        <f>IF(G6=0,"",(H6-G6)/G6*100)</f>
      </c>
      <c r="J6" s="27" t="n"/>
    </row>
    <row r="7" ht="15.5" customHeight="1">
      <c r="A7" s="23" t="n"/>
      <c r="B7" s="24" t="n"/>
      <c r="C7" s="25" t="n"/>
      <c r="D7" s="27" t="n"/>
      <c r="E7" s="543" t="n"/>
      <c r="F7" s="543" t="n"/>
      <c r="G7" s="539" t="n"/>
      <c r="H7" s="539" t="n"/>
      <c r="I7" s="539">
        <f>IF(G7=0,"",(H7-G7)/G7*100)</f>
      </c>
      <c r="J7" s="27" t="n"/>
    </row>
    <row r="8" ht="15.5" customHeight="1">
      <c r="A8" s="23" t="n"/>
      <c r="B8" s="24" t="n"/>
      <c r="C8" s="25" t="n"/>
      <c r="D8" s="27" t="n"/>
      <c r="E8" s="543" t="n"/>
      <c r="F8" s="543" t="n"/>
      <c r="G8" s="539" t="n"/>
      <c r="H8" s="539" t="n"/>
      <c r="I8" s="539">
        <f>IF(G8=0,"",(H8-G8)/G8*100)</f>
      </c>
      <c r="J8" s="27" t="n"/>
    </row>
    <row r="9" ht="15.5" customHeight="1">
      <c r="A9" s="23" t="n"/>
      <c r="B9" s="24" t="n"/>
      <c r="C9" s="25" t="n"/>
      <c r="D9" s="27" t="n"/>
      <c r="E9" s="543" t="n"/>
      <c r="F9" s="543" t="n"/>
      <c r="G9" s="539" t="n"/>
      <c r="H9" s="539" t="n"/>
      <c r="I9" s="539">
        <f>IF(G9=0,"",(H9-G9)/G9*100)</f>
      </c>
      <c r="J9" s="27" t="n"/>
    </row>
    <row r="10" ht="15.5" customHeight="1">
      <c r="A10" s="23" t="n"/>
      <c r="B10" s="24" t="n"/>
      <c r="C10" s="25" t="n"/>
      <c r="D10" s="27" t="n"/>
      <c r="E10" s="543" t="n"/>
      <c r="F10" s="543" t="n"/>
      <c r="G10" s="539" t="n"/>
      <c r="H10" s="539" t="n"/>
      <c r="I10" s="539">
        <f>IF(G10=0,"",(H10-G10)/G10*100)</f>
      </c>
      <c r="J10" s="27" t="n"/>
    </row>
    <row r="11" ht="15.5" customHeight="1">
      <c r="A11" s="23" t="n"/>
      <c r="B11" s="24" t="n"/>
      <c r="C11" s="25" t="n"/>
      <c r="D11" s="27" t="n"/>
      <c r="E11" s="543" t="n"/>
      <c r="F11" s="543" t="n"/>
      <c r="G11" s="539" t="n"/>
      <c r="H11" s="539" t="n"/>
      <c r="I11" s="539">
        <f>IF(G11=0,"",(H11-G11)/G11*100)</f>
      </c>
      <c r="J11" s="27" t="n"/>
    </row>
    <row r="12" ht="15.5" customHeight="1">
      <c r="A12" s="23" t="n"/>
      <c r="B12" s="24" t="n"/>
      <c r="C12" s="25" t="n"/>
      <c r="D12" s="27" t="n"/>
      <c r="E12" s="543" t="n"/>
      <c r="F12" s="543" t="n"/>
      <c r="G12" s="539" t="n"/>
      <c r="H12" s="539" t="n"/>
      <c r="I12" s="539">
        <f>IF(G12=0,"",(H12-G12)/G12*100)</f>
      </c>
      <c r="J12" s="27" t="n"/>
    </row>
    <row r="13" ht="15.5" customHeight="1">
      <c r="A13" s="23" t="n"/>
      <c r="B13" s="24" t="n"/>
      <c r="C13" s="25" t="n"/>
      <c r="D13" s="27" t="n"/>
      <c r="E13" s="543" t="n"/>
      <c r="F13" s="543" t="n"/>
      <c r="G13" s="539" t="n"/>
      <c r="H13" s="539" t="n"/>
      <c r="I13" s="539">
        <f>IF(G13=0,"",(H13-G13)/G13*100)</f>
      </c>
      <c r="J13" s="27" t="n"/>
    </row>
    <row r="14" ht="15.5" customHeight="1">
      <c r="A14" s="23" t="n"/>
      <c r="B14" s="24" t="n"/>
      <c r="C14" s="25" t="n"/>
      <c r="D14" s="27" t="n"/>
      <c r="E14" s="543" t="n"/>
      <c r="F14" s="543" t="n"/>
      <c r="G14" s="539" t="n"/>
      <c r="H14" s="539" t="n"/>
      <c r="I14" s="539">
        <f>IF(G14=0,"",(H14-G14)/G14*100)</f>
      </c>
      <c r="J14" s="27" t="n"/>
    </row>
    <row r="15" ht="15.5" customHeight="1">
      <c r="A15" s="23" t="n"/>
      <c r="B15" s="24" t="n"/>
      <c r="C15" s="25" t="n"/>
      <c r="D15" s="27" t="n"/>
      <c r="E15" s="543" t="n"/>
      <c r="F15" s="543" t="n"/>
      <c r="G15" s="539" t="n"/>
      <c r="H15" s="539" t="n"/>
      <c r="I15" s="539">
        <f>IF(G15=0,"",(H15-G15)/G15*100)</f>
      </c>
      <c r="J15" s="27" t="n"/>
    </row>
    <row r="16" ht="15.5" customHeight="1">
      <c r="A16" s="23" t="n"/>
      <c r="B16" s="24" t="n"/>
      <c r="C16" s="25" t="n"/>
      <c r="D16" s="27" t="n"/>
      <c r="E16" s="543" t="n"/>
      <c r="F16" s="543" t="n"/>
      <c r="G16" s="539" t="n"/>
      <c r="H16" s="539" t="n"/>
      <c r="I16" s="539">
        <f>IF(G16=0,"",(H16-G16)/G16*100)</f>
      </c>
      <c r="J16" s="27" t="n"/>
    </row>
    <row r="17" ht="15.5" customHeight="1">
      <c r="A17" s="23" t="n"/>
      <c r="B17" s="24" t="n"/>
      <c r="C17" s="25" t="n"/>
      <c r="D17" s="27" t="n"/>
      <c r="E17" s="543" t="n"/>
      <c r="F17" s="543" t="n"/>
      <c r="G17" s="539" t="n"/>
      <c r="H17" s="539" t="n"/>
      <c r="I17" s="539">
        <f>IF(G17=0,"",(H17-G17)/G17*100)</f>
      </c>
      <c r="J17" s="27" t="n"/>
    </row>
    <row r="18" ht="15.5" customHeight="1">
      <c r="A18" s="23" t="n"/>
      <c r="B18" s="24" t="n"/>
      <c r="C18" s="25" t="n"/>
      <c r="D18" s="27" t="n"/>
      <c r="E18" s="543" t="n"/>
      <c r="F18" s="543" t="n"/>
      <c r="G18" s="539" t="n"/>
      <c r="H18" s="539" t="n"/>
      <c r="I18" s="539">
        <f>IF(G18=0,"",(H18-G18)/G18*100)</f>
      </c>
      <c r="J18" s="27" t="n"/>
    </row>
    <row r="19" ht="15.5" customHeight="1">
      <c r="A19" s="23" t="n"/>
      <c r="B19" s="24" t="n"/>
      <c r="C19" s="25" t="n"/>
      <c r="D19" s="27" t="n"/>
      <c r="E19" s="543" t="n"/>
      <c r="F19" s="543" t="n"/>
      <c r="G19" s="539" t="n"/>
      <c r="H19" s="539" t="n"/>
      <c r="I19" s="539">
        <f>IF(G19=0,"",(H19-G19)/G19*100)</f>
      </c>
      <c r="J19" s="27" t="n"/>
    </row>
    <row r="20" ht="15.5" customHeight="1">
      <c r="A20" s="23" t="n"/>
      <c r="B20" s="24" t="n"/>
      <c r="C20" s="25" t="n"/>
      <c r="D20" s="27" t="n"/>
      <c r="E20" s="543" t="n"/>
      <c r="F20" s="543" t="n"/>
      <c r="G20" s="539" t="n"/>
      <c r="H20" s="539" t="n"/>
      <c r="I20" s="539">
        <f>IF(G20=0,"",(H20-G20)/G20*100)</f>
      </c>
      <c r="J20" s="27" t="n"/>
    </row>
    <row r="21" ht="15.5" customHeight="1">
      <c r="A21" s="23" t="n"/>
      <c r="B21" s="24" t="n"/>
      <c r="C21" s="25" t="n"/>
      <c r="D21" s="27" t="n"/>
      <c r="E21" s="543" t="n"/>
      <c r="F21" s="543" t="n"/>
      <c r="G21" s="539" t="n"/>
      <c r="H21" s="539" t="n"/>
      <c r="I21" s="539">
        <f>IF(G21=0,"",(H21-G21)/G21*100)</f>
      </c>
      <c r="J21" s="27" t="n"/>
    </row>
    <row r="22" ht="15.5" customHeight="1">
      <c r="A22" s="23" t="n"/>
      <c r="B22" s="24" t="n"/>
      <c r="C22" s="25" t="n"/>
      <c r="D22" s="27" t="n"/>
      <c r="E22" s="543" t="n"/>
      <c r="F22" s="543" t="n"/>
      <c r="G22" s="539" t="n"/>
      <c r="H22" s="539" t="n"/>
      <c r="I22" s="539">
        <f>IF(G22=0,"",(H22-G22)/G22*100)</f>
      </c>
      <c r="J22" s="27" t="n"/>
    </row>
    <row r="23" ht="15.5" customHeight="1">
      <c r="A23" s="23" t="n"/>
      <c r="B23" s="24" t="n"/>
      <c r="C23" s="25" t="n"/>
      <c r="D23" s="27" t="n"/>
      <c r="E23" s="543" t="n"/>
      <c r="F23" s="543" t="n"/>
      <c r="G23" s="539" t="n"/>
      <c r="H23" s="539" t="n"/>
      <c r="I23" s="539">
        <f>IF(G23=0,"",(H23-G23)/G23*100)</f>
      </c>
      <c r="J23" s="27" t="n"/>
    </row>
    <row r="24" ht="15.5" customHeight="1">
      <c r="A24" s="23" t="n"/>
      <c r="B24" s="24" t="n"/>
      <c r="C24" s="25" t="n"/>
      <c r="D24" s="27" t="n"/>
      <c r="E24" s="543" t="n"/>
      <c r="F24" s="543" t="n"/>
      <c r="G24" s="539" t="n"/>
      <c r="H24" s="539" t="n"/>
      <c r="I24" s="539">
        <f>IF(G24=0,"",(H24-G24)/G24*100)</f>
      </c>
      <c r="J24" s="27" t="n"/>
    </row>
    <row r="25" ht="15.5" customHeight="1">
      <c r="A25" s="23" t="n"/>
      <c r="B25" s="24" t="n"/>
      <c r="C25" s="25" t="n"/>
      <c r="D25" s="27" t="n"/>
      <c r="E25" s="543" t="n"/>
      <c r="F25" s="543" t="n"/>
      <c r="G25" s="539" t="n"/>
      <c r="H25" s="539" t="n"/>
      <c r="I25" s="539">
        <f>IF(G25=0,"",(H25-G25)/G25*100)</f>
      </c>
      <c r="J25" s="27" t="n"/>
    </row>
    <row r="26" ht="15.5" customHeight="1">
      <c r="A26" s="23" t="n"/>
      <c r="B26" s="24" t="n"/>
      <c r="C26" s="25" t="n"/>
      <c r="D26" s="27" t="n"/>
      <c r="E26" s="543" t="n"/>
      <c r="F26" s="543" t="n"/>
      <c r="G26" s="539" t="n"/>
      <c r="H26" s="539" t="n"/>
      <c r="I26" s="539" t="n"/>
      <c r="J26" s="27" t="n"/>
    </row>
    <row r="27" ht="15.5" customHeight="1">
      <c r="A27" s="21" t="inlineStr">
        <is>
          <t>合            计</t>
        </is>
      </c>
      <c r="B27" s="28" t="n"/>
      <c r="C27" s="25" t="n"/>
      <c r="D27" s="27" t="n"/>
      <c r="E27" s="543">
        <f>SUM(E6:E26)</f>
      </c>
      <c r="F27" s="543" t="n"/>
      <c r="G27" s="539">
        <f>SUM(G6:G26)</f>
      </c>
      <c r="H27" s="539">
        <f>SUM(H6:H26)</f>
      </c>
      <c r="I27" s="539">
        <f>IF(G27=0,"",(H27-G27)/G27*100)</f>
      </c>
      <c r="J27" s="27" t="n"/>
    </row>
    <row r="28" ht="15.5" customHeight="1">
      <c r="A28" s="29">
        <f>封面!D11&amp;封面!G11</f>
      </c>
      <c r="G28" s="536">
        <f>"评估人员："&amp;封面!G20</f>
      </c>
    </row>
    <row r="29" ht="15.5" customHeight="1">
      <c r="A29" s="29">
        <f>CONCATENATE(封面!D13,封面!F13,封面!G13,封面!H13,封面!I13,封面!J13,封面!K13)</f>
      </c>
    </row>
  </sheetData>
  <mergeCells count="3">
    <mergeCell ref="A27:B27"/>
    <mergeCell ref="A3:J3"/>
    <mergeCell ref="A2:J2"/>
  </mergeCells>
  <hyperlinks>
    <hyperlink ref="A1" location="索引目录!D16" display="返回索引页"/>
    <hyperlink ref="B1" location="流动汇总!B12" display="返回"/>
  </hyperlinks>
  <printOptions horizontalCentered="1"/>
  <pageMargins left="0.354330708661417" right="0.354330708661417" top="0.78740157480315" bottom="0.78740157480315" header="1.02" footer="0.511811023622047"/>
  <pageSetup orientation="landscape" paperSize="9" fitToHeight="0"/>
  <headerFooter alignWithMargins="0">
    <oddHeader>&amp;R&amp;"宋体,常规"共&amp;"Times New Roman,常规"&amp;N&amp;"宋体,常规"页第&amp;"Times New Roman,常规"&amp;P&amp;"宋体,常规"3-7_x000a_页</oddHeader>
    <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codeName="Sheet21">
    <outlinePr summaryBelow="1" summaryRight="1"/>
    <pageSetUpPr fitToPage="1"/>
  </sheetPr>
  <dimension ref="A1:S52"/>
  <sheetViews>
    <sheetView view="pageBreakPreview" zoomScale="90" zoomScaleNormal="100" workbookViewId="0">
      <selection activeCell="G451" sqref="G451"/>
    </sheetView>
  </sheetViews>
  <sheetFormatPr baseColWidth="8" defaultColWidth="9" defaultRowHeight="15.75" customHeight="1"/>
  <cols>
    <col width="5.25" customWidth="1" style="13" min="1" max="1"/>
    <col width="28" customWidth="1" style="13" min="2" max="2"/>
    <col width="13.5" customWidth="1" style="13" min="3" max="3"/>
    <col width="9.75" customWidth="1" style="13" min="4" max="4"/>
    <col width="7.75" customWidth="1" style="13" min="5" max="5"/>
    <col hidden="1" outlineLevel="1" width="13.0833333333333" customWidth="1" style="13" min="6" max="6"/>
    <col hidden="1" outlineLevel="1" width="10.3333333333333" customWidth="1" style="547" min="7" max="7"/>
    <col hidden="1" outlineLevel="1" width="8.75" customWidth="1" style="547" min="8" max="11"/>
    <col hidden="1" outlineLevel="1" width="10.3333333333333" customWidth="1" style="547" min="12" max="12"/>
    <col hidden="1" outlineLevel="1" width="8.25" customWidth="1" style="547" min="13" max="13"/>
    <col hidden="1" outlineLevel="1" width="10.75" customWidth="1" style="150" min="14" max="15"/>
    <col collapsed="1" width="18.5" customWidth="1" style="13" min="16" max="16"/>
    <col width="18.5" customWidth="1" style="13" min="17" max="17"/>
    <col width="9.58333333333333" customWidth="1" style="13" min="18" max="18"/>
    <col width="11.0833333333333" customWidth="1" style="13" min="19" max="19"/>
    <col width="9" customWidth="1" style="13" min="20" max="16384"/>
  </cols>
  <sheetData>
    <row r="1" ht="15" customFormat="1" customHeight="1" s="64">
      <c r="A1" s="529" t="inlineStr">
        <is>
          <t>返回索引页</t>
        </is>
      </c>
      <c r="B1" s="52" t="inlineStr">
        <is>
          <t xml:space="preserve">返回 </t>
        </is>
      </c>
      <c r="C1" s="65" t="n"/>
      <c r="D1" s="65" t="n"/>
      <c r="E1" s="65" t="n"/>
      <c r="F1" s="65" t="n"/>
      <c r="G1" s="65" t="n"/>
      <c r="H1" s="65" t="n"/>
      <c r="I1" s="65" t="n"/>
      <c r="J1" s="65" t="n"/>
      <c r="K1" s="65" t="n"/>
      <c r="L1" s="65" t="n"/>
      <c r="M1" s="65" t="n"/>
      <c r="N1" s="65" t="n"/>
      <c r="O1" s="65" t="n"/>
      <c r="P1" s="65" t="n"/>
      <c r="Q1" s="65" t="n"/>
      <c r="R1" s="65" t="n"/>
      <c r="S1" s="65" t="n"/>
    </row>
    <row r="2" ht="30" customFormat="1" customHeight="1" s="11">
      <c r="A2" s="53" t="inlineStr">
        <is>
          <t>其他应收款评估明细表</t>
        </is>
      </c>
    </row>
    <row r="3" ht="14.15" customHeight="1">
      <c r="A3" s="535">
        <f>CONCATENATE(封面!D9,封面!F9,封面!G9,封面!H9,封面!I9,封面!J9,封面!K9)</f>
      </c>
    </row>
    <row r="4" ht="15.5" customHeight="1">
      <c r="A4" s="536">
        <f>封面!D7&amp;封面!F7</f>
      </c>
      <c r="M4" s="263" t="inlineStr">
        <is>
          <t>账龄总数与审计前账面值差异(应等于0)</t>
        </is>
      </c>
      <c r="N4" s="549" t="inlineStr">
        <is>
          <t>预计不可收回金额(注1)</t>
        </is>
      </c>
      <c r="O4" s="550" t="n"/>
      <c r="S4" s="54" t="inlineStr">
        <is>
          <t>金额单位：人民币元</t>
        </is>
      </c>
    </row>
    <row r="5" ht="13" customFormat="1" customHeight="1" s="12">
      <c r="A5" s="63" t="inlineStr">
        <is>
          <t>序号</t>
        </is>
      </c>
      <c r="B5" s="63" t="inlineStr">
        <is>
          <t>欠款单位名称（结算对象）</t>
        </is>
      </c>
      <c r="C5" s="63" t="inlineStr">
        <is>
          <t>业务内容</t>
        </is>
      </c>
      <c r="D5" s="23" t="inlineStr">
        <is>
          <t>发生日期</t>
        </is>
      </c>
      <c r="E5" s="23" t="inlineStr">
        <is>
          <t>账龄</t>
        </is>
      </c>
      <c r="F5" s="23" t="inlineStr">
        <is>
          <t>审计前账面值</t>
        </is>
      </c>
      <c r="G5" s="551" t="inlineStr">
        <is>
          <t>1年以内金额</t>
        </is>
      </c>
      <c r="H5" s="552" t="inlineStr">
        <is>
          <t>1~2年金额</t>
        </is>
      </c>
      <c r="I5" s="551" t="inlineStr">
        <is>
          <t>2~3年金额</t>
        </is>
      </c>
      <c r="J5" s="551" t="inlineStr">
        <is>
          <t>3~4年金额</t>
        </is>
      </c>
      <c r="K5" s="551" t="inlineStr">
        <is>
          <t>4~5年金额</t>
        </is>
      </c>
      <c r="L5" s="551" t="inlineStr">
        <is>
          <t>5年以上金额</t>
        </is>
      </c>
      <c r="M5" s="36" t="n"/>
      <c r="N5" s="36" t="n"/>
      <c r="O5" s="549" t="inlineStr">
        <is>
          <t>审计调整</t>
        </is>
      </c>
      <c r="P5" s="23" t="inlineStr">
        <is>
          <t>账面价值</t>
        </is>
      </c>
      <c r="Q5" s="23" t="inlineStr">
        <is>
          <t>评估价值</t>
        </is>
      </c>
      <c r="R5" s="23" t="inlineStr">
        <is>
          <t>增值率%</t>
        </is>
      </c>
      <c r="S5" s="23" t="inlineStr">
        <is>
          <t>备注</t>
        </is>
      </c>
    </row>
    <row r="6" ht="14" customHeight="1">
      <c r="A6" s="63" t="n">
        <v>1</v>
      </c>
      <c r="B6" s="59"/>
      <c r="C6" s="58"/>
      <c r="D6" s="555"/>
      <c r="E6" s="23"/>
      <c r="F6" s="539" t="n"/>
      <c r="G6" s="556" t="n"/>
      <c r="H6" s="556" t="n"/>
      <c r="I6" s="556"/>
      <c r="J6" s="556" t="n"/>
      <c r="K6" s="556" t="n"/>
      <c r="L6" s="556" t="n"/>
      <c r="M6" s="556" t="n"/>
      <c r="N6" s="557" t="n"/>
      <c r="O6" s="557" t="n"/>
      <c r="P6" s="539"/>
      <c r="Q6" s="539">
        <f>P6</f>
      </c>
      <c r="R6" s="539">
        <f>IF(P6=0,"",(Q6-P6)/P6*100)</f>
      </c>
      <c r="S6" s="27" t="n"/>
    </row>
    <row r="7" ht="14" customHeight="1">
      <c r="A7" s="63" t="n">
        <v>2</v>
      </c>
      <c r="B7" s="59"/>
      <c r="C7" s="58"/>
      <c r="D7" s="555"/>
      <c r="E7" s="23"/>
      <c r="F7" s="539" t="n"/>
      <c r="G7" s="556" t="n"/>
      <c r="H7" s="556" t="n"/>
      <c r="I7" s="556"/>
      <c r="J7" s="556" t="n"/>
      <c r="K7" s="556" t="n"/>
      <c r="L7" s="556" t="n"/>
      <c r="M7" s="556" t="n"/>
      <c r="N7" s="557" t="n"/>
      <c r="O7" s="557" t="n"/>
      <c r="P7" s="539"/>
      <c r="Q7" s="539">
        <f>P7</f>
      </c>
      <c r="R7" s="539">
        <f>IF(P7=0,"",(Q7-P7)/P7*100)</f>
      </c>
      <c r="S7" s="27" t="n"/>
    </row>
    <row r="8" ht="14" customHeight="1">
      <c r="A8" s="63" t="n">
        <v>3</v>
      </c>
      <c r="B8" s="59"/>
      <c r="C8" s="58"/>
      <c r="D8" s="555"/>
      <c r="E8" s="23"/>
      <c r="F8" s="539" t="n"/>
      <c r="G8" s="556"/>
      <c r="H8" s="556" t="n"/>
      <c r="I8" s="556" t="n"/>
      <c r="J8" s="556" t="n"/>
      <c r="K8" s="556" t="n"/>
      <c r="L8" s="556" t="n"/>
      <c r="M8" s="556" t="n"/>
      <c r="N8" s="557" t="n"/>
      <c r="O8" s="557" t="n"/>
      <c r="P8" s="539"/>
      <c r="Q8" s="539">
        <f>P8</f>
      </c>
      <c r="R8" s="539">
        <f>IF(P8=0,"",(Q8-P8)/P8*100)</f>
      </c>
      <c r="S8" s="27" t="n"/>
    </row>
    <row r="9" ht="14" customHeight="1">
      <c r="A9" s="63" t="n">
        <v>4</v>
      </c>
      <c r="B9" s="59"/>
      <c r="C9" s="58"/>
      <c r="D9" s="555"/>
      <c r="E9" s="23"/>
      <c r="F9" s="539" t="n"/>
      <c r="G9" s="556"/>
      <c r="H9" s="556" t="n"/>
      <c r="I9" s="556" t="n"/>
      <c r="J9" s="556" t="n"/>
      <c r="K9" s="556" t="n"/>
      <c r="L9" s="556" t="n"/>
      <c r="M9" s="556" t="n"/>
      <c r="N9" s="557" t="n"/>
      <c r="O9" s="557" t="n"/>
      <c r="P9" s="539"/>
      <c r="Q9" s="539">
        <f>P9</f>
      </c>
      <c r="R9" s="539">
        <f>IF(P9=0,"",(Q9-P9)/P9*100)</f>
      </c>
      <c r="S9" s="27" t="n"/>
    </row>
    <row r="10" ht="14" customHeight="1">
      <c r="A10" s="63" t="n">
        <v>5</v>
      </c>
      <c r="B10" s="59"/>
      <c r="C10" s="58"/>
      <c r="D10" s="555"/>
      <c r="E10" s="23"/>
      <c r="F10" s="539" t="n"/>
      <c r="G10" s="556"/>
      <c r="H10" s="556" t="n"/>
      <c r="I10" s="556" t="n"/>
      <c r="J10" s="556" t="n"/>
      <c r="K10" s="556" t="n"/>
      <c r="L10" s="556" t="n"/>
      <c r="M10" s="556" t="n"/>
      <c r="N10" s="557" t="n"/>
      <c r="O10" s="557" t="n"/>
      <c r="P10" s="539"/>
      <c r="Q10" s="539">
        <f>P10</f>
      </c>
      <c r="R10" s="539">
        <f>IF(P10=0,"",(Q10-P10)/P10*100)</f>
      </c>
      <c r="S10" s="27" t="n"/>
    </row>
    <row r="11" ht="14" customHeight="1">
      <c r="A11" s="63" t="n">
        <v>6</v>
      </c>
      <c r="B11" s="59"/>
      <c r="C11" s="58"/>
      <c r="D11" s="555"/>
      <c r="E11" s="23"/>
      <c r="F11" s="539" t="n"/>
      <c r="G11" s="556"/>
      <c r="H11" s="556" t="n"/>
      <c r="I11" s="556" t="n"/>
      <c r="J11" s="556" t="n"/>
      <c r="K11" s="556" t="n"/>
      <c r="L11" s="556" t="n"/>
      <c r="M11" s="556" t="n"/>
      <c r="N11" s="557" t="n"/>
      <c r="O11" s="557" t="n"/>
      <c r="P11" s="539"/>
      <c r="Q11" s="539">
        <f>P11</f>
      </c>
      <c r="R11" s="539">
        <f>IF(P11=0,"",(Q11-P11)/P11*100)</f>
      </c>
      <c r="S11" s="27" t="n"/>
    </row>
    <row r="12" ht="14" customHeight="1">
      <c r="A12" s="63" t="n">
        <v>7</v>
      </c>
      <c r="B12" s="59"/>
      <c r="C12" s="58"/>
      <c r="D12" s="555"/>
      <c r="E12" s="23"/>
      <c r="F12" s="539" t="n"/>
      <c r="G12" s="556"/>
      <c r="H12" s="556" t="n"/>
      <c r="I12" s="556" t="n"/>
      <c r="J12" s="556" t="n"/>
      <c r="K12" s="556" t="n"/>
      <c r="L12" s="556" t="n"/>
      <c r="M12" s="556" t="n"/>
      <c r="N12" s="557" t="n"/>
      <c r="O12" s="557" t="n"/>
      <c r="P12" s="539"/>
      <c r="Q12" s="539">
        <f>P12</f>
      </c>
      <c r="R12" s="539">
        <f>IF(P12=0,"",(Q12-P12)/P12*100)</f>
      </c>
      <c r="S12" s="27" t="n"/>
    </row>
    <row r="13" ht="14" customHeight="1">
      <c r="A13" s="63" t="n">
        <v>8</v>
      </c>
      <c r="B13" s="59"/>
      <c r="C13" s="58"/>
      <c r="D13" s="555"/>
      <c r="E13" s="23"/>
      <c r="F13" s="539" t="n"/>
      <c r="G13" s="556" t="n"/>
      <c r="H13" s="556"/>
      <c r="I13" s="556" t="n"/>
      <c r="J13" s="556" t="n"/>
      <c r="K13" s="556" t="n"/>
      <c r="L13" s="556" t="n"/>
      <c r="M13" s="556" t="n"/>
      <c r="N13" s="557" t="n"/>
      <c r="O13" s="557" t="n"/>
      <c r="P13" s="539"/>
      <c r="Q13" s="539">
        <f>P13</f>
      </c>
      <c r="R13" s="539">
        <f>IF(P13=0,"",(Q13-P13)/P13*100)</f>
      </c>
      <c r="S13" s="27" t="n"/>
    </row>
    <row r="14" ht="14" customHeight="1">
      <c r="A14" s="63" t="n">
        <v>9</v>
      </c>
      <c r="B14" s="59"/>
      <c r="C14" s="58"/>
      <c r="D14" s="555"/>
      <c r="E14" s="23"/>
      <c r="F14" s="539" t="n"/>
      <c r="G14" s="556"/>
      <c r="H14" s="556" t="n"/>
      <c r="I14" s="556" t="n"/>
      <c r="J14" s="556" t="n"/>
      <c r="K14" s="556" t="n"/>
      <c r="L14" s="556" t="n"/>
      <c r="M14" s="556" t="n"/>
      <c r="N14" s="557" t="n"/>
      <c r="O14" s="557" t="n"/>
      <c r="P14" s="539"/>
      <c r="Q14" s="539">
        <f>P14</f>
      </c>
      <c r="R14" s="539">
        <f>IF(P14=0,"",(Q14-P14)/P14*100)</f>
      </c>
      <c r="S14" s="27" t="n"/>
    </row>
    <row r="15" ht="14" customHeight="1">
      <c r="A15" s="63" t="n">
        <v>10</v>
      </c>
      <c r="B15" s="59"/>
      <c r="C15" s="58"/>
      <c r="D15" s="555"/>
      <c r="E15" s="23"/>
      <c r="F15" s="539" t="n"/>
      <c r="G15" s="556"/>
      <c r="H15" s="556" t="n"/>
      <c r="I15" s="556" t="n"/>
      <c r="J15" s="556" t="n"/>
      <c r="K15" s="556" t="n"/>
      <c r="L15" s="556" t="n"/>
      <c r="M15" s="556" t="n"/>
      <c r="N15" s="557" t="n"/>
      <c r="O15" s="557" t="n"/>
      <c r="P15" s="539"/>
      <c r="Q15" s="539">
        <f>P15</f>
      </c>
      <c r="R15" s="539">
        <f>IF(P15=0,"",(Q15-P15)/P15*100)</f>
      </c>
      <c r="S15" s="27" t="n"/>
    </row>
    <row r="16" ht="14" customHeight="1">
      <c r="A16" s="63" t="n">
        <v>11</v>
      </c>
      <c r="B16" s="59"/>
      <c r="C16" s="58"/>
      <c r="D16" s="555"/>
      <c r="E16" s="23"/>
      <c r="F16" s="539" t="n"/>
      <c r="G16" s="556"/>
      <c r="H16" s="556" t="n"/>
      <c r="I16" s="556" t="n"/>
      <c r="J16" s="556" t="n"/>
      <c r="K16" s="556" t="n"/>
      <c r="L16" s="556" t="n"/>
      <c r="M16" s="556" t="n"/>
      <c r="N16" s="557" t="n"/>
      <c r="O16" s="557" t="n"/>
      <c r="P16" s="539"/>
      <c r="Q16" s="539">
        <f>P16</f>
      </c>
      <c r="R16" s="539">
        <f>IF(P16=0,"",(Q16-P16)/P16*100)</f>
      </c>
      <c r="S16" s="27" t="n"/>
    </row>
    <row r="17" ht="14" customHeight="1">
      <c r="A17" s="63" t="n">
        <v>12</v>
      </c>
      <c r="B17" s="59"/>
      <c r="C17" s="58"/>
      <c r="D17" s="555"/>
      <c r="E17" s="23"/>
      <c r="F17" s="539" t="n"/>
      <c r="G17" s="556"/>
      <c r="H17" s="556" t="n"/>
      <c r="I17" s="556" t="n"/>
      <c r="J17" s="556" t="n"/>
      <c r="K17" s="556" t="n"/>
      <c r="L17" s="556" t="n"/>
      <c r="M17" s="556" t="n"/>
      <c r="N17" s="557" t="n"/>
      <c r="O17" s="557" t="n"/>
      <c r="P17" s="539"/>
      <c r="Q17" s="539">
        <f>P17</f>
      </c>
      <c r="R17" s="539">
        <f>IF(P17=0,"",(Q17-P17)/P17*100)</f>
      </c>
      <c r="S17" s="27" t="n"/>
    </row>
    <row r="18" ht="14" customHeight="1">
      <c r="A18" s="63" t="n">
        <v>13</v>
      </c>
      <c r="B18" s="59"/>
      <c r="C18" s="58"/>
      <c r="D18" s="555"/>
      <c r="E18" s="23"/>
      <c r="F18" s="539" t="n"/>
      <c r="G18" s="556"/>
      <c r="H18" s="556" t="n"/>
      <c r="I18" s="556" t="n"/>
      <c r="J18" s="556" t="n"/>
      <c r="K18" s="556" t="n"/>
      <c r="L18" s="556" t="n"/>
      <c r="M18" s="556" t="n"/>
      <c r="N18" s="557" t="n"/>
      <c r="O18" s="557" t="n"/>
      <c r="P18" s="539"/>
      <c r="Q18" s="539">
        <f>P18</f>
      </c>
      <c r="R18" s="539">
        <f>IF(P18=0,"",(Q18-P18)/P18*100)</f>
      </c>
      <c r="S18" s="27" t="n"/>
    </row>
    <row r="19" ht="14" customHeight="1">
      <c r="A19" s="63" t="n">
        <v>14</v>
      </c>
      <c r="B19" s="59"/>
      <c r="C19" s="58"/>
      <c r="D19" s="555"/>
      <c r="E19" s="23"/>
      <c r="F19" s="539" t="n"/>
      <c r="G19" s="556" t="n"/>
      <c r="H19" s="556"/>
      <c r="I19" s="556" t="n"/>
      <c r="J19" s="556" t="n"/>
      <c r="K19" s="556" t="n"/>
      <c r="L19" s="556" t="n"/>
      <c r="M19" s="556" t="n"/>
      <c r="N19" s="557" t="n"/>
      <c r="O19" s="557" t="n"/>
      <c r="P19" s="539"/>
      <c r="Q19" s="539">
        <f>P19</f>
      </c>
      <c r="R19" s="539">
        <f>IF(P19=0,"",(Q19-P19)/P19*100)</f>
      </c>
      <c r="S19" s="27" t="n"/>
    </row>
    <row r="20" ht="14" customHeight="1">
      <c r="A20" s="63" t="n">
        <v>15</v>
      </c>
      <c r="B20" s="59"/>
      <c r="C20" s="58"/>
      <c r="D20" s="555"/>
      <c r="E20" s="23"/>
      <c r="F20" s="539" t="n"/>
      <c r="G20" s="556"/>
      <c r="H20" s="556" t="n"/>
      <c r="I20" s="556" t="n"/>
      <c r="J20" s="556" t="n"/>
      <c r="K20" s="556" t="n"/>
      <c r="L20" s="556" t="n"/>
      <c r="M20" s="556" t="n"/>
      <c r="N20" s="557" t="n"/>
      <c r="O20" s="557" t="n"/>
      <c r="P20" s="539"/>
      <c r="Q20" s="539">
        <f>P20</f>
      </c>
      <c r="R20" s="539">
        <f>IF(P20=0,"",(Q20-P20)/P20*100)</f>
      </c>
      <c r="S20" s="27" t="n"/>
    </row>
    <row r="21" ht="14" customHeight="1">
      <c r="A21" s="63" t="n">
        <v>16</v>
      </c>
      <c r="B21" s="59"/>
      <c r="C21" s="58"/>
      <c r="D21" s="555"/>
      <c r="E21" s="23"/>
      <c r="F21" s="539" t="n"/>
      <c r="G21" s="556"/>
      <c r="H21" s="556" t="n"/>
      <c r="I21" s="556" t="n"/>
      <c r="J21" s="556" t="n"/>
      <c r="K21" s="556" t="n"/>
      <c r="L21" s="556" t="n"/>
      <c r="M21" s="556" t="n"/>
      <c r="N21" s="557" t="n"/>
      <c r="O21" s="557" t="n"/>
      <c r="P21" s="539"/>
      <c r="Q21" s="539">
        <f>P21</f>
      </c>
      <c r="R21" s="539">
        <f>IF(P21=0,"",(Q21-P21)/P21*100)</f>
      </c>
      <c r="S21" s="27" t="n"/>
    </row>
    <row r="22" ht="14" customHeight="1">
      <c r="A22" s="63" t="n">
        <v>17</v>
      </c>
      <c r="B22" s="59"/>
      <c r="C22" s="58"/>
      <c r="D22" s="555"/>
      <c r="E22" s="23"/>
      <c r="F22" s="539" t="n"/>
      <c r="G22" s="556"/>
      <c r="H22" s="556" t="n"/>
      <c r="I22" s="556" t="n"/>
      <c r="J22" s="556" t="n"/>
      <c r="K22" s="556" t="n"/>
      <c r="L22" s="556" t="n"/>
      <c r="M22" s="556" t="n"/>
      <c r="N22" s="557" t="n"/>
      <c r="O22" s="557" t="n"/>
      <c r="P22" s="539"/>
      <c r="Q22" s="539">
        <f>P22</f>
      </c>
      <c r="R22" s="539">
        <f>IF(P22=0,"",(Q22-P22)/P22*100)</f>
      </c>
      <c r="S22" s="27" t="n"/>
    </row>
    <row r="23" ht="14" customHeight="1">
      <c r="A23" s="63" t="n">
        <v>18</v>
      </c>
      <c r="B23" s="59"/>
      <c r="C23" s="58"/>
      <c r="D23" s="555"/>
      <c r="E23" s="23"/>
      <c r="F23" s="539" t="n"/>
      <c r="G23" s="556"/>
      <c r="H23" s="556" t="n"/>
      <c r="I23" s="556" t="n"/>
      <c r="J23" s="556" t="n"/>
      <c r="K23" s="556" t="n"/>
      <c r="L23" s="556" t="n"/>
      <c r="M23" s="556" t="n"/>
      <c r="N23" s="557" t="n"/>
      <c r="O23" s="557" t="n"/>
      <c r="P23" s="539"/>
      <c r="Q23" s="539">
        <f>P23</f>
      </c>
      <c r="R23" s="539">
        <f>IF(P23=0,"",(Q23-P23)/P23*100)</f>
      </c>
      <c r="S23" s="27" t="n"/>
    </row>
    <row r="24" ht="14" customHeight="1">
      <c r="A24" s="63" t="n">
        <v>19</v>
      </c>
      <c r="B24" s="59"/>
      <c r="C24" s="58"/>
      <c r="D24" s="555"/>
      <c r="E24" s="23"/>
      <c r="F24" s="539" t="n"/>
      <c r="G24" s="556"/>
      <c r="H24" s="556" t="n"/>
      <c r="I24" s="556" t="n"/>
      <c r="J24" s="556" t="n"/>
      <c r="K24" s="556" t="n"/>
      <c r="L24" s="556" t="n"/>
      <c r="M24" s="556" t="n"/>
      <c r="N24" s="557" t="n"/>
      <c r="O24" s="557" t="n"/>
      <c r="P24" s="539"/>
      <c r="Q24" s="539">
        <f>P24</f>
      </c>
      <c r="R24" s="539">
        <f>IF(P24=0,"",(Q24-P24)/P24*100)</f>
      </c>
      <c r="S24" s="27" t="n"/>
    </row>
    <row r="25" ht="14" customHeight="1">
      <c r="A25" s="63" t="n">
        <v>20</v>
      </c>
      <c r="B25" s="59"/>
      <c r="C25" s="58"/>
      <c r="D25" s="555"/>
      <c r="E25" s="23"/>
      <c r="F25" s="539" t="n"/>
      <c r="G25" s="556"/>
      <c r="H25" s="556" t="n"/>
      <c r="I25" s="556" t="n"/>
      <c r="J25" s="556" t="n"/>
      <c r="K25" s="556" t="n"/>
      <c r="L25" s="556" t="n"/>
      <c r="M25" s="556" t="n"/>
      <c r="N25" s="557" t="n"/>
      <c r="O25" s="557" t="n"/>
      <c r="P25" s="539"/>
      <c r="Q25" s="539">
        <f>P25</f>
      </c>
      <c r="R25" s="539">
        <f>IF(P25=0,"",(Q25-P25)/P25*100)</f>
      </c>
      <c r="S25" s="27" t="n"/>
    </row>
    <row r="26" ht="14" customHeight="1">
      <c r="A26" s="63" t="n">
        <v>21</v>
      </c>
      <c r="B26" s="59"/>
      <c r="C26" s="58"/>
      <c r="D26" s="555"/>
      <c r="E26" s="23"/>
      <c r="F26" s="539" t="n"/>
      <c r="G26" s="556"/>
      <c r="H26" s="556" t="n"/>
      <c r="I26" s="556" t="n"/>
      <c r="J26" s="556" t="n"/>
      <c r="K26" s="556" t="n"/>
      <c r="L26" s="556" t="n"/>
      <c r="M26" s="556" t="n"/>
      <c r="N26" s="557" t="n"/>
      <c r="O26" s="557" t="n"/>
      <c r="P26" s="539"/>
      <c r="Q26" s="539">
        <f>P26</f>
      </c>
      <c r="R26" s="539">
        <f>IF(P26=0,"",(Q26-P26)/P26*100)</f>
      </c>
      <c r="S26" s="27" t="n"/>
    </row>
    <row r="27" ht="14" customHeight="1">
      <c r="A27" s="63" t="n">
        <v>22</v>
      </c>
      <c r="B27" s="59"/>
      <c r="C27" s="58"/>
      <c r="D27" s="555"/>
      <c r="E27" s="23"/>
      <c r="F27" s="539" t="n"/>
      <c r="G27" s="556"/>
      <c r="H27" s="556" t="n"/>
      <c r="I27" s="556" t="n"/>
      <c r="J27" s="556" t="n"/>
      <c r="K27" s="556" t="n"/>
      <c r="L27" s="556" t="n"/>
      <c r="M27" s="556" t="n"/>
      <c r="N27" s="557" t="n"/>
      <c r="O27" s="557" t="n"/>
      <c r="P27" s="539"/>
      <c r="Q27" s="539">
        <f>P27</f>
      </c>
      <c r="R27" s="539">
        <f>IF(P27=0,"",(Q27-P27)/P27*100)</f>
      </c>
      <c r="S27" s="27" t="n"/>
    </row>
    <row r="28" ht="14" customHeight="1">
      <c r="A28" s="63" t="n">
        <v>23</v>
      </c>
      <c r="B28" s="59"/>
      <c r="C28" s="58"/>
      <c r="D28" s="555"/>
      <c r="E28" s="23"/>
      <c r="F28" s="539" t="n"/>
      <c r="G28" s="556" t="n"/>
      <c r="H28" s="556" t="n"/>
      <c r="I28" s="556"/>
      <c r="J28" s="556" t="n"/>
      <c r="K28" s="556" t="n"/>
      <c r="L28" s="556" t="n"/>
      <c r="M28" s="556" t="n"/>
      <c r="N28" s="557" t="n"/>
      <c r="O28" s="557" t="n"/>
      <c r="P28" s="539"/>
      <c r="Q28" s="539">
        <f>P28</f>
      </c>
      <c r="R28" s="539">
        <f>IF(P28=0,"",(Q28-P28)/P28*100)</f>
      </c>
      <c r="S28" s="27" t="n"/>
    </row>
    <row r="29" ht="14" customHeight="1">
      <c r="A29" s="63" t="n">
        <v>24</v>
      </c>
      <c r="B29" s="59"/>
      <c r="C29" s="58"/>
      <c r="D29" s="555"/>
      <c r="E29" s="23"/>
      <c r="F29" s="539" t="n"/>
      <c r="G29" s="556" t="n"/>
      <c r="H29" s="556" t="n"/>
      <c r="I29" s="556"/>
      <c r="J29" s="556" t="n"/>
      <c r="K29" s="556" t="n"/>
      <c r="L29" s="556" t="n"/>
      <c r="M29" s="556" t="n"/>
      <c r="N29" s="557" t="n"/>
      <c r="O29" s="557" t="n"/>
      <c r="P29" s="539"/>
      <c r="Q29" s="539">
        <f>P29</f>
      </c>
      <c r="R29" s="539">
        <f>IF(P29=0,"",(Q29-P29)/P29*100)</f>
      </c>
      <c r="S29" s="27" t="n"/>
    </row>
    <row r="30" ht="14" customHeight="1">
      <c r="A30" s="63" t="n">
        <v>25</v>
      </c>
      <c r="B30"/>
      <c r="C30" s="58"/>
      <c r="D30" s="555"/>
      <c r="E30" s="23"/>
      <c r="F30" s="539" t="n"/>
      <c r="G30" s="556"/>
      <c r="H30" s="556" t="n"/>
      <c r="I30" s="556" t="n"/>
      <c r="J30" s="556" t="n"/>
      <c r="K30" s="556" t="n"/>
      <c r="L30" s="556" t="n"/>
      <c r="M30" s="556" t="n"/>
      <c r="N30" s="557" t="n"/>
      <c r="O30" s="557" t="n"/>
      <c r="P30" s="539"/>
      <c r="Q30" s="539">
        <f>P30</f>
      </c>
      <c r="R30" s="539">
        <f>IF(P30=0,"",(Q30-P30)/P30*100)</f>
      </c>
      <c r="S30" s="27" t="n"/>
    </row>
    <row r="31" ht="14" customHeight="1">
      <c r="A31" s="63" t="n">
        <v>26</v>
      </c>
      <c r="B31"/>
      <c r="C31" s="58"/>
      <c r="D31" s="555"/>
      <c r="E31" s="23"/>
      <c r="F31" s="539" t="n"/>
      <c r="G31" s="556"/>
      <c r="H31" s="556" t="n"/>
      <c r="I31" s="556" t="n"/>
      <c r="J31" s="556" t="n"/>
      <c r="K31" s="556" t="n"/>
      <c r="L31" s="556" t="n"/>
      <c r="M31" s="556" t="n"/>
      <c r="N31" s="557" t="n"/>
      <c r="O31" s="557" t="n"/>
      <c r="P31" s="539"/>
      <c r="Q31" s="539">
        <f>P31</f>
      </c>
      <c r="R31" s="539">
        <f>IF(P31=0,"",(Q31-P31)/P31*100)</f>
      </c>
      <c r="S31" s="27" t="n"/>
    </row>
    <row r="32" ht="14" customHeight="1">
      <c r="A32" s="63" t="n">
        <v>27</v>
      </c>
      <c r="B32"/>
      <c r="C32" s="58"/>
      <c r="D32" s="555"/>
      <c r="E32" s="23"/>
      <c r="F32" s="539" t="n"/>
      <c r="G32" s="556"/>
      <c r="H32" s="556" t="n"/>
      <c r="I32" s="556" t="n"/>
      <c r="J32" s="556" t="n"/>
      <c r="K32" s="556" t="n"/>
      <c r="L32" s="556" t="n"/>
      <c r="M32" s="556" t="n"/>
      <c r="N32" s="557" t="n"/>
      <c r="O32" s="557" t="n"/>
      <c r="P32" s="539"/>
      <c r="Q32" s="539">
        <f>P32</f>
      </c>
      <c r="R32" s="539">
        <f>IF(P32=0,"",(Q32-P32)/P32*100)</f>
      </c>
      <c r="S32" s="27" t="n"/>
    </row>
    <row r="33" ht="14" customHeight="1">
      <c r="A33" s="63" t="n">
        <v>28</v>
      </c>
      <c r="B33"/>
      <c r="C33" s="58"/>
      <c r="D33" s="555"/>
      <c r="E33" s="23"/>
      <c r="F33" s="539" t="n"/>
      <c r="G33" s="556"/>
      <c r="H33" s="556" t="n"/>
      <c r="I33" s="556" t="n"/>
      <c r="J33" s="556" t="n"/>
      <c r="K33" s="556" t="n"/>
      <c r="L33" s="556" t="n"/>
      <c r="M33" s="556" t="n"/>
      <c r="N33" s="557" t="n"/>
      <c r="O33" s="557" t="n"/>
      <c r="P33" s="539"/>
      <c r="Q33" s="539">
        <f>P33</f>
      </c>
      <c r="R33" s="539">
        <f>IF(P33=0,"",(Q33-P33)/P33*100)</f>
      </c>
      <c r="S33" s="27" t="n"/>
    </row>
    <row r="34" ht="14" customHeight="1">
      <c r="A34" s="63" t="n">
        <v>29</v>
      </c>
      <c r="B34" s="59"/>
      <c r="C34" s="58"/>
      <c r="D34" s="555"/>
      <c r="E34" s="23"/>
      <c r="F34" s="539" t="n"/>
      <c r="G34" s="556"/>
      <c r="H34" s="556" t="n"/>
      <c r="I34" s="556" t="n"/>
      <c r="J34" s="556" t="n"/>
      <c r="K34" s="556" t="n"/>
      <c r="L34" s="556" t="n"/>
      <c r="M34" s="556" t="n"/>
      <c r="N34" s="557" t="n"/>
      <c r="O34" s="557" t="n"/>
      <c r="P34" s="539"/>
      <c r="Q34" s="539">
        <f>P34</f>
      </c>
      <c r="R34" s="539">
        <f>IF(P34=0,"",(Q34-P34)/P34*100)</f>
      </c>
      <c r="S34" s="27" t="n"/>
    </row>
    <row r="35" ht="14" customHeight="1">
      <c r="A35" s="63" t="n">
        <v>30</v>
      </c>
      <c r="B35" s="59"/>
      <c r="C35" s="58"/>
      <c r="D35" s="555"/>
      <c r="E35" s="23"/>
      <c r="F35" s="539" t="n"/>
      <c r="G35" s="556" t="n"/>
      <c r="H35" s="556"/>
      <c r="I35" s="556" t="n"/>
      <c r="J35" s="556" t="n"/>
      <c r="K35" s="556" t="n"/>
      <c r="L35" s="556" t="n"/>
      <c r="M35" s="556" t="n"/>
      <c r="N35" s="557" t="n"/>
      <c r="O35" s="557" t="n"/>
      <c r="P35" s="539"/>
      <c r="Q35" s="539">
        <f>P35</f>
      </c>
      <c r="R35" s="539">
        <f>IF(P35=0,"",(Q35-P35)/P35*100)</f>
      </c>
      <c r="S35" s="27" t="n"/>
    </row>
    <row r="36" ht="14" customHeight="1">
      <c r="A36" s="63" t="n">
        <v>31</v>
      </c>
      <c r="B36" s="59"/>
      <c r="C36" s="58"/>
      <c r="D36" s="555"/>
      <c r="E36" s="23"/>
      <c r="F36" s="539" t="n"/>
      <c r="G36" s="556"/>
      <c r="H36" s="556" t="n"/>
      <c r="I36" s="556" t="n"/>
      <c r="J36" s="556" t="n"/>
      <c r="K36" s="556" t="n"/>
      <c r="L36" s="556" t="n"/>
      <c r="M36" s="556" t="n"/>
      <c r="N36" s="557" t="n"/>
      <c r="O36" s="557" t="n"/>
      <c r="P36" s="539"/>
      <c r="Q36" s="539">
        <f>P36</f>
      </c>
      <c r="R36" s="539">
        <f>IF(P36=0,"",(Q36-P36)/P36*100)</f>
      </c>
      <c r="S36" s="27" t="n"/>
    </row>
    <row r="37" ht="14" customHeight="1">
      <c r="A37" s="63" t="n">
        <v>32</v>
      </c>
      <c r="B37" s="59"/>
      <c r="C37" s="58"/>
      <c r="D37" s="555"/>
      <c r="E37" s="23"/>
      <c r="F37" s="539" t="n"/>
      <c r="G37" s="556"/>
      <c r="H37" s="556" t="n"/>
      <c r="I37" s="556" t="n"/>
      <c r="J37" s="556" t="n"/>
      <c r="K37" s="556" t="n"/>
      <c r="L37" s="556" t="n"/>
      <c r="M37" s="556" t="n"/>
      <c r="N37" s="557" t="n"/>
      <c r="O37" s="557" t="n"/>
      <c r="P37" s="539"/>
      <c r="Q37" s="539">
        <f>P37</f>
      </c>
      <c r="R37" s="539">
        <f>IF(P37=0,"",(Q37-P37)/P37*100)</f>
      </c>
      <c r="S37" s="27" t="n"/>
    </row>
    <row r="38" ht="14" customHeight="1">
      <c r="A38" s="63" t="n">
        <v>33</v>
      </c>
      <c r="B38" s="59"/>
      <c r="C38" s="58"/>
      <c r="D38" s="555"/>
      <c r="E38" s="23"/>
      <c r="F38" s="539" t="n"/>
      <c r="G38" s="556" t="n"/>
      <c r="H38" s="556"/>
      <c r="I38" s="556" t="n"/>
      <c r="J38" s="556" t="n"/>
      <c r="K38" s="556" t="n"/>
      <c r="L38" s="556" t="n"/>
      <c r="M38" s="556" t="n"/>
      <c r="N38" s="557" t="n"/>
      <c r="O38" s="557" t="n"/>
      <c r="P38" s="539"/>
      <c r="Q38" s="539">
        <f>P38</f>
      </c>
      <c r="R38" s="539">
        <f>IF(P38=0,"",(Q38-P38)/P38*100)</f>
      </c>
      <c r="S38" s="27" t="n"/>
    </row>
    <row r="39" ht="14" customHeight="1">
      <c r="A39" s="63" t="n">
        <v>34</v>
      </c>
      <c r="B39" s="59"/>
      <c r="C39" s="58"/>
      <c r="D39" s="555"/>
      <c r="E39" s="23"/>
      <c r="F39" s="539" t="n"/>
      <c r="G39" s="556"/>
      <c r="H39" s="556" t="n"/>
      <c r="I39" s="556" t="n"/>
      <c r="J39" s="556" t="n"/>
      <c r="K39" s="556" t="n"/>
      <c r="L39" s="556" t="n"/>
      <c r="M39" s="556" t="n"/>
      <c r="N39" s="557" t="n"/>
      <c r="O39" s="557" t="n"/>
      <c r="P39" s="539"/>
      <c r="Q39" s="539">
        <f>P39</f>
      </c>
      <c r="R39" s="539">
        <f>IF(P39=0,"",(Q39-P39)/P39*100)</f>
      </c>
      <c r="S39" s="27" t="n"/>
    </row>
    <row r="40" ht="14" customHeight="1">
      <c r="A40" s="63" t="n">
        <v>35</v>
      </c>
      <c r="B40" s="59"/>
      <c r="C40" s="58"/>
      <c r="D40" s="555"/>
      <c r="E40" s="23"/>
      <c r="F40" s="539" t="n"/>
      <c r="G40" s="556"/>
      <c r="H40" s="556" t="n"/>
      <c r="I40" s="556" t="n"/>
      <c r="J40" s="556" t="n"/>
      <c r="K40" s="556" t="n"/>
      <c r="L40" s="556" t="n"/>
      <c r="M40" s="556" t="n"/>
      <c r="N40" s="557" t="n"/>
      <c r="O40" s="557" t="n"/>
      <c r="P40" s="539"/>
      <c r="Q40" s="539">
        <f>P40</f>
      </c>
      <c r="R40" s="539">
        <f>IF(P40=0,"",(Q40-P40)/P40*100)</f>
      </c>
      <c r="S40" s="27" t="n"/>
    </row>
    <row r="41" ht="14" customHeight="1">
      <c r="A41" s="63" t="n">
        <v>36</v>
      </c>
      <c r="B41" s="59"/>
      <c r="C41" s="58"/>
      <c r="D41" s="555"/>
      <c r="E41" s="23"/>
      <c r="F41" s="539" t="n"/>
      <c r="G41" s="556" t="n"/>
      <c r="H41" s="556"/>
      <c r="I41" s="556" t="n"/>
      <c r="J41" s="556" t="n"/>
      <c r="K41" s="556" t="n"/>
      <c r="L41" s="556" t="n"/>
      <c r="M41" s="556" t="n"/>
      <c r="N41" s="557" t="n"/>
      <c r="O41" s="557" t="n"/>
      <c r="P41" s="539"/>
      <c r="Q41" s="539">
        <f>P41</f>
      </c>
      <c r="R41" s="539">
        <f>IF(P41=0,"",(Q41-P41)/P41*100)</f>
      </c>
      <c r="S41" s="27" t="n"/>
    </row>
    <row r="42" ht="14" customHeight="1">
      <c r="A42" s="23" t="inlineStr">
        <is>
          <t>合            计</t>
        </is>
      </c>
      <c r="B42" s="28" t="n"/>
      <c r="C42" s="23" t="n"/>
      <c r="D42" s="25" t="n"/>
      <c r="E42" s="23" t="n"/>
      <c r="F42" s="539">
        <f>SUM(F6:F41)</f>
      </c>
      <c r="G42" s="556">
        <f>SUM(G6:G41)</f>
      </c>
      <c r="H42" s="556">
        <f>SUM(H6:H41)</f>
      </c>
      <c r="I42" s="556">
        <f>SUM(I6:I41)</f>
      </c>
      <c r="J42" s="556">
        <f>SUM(J6:J41)</f>
      </c>
      <c r="K42" s="556">
        <f>SUM(K6:K41)</f>
      </c>
      <c r="L42" s="556">
        <f>SUM(L6:L41)</f>
      </c>
      <c r="M42" s="556">
        <f>SUM(M6:M41)</f>
      </c>
      <c r="N42" s="557">
        <f>SUM(N6:N41)</f>
      </c>
      <c r="O42" s="557" t="n"/>
      <c r="P42" s="539">
        <f>SUM(P6:P41)</f>
      </c>
      <c r="Q42" s="539">
        <f>SUM(Q6:Q41)</f>
      </c>
      <c r="R42" s="539">
        <f>IF(P30=0,"",(Q30-P30)/P30*100)</f>
      </c>
      <c r="S42" s="27" t="n"/>
    </row>
    <row r="43" ht="14" customHeight="1">
      <c r="A43" s="23" t="inlineStr">
        <is>
          <t>减：坏账准备</t>
        </is>
      </c>
      <c r="B43" s="28" t="n"/>
      <c r="C43" s="23" t="n"/>
      <c r="D43" s="25" t="n"/>
      <c r="E43" s="23" t="n"/>
      <c r="F43" s="539" t="n"/>
      <c r="G43" s="556" t="n"/>
      <c r="H43" s="556" t="n"/>
      <c r="I43" s="556" t="n"/>
      <c r="J43" s="556" t="n"/>
      <c r="K43" s="556" t="n"/>
      <c r="L43" s="556" t="n"/>
      <c r="M43" s="556">
        <f>SUM(G31:L31)-F31</f>
      </c>
      <c r="N43" s="557" t="n"/>
      <c r="O43" s="557" t="n"/>
      <c r="P43" s="539">
        <f>F31</f>
      </c>
      <c r="Q43" s="539"/>
      <c r="R43" s="539">
        <f>IF(P31=0,"",(Q31-P31)/P31*100)</f>
      </c>
      <c r="S43" s="27" t="n"/>
    </row>
    <row r="44" ht="14" customHeight="1">
      <c r="A44" s="23" t="inlineStr">
        <is>
          <t>减：评估风险损失</t>
        </is>
      </c>
      <c r="B44" s="28" t="n"/>
      <c r="C44" s="23" t="n"/>
      <c r="D44" s="25" t="n"/>
      <c r="E44" s="23" t="n"/>
      <c r="F44" s="539" t="n"/>
      <c r="G44" s="556" t="n"/>
      <c r="H44" s="556" t="n"/>
      <c r="I44" s="556" t="n"/>
      <c r="J44" s="556" t="n"/>
      <c r="K44" s="556" t="n"/>
      <c r="L44" s="556" t="n"/>
      <c r="M44" s="556" t="n"/>
      <c r="N44" s="557" t="n"/>
      <c r="O44" s="557" t="n"/>
      <c r="P44" s="539" t="n"/>
      <c r="Q44" s="539" t="n"/>
      <c r="R44" s="539">
        <f>IF(P32=0,"",(Q32-P32)/P32*100)</f>
      </c>
      <c r="S44" s="27" t="n"/>
    </row>
    <row r="45" ht="14" customHeight="1">
      <c r="A45" s="23" t="inlineStr">
        <is>
          <t>净            额</t>
        </is>
      </c>
      <c r="B45" s="28" t="n"/>
      <c r="C45" s="27" t="n"/>
      <c r="D45" s="25" t="n"/>
      <c r="E45" s="27" t="n"/>
      <c r="F45" s="539">
        <f>F30-F31-F32</f>
      </c>
      <c r="G45" s="556">
        <f>G30-G31-G32</f>
      </c>
      <c r="H45" s="556">
        <f>H30-H31-H32</f>
      </c>
      <c r="I45" s="556">
        <f>I30-I31-I32</f>
      </c>
      <c r="J45" s="556">
        <f>J30-J31-J32</f>
      </c>
      <c r="K45" s="556">
        <f>K30-K31-K32</f>
      </c>
      <c r="L45" s="556">
        <f>L30-L31-L32</f>
      </c>
      <c r="M45" s="556">
        <f>M30-M31-M32</f>
      </c>
      <c r="N45" s="557">
        <f>N30-N31-N32</f>
      </c>
      <c r="O45" s="557" t="n"/>
      <c r="P45" s="539">
        <f>P42-P43</f>
      </c>
      <c r="Q45" s="539">
        <f>Q42-Q44</f>
      </c>
      <c r="R45" s="539">
        <f>IF(P33=0,"",(Q33-P33)/P33*100)</f>
      </c>
      <c r="S45" s="27" t="n"/>
    </row>
    <row r="46" ht="14" customHeight="1">
      <c r="A46" s="29">
        <f>封面!D11&amp;封面!G11</f>
      </c>
      <c r="G46" s="13" t="n"/>
      <c r="P46" s="536">
        <f>"评估人员："&amp;封面!G20</f>
      </c>
    </row>
    <row r="47" ht="14" customHeight="1">
      <c r="A47" s="29">
        <f>CONCATENATE(封面!D13,封面!F13,封面!G13,封面!H13,封面!I13,封面!J13,封面!K13)</f>
      </c>
    </row>
    <row r="48" ht="15.5" customHeight="1">
      <c r="B48" s="54" t="inlineStr">
        <is>
          <t>注1：</t>
        </is>
      </c>
      <c r="C48" s="13" t="inlineStr">
        <is>
          <t>注明账齡在一年以上的账款的可收回性，若有部分可能不能收回，请估计不能收回的金額，以供评估时作參考。</t>
        </is>
      </c>
    </row>
    <row r="49" ht="15.5" customHeight="1">
      <c r="B49" s="54" t="inlineStr">
        <is>
          <t>注2：“备注”栏填写方法：</t>
        </is>
      </c>
      <c r="C49" s="13" t="inlineStr">
        <is>
          <t>1）欠款单位为关联方、总公司内部或本公司内部单位的，应在备注栏注明“关联方”、“总公司内部”、“内部单位”；</t>
        </is>
      </c>
    </row>
    <row r="50" ht="15.5" customHeight="1">
      <c r="C50" s="13" t="inlineStr">
        <is>
          <t>2） 涉诉款项应在备注中标明“涉诉”；</t>
        </is>
      </c>
    </row>
    <row r="51" ht="15.5" customHeight="1">
      <c r="C51" s="13" t="inlineStr">
        <is>
          <t>3）评估基准日后已部分或全部收回款项的，应注明日期及金额，如“2003年2月4日收回8,530.00元”；</t>
        </is>
      </c>
    </row>
    <row r="52" ht="15.5" customHeight="1">
      <c r="C52" s="13" t="inlineStr">
        <is>
          <t>4）填表单位认为其他应说明的事项</t>
        </is>
      </c>
    </row>
  </sheetData>
  <mergeCells count="8">
    <mergeCell ref="M4:M5"/>
    <mergeCell ref="A43:B43"/>
    <mergeCell ref="A45:B45"/>
    <mergeCell ref="N4:N5"/>
    <mergeCell ref="A42:B42"/>
    <mergeCell ref="A3:S3"/>
    <mergeCell ref="A44:B44"/>
    <mergeCell ref="A2:S2"/>
  </mergeCells>
  <hyperlinks>
    <hyperlink ref="A1" location="索引目录!D17" display="返回索引页"/>
    <hyperlink ref="B1" location="流动汇总!B13" display="返回 "/>
  </hyperlinks>
  <printOptions horizontalCentered="1"/>
  <pageMargins left="0.354166666666667" right="0.354166666666667" top="0.786805555555556" bottom="0.786805555555556" header="1.01944444444444" footer="0.511805555555556"/>
  <pageSetup orientation="landscape" paperSize="9" fitToHeight="0"/>
  <headerFooter alignWithMargins="0">
    <oddHeader>&amp;R&amp;"宋体,常规"共&amp;"Times New Roman,常规"&amp;N&amp;"宋体,常规"页第&amp;"Times New Roman,常规"&amp;P&amp;"宋体,常规"3-8_x000a_页</oddHeader>
    <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codeName="Sheet22">
    <tabColor indexed="15"/>
    <outlinePr summaryBelow="1" summaryRight="1"/>
    <pageSetUpPr fitToPage="1"/>
  </sheetPr>
  <dimension ref="A1:G29"/>
  <sheetViews>
    <sheetView view="pageBreakPreview" topLeftCell="B1" zoomScale="90" zoomScaleNormal="85" workbookViewId="0">
      <selection activeCell="G451" sqref="G451"/>
    </sheetView>
  </sheetViews>
  <sheetFormatPr baseColWidth="8" defaultColWidth="9" defaultRowHeight="15.75" customHeight="1"/>
  <cols>
    <col width="8.5" customWidth="1" style="13" min="1" max="1"/>
    <col width="24.25" customWidth="1" style="13" min="2" max="2"/>
    <col hidden="1" outlineLevel="1" width="19.0833333333333" customWidth="1" style="13" min="3" max="3"/>
    <col collapsed="1" width="24" customWidth="1" style="13" min="4" max="4"/>
    <col width="25.3333333333333" customWidth="1" style="13" min="5" max="5"/>
    <col width="24" customWidth="1" style="13" min="6" max="6"/>
    <col width="15.8333333333333" customWidth="1" style="13" min="7" max="7"/>
    <col width="9" customWidth="1" style="13" min="8" max="16384"/>
  </cols>
  <sheetData>
    <row r="1" ht="15.5" customHeight="1">
      <c r="A1" s="529" t="inlineStr">
        <is>
          <t>返回索引页</t>
        </is>
      </c>
      <c r="B1" s="52" t="inlineStr">
        <is>
          <t>返回</t>
        </is>
      </c>
      <c r="C1" s="16" t="n"/>
      <c r="D1" s="16" t="n"/>
      <c r="E1" s="16" t="n"/>
      <c r="F1" s="16" t="n"/>
      <c r="G1" s="16" t="n"/>
    </row>
    <row r="2" ht="30" customFormat="1" customHeight="1" s="11">
      <c r="A2" s="53" t="inlineStr">
        <is>
          <t>存货评估汇总表</t>
        </is>
      </c>
    </row>
    <row r="3" ht="14.15" customHeight="1">
      <c r="A3" s="535">
        <f>CONCATENATE(封面!D9,封面!F9,封面!G9,封面!H9,封面!I9,封面!J9,封面!K9)</f>
      </c>
    </row>
    <row r="4" ht="15.5" customHeight="1">
      <c r="A4" s="536">
        <f>封面!D7&amp;封面!F7</f>
      </c>
      <c r="G4" s="44" t="inlineStr">
        <is>
          <t>金额单位：人民币元</t>
        </is>
      </c>
    </row>
    <row r="5" ht="13" customFormat="1" customHeight="1" s="12">
      <c r="A5" s="45" t="inlineStr">
        <is>
          <t>编号</t>
        </is>
      </c>
      <c r="B5" s="45" t="inlineStr">
        <is>
          <t>科目名称</t>
        </is>
      </c>
      <c r="C5" s="45" t="inlineStr">
        <is>
          <t>审计前账面值</t>
        </is>
      </c>
      <c r="D5" s="45" t="inlineStr">
        <is>
          <t>账面价值</t>
        </is>
      </c>
      <c r="E5" s="45" t="inlineStr">
        <is>
          <t>评估价值</t>
        </is>
      </c>
      <c r="F5" s="46" t="inlineStr">
        <is>
          <t>增值额</t>
        </is>
      </c>
      <c r="G5" s="45" t="inlineStr">
        <is>
          <t>增值率%</t>
        </is>
      </c>
    </row>
    <row r="6" ht="15.5" customHeight="1">
      <c r="A6" s="45" t="inlineStr">
        <is>
          <t>3-9-1</t>
        </is>
      </c>
      <c r="B6" s="27" t="inlineStr">
        <is>
          <t>材料采购（在途物资）</t>
        </is>
      </c>
      <c r="C6" s="539">
        <f>'材料采购（在途物资）'!F27</f>
      </c>
      <c r="D6" s="539">
        <f>'材料采购（在途物资）'!J27</f>
      </c>
      <c r="E6" s="539">
        <f>'材料采购（在途物资）'!M27</f>
      </c>
      <c r="F6" s="539">
        <f>E6-D6</f>
      </c>
      <c r="G6" s="546">
        <f>IF(D6=0,"",F6/D6*100)</f>
      </c>
    </row>
    <row r="7" ht="15.5" customHeight="1">
      <c r="A7" s="45" t="inlineStr">
        <is>
          <t>3-9-2</t>
        </is>
      </c>
      <c r="B7" s="98" t="inlineStr">
        <is>
          <t>原材料</t>
        </is>
      </c>
      <c r="C7" s="539">
        <f>原材料!F277</f>
      </c>
      <c r="D7" s="539">
        <f>原材料!J277</f>
      </c>
      <c r="E7" s="539">
        <f>原材料!M277</f>
      </c>
      <c r="F7" s="539">
        <f>E7-D7</f>
      </c>
      <c r="G7" s="546">
        <f>IF(D7=0,"",F7/D7*100)</f>
      </c>
    </row>
    <row r="8" ht="15.5" customHeight="1">
      <c r="A8" s="45" t="inlineStr">
        <is>
          <t>3-9-3</t>
        </is>
      </c>
      <c r="B8" s="98" t="inlineStr">
        <is>
          <t>在库周转材料</t>
        </is>
      </c>
      <c r="C8" s="539">
        <f>在库周转材料!F27</f>
      </c>
      <c r="D8" s="539">
        <f>在库周转材料!J27</f>
      </c>
      <c r="E8" s="539">
        <f>在库周转材料!M27</f>
      </c>
      <c r="F8" s="539">
        <f>E8-D8</f>
      </c>
      <c r="G8" s="546">
        <f>IF(D8=0,"",F8/D8*100)</f>
      </c>
    </row>
    <row r="9" ht="15.5" customHeight="1">
      <c r="A9" s="45" t="inlineStr">
        <is>
          <t>3-9-4</t>
        </is>
      </c>
      <c r="B9" s="98" t="inlineStr">
        <is>
          <t>委托加工物资</t>
        </is>
      </c>
      <c r="C9" s="539">
        <f>委托加工物资!G27</f>
      </c>
      <c r="D9" s="539">
        <f>委托加工物资!K27</f>
      </c>
      <c r="E9" s="539">
        <f>委托加工物资!N27</f>
      </c>
      <c r="F9" s="539">
        <f>E9-D9</f>
      </c>
      <c r="G9" s="546">
        <f>IF(D9=0,"",F9/D9*100)</f>
      </c>
    </row>
    <row r="10" ht="15.5" customHeight="1">
      <c r="A10" s="45" t="inlineStr">
        <is>
          <t>3-9-5</t>
        </is>
      </c>
      <c r="B10" s="98" t="inlineStr">
        <is>
          <t>产成品（库存商品）</t>
        </is>
      </c>
      <c r="C10" s="539">
        <f>'产成品（库存商品）'!F27</f>
      </c>
      <c r="D10" s="539">
        <f>'产成品（库存商品）'!J27</f>
      </c>
      <c r="E10" s="539">
        <f>'产成品（库存商品）'!M27</f>
      </c>
      <c r="F10" s="539">
        <f>E10-D10</f>
      </c>
      <c r="G10" s="546">
        <f>IF(D10=0,"",F10/D10*100)</f>
      </c>
    </row>
    <row r="11" ht="15.5" customHeight="1">
      <c r="A11" s="45" t="inlineStr">
        <is>
          <t>3-9-6</t>
        </is>
      </c>
      <c r="B11" s="98" t="inlineStr">
        <is>
          <t>在产品（自制半成品）</t>
        </is>
      </c>
      <c r="C11" s="539">
        <f>'在产品（自制半成品）'!F27</f>
      </c>
      <c r="D11" s="539">
        <f>'在产品（自制半成品）'!J27</f>
      </c>
      <c r="E11" s="539">
        <f>'在产品（自制半成品）'!M27</f>
      </c>
      <c r="F11" s="539">
        <f>E11-D11</f>
      </c>
      <c r="G11" s="546">
        <f>IF(D11=0,"",F11/D11*100)</f>
      </c>
    </row>
    <row r="12" ht="15.5" customHeight="1">
      <c r="A12" s="45" t="inlineStr">
        <is>
          <t>3-9-7</t>
        </is>
      </c>
      <c r="B12" s="98" t="inlineStr">
        <is>
          <t>发出商品</t>
        </is>
      </c>
      <c r="C12" s="539">
        <f>发出商品!G37</f>
      </c>
      <c r="D12" s="539">
        <f>发出商品!K37</f>
      </c>
      <c r="E12" s="539">
        <f>发出商品!N37</f>
      </c>
      <c r="F12" s="539">
        <f>E12-D12</f>
      </c>
      <c r="G12" s="546">
        <f>IF(D12=0,"",F12/D12*100)</f>
      </c>
    </row>
    <row r="13" ht="15.5" customHeight="1">
      <c r="A13" s="45" t="inlineStr">
        <is>
          <t>3-9-8</t>
        </is>
      </c>
      <c r="B13" s="98" t="inlineStr">
        <is>
          <t>在用周转材料</t>
        </is>
      </c>
      <c r="C13" s="539">
        <f>在用周转材料!G27</f>
      </c>
      <c r="D13" s="539">
        <f>在用周转材料!J27</f>
      </c>
      <c r="E13" s="539">
        <f>在用周转材料!N27</f>
      </c>
      <c r="F13" s="539">
        <f>E13-D13</f>
      </c>
      <c r="G13" s="546">
        <f>IF(D13=0,"",F13/D13*100)</f>
      </c>
    </row>
    <row r="14" ht="15.5" customHeight="1">
      <c r="A14" s="45" t="n"/>
      <c r="B14" s="27" t="n"/>
      <c r="C14" s="539" t="n"/>
      <c r="D14" s="539" t="n"/>
      <c r="E14" s="539" t="n"/>
      <c r="F14" s="539" t="n"/>
      <c r="G14" s="546" t="n"/>
    </row>
    <row r="15" ht="15.5" customHeight="1">
      <c r="A15" s="45" t="n"/>
      <c r="B15" s="27" t="n"/>
      <c r="C15" s="539" t="n"/>
      <c r="D15" s="539" t="n"/>
      <c r="E15" s="539" t="n"/>
      <c r="F15" s="539" t="n"/>
      <c r="G15" s="546" t="n"/>
    </row>
    <row r="16" ht="15.5" customHeight="1">
      <c r="A16" s="45" t="n"/>
      <c r="B16" s="27" t="n"/>
      <c r="C16" s="539" t="n"/>
      <c r="D16" s="539" t="n"/>
      <c r="E16" s="539" t="n"/>
      <c r="F16" s="539" t="n"/>
      <c r="G16" s="546" t="n"/>
    </row>
    <row r="17" ht="15.5" customHeight="1">
      <c r="A17" s="23" t="n"/>
      <c r="B17" s="27" t="n"/>
      <c r="C17" s="539" t="n"/>
      <c r="D17" s="539" t="n"/>
      <c r="E17" s="539" t="n"/>
      <c r="F17" s="539" t="n"/>
      <c r="G17" s="546" t="n"/>
    </row>
    <row r="18" ht="15.5" customHeight="1">
      <c r="A18" s="23" t="n"/>
      <c r="B18" s="27" t="n"/>
      <c r="C18" s="539" t="n"/>
      <c r="D18" s="539" t="n"/>
      <c r="E18" s="539" t="n"/>
      <c r="F18" s="539" t="n"/>
      <c r="G18" s="546" t="n"/>
    </row>
    <row r="19" ht="15.5" customHeight="1">
      <c r="A19" s="23" t="n"/>
      <c r="B19" s="27" t="n"/>
      <c r="C19" s="539" t="n"/>
      <c r="D19" s="539" t="n"/>
      <c r="E19" s="539" t="n"/>
      <c r="F19" s="539" t="n"/>
      <c r="G19" s="546" t="n"/>
    </row>
    <row r="20" ht="15.5" customHeight="1">
      <c r="A20" s="23" t="n"/>
      <c r="B20" s="27" t="n"/>
      <c r="C20" s="539" t="n"/>
      <c r="D20" s="539" t="n"/>
      <c r="E20" s="539" t="n"/>
      <c r="F20" s="539" t="n"/>
      <c r="G20" s="546" t="n"/>
    </row>
    <row r="21" ht="15.5" customHeight="1">
      <c r="A21" s="23" t="n"/>
      <c r="B21" s="27" t="n"/>
      <c r="C21" s="539" t="n"/>
      <c r="D21" s="539" t="n"/>
      <c r="E21" s="539" t="n"/>
      <c r="F21" s="539" t="n"/>
      <c r="G21" s="546" t="n"/>
    </row>
    <row r="22" ht="15.5" customHeight="1">
      <c r="A22" s="23" t="n"/>
      <c r="B22" s="27" t="n"/>
      <c r="C22" s="539" t="n"/>
      <c r="D22" s="539" t="n"/>
      <c r="E22" s="539" t="n"/>
      <c r="F22" s="539" t="n"/>
      <c r="G22" s="546" t="n"/>
    </row>
    <row r="23" ht="15.5" customHeight="1">
      <c r="A23" s="23" t="n"/>
      <c r="B23" s="27" t="n"/>
      <c r="C23" s="539" t="n"/>
      <c r="D23" s="539" t="n"/>
      <c r="E23" s="539" t="n"/>
      <c r="F23" s="539" t="n"/>
      <c r="G23" s="546" t="n"/>
    </row>
    <row r="24" ht="15.5" customHeight="1">
      <c r="A24" s="23" t="n"/>
      <c r="B24" s="27" t="n"/>
      <c r="C24" s="539" t="n"/>
      <c r="D24" s="539" t="n"/>
      <c r="E24" s="539" t="n"/>
      <c r="F24" s="539" t="n"/>
      <c r="G24" s="546" t="n"/>
    </row>
    <row r="25" ht="15.5" customHeight="1">
      <c r="A25" s="45" t="inlineStr">
        <is>
          <t>3-10</t>
        </is>
      </c>
      <c r="B25" s="45" t="inlineStr">
        <is>
          <t>存货合计</t>
        </is>
      </c>
      <c r="C25" s="539">
        <f>SUM(C6:C24)</f>
      </c>
      <c r="D25" s="539">
        <f>SUM(D6:D24)</f>
      </c>
      <c r="E25" s="539">
        <f>SUM(E6:E24)</f>
      </c>
      <c r="F25" s="539">
        <f>SUM(F6:F24)</f>
      </c>
      <c r="G25" s="546">
        <f>IF(D25=0,"",F25/D25*100)</f>
      </c>
    </row>
    <row r="26" ht="15.5" customHeight="1">
      <c r="A26" s="45" t="inlineStr">
        <is>
          <t>3-10</t>
        </is>
      </c>
      <c r="B26" s="45" t="inlineStr">
        <is>
          <t>减：存货跌价准备</t>
        </is>
      </c>
      <c r="C26" s="539" t="n"/>
      <c r="D26" s="539">
        <f>C26</f>
      </c>
      <c r="E26" s="539" t="n">
        <v>0</v>
      </c>
      <c r="F26" s="539">
        <f>E26-D26</f>
      </c>
      <c r="G26" s="546">
        <f>IF(D26=0,"",F26/D26*100)</f>
      </c>
    </row>
    <row r="27" ht="15.5" customHeight="1">
      <c r="A27" s="45" t="inlineStr">
        <is>
          <t>3-10</t>
        </is>
      </c>
      <c r="B27" s="45" t="inlineStr">
        <is>
          <t>存货净额</t>
        </is>
      </c>
      <c r="C27" s="539">
        <f>C25-C26</f>
      </c>
      <c r="D27" s="539">
        <f>D25-D26</f>
      </c>
      <c r="E27" s="539">
        <f>E25-E26</f>
      </c>
      <c r="F27" s="539">
        <f>F25-F26</f>
      </c>
      <c r="G27" s="546">
        <f>IF(D27=0,"",F27/D27*100)</f>
      </c>
    </row>
    <row r="28" ht="15.5" customHeight="1">
      <c r="A28" s="29">
        <f>封面!D11&amp;封面!G11</f>
      </c>
      <c r="E28" s="13">
        <f>"评估人员："&amp;封面!G20</f>
      </c>
    </row>
    <row r="29" ht="15.5" customHeight="1">
      <c r="A29" s="29">
        <f>CONCATENATE(封面!D13,封面!F13,封面!G13,封面!H13,封面!I13,封面!J13,封面!K13)</f>
      </c>
    </row>
  </sheetData>
  <mergeCells count="2">
    <mergeCell ref="A3:G3"/>
    <mergeCell ref="A2:G2"/>
  </mergeCells>
  <hyperlinks>
    <hyperlink ref="A1" location="索引目录!D18" display="返回索引页"/>
    <hyperlink ref="B1" location="流动汇总!B14" display="返回"/>
    <hyperlink ref="B6" location="'材料采购（在途物资）'!A1" display="材料采购（在途物资）"/>
    <hyperlink ref="B7" location="原材料!A1" display="原材料"/>
    <hyperlink ref="B8" location="在库周转材料!B1" display="在库周转材料"/>
    <hyperlink ref="B9" location="委托加工物资!B1" display="委托加工物资"/>
    <hyperlink ref="B10" location="'产成品（库存商品）'!A1" display="产成品（库存商品）"/>
    <hyperlink ref="B11" location="'在产品（自制半成品）'!A1" display="在产品（自制半成品）"/>
    <hyperlink ref="B12" location="发出商品!B1" display="发出商品"/>
    <hyperlink ref="B13" location="在用周转材料!B1" display="在用周转材料"/>
  </hyperlinks>
  <printOptions horizontalCentered="1"/>
  <pageMargins left="0.354330708661417" right="0.354330708661417" top="0.78740157480315" bottom="0.78740157480315" header="0.98" footer="0.511811023622047"/>
  <pageSetup orientation="landscape" paperSize="9" fitToHeight="0"/>
  <headerFooter alignWithMargins="0">
    <oddHeader>&amp;R&amp;"宋体,常规"共&amp;"Times New Roman,常规"&amp;N&amp;"宋体,常规"页第&amp;"Times New Roman,常规"&amp;P&amp;"宋体,常规"3-9_x000a_页</oddHeader>
    <oddFooter/>
    <evenHeader/>
    <evenFooter/>
    <firstHeader/>
    <firstFooter/>
  </headerFooter>
</worksheet>
</file>

<file path=xl/worksheets/sheet23.xml><?xml version="1.0" encoding="utf-8"?>
<worksheet xmlns="http://schemas.openxmlformats.org/spreadsheetml/2006/main">
  <sheetPr codeName="Sheet23">
    <outlinePr summaryBelow="1" summaryRight="1"/>
    <pageSetUpPr fitToPage="1"/>
  </sheetPr>
  <dimension ref="A1:O29"/>
  <sheetViews>
    <sheetView view="pageBreakPreview" zoomScale="60" zoomScaleNormal="100" workbookViewId="0">
      <selection activeCell="G451" sqref="G451"/>
    </sheetView>
  </sheetViews>
  <sheetFormatPr baseColWidth="8" defaultColWidth="9" defaultRowHeight="15.75" customHeight="1"/>
  <cols>
    <col width="5.5" customWidth="1" style="13" min="1" max="1"/>
    <col width="20.25" customWidth="1" style="13" min="2" max="2"/>
    <col width="5.33333333333333" customWidth="1" style="13" min="3" max="3"/>
    <col hidden="1" outlineLevel="1" width="9.58333333333333" customWidth="1" style="13" min="4" max="4"/>
    <col hidden="1" outlineLevel="1" width="7.58333333333333" customWidth="1" style="13" min="5" max="5"/>
    <col hidden="1" outlineLevel="1" width="13.0833333333333" customWidth="1" style="13" min="6" max="6"/>
    <col hidden="1" outlineLevel="1" width="12" customWidth="1" style="13" min="7" max="7"/>
    <col collapsed="1" width="10.8333333333333" customWidth="1" style="13" min="8" max="8"/>
    <col width="10.3333333333333" customWidth="1" style="13" min="9" max="9"/>
    <col width="14.3333333333333" customWidth="1" style="13" min="10" max="10"/>
    <col width="9.58333333333333" customWidth="1" style="13" min="11" max="11"/>
    <col width="8.58333333333333" customWidth="1" style="13" min="12" max="12"/>
    <col width="14.3333333333333" customWidth="1" style="13" min="13" max="13"/>
    <col width="8.25" customWidth="1" style="13" min="14" max="14"/>
    <col width="13.75" customWidth="1" style="13" min="15" max="15"/>
    <col width="9" customWidth="1" style="13" min="16" max="16384"/>
  </cols>
  <sheetData>
    <row r="1" ht="15.5" customHeight="1">
      <c r="A1" s="545" t="inlineStr">
        <is>
          <t>返回索引页</t>
        </is>
      </c>
      <c r="B1" s="15" t="inlineStr">
        <is>
          <t>返回</t>
        </is>
      </c>
      <c r="C1" s="16" t="n"/>
      <c r="D1" s="16" t="n"/>
      <c r="E1" s="16" t="n"/>
      <c r="F1" s="16" t="n"/>
      <c r="G1" s="16" t="n"/>
      <c r="H1" s="16" t="n"/>
      <c r="I1" s="16" t="n"/>
      <c r="J1" s="16" t="n"/>
      <c r="K1" s="16" t="n"/>
      <c r="L1" s="16" t="n"/>
      <c r="M1" s="16" t="n"/>
      <c r="N1" s="16" t="n"/>
      <c r="O1" s="16" t="n"/>
    </row>
    <row r="2" ht="30" customFormat="1" customHeight="1" s="11">
      <c r="A2" s="17" t="inlineStr">
        <is>
          <t>存货—材料采购（在途物资）评估明细表</t>
        </is>
      </c>
    </row>
    <row r="3" ht="14.15" customHeight="1">
      <c r="A3" s="535">
        <f>CONCATENATE(封面!D9,封面!F9,封面!G9,封面!H9,封面!I9,封面!J9,封面!K9)</f>
      </c>
    </row>
    <row r="4" ht="15.5" customHeight="1">
      <c r="A4" s="536">
        <f>封面!D7&amp;封面!F7</f>
      </c>
      <c r="O4" s="20" t="inlineStr">
        <is>
          <t>金额单位：人民币元</t>
        </is>
      </c>
    </row>
    <row r="5" ht="13" customFormat="1" customHeight="1" s="12">
      <c r="A5" s="21" t="inlineStr">
        <is>
          <t>序号</t>
        </is>
      </c>
      <c r="B5" s="21" t="inlineStr">
        <is>
          <t>名称及规格型号</t>
        </is>
      </c>
      <c r="C5" s="22" t="inlineStr">
        <is>
          <t>计量单位</t>
        </is>
      </c>
      <c r="D5" s="21" t="inlineStr">
        <is>
          <t>审计前账面值</t>
        </is>
      </c>
      <c r="E5" s="138" t="n"/>
      <c r="F5" s="28" t="n"/>
      <c r="G5" s="21" t="inlineStr">
        <is>
          <t>审计调整</t>
        </is>
      </c>
      <c r="H5" s="21" t="inlineStr">
        <is>
          <t>账面价值</t>
        </is>
      </c>
      <c r="I5" s="138" t="n"/>
      <c r="J5" s="28" t="n"/>
      <c r="K5" s="21" t="inlineStr">
        <is>
          <t>评估价值</t>
        </is>
      </c>
      <c r="L5" s="138" t="n"/>
      <c r="M5" s="28" t="n"/>
      <c r="N5" s="21" t="inlineStr">
        <is>
          <t>增值率%</t>
        </is>
      </c>
      <c r="O5" s="21" t="inlineStr">
        <is>
          <t>备注</t>
        </is>
      </c>
    </row>
    <row r="6" ht="13" customFormat="1" customHeight="1" s="12">
      <c r="A6" s="36" t="n"/>
      <c r="B6" s="36" t="n"/>
      <c r="C6" s="36" t="n"/>
      <c r="D6" s="21" t="inlineStr">
        <is>
          <t>数量</t>
        </is>
      </c>
      <c r="E6" s="21" t="inlineStr">
        <is>
          <t>单价</t>
        </is>
      </c>
      <c r="F6" s="21" t="inlineStr">
        <is>
          <t>金额</t>
        </is>
      </c>
      <c r="G6" s="36" t="n"/>
      <c r="H6" s="21" t="inlineStr">
        <is>
          <t>数量</t>
        </is>
      </c>
      <c r="I6" s="21" t="inlineStr">
        <is>
          <t>单价</t>
        </is>
      </c>
      <c r="J6" s="21" t="inlineStr">
        <is>
          <t>金额</t>
        </is>
      </c>
      <c r="K6" s="111" t="inlineStr">
        <is>
          <t>实际数量</t>
        </is>
      </c>
      <c r="L6" s="21" t="inlineStr">
        <is>
          <t>单价</t>
        </is>
      </c>
      <c r="M6" s="21" t="inlineStr">
        <is>
          <t>金额</t>
        </is>
      </c>
      <c r="N6" s="36" t="n"/>
      <c r="O6" s="36" t="n"/>
    </row>
    <row r="7" ht="15.5" customHeight="1">
      <c r="A7" s="45" t="n"/>
      <c r="B7" s="98" t="n"/>
      <c r="C7" s="235" t="n"/>
      <c r="D7" s="236" t="n"/>
      <c r="E7" s="539">
        <f>IF(D7=0,"",F7/D7)</f>
      </c>
      <c r="F7" s="560" t="n"/>
      <c r="G7" s="560" t="n"/>
      <c r="H7" s="560" t="n"/>
      <c r="I7" s="560" t="n"/>
      <c r="J7" s="539" t="n"/>
      <c r="K7" s="38" t="n"/>
      <c r="L7" s="539" t="n"/>
      <c r="M7" s="539" t="n"/>
      <c r="N7" s="539">
        <f>IF(J7=0,"",(M7-J7)/J7*100)</f>
      </c>
      <c r="O7" s="27" t="n"/>
    </row>
    <row r="8" ht="15.5" customHeight="1">
      <c r="A8" s="45" t="n"/>
      <c r="B8" s="98" t="n"/>
      <c r="C8" s="235" t="n"/>
      <c r="D8" s="236" t="n"/>
      <c r="E8" s="539">
        <f>IF(D8=0,"",F8/D8)</f>
      </c>
      <c r="F8" s="560" t="n"/>
      <c r="G8" s="560" t="n"/>
      <c r="H8" s="560" t="n"/>
      <c r="I8" s="560" t="n"/>
      <c r="J8" s="539" t="n"/>
      <c r="K8" s="38" t="n"/>
      <c r="L8" s="539" t="n"/>
      <c r="M8" s="539" t="n"/>
      <c r="N8" s="539">
        <f>IF(J8=0,"",(M8-J8)/J8*100)</f>
      </c>
      <c r="O8" s="27" t="n"/>
    </row>
    <row r="9" ht="15.5" customHeight="1">
      <c r="A9" s="45" t="n"/>
      <c r="B9" s="98" t="n"/>
      <c r="C9" s="235" t="n"/>
      <c r="D9" s="236" t="n"/>
      <c r="E9" s="539">
        <f>IF(D9=0,"",F9/D9)</f>
      </c>
      <c r="F9" s="560" t="n"/>
      <c r="G9" s="560" t="n"/>
      <c r="H9" s="560" t="n"/>
      <c r="I9" s="560" t="n"/>
      <c r="J9" s="539" t="n"/>
      <c r="K9" s="38" t="n"/>
      <c r="L9" s="539" t="n"/>
      <c r="M9" s="539" t="n"/>
      <c r="N9" s="539">
        <f>IF(J9=0,"",(M9-J9)/J9*100)</f>
      </c>
      <c r="O9" s="27" t="n"/>
    </row>
    <row r="10" ht="15.5" customHeight="1">
      <c r="A10" s="45" t="n"/>
      <c r="B10" s="98" t="n"/>
      <c r="C10" s="235" t="n"/>
      <c r="D10" s="236" t="n"/>
      <c r="E10" s="539">
        <f>IF(D10=0,"",F10/D10)</f>
      </c>
      <c r="F10" s="560" t="n"/>
      <c r="G10" s="560" t="n"/>
      <c r="H10" s="560" t="n"/>
      <c r="I10" s="560" t="n"/>
      <c r="J10" s="539" t="n"/>
      <c r="K10" s="38" t="n"/>
      <c r="L10" s="539" t="n"/>
      <c r="M10" s="539" t="n"/>
      <c r="N10" s="539">
        <f>IF(J10=0,"",(M10-J10)/J10*100)</f>
      </c>
      <c r="O10" s="27" t="n"/>
    </row>
    <row r="11" ht="15.5" customHeight="1">
      <c r="A11" s="45" t="n"/>
      <c r="B11" s="98" t="n"/>
      <c r="C11" s="235" t="n"/>
      <c r="D11" s="236" t="n"/>
      <c r="E11" s="539">
        <f>IF(D11=0,"",F11/D11)</f>
      </c>
      <c r="F11" s="560" t="n"/>
      <c r="G11" s="560" t="n"/>
      <c r="H11" s="560" t="n"/>
      <c r="I11" s="560" t="n"/>
      <c r="J11" s="539" t="n"/>
      <c r="K11" s="38" t="n"/>
      <c r="L11" s="539" t="n"/>
      <c r="M11" s="539" t="n"/>
      <c r="N11" s="539">
        <f>IF(J11=0,"",(M11-J11)/J11*100)</f>
      </c>
      <c r="O11" s="27" t="n"/>
    </row>
    <row r="12" ht="15.5" customHeight="1">
      <c r="A12" s="45" t="n"/>
      <c r="B12" s="98" t="n"/>
      <c r="C12" s="235" t="n"/>
      <c r="D12" s="236" t="n"/>
      <c r="E12" s="539">
        <f>IF(D12=0,"",F12/D12)</f>
      </c>
      <c r="F12" s="560" t="n"/>
      <c r="G12" s="560" t="n"/>
      <c r="H12" s="560" t="n"/>
      <c r="I12" s="560" t="n"/>
      <c r="J12" s="539" t="n"/>
      <c r="K12" s="38" t="n"/>
      <c r="L12" s="539" t="n"/>
      <c r="M12" s="539" t="n"/>
      <c r="N12" s="539">
        <f>IF(J12=0,"",(M12-J12)/J12*100)</f>
      </c>
      <c r="O12" s="27" t="n"/>
    </row>
    <row r="13" ht="15.5" customHeight="1">
      <c r="A13" s="45" t="n"/>
      <c r="B13" s="98" t="n"/>
      <c r="C13" s="235" t="n"/>
      <c r="D13" s="236" t="n"/>
      <c r="E13" s="539">
        <f>IF(D13=0,"",F13/D13)</f>
      </c>
      <c r="F13" s="560" t="n"/>
      <c r="G13" s="560" t="n"/>
      <c r="H13" s="560" t="n"/>
      <c r="I13" s="560" t="n"/>
      <c r="J13" s="539" t="n"/>
      <c r="K13" s="38" t="n"/>
      <c r="L13" s="539" t="n"/>
      <c r="M13" s="539" t="n"/>
      <c r="N13" s="539">
        <f>IF(J13=0,"",(M13-J13)/J13*100)</f>
      </c>
      <c r="O13" s="27" t="n"/>
    </row>
    <row r="14" ht="15.5" customHeight="1">
      <c r="A14" s="45" t="n"/>
      <c r="B14" s="98" t="n"/>
      <c r="C14" s="235" t="n"/>
      <c r="D14" s="236" t="n"/>
      <c r="E14" s="539">
        <f>IF(D14=0,"",F14/D14)</f>
      </c>
      <c r="F14" s="560" t="n"/>
      <c r="G14" s="560" t="n"/>
      <c r="H14" s="560" t="n"/>
      <c r="I14" s="560" t="n"/>
      <c r="J14" s="539" t="n"/>
      <c r="K14" s="38" t="n"/>
      <c r="L14" s="539" t="n"/>
      <c r="M14" s="539" t="n"/>
      <c r="N14" s="539">
        <f>IF(J14=0,"",(M14-J14)/J14*100)</f>
      </c>
      <c r="O14" s="27" t="n"/>
    </row>
    <row r="15" ht="15.5" customHeight="1">
      <c r="A15" s="45" t="n"/>
      <c r="B15" s="98" t="n"/>
      <c r="C15" s="235" t="n"/>
      <c r="D15" s="236" t="n"/>
      <c r="E15" s="539">
        <f>IF(D15=0,"",F15/D15)</f>
      </c>
      <c r="F15" s="560" t="n"/>
      <c r="G15" s="560" t="n"/>
      <c r="H15" s="560" t="n"/>
      <c r="I15" s="560" t="n"/>
      <c r="J15" s="539" t="n"/>
      <c r="K15" s="38" t="n"/>
      <c r="L15" s="539" t="n"/>
      <c r="M15" s="539" t="n"/>
      <c r="N15" s="539">
        <f>IF(J15=0,"",(M15-J15)/J15*100)</f>
      </c>
      <c r="O15" s="27" t="n"/>
    </row>
    <row r="16" ht="15.5" customHeight="1">
      <c r="A16" s="45" t="n"/>
      <c r="B16" s="98" t="n"/>
      <c r="C16" s="235" t="n"/>
      <c r="D16" s="236" t="n"/>
      <c r="E16" s="539">
        <f>IF(D16=0,"",F16/D16)</f>
      </c>
      <c r="F16" s="560" t="n"/>
      <c r="G16" s="560" t="n"/>
      <c r="H16" s="560" t="n"/>
      <c r="I16" s="560" t="n"/>
      <c r="J16" s="539" t="n"/>
      <c r="K16" s="38" t="n"/>
      <c r="L16" s="539" t="n"/>
      <c r="M16" s="539" t="n"/>
      <c r="N16" s="539">
        <f>IF(J16=0,"",(M16-J16)/J16*100)</f>
      </c>
      <c r="O16" s="27" t="n"/>
    </row>
    <row r="17" ht="15.5" customHeight="1">
      <c r="A17" s="45" t="n"/>
      <c r="B17" s="98" t="n"/>
      <c r="C17" s="235" t="n"/>
      <c r="D17" s="236" t="n"/>
      <c r="E17" s="539">
        <f>IF(D17=0,"",F17/D17)</f>
      </c>
      <c r="F17" s="560" t="n"/>
      <c r="G17" s="560" t="n"/>
      <c r="H17" s="560" t="n"/>
      <c r="I17" s="560" t="n"/>
      <c r="J17" s="539" t="n"/>
      <c r="K17" s="38" t="n"/>
      <c r="L17" s="539" t="n"/>
      <c r="M17" s="539" t="n"/>
      <c r="N17" s="539">
        <f>IF(J17=0,"",(M17-J17)/J17*100)</f>
      </c>
      <c r="O17" s="27" t="n"/>
    </row>
    <row r="18" ht="15.5" customHeight="1">
      <c r="A18" s="45" t="n"/>
      <c r="B18" s="98" t="n"/>
      <c r="C18" s="235" t="n"/>
      <c r="D18" s="236" t="n"/>
      <c r="E18" s="539">
        <f>IF(D18=0,"",F18/D18)</f>
      </c>
      <c r="F18" s="560" t="n"/>
      <c r="G18" s="560" t="n"/>
      <c r="H18" s="560" t="n"/>
      <c r="I18" s="560" t="n"/>
      <c r="J18" s="539" t="n"/>
      <c r="K18" s="38" t="n"/>
      <c r="L18" s="539" t="n"/>
      <c r="M18" s="539" t="n"/>
      <c r="N18" s="539">
        <f>IF(J18=0,"",(M18-J18)/J18*100)</f>
      </c>
      <c r="O18" s="27" t="n"/>
    </row>
    <row r="19" ht="15.5" customHeight="1">
      <c r="A19" s="45" t="n"/>
      <c r="B19" s="98" t="n"/>
      <c r="C19" s="235" t="n"/>
      <c r="D19" s="236" t="n"/>
      <c r="E19" s="539">
        <f>IF(D19=0,"",F19/D19)</f>
      </c>
      <c r="F19" s="560" t="n"/>
      <c r="G19" s="560" t="n"/>
      <c r="H19" s="560" t="n"/>
      <c r="I19" s="560" t="n"/>
      <c r="J19" s="539" t="n"/>
      <c r="K19" s="38" t="n"/>
      <c r="L19" s="539" t="n"/>
      <c r="M19" s="539" t="n"/>
      <c r="N19" s="539">
        <f>IF(J19=0,"",(M19-J19)/J19*100)</f>
      </c>
      <c r="O19" s="27" t="n"/>
    </row>
    <row r="20" ht="15.5" customHeight="1">
      <c r="A20" s="45" t="n"/>
      <c r="B20" s="98" t="n"/>
      <c r="C20" s="235" t="n"/>
      <c r="D20" s="236" t="n"/>
      <c r="E20" s="539">
        <f>IF(D20=0,"",F20/D20)</f>
      </c>
      <c r="F20" s="560" t="n"/>
      <c r="G20" s="560" t="n"/>
      <c r="H20" s="560" t="n"/>
      <c r="I20" s="560" t="n"/>
      <c r="J20" s="539" t="n"/>
      <c r="K20" s="38" t="n"/>
      <c r="L20" s="539" t="n"/>
      <c r="M20" s="539" t="n"/>
      <c r="N20" s="539">
        <f>IF(J20=0,"",(M20-J20)/J20*100)</f>
      </c>
      <c r="O20" s="27" t="n"/>
    </row>
    <row r="21" ht="15.5" customHeight="1">
      <c r="A21" s="45" t="n"/>
      <c r="B21" s="98" t="n"/>
      <c r="C21" s="235" t="n"/>
      <c r="D21" s="236" t="n"/>
      <c r="E21" s="539">
        <f>IF(D21=0,"",F21/D21)</f>
      </c>
      <c r="F21" s="560" t="n"/>
      <c r="G21" s="560" t="n"/>
      <c r="H21" s="560" t="n"/>
      <c r="I21" s="560" t="n"/>
      <c r="J21" s="539" t="n"/>
      <c r="K21" s="38" t="n"/>
      <c r="L21" s="539" t="n"/>
      <c r="M21" s="539" t="n"/>
      <c r="N21" s="539">
        <f>IF(J21=0,"",(M21-J21)/J21*100)</f>
      </c>
      <c r="O21" s="27" t="n"/>
    </row>
    <row r="22" ht="15.5" customHeight="1">
      <c r="A22" s="45" t="n"/>
      <c r="B22" s="98" t="n"/>
      <c r="C22" s="235" t="n"/>
      <c r="D22" s="236" t="n"/>
      <c r="E22" s="539">
        <f>IF(D22=0,"",F22/D22)</f>
      </c>
      <c r="F22" s="560" t="n"/>
      <c r="G22" s="560" t="n"/>
      <c r="H22" s="560" t="n"/>
      <c r="I22" s="560" t="n"/>
      <c r="J22" s="539" t="n"/>
      <c r="K22" s="38" t="n"/>
      <c r="L22" s="539" t="n"/>
      <c r="M22" s="539" t="n"/>
      <c r="N22" s="539">
        <f>IF(J22=0,"",(M22-J22)/J22*100)</f>
      </c>
      <c r="O22" s="27" t="n"/>
    </row>
    <row r="23" ht="15.5" customHeight="1">
      <c r="A23" s="45" t="n"/>
      <c r="B23" s="98" t="n"/>
      <c r="C23" s="235" t="n"/>
      <c r="D23" s="236" t="n"/>
      <c r="E23" s="539">
        <f>IF(D23=0,"",F23/D23)</f>
      </c>
      <c r="F23" s="560" t="n"/>
      <c r="G23" s="560" t="n"/>
      <c r="H23" s="560" t="n"/>
      <c r="I23" s="560" t="n"/>
      <c r="J23" s="539" t="n"/>
      <c r="K23" s="38" t="n"/>
      <c r="L23" s="539" t="n"/>
      <c r="M23" s="539" t="n"/>
      <c r="N23" s="539">
        <f>IF(J23=0,"",(M23-J23)/J23*100)</f>
      </c>
      <c r="O23" s="27" t="n"/>
    </row>
    <row r="24" ht="15.5" customHeight="1">
      <c r="A24" s="45" t="n"/>
      <c r="B24" s="98" t="n"/>
      <c r="C24" s="235" t="n"/>
      <c r="D24" s="236" t="n"/>
      <c r="E24" s="539">
        <f>IF(D24=0,"",F24/D24)</f>
      </c>
      <c r="F24" s="560" t="n"/>
      <c r="G24" s="560" t="n"/>
      <c r="H24" s="560" t="n"/>
      <c r="I24" s="560" t="n"/>
      <c r="J24" s="539" t="n"/>
      <c r="K24" s="38" t="n"/>
      <c r="L24" s="539" t="n"/>
      <c r="M24" s="539" t="n"/>
      <c r="N24" s="539">
        <f>IF(J24=0,"",(M24-J24)/J24*100)</f>
      </c>
      <c r="O24" s="27" t="n"/>
    </row>
    <row r="25" ht="15.5" customHeight="1">
      <c r="A25" s="45" t="n"/>
      <c r="B25" s="98" t="n"/>
      <c r="C25" s="235" t="n"/>
      <c r="D25" s="236" t="n"/>
      <c r="E25" s="539">
        <f>IF(D25=0,"",F25/D25)</f>
      </c>
      <c r="F25" s="560" t="n"/>
      <c r="G25" s="560" t="n"/>
      <c r="H25" s="560" t="n"/>
      <c r="I25" s="560" t="n"/>
      <c r="J25" s="539" t="n"/>
      <c r="K25" s="38" t="n"/>
      <c r="L25" s="539" t="n"/>
      <c r="M25" s="539" t="n"/>
      <c r="N25" s="539">
        <f>IF(J25=0,"",(M25-J25)/J25*100)</f>
      </c>
      <c r="O25" s="27" t="n"/>
    </row>
    <row r="26" ht="15.5" customHeight="1">
      <c r="A26" s="27" t="n"/>
      <c r="B26" s="27" t="n"/>
      <c r="C26" s="27" t="n"/>
      <c r="D26" s="561" t="n"/>
      <c r="E26" s="562" t="n"/>
      <c r="F26" s="561" t="n"/>
      <c r="G26" s="561" t="n"/>
      <c r="H26" s="561" t="n"/>
      <c r="I26" s="561" t="n"/>
      <c r="J26" s="561" t="n"/>
      <c r="K26" s="27" t="n"/>
      <c r="L26" s="27" t="n"/>
      <c r="M26" s="561" t="n"/>
      <c r="N26" s="27" t="n"/>
      <c r="O26" s="27" t="n"/>
    </row>
    <row r="27" ht="15.5" customHeight="1">
      <c r="A27" s="21" t="inlineStr">
        <is>
          <t>合            计</t>
        </is>
      </c>
      <c r="B27" s="28" t="n"/>
      <c r="C27" s="27" t="n"/>
      <c r="D27" s="38" t="n"/>
      <c r="E27" s="539" t="n"/>
      <c r="F27" s="539">
        <f>SUM(F7:F26)</f>
      </c>
      <c r="G27" s="539" t="n"/>
      <c r="H27" s="539" t="n"/>
      <c r="I27" s="539" t="n"/>
      <c r="J27" s="539">
        <f>SUM(J7:J26)</f>
      </c>
      <c r="K27" s="38" t="n"/>
      <c r="L27" s="539" t="n"/>
      <c r="M27" s="539">
        <f>SUM(M7:M26)</f>
      </c>
      <c r="N27" s="539">
        <f>IF(J27=0,"",(M27-J27)/J27*100)</f>
      </c>
      <c r="O27" s="27" t="n"/>
    </row>
    <row r="28" ht="15.5" customHeight="1">
      <c r="A28" s="29">
        <f>封面!D11&amp;封面!G11</f>
      </c>
      <c r="D28" s="536" t="n"/>
      <c r="E28" s="536" t="n"/>
      <c r="J28" s="536">
        <f>"评估人员："&amp;封面!G20</f>
      </c>
    </row>
    <row r="29" ht="15.5" customHeight="1">
      <c r="A29" s="29">
        <f>CONCATENATE(封面!D13,封面!F13,封面!G13,封面!H13,封面!I13,封面!J13,封面!K13)</f>
      </c>
    </row>
  </sheetData>
  <mergeCells count="12">
    <mergeCell ref="A5:A6"/>
    <mergeCell ref="G5:G6"/>
    <mergeCell ref="N5:N6"/>
    <mergeCell ref="O5:O6"/>
    <mergeCell ref="A2:O2"/>
    <mergeCell ref="D5:F5"/>
    <mergeCell ref="K5:M5"/>
    <mergeCell ref="H5:J5"/>
    <mergeCell ref="A27:B27"/>
    <mergeCell ref="B5:B6"/>
    <mergeCell ref="A3:O3"/>
    <mergeCell ref="C5:C6"/>
  </mergeCells>
  <hyperlinks>
    <hyperlink ref="A1" location="索引目录!E18" display="返回索引页"/>
    <hyperlink ref="B1" location="存货汇总!B6" display="返回"/>
  </hyperlinks>
  <printOptions horizontalCentered="1"/>
  <pageMargins left="0.354330708661417" right="0.354330708661417" top="0.78740157480315" bottom="0.78740157480315" header="1.02" footer="0.511811023622047"/>
  <pageSetup orientation="landscape" paperSize="9" fitToHeight="0"/>
  <headerFooter alignWithMargins="0">
    <oddHeader>&amp;R&amp;"宋体,常规"共&amp;"Times New Roman,常规"&amp;N&amp;"宋体,常规"页第&amp;"Times New Roman,常规"&amp;P&amp;"宋体,常规"3-9-1_x000a_页</oddHeader>
    <oddFooter/>
    <evenHeader/>
    <evenFooter/>
    <firstHeader/>
    <firstFooter/>
  </headerFooter>
</worksheet>
</file>

<file path=xl/worksheets/sheet24.xml><?xml version="1.0" encoding="utf-8"?>
<worksheet xmlns="http://schemas.openxmlformats.org/spreadsheetml/2006/main">
  <sheetPr codeName="Sheet24">
    <outlinePr summaryBelow="1" summaryRight="1"/>
    <pageSetUpPr fitToPage="1"/>
  </sheetPr>
  <dimension ref="A1:O281"/>
  <sheetViews>
    <sheetView view="pageBreakPreview" topLeftCell="A2" zoomScale="90" zoomScaleNormal="100" workbookViewId="0">
      <selection activeCell="G451" sqref="G451"/>
    </sheetView>
  </sheetViews>
  <sheetFormatPr baseColWidth="8" defaultColWidth="9" defaultRowHeight="15.75" customHeight="1"/>
  <cols>
    <col width="6.75" customWidth="1" style="12" min="1" max="1"/>
    <col width="36.25" customWidth="1" style="256" min="2" max="2"/>
    <col width="8.25" customWidth="1" style="257" min="3" max="3"/>
    <col hidden="1" outlineLevel="1" width="0.25" customWidth="1" style="255" min="4" max="4"/>
    <col hidden="1" outlineLevel="1" width="0.0833333333333333" customWidth="1" style="255" min="5" max="5"/>
    <col hidden="1" outlineLevel="1" width="4.91666666666667" customWidth="1" style="255" min="6" max="6"/>
    <col hidden="1" outlineLevel="1" width="0.166666666666667" customWidth="1" style="255" min="7" max="7"/>
    <col collapsed="1" width="9.41666666666667" customWidth="1" style="255" min="8" max="8"/>
    <col width="8.5" customWidth="1" style="255" min="9" max="9"/>
    <col width="12.0833333333333" customWidth="1" style="13" min="10" max="10"/>
    <col width="8.66666666666667" customWidth="1" style="13" min="11" max="11"/>
    <col width="8.5" customWidth="1" style="13" min="12" max="12"/>
    <col width="10.5" customWidth="1" style="13" min="13" max="13"/>
    <col width="7.58333333333333" customWidth="1" style="13" min="14" max="14"/>
    <col width="6.41666666666667" customWidth="1" style="13" min="15" max="15"/>
    <col width="9" customWidth="1" style="13" min="16" max="16384"/>
  </cols>
  <sheetData>
    <row r="1" hidden="1" ht="15.5" customHeight="1">
      <c r="A1" s="529" t="inlineStr">
        <is>
          <t>返回索引页</t>
        </is>
      </c>
      <c r="B1" s="258" t="inlineStr">
        <is>
          <t>返回</t>
        </is>
      </c>
      <c r="D1" s="16" t="n"/>
      <c r="E1" s="16" t="n"/>
      <c r="F1" s="16" t="n"/>
      <c r="G1" s="16" t="n"/>
      <c r="H1" s="16" t="n"/>
      <c r="I1" s="16" t="n"/>
      <c r="J1" s="16" t="n"/>
      <c r="K1" s="16" t="n"/>
      <c r="L1" s="16" t="n"/>
      <c r="M1" s="16" t="n"/>
      <c r="N1" s="16" t="n"/>
      <c r="O1" s="16" t="n"/>
    </row>
    <row r="2" ht="30" customFormat="1" customHeight="1" s="11">
      <c r="A2" s="53" t="inlineStr">
        <is>
          <t>存货—原材料评估明细表</t>
        </is>
      </c>
    </row>
    <row r="3" ht="14.15" customHeight="1">
      <c r="A3" s="535">
        <f>CONCATENATE(封面!D9,封面!F9,封面!G9,封面!H9,封面!I9,封面!J9,封面!K9)</f>
      </c>
    </row>
    <row r="4" ht="15.5" customHeight="1">
      <c r="A4" s="536">
        <f>封面!D7&amp;封面!F7</f>
      </c>
      <c r="O4" s="54" t="inlineStr">
        <is>
          <t>金额单位：人民币元</t>
        </is>
      </c>
    </row>
    <row r="5" ht="13" customFormat="1" customHeight="1" s="12">
      <c r="A5" s="23" t="inlineStr">
        <is>
          <t>序号</t>
        </is>
      </c>
      <c r="B5" s="63" t="inlineStr">
        <is>
          <t>名称及规格型号</t>
        </is>
      </c>
      <c r="C5" s="63" t="inlineStr">
        <is>
          <t>计量单位</t>
        </is>
      </c>
      <c r="D5" s="23" t="inlineStr">
        <is>
          <t>审计前账面值</t>
        </is>
      </c>
      <c r="E5" s="138" t="n"/>
      <c r="F5" s="28" t="n"/>
      <c r="G5" s="23" t="inlineStr">
        <is>
          <t>审计调整</t>
        </is>
      </c>
      <c r="H5" s="232" t="inlineStr">
        <is>
          <t>账面价值</t>
        </is>
      </c>
      <c r="I5" s="34" t="n"/>
      <c r="J5" s="35" t="n"/>
      <c r="K5" s="23" t="inlineStr">
        <is>
          <t>评估价值</t>
        </is>
      </c>
      <c r="L5" s="138" t="n"/>
      <c r="M5" s="28" t="n"/>
      <c r="N5" s="23" t="inlineStr">
        <is>
          <t>增值率%</t>
        </is>
      </c>
      <c r="O5" s="23" t="inlineStr">
        <is>
          <t>备注</t>
        </is>
      </c>
    </row>
    <row r="6" ht="13" customFormat="1" customHeight="1" s="12">
      <c r="A6" s="36" t="n"/>
      <c r="B6" s="36" t="n"/>
      <c r="C6" s="36" t="n"/>
      <c r="D6" s="23" t="inlineStr">
        <is>
          <t>数量</t>
        </is>
      </c>
      <c r="E6" s="23" t="inlineStr">
        <is>
          <t>单价</t>
        </is>
      </c>
      <c r="F6" s="23" t="inlineStr">
        <is>
          <t>金额</t>
        </is>
      </c>
      <c r="G6" s="36" t="n"/>
      <c r="H6" s="23" t="inlineStr">
        <is>
          <t>数量</t>
        </is>
      </c>
      <c r="I6" s="23" t="inlineStr">
        <is>
          <t>单价</t>
        </is>
      </c>
      <c r="J6" s="23" t="inlineStr">
        <is>
          <t>金额</t>
        </is>
      </c>
      <c r="K6" s="232" t="inlineStr">
        <is>
          <t>实际数量</t>
        </is>
      </c>
      <c r="L6" s="23" t="inlineStr">
        <is>
          <t>单价</t>
        </is>
      </c>
      <c r="M6" s="23" t="inlineStr">
        <is>
          <t>金额</t>
        </is>
      </c>
      <c r="N6" s="36" t="n"/>
      <c r="O6" s="36" t="n"/>
    </row>
    <row r="7" ht="13" customFormat="1" customHeight="1" s="248">
      <c r="A7" s="259" t="n"/>
      <c r="B7" s="234" t="n"/>
      <c r="C7" s="260" t="n"/>
      <c r="D7" s="236" t="n"/>
      <c r="E7" s="539" t="n"/>
      <c r="F7" s="560" t="n"/>
      <c r="G7" s="560" t="n"/>
      <c r="H7" s="560" t="n"/>
      <c r="I7" s="560" t="n"/>
      <c r="J7" s="539" t="n"/>
      <c r="K7" s="38" t="n"/>
      <c r="L7" s="539" t="n"/>
      <c r="M7" s="539" t="n"/>
      <c r="N7" s="539">
        <f>IF(J7=0,"",(M7-J7)/J7*100)</f>
      </c>
      <c r="O7" s="27" t="n"/>
    </row>
    <row r="8" ht="15.5" customHeight="1">
      <c r="A8" s="259" t="n"/>
      <c r="B8" s="56" t="n"/>
      <c r="C8" s="63" t="n"/>
      <c r="D8" s="251" t="n"/>
      <c r="E8" s="539" t="n"/>
      <c r="F8" s="562" t="n"/>
      <c r="G8" s="562" t="n"/>
      <c r="H8" s="562" t="n"/>
      <c r="I8" s="562" t="n"/>
      <c r="J8" s="539" t="n"/>
      <c r="K8" s="38" t="n"/>
      <c r="L8" s="539" t="n"/>
      <c r="M8" s="539" t="n"/>
      <c r="N8" s="539">
        <f>IF(J8=0,"",(M8-J8)/J8*100)</f>
      </c>
      <c r="O8" s="27" t="n"/>
    </row>
    <row r="9" ht="15.5" customHeight="1">
      <c r="A9" s="259" t="n"/>
      <c r="B9" s="56" t="n"/>
      <c r="C9" s="63" t="n"/>
      <c r="D9" s="251" t="n"/>
      <c r="E9" s="539" t="n"/>
      <c r="F9" s="562" t="n"/>
      <c r="G9" s="562" t="n"/>
      <c r="H9" s="562" t="n"/>
      <c r="I9" s="562" t="n"/>
      <c r="J9" s="539" t="n"/>
      <c r="K9" s="38" t="n"/>
      <c r="L9" s="539" t="n"/>
      <c r="M9" s="539" t="n"/>
      <c r="N9" s="539">
        <f>IF(J9=0,"",(M9-J9)/J9*100)</f>
      </c>
      <c r="O9" s="27" t="n"/>
    </row>
    <row r="10" ht="15.5" customHeight="1">
      <c r="A10" s="259" t="n"/>
      <c r="B10" s="56" t="n"/>
      <c r="C10" s="63" t="n"/>
      <c r="D10" s="251" t="n"/>
      <c r="E10" s="539" t="n"/>
      <c r="F10" s="562" t="n"/>
      <c r="G10" s="562" t="n"/>
      <c r="H10" s="562" t="n"/>
      <c r="I10" s="562" t="n"/>
      <c r="J10" s="539" t="n"/>
      <c r="K10" s="38" t="n"/>
      <c r="L10" s="539" t="n"/>
      <c r="M10" s="539" t="n"/>
      <c r="N10" s="539">
        <f>IF(J10=0,"",(M10-J10)/J10*100)</f>
      </c>
      <c r="O10" s="27" t="n"/>
    </row>
    <row r="11" ht="15.5" customHeight="1">
      <c r="A11" s="259" t="n"/>
      <c r="B11" s="56" t="n"/>
      <c r="C11" s="63" t="n"/>
      <c r="D11" s="251" t="n"/>
      <c r="E11" s="539" t="n"/>
      <c r="F11" s="562" t="n"/>
      <c r="G11" s="562" t="n"/>
      <c r="H11" s="562" t="n"/>
      <c r="I11" s="562" t="n"/>
      <c r="J11" s="539" t="n"/>
      <c r="K11" s="38" t="n"/>
      <c r="L11" s="539" t="n"/>
      <c r="M11" s="539" t="n"/>
      <c r="N11" s="539">
        <f>IF(J11=0,"",(M11-J11)/J11*100)</f>
      </c>
      <c r="O11" s="27" t="n"/>
    </row>
    <row r="12" ht="15.5" customHeight="1">
      <c r="A12" s="259" t="n"/>
      <c r="B12" s="56" t="n"/>
      <c r="C12" s="63" t="n"/>
      <c r="D12" s="251" t="n"/>
      <c r="E12" s="539" t="n"/>
      <c r="F12" s="562" t="n"/>
      <c r="G12" s="562" t="n"/>
      <c r="H12" s="562" t="n"/>
      <c r="I12" s="562" t="n"/>
      <c r="J12" s="539" t="n"/>
      <c r="K12" s="38" t="n"/>
      <c r="L12" s="539" t="n"/>
      <c r="M12" s="539" t="n"/>
      <c r="N12" s="539">
        <f>IF(J12=0,"",(M12-J12)/J12*100)</f>
      </c>
      <c r="O12" s="27" t="n"/>
    </row>
    <row r="13" ht="15.5" customHeight="1">
      <c r="A13" s="259" t="n"/>
      <c r="B13" s="56" t="n"/>
      <c r="C13" s="63" t="n"/>
      <c r="D13" s="251" t="n"/>
      <c r="E13" s="539" t="n"/>
      <c r="F13" s="562" t="n"/>
      <c r="G13" s="562" t="n"/>
      <c r="H13" s="562" t="n"/>
      <c r="I13" s="562" t="n"/>
      <c r="J13" s="539" t="n"/>
      <c r="K13" s="38" t="n"/>
      <c r="L13" s="539" t="n"/>
      <c r="M13" s="539" t="n"/>
      <c r="N13" s="539">
        <f>IF(J13=0,"",(M13-J13)/J13*100)</f>
      </c>
      <c r="O13" s="27" t="n"/>
    </row>
    <row r="14" ht="15.5" customHeight="1">
      <c r="A14" s="259" t="n"/>
      <c r="B14" s="56" t="n"/>
      <c r="C14" s="63" t="n"/>
      <c r="D14" s="251" t="n"/>
      <c r="E14" s="539" t="n"/>
      <c r="F14" s="562" t="n"/>
      <c r="G14" s="562" t="n"/>
      <c r="H14" s="562" t="n"/>
      <c r="I14" s="562" t="n"/>
      <c r="J14" s="539" t="n"/>
      <c r="K14" s="38" t="n"/>
      <c r="L14" s="539" t="n"/>
      <c r="M14" s="539" t="n"/>
      <c r="N14" s="539">
        <f>IF(J14=0,"",(M14-J14)/J14*100)</f>
      </c>
      <c r="O14" s="27" t="n"/>
    </row>
    <row r="15" ht="15.5" customHeight="1">
      <c r="A15" s="259" t="n"/>
      <c r="B15" s="56" t="n"/>
      <c r="C15" s="63" t="n"/>
      <c r="D15" s="251" t="n"/>
      <c r="E15" s="539" t="n"/>
      <c r="F15" s="562" t="n"/>
      <c r="G15" s="562" t="n"/>
      <c r="H15" s="562" t="n"/>
      <c r="I15" s="562" t="n"/>
      <c r="J15" s="539" t="n"/>
      <c r="K15" s="38" t="n"/>
      <c r="L15" s="539" t="n"/>
      <c r="M15" s="539" t="n"/>
      <c r="N15" s="539">
        <f>IF(J15=0,"",(M15-J15)/J15*100)</f>
      </c>
      <c r="O15" s="27" t="n"/>
    </row>
    <row r="16" ht="15.5" customHeight="1">
      <c r="A16" s="259" t="n"/>
      <c r="B16" s="56" t="n"/>
      <c r="C16" s="63" t="n"/>
      <c r="D16" s="251" t="n"/>
      <c r="E16" s="539" t="n"/>
      <c r="F16" s="562" t="n"/>
      <c r="G16" s="562" t="n"/>
      <c r="H16" s="562" t="n"/>
      <c r="I16" s="562" t="n"/>
      <c r="J16" s="539" t="n"/>
      <c r="K16" s="38" t="n"/>
      <c r="L16" s="539" t="n"/>
      <c r="M16" s="539" t="n"/>
      <c r="N16" s="539">
        <f>IF(J16=0,"",(M16-J16)/J16*100)</f>
      </c>
      <c r="O16" s="27" t="n"/>
    </row>
    <row r="17" ht="15.5" customHeight="1">
      <c r="A17" s="259" t="n"/>
      <c r="B17" s="56" t="n"/>
      <c r="C17" s="63" t="n"/>
      <c r="D17" s="251" t="n"/>
      <c r="E17" s="539" t="n"/>
      <c r="F17" s="562" t="n"/>
      <c r="G17" s="562" t="n"/>
      <c r="H17" s="562" t="n"/>
      <c r="I17" s="562" t="n"/>
      <c r="J17" s="539" t="n"/>
      <c r="K17" s="38" t="n"/>
      <c r="L17" s="539" t="n"/>
      <c r="M17" s="539" t="n"/>
      <c r="N17" s="539">
        <f>IF(J17=0,"",(M17-J17)/J17*100)</f>
      </c>
      <c r="O17" s="27" t="n"/>
    </row>
    <row r="18" ht="15.5" customHeight="1">
      <c r="A18" s="259" t="n"/>
      <c r="B18" s="56" t="n"/>
      <c r="C18" s="63" t="n"/>
      <c r="D18" s="251" t="n"/>
      <c r="E18" s="539" t="n"/>
      <c r="F18" s="562" t="n"/>
      <c r="G18" s="562" t="n"/>
      <c r="H18" s="562" t="n"/>
      <c r="I18" s="562" t="n"/>
      <c r="J18" s="539" t="n"/>
      <c r="K18" s="38" t="n"/>
      <c r="L18" s="539" t="n"/>
      <c r="M18" s="539" t="n"/>
      <c r="N18" s="539">
        <f>IF(J18=0,"",(M18-J18)/J18*100)</f>
      </c>
      <c r="O18" s="27" t="n"/>
    </row>
    <row r="19" ht="15.5" customHeight="1">
      <c r="A19" s="259" t="n"/>
      <c r="B19" s="56" t="n"/>
      <c r="C19" s="63" t="n"/>
      <c r="D19" s="251" t="n"/>
      <c r="E19" s="539" t="n"/>
      <c r="F19" s="562" t="n"/>
      <c r="G19" s="562" t="n"/>
      <c r="H19" s="562" t="n"/>
      <c r="I19" s="562" t="n"/>
      <c r="J19" s="539" t="n"/>
      <c r="K19" s="38" t="n"/>
      <c r="L19" s="539" t="n"/>
      <c r="M19" s="539" t="n"/>
      <c r="N19" s="539">
        <f>IF(J19=0,"",(M19-J19)/J19*100)</f>
      </c>
      <c r="O19" s="27" t="n"/>
    </row>
    <row r="20" ht="15.5" customHeight="1">
      <c r="A20" s="259" t="n"/>
      <c r="B20" s="56" t="n"/>
      <c r="C20" s="63" t="n"/>
      <c r="D20" s="251" t="n"/>
      <c r="E20" s="539" t="n"/>
      <c r="F20" s="562" t="n"/>
      <c r="G20" s="562" t="n"/>
      <c r="H20" s="562" t="n"/>
      <c r="I20" s="562" t="n"/>
      <c r="J20" s="539" t="n"/>
      <c r="K20" s="38" t="n"/>
      <c r="L20" s="539" t="n"/>
      <c r="M20" s="539" t="n"/>
      <c r="N20" s="539">
        <f>IF(J20=0,"",(M20-J20)/J20*100)</f>
      </c>
      <c r="O20" s="27" t="n"/>
    </row>
    <row r="21" ht="15.5" customHeight="1">
      <c r="A21" s="259" t="n"/>
      <c r="B21" s="56" t="n"/>
      <c r="C21" s="63" t="n"/>
      <c r="D21" s="251" t="n"/>
      <c r="E21" s="539" t="n"/>
      <c r="F21" s="562" t="n"/>
      <c r="G21" s="562" t="n"/>
      <c r="H21" s="562" t="n"/>
      <c r="I21" s="562" t="n"/>
      <c r="J21" s="539" t="n"/>
      <c r="K21" s="38" t="n"/>
      <c r="L21" s="539" t="n"/>
      <c r="M21" s="539" t="n"/>
      <c r="N21" s="539">
        <f>IF(J21=0,"",(M21-J21)/J21*100)</f>
      </c>
      <c r="O21" s="27" t="n"/>
    </row>
    <row r="22" ht="15.5" customHeight="1">
      <c r="A22" s="259" t="n"/>
      <c r="B22" s="56" t="n"/>
      <c r="C22" s="63" t="n"/>
      <c r="D22" s="251" t="n"/>
      <c r="E22" s="539" t="n"/>
      <c r="F22" s="562" t="n"/>
      <c r="G22" s="562" t="n"/>
      <c r="H22" s="562" t="n"/>
      <c r="I22" s="562" t="n"/>
      <c r="J22" s="539" t="n"/>
      <c r="K22" s="38" t="n"/>
      <c r="L22" s="539" t="n"/>
      <c r="M22" s="539" t="n"/>
      <c r="N22" s="539">
        <f>IF(J22=0,"",(M22-J22)/J22*100)</f>
      </c>
      <c r="O22" s="27" t="n"/>
    </row>
    <row r="23" ht="15.5" customHeight="1">
      <c r="A23" s="259" t="n"/>
      <c r="B23" s="56" t="n"/>
      <c r="C23" s="63" t="n"/>
      <c r="D23" s="251" t="n"/>
      <c r="E23" s="539" t="n"/>
      <c r="F23" s="562" t="n"/>
      <c r="G23" s="562" t="n"/>
      <c r="H23" s="562" t="n"/>
      <c r="I23" s="562" t="n"/>
      <c r="J23" s="539" t="n"/>
      <c r="K23" s="38" t="n"/>
      <c r="L23" s="539" t="n"/>
      <c r="M23" s="539" t="n"/>
      <c r="N23" s="539">
        <f>IF(J23=0,"",(M23-J23)/J23*100)</f>
      </c>
      <c r="O23" s="27" t="n"/>
    </row>
    <row r="24" ht="15.5" customHeight="1">
      <c r="A24" s="259" t="n"/>
      <c r="B24" s="56" t="n"/>
      <c r="C24" s="63" t="n"/>
      <c r="D24" s="251" t="n"/>
      <c r="E24" s="539" t="n"/>
      <c r="F24" s="562" t="n"/>
      <c r="G24" s="562" t="n"/>
      <c r="H24" s="562" t="n"/>
      <c r="I24" s="562" t="n"/>
      <c r="J24" s="539" t="n"/>
      <c r="K24" s="38" t="n"/>
      <c r="L24" s="539" t="n"/>
      <c r="M24" s="539" t="n"/>
      <c r="N24" s="539">
        <f>IF(J24=0,"",(M24-J24)/J24*100)</f>
      </c>
      <c r="O24" s="27" t="n"/>
    </row>
    <row r="25" ht="15.5" customHeight="1">
      <c r="A25" s="259" t="n"/>
      <c r="B25" s="56" t="n"/>
      <c r="C25" s="63" t="n"/>
      <c r="D25" s="251" t="n"/>
      <c r="E25" s="539" t="n"/>
      <c r="F25" s="562" t="n"/>
      <c r="G25" s="562" t="n"/>
      <c r="H25" s="562" t="n"/>
      <c r="I25" s="562" t="n"/>
      <c r="J25" s="539" t="n"/>
      <c r="K25" s="38" t="n"/>
      <c r="L25" s="539" t="n"/>
      <c r="M25" s="539" t="n"/>
      <c r="N25" s="539">
        <f>IF(J25=0,"",(M25-J25)/J25*100)</f>
      </c>
      <c r="O25" s="27" t="n"/>
    </row>
    <row r="26" ht="15.5" customHeight="1">
      <c r="A26" s="259" t="n"/>
      <c r="B26" s="56" t="n"/>
      <c r="C26" s="63" t="n"/>
      <c r="D26" s="251" t="n"/>
      <c r="E26" s="539" t="n"/>
      <c r="F26" s="562" t="n"/>
      <c r="G26" s="562" t="n"/>
      <c r="H26" s="562" t="n"/>
      <c r="I26" s="562" t="n"/>
      <c r="J26" s="539" t="n"/>
      <c r="K26" s="38" t="n"/>
      <c r="L26" s="539" t="n"/>
      <c r="M26" s="539" t="n"/>
      <c r="N26" s="539">
        <f>IF(J26=0,"",(M26-J26)/J26*100)</f>
      </c>
      <c r="O26" s="27" t="n"/>
    </row>
    <row r="27" ht="15.5" customHeight="1">
      <c r="A27" s="259" t="n"/>
      <c r="B27" s="56" t="n"/>
      <c r="C27" s="63" t="n"/>
      <c r="D27" s="251" t="n"/>
      <c r="E27" s="539" t="n"/>
      <c r="F27" s="562" t="n"/>
      <c r="G27" s="562" t="n"/>
      <c r="H27" s="562" t="n"/>
      <c r="I27" s="562" t="n"/>
      <c r="J27" s="539" t="n"/>
      <c r="K27" s="38" t="n"/>
      <c r="L27" s="539" t="n"/>
      <c r="M27" s="539" t="n"/>
      <c r="N27" s="539">
        <f>IF(J27=0,"",(M27-J27)/J27*100)</f>
      </c>
      <c r="O27" s="27" t="n"/>
    </row>
    <row r="28" ht="15.5" customHeight="1">
      <c r="A28" s="259" t="n"/>
      <c r="B28" s="56" t="n"/>
      <c r="C28" s="63" t="n"/>
      <c r="D28" s="251" t="n"/>
      <c r="E28" s="539" t="n"/>
      <c r="F28" s="562" t="n"/>
      <c r="G28" s="562" t="n"/>
      <c r="H28" s="562" t="n"/>
      <c r="I28" s="562" t="n"/>
      <c r="J28" s="539" t="n"/>
      <c r="K28" s="38" t="n"/>
      <c r="L28" s="539" t="n"/>
      <c r="M28" s="539" t="n"/>
      <c r="N28" s="539">
        <f>IF(J28=0,"",(M28-J28)/J28*100)</f>
      </c>
      <c r="O28" s="27" t="n"/>
    </row>
    <row r="29" ht="15.5" customHeight="1">
      <c r="A29" s="259" t="n"/>
      <c r="B29" s="56" t="n"/>
      <c r="C29" s="63" t="n"/>
      <c r="D29" s="251" t="n"/>
      <c r="E29" s="539" t="n"/>
      <c r="F29" s="562" t="n"/>
      <c r="G29" s="562" t="n"/>
      <c r="H29" s="562" t="n"/>
      <c r="I29" s="562" t="n"/>
      <c r="J29" s="539" t="n"/>
      <c r="K29" s="38" t="n"/>
      <c r="L29" s="539" t="n"/>
      <c r="M29" s="539" t="n"/>
      <c r="N29" s="539">
        <f>IF(J29=0,"",(M29-J29)/J29*100)</f>
      </c>
      <c r="O29" s="27" t="n"/>
    </row>
    <row r="30" ht="15.5" customHeight="1">
      <c r="A30" s="259" t="n"/>
      <c r="B30" s="56" t="n"/>
      <c r="C30" s="63" t="n"/>
      <c r="D30" s="251" t="n"/>
      <c r="E30" s="539" t="n"/>
      <c r="F30" s="562" t="n"/>
      <c r="G30" s="562" t="n"/>
      <c r="H30" s="562" t="n"/>
      <c r="I30" s="562" t="n"/>
      <c r="J30" s="539" t="n"/>
      <c r="K30" s="38" t="n"/>
      <c r="L30" s="539" t="n"/>
      <c r="M30" s="539" t="n"/>
      <c r="N30" s="539">
        <f>IF(J30=0,"",(M30-J30)/J30*100)</f>
      </c>
      <c r="O30" s="27" t="n"/>
    </row>
    <row r="31" ht="15.5" customHeight="1">
      <c r="A31" s="259" t="n"/>
      <c r="B31" s="56" t="n"/>
      <c r="C31" s="63" t="n"/>
      <c r="D31" s="251" t="n"/>
      <c r="E31" s="539" t="n"/>
      <c r="F31" s="562" t="n"/>
      <c r="G31" s="562" t="n"/>
      <c r="H31" s="562" t="n"/>
      <c r="I31" s="562" t="n"/>
      <c r="J31" s="539" t="n"/>
      <c r="K31" s="38" t="n"/>
      <c r="L31" s="539" t="n"/>
      <c r="M31" s="539" t="n"/>
      <c r="N31" s="539">
        <f>IF(J31=0,"",(M31-J31)/J31*100)</f>
      </c>
      <c r="O31" s="27" t="n"/>
    </row>
    <row r="32" ht="15.5" customHeight="1">
      <c r="A32" s="259" t="n"/>
      <c r="B32" s="56" t="n"/>
      <c r="C32" s="63" t="n"/>
      <c r="D32" s="251" t="n"/>
      <c r="E32" s="539" t="n"/>
      <c r="F32" s="562" t="n"/>
      <c r="G32" s="562" t="n"/>
      <c r="H32" s="562" t="n"/>
      <c r="I32" s="562" t="n"/>
      <c r="J32" s="539" t="n"/>
      <c r="K32" s="38" t="n"/>
      <c r="L32" s="539" t="n"/>
      <c r="M32" s="539" t="n"/>
      <c r="N32" s="539">
        <f>IF(J32=0,"",(M32-J32)/J32*100)</f>
      </c>
      <c r="O32" s="27" t="n"/>
    </row>
    <row r="33" ht="15.5" customHeight="1">
      <c r="A33" s="259" t="n"/>
      <c r="B33" s="56" t="n"/>
      <c r="C33" s="63" t="n"/>
      <c r="D33" s="251" t="n"/>
      <c r="E33" s="539" t="n"/>
      <c r="F33" s="562" t="n"/>
      <c r="G33" s="562" t="n"/>
      <c r="H33" s="562" t="n"/>
      <c r="I33" s="562" t="n"/>
      <c r="J33" s="539" t="n"/>
      <c r="K33" s="38" t="n"/>
      <c r="L33" s="539" t="n"/>
      <c r="M33" s="539" t="n"/>
      <c r="N33" s="539">
        <f>IF(J33=0,"",(M33-J33)/J33*100)</f>
      </c>
      <c r="O33" s="27" t="n"/>
    </row>
    <row r="34" ht="15.5" customHeight="1">
      <c r="A34" s="259" t="n"/>
      <c r="B34" s="56" t="n"/>
      <c r="C34" s="63" t="n"/>
      <c r="D34" s="251" t="n"/>
      <c r="E34" s="539" t="n"/>
      <c r="F34" s="562" t="n"/>
      <c r="G34" s="562" t="n"/>
      <c r="H34" s="562" t="n"/>
      <c r="I34" s="562" t="n"/>
      <c r="J34" s="539" t="n"/>
      <c r="K34" s="38" t="n"/>
      <c r="L34" s="539" t="n"/>
      <c r="M34" s="539" t="n"/>
      <c r="N34" s="539">
        <f>IF(J34=0,"",(M34-J34)/J34*100)</f>
      </c>
      <c r="O34" s="27" t="n"/>
    </row>
    <row r="35" ht="15.5" customHeight="1">
      <c r="A35" s="259" t="n"/>
      <c r="B35" s="56" t="n"/>
      <c r="C35" s="63" t="n"/>
      <c r="D35" s="251" t="n"/>
      <c r="E35" s="539" t="n"/>
      <c r="F35" s="562" t="n"/>
      <c r="G35" s="562" t="n"/>
      <c r="H35" s="562" t="n"/>
      <c r="I35" s="562" t="n"/>
      <c r="J35" s="539" t="n"/>
      <c r="K35" s="38" t="n"/>
      <c r="L35" s="539" t="n"/>
      <c r="M35" s="539" t="n"/>
      <c r="N35" s="539">
        <f>IF(J35=0,"",(M35-J35)/J35*100)</f>
      </c>
      <c r="O35" s="27" t="n"/>
    </row>
    <row r="36" ht="15.5" customHeight="1">
      <c r="A36" s="259" t="n"/>
      <c r="B36" s="56" t="n"/>
      <c r="C36" s="63" t="n"/>
      <c r="D36" s="251" t="n"/>
      <c r="E36" s="539" t="n"/>
      <c r="F36" s="562" t="n"/>
      <c r="G36" s="562" t="n"/>
      <c r="H36" s="562" t="n"/>
      <c r="I36" s="562" t="n"/>
      <c r="J36" s="539" t="n"/>
      <c r="K36" s="38" t="n"/>
      <c r="L36" s="539" t="n"/>
      <c r="M36" s="539" t="n"/>
      <c r="N36" s="539">
        <f>IF(J36=0,"",(M36-J36)/J36*100)</f>
      </c>
      <c r="O36" s="27" t="n"/>
    </row>
    <row r="37" ht="15.5" customHeight="1">
      <c r="A37" s="259" t="n"/>
      <c r="B37" s="56" t="n"/>
      <c r="C37" s="63" t="n"/>
      <c r="D37" s="251" t="n"/>
      <c r="E37" s="539" t="n"/>
      <c r="F37" s="562" t="n"/>
      <c r="G37" s="562" t="n"/>
      <c r="H37" s="562" t="n"/>
      <c r="I37" s="562" t="n"/>
      <c r="J37" s="539" t="n"/>
      <c r="K37" s="38" t="n"/>
      <c r="L37" s="539" t="n"/>
      <c r="M37" s="539" t="n"/>
      <c r="N37" s="539">
        <f>IF(J37=0,"",(M37-J37)/J37*100)</f>
      </c>
      <c r="O37" s="27" t="n"/>
    </row>
    <row r="38" ht="15.5" customHeight="1">
      <c r="A38" s="259" t="n"/>
      <c r="B38" s="56" t="n"/>
      <c r="C38" s="63" t="n"/>
      <c r="D38" s="251" t="n"/>
      <c r="E38" s="539" t="n"/>
      <c r="F38" s="562" t="n"/>
      <c r="G38" s="562" t="n"/>
      <c r="H38" s="562" t="n"/>
      <c r="I38" s="562" t="n"/>
      <c r="J38" s="539" t="n"/>
      <c r="K38" s="38" t="n"/>
      <c r="L38" s="539" t="n"/>
      <c r="M38" s="539" t="n"/>
      <c r="N38" s="539">
        <f>IF(J38=0,"",(M38-J38)/J38*100)</f>
      </c>
      <c r="O38" s="27" t="n"/>
    </row>
    <row r="39" ht="15.5" customHeight="1">
      <c r="A39" s="259" t="n"/>
      <c r="B39" s="56" t="n"/>
      <c r="C39" s="63" t="n"/>
      <c r="D39" s="251" t="n"/>
      <c r="E39" s="539" t="n"/>
      <c r="F39" s="562" t="n"/>
      <c r="G39" s="562" t="n"/>
      <c r="H39" s="562" t="n"/>
      <c r="I39" s="562" t="n"/>
      <c r="J39" s="539" t="n"/>
      <c r="K39" s="38" t="n"/>
      <c r="L39" s="539" t="n"/>
      <c r="M39" s="539" t="n"/>
      <c r="N39" s="539">
        <f>IF(J39=0,"",(M39-J39)/J39*100)</f>
      </c>
      <c r="O39" s="27" t="n"/>
    </row>
    <row r="40" ht="15.5" customHeight="1">
      <c r="A40" s="259" t="n"/>
      <c r="B40" s="56" t="n"/>
      <c r="C40" s="63" t="n"/>
      <c r="D40" s="251" t="n"/>
      <c r="E40" s="539" t="n"/>
      <c r="F40" s="562" t="n"/>
      <c r="G40" s="562" t="n"/>
      <c r="H40" s="562" t="n"/>
      <c r="I40" s="562" t="n"/>
      <c r="J40" s="539" t="n"/>
      <c r="K40" s="38" t="n"/>
      <c r="L40" s="539" t="n"/>
      <c r="M40" s="539" t="n"/>
      <c r="N40" s="539">
        <f>IF(J40=0,"",(M40-J40)/J40*100)</f>
      </c>
      <c r="O40" s="27" t="n"/>
    </row>
    <row r="41" ht="15.5" customHeight="1">
      <c r="A41" s="259" t="n"/>
      <c r="B41" s="56" t="n"/>
      <c r="C41" s="63" t="n"/>
      <c r="D41" s="251" t="n"/>
      <c r="E41" s="539" t="n"/>
      <c r="F41" s="562" t="n"/>
      <c r="G41" s="562" t="n"/>
      <c r="H41" s="562" t="n"/>
      <c r="I41" s="562" t="n"/>
      <c r="J41" s="539" t="n"/>
      <c r="K41" s="38" t="n"/>
      <c r="L41" s="539" t="n"/>
      <c r="M41" s="539" t="n"/>
      <c r="N41" s="539">
        <f>IF(J41=0,"",(M41-J41)/J41*100)</f>
      </c>
      <c r="O41" s="27" t="n"/>
    </row>
    <row r="42" ht="15.5" customHeight="1">
      <c r="A42" s="259" t="n"/>
      <c r="B42" s="56" t="n"/>
      <c r="C42" s="63" t="n"/>
      <c r="D42" s="251" t="n"/>
      <c r="E42" s="539" t="n"/>
      <c r="F42" s="562" t="n"/>
      <c r="G42" s="562" t="n"/>
      <c r="H42" s="562" t="n"/>
      <c r="I42" s="562" t="n"/>
      <c r="J42" s="539" t="n"/>
      <c r="K42" s="38" t="n"/>
      <c r="L42" s="539" t="n"/>
      <c r="M42" s="539" t="n"/>
      <c r="N42" s="539">
        <f>IF(J42=0,"",(M42-J42)/J42*100)</f>
      </c>
      <c r="O42" s="27" t="n"/>
    </row>
    <row r="43" ht="15.5" customHeight="1">
      <c r="A43" s="259" t="n"/>
      <c r="B43" s="56" t="n"/>
      <c r="C43" s="63" t="n"/>
      <c r="D43" s="251" t="n"/>
      <c r="E43" s="539" t="n"/>
      <c r="F43" s="562" t="n"/>
      <c r="G43" s="562" t="n"/>
      <c r="H43" s="562" t="n"/>
      <c r="I43" s="562" t="n"/>
      <c r="J43" s="539" t="n"/>
      <c r="K43" s="38" t="n"/>
      <c r="L43" s="539" t="n"/>
      <c r="M43" s="539" t="n"/>
      <c r="N43" s="539">
        <f>IF(J43=0,"",(M43-J43)/J43*100)</f>
      </c>
      <c r="O43" s="27" t="n"/>
    </row>
    <row r="44" ht="15.5" customHeight="1">
      <c r="A44" s="259" t="n"/>
      <c r="B44" s="56" t="n"/>
      <c r="C44" s="63" t="n"/>
      <c r="D44" s="251" t="n"/>
      <c r="E44" s="539" t="n"/>
      <c r="F44" s="562" t="n"/>
      <c r="G44" s="562" t="n"/>
      <c r="H44" s="562" t="n"/>
      <c r="I44" s="562" t="n"/>
      <c r="J44" s="539" t="n"/>
      <c r="K44" s="38" t="n"/>
      <c r="L44" s="539" t="n"/>
      <c r="M44" s="539" t="n"/>
      <c r="N44" s="539">
        <f>IF(J44=0,"",(M44-J44)/J44*100)</f>
      </c>
      <c r="O44" s="27" t="n"/>
    </row>
    <row r="45" ht="15.5" customHeight="1">
      <c r="A45" s="259" t="n"/>
      <c r="B45" s="56" t="n"/>
      <c r="C45" s="63" t="n"/>
      <c r="D45" s="251" t="n"/>
      <c r="E45" s="539" t="n"/>
      <c r="F45" s="562" t="n"/>
      <c r="G45" s="562" t="n"/>
      <c r="H45" s="562" t="n"/>
      <c r="I45" s="562" t="n"/>
      <c r="J45" s="539" t="n"/>
      <c r="K45" s="38" t="n"/>
      <c r="L45" s="539" t="n"/>
      <c r="M45" s="539" t="n"/>
      <c r="N45" s="539">
        <f>IF(J45=0,"",(M45-J45)/J45*100)</f>
      </c>
      <c r="O45" s="27" t="n"/>
    </row>
    <row r="46" ht="15.5" customHeight="1">
      <c r="A46" s="259" t="n"/>
      <c r="B46" s="56" t="n"/>
      <c r="C46" s="63" t="n"/>
      <c r="D46" s="251" t="n"/>
      <c r="E46" s="539" t="n"/>
      <c r="F46" s="562" t="n"/>
      <c r="G46" s="562" t="n"/>
      <c r="H46" s="562" t="n"/>
      <c r="I46" s="562" t="n"/>
      <c r="J46" s="539" t="n"/>
      <c r="K46" s="38" t="n"/>
      <c r="L46" s="539" t="n"/>
      <c r="M46" s="539" t="n"/>
      <c r="N46" s="539">
        <f>IF(J46=0,"",(M46-J46)/J46*100)</f>
      </c>
      <c r="O46" s="27" t="n"/>
    </row>
    <row r="47" ht="15.5" customHeight="1">
      <c r="A47" s="259" t="n"/>
      <c r="B47" s="56" t="n"/>
      <c r="C47" s="63" t="n"/>
      <c r="D47" s="251" t="n"/>
      <c r="E47" s="539" t="n"/>
      <c r="F47" s="562" t="n"/>
      <c r="G47" s="562" t="n"/>
      <c r="H47" s="562" t="n"/>
      <c r="I47" s="562" t="n"/>
      <c r="J47" s="539" t="n"/>
      <c r="K47" s="38" t="n"/>
      <c r="L47" s="539" t="n"/>
      <c r="M47" s="539" t="n"/>
      <c r="N47" s="539">
        <f>IF(J47=0,"",(M47-J47)/J47*100)</f>
      </c>
      <c r="O47" s="27" t="n"/>
    </row>
    <row r="48" ht="15.5" customHeight="1">
      <c r="A48" s="259" t="n"/>
      <c r="B48" s="56" t="n"/>
      <c r="C48" s="63" t="n"/>
      <c r="D48" s="251" t="n"/>
      <c r="E48" s="539" t="n"/>
      <c r="F48" s="562" t="n"/>
      <c r="G48" s="562" t="n"/>
      <c r="H48" s="562" t="n"/>
      <c r="I48" s="562" t="n"/>
      <c r="J48" s="539" t="n"/>
      <c r="K48" s="38" t="n"/>
      <c r="L48" s="539" t="n"/>
      <c r="M48" s="539" t="n"/>
      <c r="N48" s="539">
        <f>IF(J48=0,"",(M48-J48)/J48*100)</f>
      </c>
      <c r="O48" s="27" t="n"/>
    </row>
    <row r="49" ht="15.5" customHeight="1">
      <c r="A49" s="259" t="n"/>
      <c r="B49" s="56" t="n"/>
      <c r="C49" s="63" t="n"/>
      <c r="D49" s="251" t="n"/>
      <c r="E49" s="539" t="n"/>
      <c r="F49" s="562" t="n"/>
      <c r="G49" s="562" t="n"/>
      <c r="H49" s="562" t="n"/>
      <c r="I49" s="562" t="n"/>
      <c r="J49" s="539" t="n"/>
      <c r="K49" s="38" t="n"/>
      <c r="L49" s="539" t="n"/>
      <c r="M49" s="539" t="n"/>
      <c r="N49" s="539">
        <f>IF(J49=0,"",(M49-J49)/J49*100)</f>
      </c>
      <c r="O49" s="27" t="n"/>
    </row>
    <row r="50" ht="15.5" customHeight="1">
      <c r="A50" s="259" t="n"/>
      <c r="B50" s="56" t="n"/>
      <c r="C50" s="63" t="n"/>
      <c r="D50" s="251" t="n"/>
      <c r="E50" s="539" t="n"/>
      <c r="F50" s="562" t="n"/>
      <c r="G50" s="562" t="n"/>
      <c r="H50" s="562" t="n"/>
      <c r="I50" s="562" t="n"/>
      <c r="J50" s="539" t="n"/>
      <c r="K50" s="38" t="n"/>
      <c r="L50" s="539" t="n"/>
      <c r="M50" s="539" t="n"/>
      <c r="N50" s="539">
        <f>IF(J50=0,"",(M50-J50)/J50*100)</f>
      </c>
      <c r="O50" s="27" t="n"/>
    </row>
    <row r="51" ht="15.5" customHeight="1">
      <c r="A51" s="259" t="n"/>
      <c r="B51" s="56" t="n"/>
      <c r="C51" s="63" t="n"/>
      <c r="D51" s="251" t="n"/>
      <c r="E51" s="539" t="n"/>
      <c r="F51" s="562" t="n"/>
      <c r="G51" s="562" t="n"/>
      <c r="H51" s="562" t="n"/>
      <c r="I51" s="562" t="n"/>
      <c r="J51" s="539" t="n"/>
      <c r="K51" s="38" t="n"/>
      <c r="L51" s="539" t="n"/>
      <c r="M51" s="539" t="n"/>
      <c r="N51" s="539">
        <f>IF(J51=0,"",(M51-J51)/J51*100)</f>
      </c>
      <c r="O51" s="27" t="n"/>
    </row>
    <row r="52" ht="15.5" customHeight="1">
      <c r="A52" s="259" t="n"/>
      <c r="B52" s="56" t="n"/>
      <c r="C52" s="63" t="n"/>
      <c r="D52" s="251" t="n"/>
      <c r="E52" s="539" t="n"/>
      <c r="F52" s="562" t="n"/>
      <c r="G52" s="562" t="n"/>
      <c r="H52" s="562" t="n"/>
      <c r="I52" s="562" t="n"/>
      <c r="J52" s="539" t="n"/>
      <c r="K52" s="38" t="n"/>
      <c r="L52" s="539" t="n"/>
      <c r="M52" s="539" t="n"/>
      <c r="N52" s="539">
        <f>IF(J52=0,"",(M52-J52)/J52*100)</f>
      </c>
      <c r="O52" s="27" t="n"/>
    </row>
    <row r="53" ht="15.5" customHeight="1">
      <c r="A53" s="259" t="n"/>
      <c r="B53" s="56" t="n"/>
      <c r="C53" s="63" t="n"/>
      <c r="D53" s="251" t="n"/>
      <c r="E53" s="539" t="n"/>
      <c r="F53" s="562" t="n"/>
      <c r="G53" s="562" t="n"/>
      <c r="H53" s="562" t="n"/>
      <c r="I53" s="562" t="n"/>
      <c r="J53" s="539" t="n"/>
      <c r="K53" s="38" t="n"/>
      <c r="L53" s="539" t="n"/>
      <c r="M53" s="539" t="n"/>
      <c r="N53" s="539">
        <f>IF(J53=0,"",(M53-J53)/J53*100)</f>
      </c>
      <c r="O53" s="27" t="n"/>
    </row>
    <row r="54" ht="15.5" customHeight="1">
      <c r="A54" s="259" t="n"/>
      <c r="B54" s="56" t="n"/>
      <c r="C54" s="63" t="n"/>
      <c r="D54" s="251" t="n"/>
      <c r="E54" s="539" t="n"/>
      <c r="F54" s="562" t="n"/>
      <c r="G54" s="562" t="n"/>
      <c r="H54" s="562" t="n"/>
      <c r="I54" s="562" t="n"/>
      <c r="J54" s="539" t="n"/>
      <c r="K54" s="38" t="n"/>
      <c r="L54" s="539" t="n"/>
      <c r="M54" s="539" t="n"/>
      <c r="N54" s="539">
        <f>IF(J54=0,"",(M54-J54)/J54*100)</f>
      </c>
      <c r="O54" s="27" t="n"/>
    </row>
    <row r="55" ht="15.5" customHeight="1">
      <c r="A55" s="259" t="n"/>
      <c r="B55" s="56" t="n"/>
      <c r="C55" s="63" t="n"/>
      <c r="D55" s="251" t="n"/>
      <c r="E55" s="539" t="n"/>
      <c r="F55" s="562" t="n"/>
      <c r="G55" s="562" t="n"/>
      <c r="H55" s="562" t="n"/>
      <c r="I55" s="562" t="n"/>
      <c r="J55" s="539" t="n"/>
      <c r="K55" s="38" t="n"/>
      <c r="L55" s="539" t="n"/>
      <c r="M55" s="539" t="n"/>
      <c r="N55" s="539">
        <f>IF(J55=0,"",(M55-J55)/J55*100)</f>
      </c>
      <c r="O55" s="27" t="n"/>
    </row>
    <row r="56" ht="15.5" customHeight="1">
      <c r="A56" s="259" t="n"/>
      <c r="B56" s="56" t="n"/>
      <c r="C56" s="63" t="n"/>
      <c r="D56" s="251" t="n"/>
      <c r="E56" s="539" t="n"/>
      <c r="F56" s="562" t="n"/>
      <c r="G56" s="562" t="n"/>
      <c r="H56" s="562" t="n"/>
      <c r="I56" s="562" t="n"/>
      <c r="J56" s="539" t="n"/>
      <c r="K56" s="38" t="n"/>
      <c r="L56" s="539" t="n"/>
      <c r="M56" s="539" t="n"/>
      <c r="N56" s="539">
        <f>IF(J56=0,"",(M56-J56)/J56*100)</f>
      </c>
      <c r="O56" s="27" t="n"/>
    </row>
    <row r="57" ht="15.5" customHeight="1">
      <c r="A57" s="259" t="n"/>
      <c r="B57" s="56" t="n"/>
      <c r="C57" s="63" t="n"/>
      <c r="D57" s="251" t="n"/>
      <c r="E57" s="539" t="n"/>
      <c r="F57" s="562" t="n"/>
      <c r="G57" s="562" t="n"/>
      <c r="H57" s="562" t="n"/>
      <c r="I57" s="562" t="n"/>
      <c r="J57" s="539" t="n"/>
      <c r="K57" s="38" t="n"/>
      <c r="L57" s="539" t="n"/>
      <c r="M57" s="539" t="n"/>
      <c r="N57" s="539">
        <f>IF(J57=0,"",(M57-J57)/J57*100)</f>
      </c>
      <c r="O57" s="27" t="n"/>
    </row>
    <row r="58" ht="15.5" customHeight="1">
      <c r="A58" s="259" t="n"/>
      <c r="B58" s="56" t="n"/>
      <c r="C58" s="63" t="n"/>
      <c r="D58" s="251" t="n"/>
      <c r="E58" s="539" t="n"/>
      <c r="F58" s="562" t="n"/>
      <c r="G58" s="562" t="n"/>
      <c r="H58" s="562" t="n"/>
      <c r="I58" s="562" t="n"/>
      <c r="J58" s="539" t="n"/>
      <c r="K58" s="38" t="n"/>
      <c r="L58" s="539" t="n"/>
      <c r="M58" s="539" t="n"/>
      <c r="N58" s="539">
        <f>IF(J58=0,"",(M58-J58)/J58*100)</f>
      </c>
      <c r="O58" s="27" t="n"/>
    </row>
    <row r="59" ht="15.5" customHeight="1">
      <c r="A59" s="259" t="n"/>
      <c r="B59" s="56" t="n"/>
      <c r="C59" s="63" t="n"/>
      <c r="D59" s="251" t="n"/>
      <c r="E59" s="539" t="n"/>
      <c r="F59" s="562" t="n"/>
      <c r="G59" s="562" t="n"/>
      <c r="H59" s="562" t="n"/>
      <c r="I59" s="562" t="n"/>
      <c r="J59" s="539" t="n"/>
      <c r="K59" s="38" t="n"/>
      <c r="L59" s="539" t="n"/>
      <c r="M59" s="539" t="n"/>
      <c r="N59" s="539">
        <f>IF(J59=0,"",(M59-J59)/J59*100)</f>
      </c>
      <c r="O59" s="27" t="n"/>
    </row>
    <row r="60" ht="15.5" customHeight="1">
      <c r="A60" s="259" t="n"/>
      <c r="B60" s="56" t="n"/>
      <c r="C60" s="63" t="n"/>
      <c r="D60" s="251" t="n"/>
      <c r="E60" s="539" t="n"/>
      <c r="F60" s="562" t="n"/>
      <c r="G60" s="562" t="n"/>
      <c r="H60" s="562" t="n"/>
      <c r="I60" s="562" t="n"/>
      <c r="J60" s="539" t="n"/>
      <c r="K60" s="38" t="n"/>
      <c r="L60" s="539" t="n"/>
      <c r="M60" s="539" t="n"/>
      <c r="N60" s="539">
        <f>IF(J60=0,"",(M60-J60)/J60*100)</f>
      </c>
      <c r="O60" s="27" t="n"/>
    </row>
    <row r="61" ht="15.5" customHeight="1">
      <c r="A61" s="259" t="n"/>
      <c r="B61" s="56" t="n"/>
      <c r="C61" s="63" t="n"/>
      <c r="D61" s="251" t="n"/>
      <c r="E61" s="539" t="n"/>
      <c r="F61" s="562" t="n"/>
      <c r="G61" s="562" t="n"/>
      <c r="H61" s="562" t="n"/>
      <c r="I61" s="562" t="n"/>
      <c r="J61" s="539" t="n"/>
      <c r="K61" s="38" t="n"/>
      <c r="L61" s="539" t="n"/>
      <c r="M61" s="539" t="n"/>
      <c r="N61" s="539">
        <f>IF(J61=0,"",(M61-J61)/J61*100)</f>
      </c>
      <c r="O61" s="27" t="n"/>
    </row>
    <row r="62" ht="15.5" customHeight="1">
      <c r="A62" s="259" t="n"/>
      <c r="B62" s="56" t="n"/>
      <c r="C62" s="63" t="n"/>
      <c r="D62" s="251" t="n"/>
      <c r="E62" s="539" t="n"/>
      <c r="F62" s="562" t="n"/>
      <c r="G62" s="562" t="n"/>
      <c r="H62" s="562" t="n"/>
      <c r="I62" s="562" t="n"/>
      <c r="J62" s="539" t="n"/>
      <c r="K62" s="38" t="n"/>
      <c r="L62" s="539" t="n"/>
      <c r="M62" s="539" t="n"/>
      <c r="N62" s="539">
        <f>IF(J62=0,"",(M62-J62)/J62*100)</f>
      </c>
      <c r="O62" s="27" t="n"/>
    </row>
    <row r="63" ht="15.5" customHeight="1">
      <c r="A63" s="259" t="n"/>
      <c r="B63" s="56" t="n"/>
      <c r="C63" s="63" t="n"/>
      <c r="D63" s="251" t="n"/>
      <c r="E63" s="539" t="n"/>
      <c r="F63" s="562" t="n"/>
      <c r="G63" s="562" t="n"/>
      <c r="H63" s="562" t="n"/>
      <c r="I63" s="562" t="n"/>
      <c r="J63" s="539" t="n"/>
      <c r="K63" s="38" t="n"/>
      <c r="L63" s="539" t="n"/>
      <c r="M63" s="539" t="n"/>
      <c r="N63" s="539">
        <f>IF(J63=0,"",(M63-J63)/J63*100)</f>
      </c>
      <c r="O63" s="27" t="n"/>
    </row>
    <row r="64" ht="15.5" customHeight="1">
      <c r="A64" s="259" t="n"/>
      <c r="B64" s="56" t="n"/>
      <c r="C64" s="63" t="n"/>
      <c r="D64" s="251" t="n"/>
      <c r="E64" s="539" t="n"/>
      <c r="F64" s="562" t="n"/>
      <c r="G64" s="562" t="n"/>
      <c r="H64" s="562" t="n"/>
      <c r="I64" s="562" t="n"/>
      <c r="J64" s="539" t="n"/>
      <c r="K64" s="38" t="n"/>
      <c r="L64" s="539" t="n"/>
      <c r="M64" s="539" t="n"/>
      <c r="N64" s="539">
        <f>IF(J64=0,"",(M64-J64)/J64*100)</f>
      </c>
      <c r="O64" s="27" t="n"/>
    </row>
    <row r="65" ht="15.5" customHeight="1">
      <c r="A65" s="259" t="n"/>
      <c r="B65" s="56" t="n"/>
      <c r="C65" s="63" t="n"/>
      <c r="D65" s="251" t="n"/>
      <c r="E65" s="539" t="n"/>
      <c r="F65" s="562" t="n"/>
      <c r="G65" s="562" t="n"/>
      <c r="H65" s="562" t="n"/>
      <c r="I65" s="562" t="n"/>
      <c r="J65" s="539" t="n"/>
      <c r="K65" s="38" t="n"/>
      <c r="L65" s="539" t="n"/>
      <c r="M65" s="539" t="n"/>
      <c r="N65" s="539">
        <f>IF(J65=0,"",(M65-J65)/J65*100)</f>
      </c>
      <c r="O65" s="27" t="n"/>
    </row>
    <row r="66" ht="15.5" customHeight="1">
      <c r="A66" s="259" t="n"/>
      <c r="B66" s="56" t="n"/>
      <c r="C66" s="63" t="n"/>
      <c r="D66" s="251" t="n"/>
      <c r="E66" s="539" t="n"/>
      <c r="F66" s="562" t="n"/>
      <c r="G66" s="562" t="n"/>
      <c r="H66" s="562" t="n"/>
      <c r="I66" s="562" t="n"/>
      <c r="J66" s="539" t="n"/>
      <c r="K66" s="38" t="n"/>
      <c r="L66" s="539" t="n"/>
      <c r="M66" s="539" t="n"/>
      <c r="N66" s="539">
        <f>IF(J66=0,"",(M66-J66)/J66*100)</f>
      </c>
      <c r="O66" s="27" t="n"/>
    </row>
    <row r="67" ht="15.5" customHeight="1">
      <c r="A67" s="259" t="n"/>
      <c r="B67" s="56" t="n"/>
      <c r="C67" s="63" t="n"/>
      <c r="D67" s="251" t="n"/>
      <c r="E67" s="539" t="n"/>
      <c r="F67" s="562" t="n"/>
      <c r="G67" s="562" t="n"/>
      <c r="H67" s="562" t="n"/>
      <c r="I67" s="562" t="n"/>
      <c r="J67" s="539" t="n"/>
      <c r="K67" s="38" t="n"/>
      <c r="L67" s="539" t="n"/>
      <c r="M67" s="539" t="n"/>
      <c r="N67" s="539">
        <f>IF(J67=0,"",(M67-J67)/J67*100)</f>
      </c>
      <c r="O67" s="27" t="n"/>
    </row>
    <row r="68" ht="15.5" customHeight="1">
      <c r="A68" s="259" t="n"/>
      <c r="B68" s="56" t="n"/>
      <c r="C68" s="63" t="n"/>
      <c r="D68" s="251" t="n"/>
      <c r="E68" s="539" t="n"/>
      <c r="F68" s="562" t="n"/>
      <c r="G68" s="562" t="n"/>
      <c r="H68" s="562" t="n"/>
      <c r="I68" s="562" t="n"/>
      <c r="J68" s="539" t="n"/>
      <c r="K68" s="38" t="n"/>
      <c r="L68" s="539" t="n"/>
      <c r="M68" s="539" t="n"/>
      <c r="N68" s="539">
        <f>IF(J68=0,"",(M68-J68)/J68*100)</f>
      </c>
      <c r="O68" s="27" t="n"/>
    </row>
    <row r="69" ht="15.5" customHeight="1">
      <c r="A69" s="259" t="n"/>
      <c r="B69" s="56" t="n"/>
      <c r="C69" s="63" t="n"/>
      <c r="D69" s="251" t="n"/>
      <c r="E69" s="539" t="n"/>
      <c r="F69" s="562" t="n"/>
      <c r="G69" s="562" t="n"/>
      <c r="H69" s="562" t="n"/>
      <c r="I69" s="562" t="n"/>
      <c r="J69" s="539" t="n"/>
      <c r="K69" s="38" t="n"/>
      <c r="L69" s="539" t="n"/>
      <c r="M69" s="539" t="n"/>
      <c r="N69" s="539">
        <f>IF(J69=0,"",(M69-J69)/J69*100)</f>
      </c>
      <c r="O69" s="27" t="n"/>
    </row>
    <row r="70" ht="15.5" customHeight="1">
      <c r="A70" s="259" t="n"/>
      <c r="B70" s="56" t="n"/>
      <c r="C70" s="63" t="n"/>
      <c r="D70" s="251" t="n"/>
      <c r="E70" s="539" t="n"/>
      <c r="F70" s="562" t="n"/>
      <c r="G70" s="562" t="n"/>
      <c r="H70" s="562" t="n"/>
      <c r="I70" s="562" t="n"/>
      <c r="J70" s="539" t="n"/>
      <c r="K70" s="38" t="n"/>
      <c r="L70" s="539" t="n"/>
      <c r="M70" s="539" t="n"/>
      <c r="N70" s="539">
        <f>IF(J70=0,"",(M70-J70)/J70*100)</f>
      </c>
      <c r="O70" s="27" t="n"/>
    </row>
    <row r="71" ht="15.5" customHeight="1">
      <c r="A71" s="259" t="n"/>
      <c r="B71" s="56" t="n"/>
      <c r="C71" s="63" t="n"/>
      <c r="D71" s="251" t="n"/>
      <c r="E71" s="539" t="n"/>
      <c r="F71" s="562" t="n"/>
      <c r="G71" s="562" t="n"/>
      <c r="H71" s="562" t="n"/>
      <c r="I71" s="562" t="n"/>
      <c r="J71" s="539" t="n"/>
      <c r="K71" s="38" t="n"/>
      <c r="L71" s="539" t="n"/>
      <c r="M71" s="539" t="n"/>
      <c r="N71" s="539">
        <f>IF(J71=0,"",(M71-J71)/J71*100)</f>
      </c>
      <c r="O71" s="27" t="n"/>
    </row>
    <row r="72" ht="15.5" customHeight="1">
      <c r="A72" s="259" t="n"/>
      <c r="B72" s="56" t="n"/>
      <c r="C72" s="63" t="n"/>
      <c r="D72" s="251" t="n"/>
      <c r="E72" s="539" t="n"/>
      <c r="F72" s="562" t="n"/>
      <c r="G72" s="562" t="n"/>
      <c r="H72" s="562" t="n"/>
      <c r="I72" s="562" t="n"/>
      <c r="J72" s="539" t="n"/>
      <c r="K72" s="38" t="n"/>
      <c r="L72" s="539" t="n"/>
      <c r="M72" s="539" t="n"/>
      <c r="N72" s="539">
        <f>IF(J72=0,"",(M72-J72)/J72*100)</f>
      </c>
      <c r="O72" s="27" t="n"/>
    </row>
    <row r="73" ht="15.5" customHeight="1">
      <c r="A73" s="259" t="n"/>
      <c r="B73" s="56" t="n"/>
      <c r="C73" s="63" t="n"/>
      <c r="D73" s="251" t="n"/>
      <c r="E73" s="539" t="n"/>
      <c r="F73" s="562" t="n"/>
      <c r="G73" s="562" t="n"/>
      <c r="H73" s="562" t="n"/>
      <c r="I73" s="562" t="n"/>
      <c r="J73" s="539" t="n"/>
      <c r="K73" s="38" t="n"/>
      <c r="L73" s="539" t="n"/>
      <c r="M73" s="539" t="n"/>
      <c r="N73" s="539">
        <f>IF(J73=0,"",(M73-J73)/J73*100)</f>
      </c>
      <c r="O73" s="27" t="n"/>
    </row>
    <row r="74" ht="15.5" customHeight="1">
      <c r="A74" s="259" t="n"/>
      <c r="B74" s="56" t="n"/>
      <c r="C74" s="63" t="n"/>
      <c r="D74" s="251" t="n"/>
      <c r="E74" s="539" t="n"/>
      <c r="F74" s="562" t="n"/>
      <c r="G74" s="562" t="n"/>
      <c r="H74" s="562" t="n"/>
      <c r="I74" s="562" t="n"/>
      <c r="J74" s="539" t="n"/>
      <c r="K74" s="38" t="n"/>
      <c r="L74" s="539" t="n"/>
      <c r="M74" s="539" t="n"/>
      <c r="N74" s="539">
        <f>IF(J74=0,"",(M74-J74)/J74*100)</f>
      </c>
      <c r="O74" s="27" t="n"/>
    </row>
    <row r="75" ht="15.5" customHeight="1">
      <c r="A75" s="259" t="n"/>
      <c r="B75" s="56" t="n"/>
      <c r="C75" s="63" t="n"/>
      <c r="D75" s="251" t="n"/>
      <c r="E75" s="539" t="n"/>
      <c r="F75" s="562" t="n"/>
      <c r="G75" s="562" t="n"/>
      <c r="H75" s="562" t="n"/>
      <c r="I75" s="562" t="n"/>
      <c r="J75" s="539" t="n"/>
      <c r="K75" s="38" t="n"/>
      <c r="L75" s="539" t="n"/>
      <c r="M75" s="539" t="n"/>
      <c r="N75" s="539">
        <f>IF(J75=0,"",(M75-J75)/J75*100)</f>
      </c>
      <c r="O75" s="27" t="n"/>
    </row>
    <row r="76" ht="15.5" customHeight="1">
      <c r="A76" s="259" t="n"/>
      <c r="B76" s="56" t="n"/>
      <c r="C76" s="63" t="n"/>
      <c r="D76" s="251" t="n"/>
      <c r="E76" s="539" t="n"/>
      <c r="F76" s="562" t="n"/>
      <c r="G76" s="562" t="n"/>
      <c r="H76" s="562" t="n"/>
      <c r="I76" s="562" t="n"/>
      <c r="J76" s="539" t="n"/>
      <c r="K76" s="38" t="n"/>
      <c r="L76" s="539" t="n"/>
      <c r="M76" s="539" t="n"/>
      <c r="N76" s="539">
        <f>IF(J76=0,"",(M76-J76)/J76*100)</f>
      </c>
      <c r="O76" s="27" t="n"/>
    </row>
    <row r="77" ht="15.5" customHeight="1">
      <c r="A77" s="259" t="n"/>
      <c r="B77" s="56" t="n"/>
      <c r="C77" s="63" t="n"/>
      <c r="D77" s="251" t="n"/>
      <c r="E77" s="539" t="n"/>
      <c r="F77" s="562" t="n"/>
      <c r="G77" s="562" t="n"/>
      <c r="H77" s="562" t="n"/>
      <c r="I77" s="562" t="n"/>
      <c r="J77" s="539" t="n"/>
      <c r="K77" s="38" t="n"/>
      <c r="L77" s="539" t="n"/>
      <c r="M77" s="539" t="n"/>
      <c r="N77" s="539">
        <f>IF(J77=0,"",(M77-J77)/J77*100)</f>
      </c>
      <c r="O77" s="27" t="n"/>
    </row>
    <row r="78" ht="15.5" customHeight="1">
      <c r="A78" s="259" t="n"/>
      <c r="B78" s="56" t="n"/>
      <c r="C78" s="63" t="n"/>
      <c r="D78" s="251" t="n"/>
      <c r="E78" s="539" t="n"/>
      <c r="F78" s="562" t="n"/>
      <c r="G78" s="562" t="n"/>
      <c r="H78" s="562" t="n"/>
      <c r="I78" s="562" t="n"/>
      <c r="J78" s="539" t="n"/>
      <c r="K78" s="38" t="n"/>
      <c r="L78" s="539" t="n"/>
      <c r="M78" s="539" t="n"/>
      <c r="N78" s="539">
        <f>IF(J78=0,"",(M78-J78)/J78*100)</f>
      </c>
      <c r="O78" s="27" t="n"/>
    </row>
    <row r="79" ht="15.5" customHeight="1">
      <c r="A79" s="259" t="n"/>
      <c r="B79" s="56" t="n"/>
      <c r="C79" s="63" t="n"/>
      <c r="D79" s="251" t="n"/>
      <c r="E79" s="539" t="n"/>
      <c r="F79" s="562" t="n"/>
      <c r="G79" s="562" t="n"/>
      <c r="H79" s="562" t="n"/>
      <c r="I79" s="562" t="n"/>
      <c r="J79" s="539" t="n"/>
      <c r="K79" s="38" t="n"/>
      <c r="L79" s="539" t="n"/>
      <c r="M79" s="539" t="n"/>
      <c r="N79" s="539">
        <f>IF(J79=0,"",(M79-J79)/J79*100)</f>
      </c>
      <c r="O79" s="27" t="n"/>
    </row>
    <row r="80" ht="15.5" customHeight="1">
      <c r="A80" s="259" t="n"/>
      <c r="B80" s="56" t="n"/>
      <c r="C80" s="63" t="n"/>
      <c r="D80" s="251" t="n"/>
      <c r="E80" s="539" t="n"/>
      <c r="F80" s="562" t="n"/>
      <c r="G80" s="562" t="n"/>
      <c r="H80" s="562" t="n"/>
      <c r="I80" s="562" t="n"/>
      <c r="J80" s="539" t="n"/>
      <c r="K80" s="38" t="n"/>
      <c r="L80" s="539" t="n"/>
      <c r="M80" s="539" t="n"/>
      <c r="N80" s="539">
        <f>IF(J80=0,"",(M80-J80)/J80*100)</f>
      </c>
      <c r="O80" s="27" t="n"/>
    </row>
    <row r="81" ht="15.5" customHeight="1">
      <c r="A81" s="259" t="n"/>
      <c r="B81" s="56" t="n"/>
      <c r="C81" s="63" t="n"/>
      <c r="D81" s="251" t="n"/>
      <c r="E81" s="539" t="n"/>
      <c r="F81" s="562" t="n"/>
      <c r="G81" s="562" t="n"/>
      <c r="H81" s="562" t="n"/>
      <c r="I81" s="562" t="n"/>
      <c r="J81" s="539" t="n"/>
      <c r="K81" s="38" t="n"/>
      <c r="L81" s="539" t="n"/>
      <c r="M81" s="539" t="n"/>
      <c r="N81" s="539">
        <f>IF(J81=0,"",(M81-J81)/J81*100)</f>
      </c>
      <c r="O81" s="27" t="n"/>
    </row>
    <row r="82" ht="15.5" customHeight="1">
      <c r="A82" s="259" t="n"/>
      <c r="B82" s="56" t="n"/>
      <c r="C82" s="63" t="n"/>
      <c r="D82" s="251" t="n"/>
      <c r="E82" s="539" t="n"/>
      <c r="F82" s="562" t="n"/>
      <c r="G82" s="562" t="n"/>
      <c r="H82" s="562" t="n"/>
      <c r="I82" s="562" t="n"/>
      <c r="J82" s="539" t="n"/>
      <c r="K82" s="38" t="n"/>
      <c r="L82" s="539" t="n"/>
      <c r="M82" s="539" t="n"/>
      <c r="N82" s="539">
        <f>IF(J82=0,"",(M82-J82)/J82*100)</f>
      </c>
      <c r="O82" s="27" t="n"/>
    </row>
    <row r="83" ht="15.5" customHeight="1">
      <c r="A83" s="259" t="n"/>
      <c r="B83" s="56" t="n"/>
      <c r="C83" s="63" t="n"/>
      <c r="D83" s="251" t="n"/>
      <c r="E83" s="539" t="n"/>
      <c r="F83" s="562" t="n"/>
      <c r="G83" s="562" t="n"/>
      <c r="H83" s="562" t="n"/>
      <c r="I83" s="562" t="n"/>
      <c r="J83" s="539" t="n"/>
      <c r="K83" s="38" t="n"/>
      <c r="L83" s="539" t="n"/>
      <c r="M83" s="539" t="n"/>
      <c r="N83" s="539">
        <f>IF(J83=0,"",(M83-J83)/J83*100)</f>
      </c>
      <c r="O83" s="27" t="n"/>
    </row>
    <row r="84" ht="15.5" customHeight="1">
      <c r="A84" s="259" t="n"/>
      <c r="B84" s="56" t="n"/>
      <c r="C84" s="63" t="n"/>
      <c r="D84" s="251" t="n"/>
      <c r="E84" s="539" t="n"/>
      <c r="F84" s="562" t="n"/>
      <c r="G84" s="562" t="n"/>
      <c r="H84" s="562" t="n"/>
      <c r="I84" s="562" t="n"/>
      <c r="J84" s="539" t="n"/>
      <c r="K84" s="38" t="n"/>
      <c r="L84" s="539" t="n"/>
      <c r="M84" s="539" t="n"/>
      <c r="N84" s="539">
        <f>IF(J84=0,"",(M84-J84)/J84*100)</f>
      </c>
      <c r="O84" s="27" t="n"/>
    </row>
    <row r="85" ht="15.5" customHeight="1">
      <c r="A85" s="259" t="n"/>
      <c r="B85" s="56" t="n"/>
      <c r="C85" s="63" t="n"/>
      <c r="D85" s="251" t="n"/>
      <c r="E85" s="539" t="n"/>
      <c r="F85" s="562" t="n"/>
      <c r="G85" s="562" t="n"/>
      <c r="H85" s="562" t="n"/>
      <c r="I85" s="562" t="n"/>
      <c r="J85" s="539" t="n"/>
      <c r="K85" s="38" t="n"/>
      <c r="L85" s="539" t="n"/>
      <c r="M85" s="539" t="n"/>
      <c r="N85" s="539">
        <f>IF(J85=0,"",(M85-J85)/J85*100)</f>
      </c>
      <c r="O85" s="27" t="n"/>
    </row>
    <row r="86" ht="15.5" customHeight="1">
      <c r="A86" s="259" t="n"/>
      <c r="B86" s="56" t="n"/>
      <c r="C86" s="63" t="n"/>
      <c r="D86" s="251" t="n"/>
      <c r="E86" s="539" t="n"/>
      <c r="F86" s="562" t="n"/>
      <c r="G86" s="562" t="n"/>
      <c r="H86" s="562" t="n"/>
      <c r="I86" s="562" t="n"/>
      <c r="J86" s="539" t="n"/>
      <c r="K86" s="38" t="n"/>
      <c r="L86" s="539" t="n"/>
      <c r="M86" s="539" t="n"/>
      <c r="N86" s="539">
        <f>IF(J86=0,"",(M86-J86)/J86*100)</f>
      </c>
      <c r="O86" s="27" t="n"/>
    </row>
    <row r="87" ht="15.5" customHeight="1">
      <c r="A87" s="259" t="n"/>
      <c r="B87" s="56" t="n"/>
      <c r="C87" s="63" t="n"/>
      <c r="D87" s="251" t="n"/>
      <c r="E87" s="539" t="n"/>
      <c r="F87" s="562" t="n"/>
      <c r="G87" s="562" t="n"/>
      <c r="H87" s="562" t="n"/>
      <c r="I87" s="562" t="n"/>
      <c r="J87" s="539" t="n"/>
      <c r="K87" s="38" t="n"/>
      <c r="L87" s="539" t="n"/>
      <c r="M87" s="539" t="n"/>
      <c r="N87" s="539">
        <f>IF(J87=0,"",(M87-J87)/J87*100)</f>
      </c>
      <c r="O87" s="27" t="n"/>
    </row>
    <row r="88" ht="15.5" customHeight="1">
      <c r="A88" s="259" t="n"/>
      <c r="B88" s="56" t="n"/>
      <c r="C88" s="63" t="n"/>
      <c r="D88" s="251" t="n"/>
      <c r="E88" s="539" t="n"/>
      <c r="F88" s="562" t="n"/>
      <c r="G88" s="562" t="n"/>
      <c r="H88" s="562" t="n"/>
      <c r="I88" s="562" t="n"/>
      <c r="J88" s="539" t="n"/>
      <c r="K88" s="38" t="n"/>
      <c r="L88" s="539" t="n"/>
      <c r="M88" s="539" t="n"/>
      <c r="N88" s="539">
        <f>IF(J88=0,"",(M88-J88)/J88*100)</f>
      </c>
      <c r="O88" s="27" t="n"/>
    </row>
    <row r="89" ht="15.5" customHeight="1">
      <c r="A89" s="259" t="n"/>
      <c r="B89" s="56" t="n"/>
      <c r="C89" s="63" t="n"/>
      <c r="D89" s="251" t="n"/>
      <c r="E89" s="539" t="n"/>
      <c r="F89" s="562" t="n"/>
      <c r="G89" s="562" t="n"/>
      <c r="H89" s="562" t="n"/>
      <c r="I89" s="562" t="n"/>
      <c r="J89" s="539" t="n"/>
      <c r="K89" s="38" t="n"/>
      <c r="L89" s="539" t="n"/>
      <c r="M89" s="539" t="n"/>
      <c r="N89" s="539">
        <f>IF(J89=0,"",(M89-J89)/J89*100)</f>
      </c>
      <c r="O89" s="27" t="n"/>
    </row>
    <row r="90" ht="15.5" customHeight="1">
      <c r="A90" s="259" t="n"/>
      <c r="B90" s="56" t="n"/>
      <c r="C90" s="63" t="n"/>
      <c r="D90" s="251" t="n"/>
      <c r="E90" s="539" t="n"/>
      <c r="F90" s="562" t="n"/>
      <c r="G90" s="562" t="n"/>
      <c r="H90" s="562" t="n"/>
      <c r="I90" s="562" t="n"/>
      <c r="J90" s="539" t="n"/>
      <c r="K90" s="38" t="n"/>
      <c r="L90" s="539" t="n"/>
      <c r="M90" s="539" t="n"/>
      <c r="N90" s="539">
        <f>IF(J90=0,"",(M90-J90)/J90*100)</f>
      </c>
      <c r="O90" s="27" t="n"/>
    </row>
    <row r="91" ht="15.5" customHeight="1">
      <c r="A91" s="259" t="n"/>
      <c r="B91" s="56" t="n"/>
      <c r="C91" s="63" t="n"/>
      <c r="D91" s="251" t="n"/>
      <c r="E91" s="539" t="n"/>
      <c r="F91" s="562" t="n"/>
      <c r="G91" s="562" t="n"/>
      <c r="H91" s="562" t="n"/>
      <c r="I91" s="562" t="n"/>
      <c r="J91" s="539" t="n"/>
      <c r="K91" s="38" t="n"/>
      <c r="L91" s="539" t="n"/>
      <c r="M91" s="539" t="n"/>
      <c r="N91" s="539">
        <f>IF(J91=0,"",(M91-J91)/J91*100)</f>
      </c>
      <c r="O91" s="27" t="n"/>
    </row>
    <row r="92" ht="15.5" customHeight="1">
      <c r="A92" s="259" t="n"/>
      <c r="B92" s="56" t="n"/>
      <c r="C92" s="63" t="n"/>
      <c r="D92" s="251" t="n"/>
      <c r="E92" s="539" t="n"/>
      <c r="F92" s="562" t="n"/>
      <c r="G92" s="562" t="n"/>
      <c r="H92" s="562" t="n"/>
      <c r="I92" s="562" t="n"/>
      <c r="J92" s="539" t="n"/>
      <c r="K92" s="38" t="n"/>
      <c r="L92" s="539" t="n"/>
      <c r="M92" s="539" t="n"/>
      <c r="N92" s="539">
        <f>IF(J92=0,"",(M92-J92)/J92*100)</f>
      </c>
      <c r="O92" s="27" t="n"/>
    </row>
    <row r="93" ht="15.5" customHeight="1">
      <c r="A93" s="259" t="n"/>
      <c r="B93" s="56" t="n"/>
      <c r="C93" s="63" t="n"/>
      <c r="D93" s="251" t="n"/>
      <c r="E93" s="539" t="n"/>
      <c r="F93" s="562" t="n"/>
      <c r="G93" s="562" t="n"/>
      <c r="H93" s="562" t="n"/>
      <c r="I93" s="562" t="n"/>
      <c r="J93" s="539" t="n"/>
      <c r="K93" s="38" t="n"/>
      <c r="L93" s="539" t="n"/>
      <c r="M93" s="539" t="n"/>
      <c r="N93" s="539">
        <f>IF(J93=0,"",(M93-J93)/J93*100)</f>
      </c>
      <c r="O93" s="27" t="n"/>
    </row>
    <row r="94" ht="15.5" customHeight="1">
      <c r="A94" s="259" t="n"/>
      <c r="B94" s="56" t="n"/>
      <c r="C94" s="63" t="n"/>
      <c r="D94" s="251" t="n"/>
      <c r="E94" s="539" t="n"/>
      <c r="F94" s="562" t="n"/>
      <c r="G94" s="562" t="n"/>
      <c r="H94" s="562" t="n"/>
      <c r="I94" s="562" t="n"/>
      <c r="J94" s="539" t="n"/>
      <c r="K94" s="38" t="n"/>
      <c r="L94" s="539" t="n"/>
      <c r="M94" s="539" t="n"/>
      <c r="N94" s="539">
        <f>IF(J94=0,"",(M94-J94)/J94*100)</f>
      </c>
      <c r="O94" s="27" t="n"/>
    </row>
    <row r="95" ht="15.5" customHeight="1">
      <c r="A95" s="259" t="n"/>
      <c r="B95" s="56" t="n"/>
      <c r="C95" s="63" t="n"/>
      <c r="D95" s="251" t="n"/>
      <c r="E95" s="539" t="n"/>
      <c r="F95" s="562" t="n"/>
      <c r="G95" s="562" t="n"/>
      <c r="H95" s="562" t="n"/>
      <c r="I95" s="562" t="n"/>
      <c r="J95" s="539" t="n"/>
      <c r="K95" s="38" t="n"/>
      <c r="L95" s="539" t="n"/>
      <c r="M95" s="539" t="n"/>
      <c r="N95" s="539">
        <f>IF(J95=0,"",(M95-J95)/J95*100)</f>
      </c>
      <c r="O95" s="27" t="n"/>
    </row>
    <row r="96" ht="15.5" customHeight="1">
      <c r="A96" s="259" t="n"/>
      <c r="B96" s="56" t="n"/>
      <c r="C96" s="63" t="n"/>
      <c r="D96" s="251" t="n"/>
      <c r="E96" s="539" t="n"/>
      <c r="F96" s="562" t="n"/>
      <c r="G96" s="562" t="n"/>
      <c r="H96" s="562" t="n"/>
      <c r="I96" s="562" t="n"/>
      <c r="J96" s="539" t="n"/>
      <c r="K96" s="38" t="n"/>
      <c r="L96" s="539" t="n"/>
      <c r="M96" s="539" t="n"/>
      <c r="N96" s="539">
        <f>IF(J96=0,"",(M96-J96)/J96*100)</f>
      </c>
      <c r="O96" s="27" t="n"/>
    </row>
    <row r="97" ht="15.5" customHeight="1">
      <c r="A97" s="259" t="n"/>
      <c r="B97" s="56" t="n"/>
      <c r="C97" s="63" t="n"/>
      <c r="D97" s="251" t="n"/>
      <c r="E97" s="539" t="n"/>
      <c r="F97" s="562" t="n"/>
      <c r="G97" s="562" t="n"/>
      <c r="H97" s="562" t="n"/>
      <c r="I97" s="562" t="n"/>
      <c r="J97" s="539" t="n"/>
      <c r="K97" s="38" t="n"/>
      <c r="L97" s="539" t="n"/>
      <c r="M97" s="539" t="n"/>
      <c r="N97" s="539">
        <f>IF(J97=0,"",(M97-J97)/J97*100)</f>
      </c>
      <c r="O97" s="27" t="n"/>
    </row>
    <row r="98" ht="15.5" customHeight="1">
      <c r="A98" s="259" t="n"/>
      <c r="B98" s="56" t="n"/>
      <c r="C98" s="63" t="n"/>
      <c r="D98" s="251" t="n"/>
      <c r="E98" s="539" t="n"/>
      <c r="F98" s="562" t="n"/>
      <c r="G98" s="562" t="n"/>
      <c r="H98" s="562" t="n"/>
      <c r="I98" s="562" t="n"/>
      <c r="J98" s="539" t="n"/>
      <c r="K98" s="38" t="n"/>
      <c r="L98" s="539" t="n"/>
      <c r="M98" s="539" t="n"/>
      <c r="N98" s="539">
        <f>IF(J98=0,"",(M98-J98)/J98*100)</f>
      </c>
      <c r="O98" s="27" t="n"/>
    </row>
    <row r="99" ht="15.5" customHeight="1">
      <c r="A99" s="259" t="n"/>
      <c r="B99" s="56" t="n"/>
      <c r="C99" s="63" t="n"/>
      <c r="D99" s="251" t="n"/>
      <c r="E99" s="539" t="n"/>
      <c r="F99" s="562" t="n"/>
      <c r="G99" s="562" t="n"/>
      <c r="H99" s="562" t="n"/>
      <c r="I99" s="562" t="n"/>
      <c r="J99" s="539" t="n"/>
      <c r="K99" s="38" t="n"/>
      <c r="L99" s="539" t="n"/>
      <c r="M99" s="539" t="n"/>
      <c r="N99" s="539">
        <f>IF(J99=0,"",(M99-J99)/J99*100)</f>
      </c>
      <c r="O99" s="27" t="n"/>
    </row>
    <row r="100" ht="15.5" customHeight="1">
      <c r="A100" s="259" t="n"/>
      <c r="B100" s="56" t="n"/>
      <c r="C100" s="63" t="n"/>
      <c r="D100" s="251" t="n"/>
      <c r="E100" s="539" t="n"/>
      <c r="F100" s="562" t="n"/>
      <c r="G100" s="562" t="n"/>
      <c r="H100" s="562" t="n"/>
      <c r="I100" s="562" t="n"/>
      <c r="J100" s="539" t="n"/>
      <c r="K100" s="38" t="n"/>
      <c r="L100" s="539" t="n"/>
      <c r="M100" s="539" t="n"/>
      <c r="N100" s="539">
        <f>IF(J100=0,"",(M100-J100)/J100*100)</f>
      </c>
      <c r="O100" s="27" t="n"/>
    </row>
    <row r="101" ht="15.5" customHeight="1">
      <c r="A101" s="259" t="n"/>
      <c r="B101" s="56" t="n"/>
      <c r="C101" s="63" t="n"/>
      <c r="D101" s="251" t="n"/>
      <c r="E101" s="539" t="n"/>
      <c r="F101" s="562" t="n"/>
      <c r="G101" s="562" t="n"/>
      <c r="H101" s="562" t="n"/>
      <c r="I101" s="562" t="n"/>
      <c r="J101" s="539" t="n"/>
      <c r="K101" s="38" t="n"/>
      <c r="L101" s="539" t="n"/>
      <c r="M101" s="539" t="n"/>
      <c r="N101" s="539">
        <f>IF(J101=0,"",(M101-J101)/J101*100)</f>
      </c>
      <c r="O101" s="27" t="n"/>
    </row>
    <row r="102" ht="15.5" customHeight="1">
      <c r="A102" s="259" t="n"/>
      <c r="B102" s="56" t="n"/>
      <c r="C102" s="63" t="n"/>
      <c r="D102" s="251" t="n"/>
      <c r="E102" s="539" t="n"/>
      <c r="F102" s="562" t="n"/>
      <c r="G102" s="562" t="n"/>
      <c r="H102" s="562" t="n"/>
      <c r="I102" s="562" t="n"/>
      <c r="J102" s="539" t="n"/>
      <c r="K102" s="38" t="n"/>
      <c r="L102" s="539" t="n"/>
      <c r="M102" s="539" t="n"/>
      <c r="N102" s="539">
        <f>IF(J102=0,"",(M102-J102)/J102*100)</f>
      </c>
      <c r="O102" s="27" t="n"/>
    </row>
    <row r="103" ht="15.5" customHeight="1">
      <c r="A103" s="259" t="n"/>
      <c r="B103" s="56" t="n"/>
      <c r="C103" s="63" t="n"/>
      <c r="D103" s="251" t="n"/>
      <c r="E103" s="539" t="n"/>
      <c r="F103" s="562" t="n"/>
      <c r="G103" s="562" t="n"/>
      <c r="H103" s="562" t="n"/>
      <c r="I103" s="562" t="n"/>
      <c r="J103" s="539" t="n"/>
      <c r="K103" s="38" t="n"/>
      <c r="L103" s="539" t="n"/>
      <c r="M103" s="539" t="n"/>
      <c r="N103" s="539">
        <f>IF(J103=0,"",(M103-J103)/J103*100)</f>
      </c>
      <c r="O103" s="27" t="n"/>
    </row>
    <row r="104" ht="15.5" customHeight="1">
      <c r="A104" s="259" t="n"/>
      <c r="B104" s="56" t="n"/>
      <c r="C104" s="63" t="n"/>
      <c r="D104" s="251" t="n"/>
      <c r="E104" s="539" t="n"/>
      <c r="F104" s="562" t="n"/>
      <c r="G104" s="562" t="n"/>
      <c r="H104" s="562" t="n"/>
      <c r="I104" s="562" t="n"/>
      <c r="J104" s="539" t="n"/>
      <c r="K104" s="38" t="n"/>
      <c r="L104" s="539" t="n"/>
      <c r="M104" s="539" t="n"/>
      <c r="N104" s="539">
        <f>IF(J104=0,"",(M104-J104)/J104*100)</f>
      </c>
      <c r="O104" s="27" t="n"/>
    </row>
    <row r="105" ht="15.5" customHeight="1">
      <c r="A105" s="259" t="n"/>
      <c r="B105" s="56" t="n"/>
      <c r="C105" s="63" t="n"/>
      <c r="D105" s="251" t="n"/>
      <c r="E105" s="539" t="n"/>
      <c r="F105" s="562" t="n"/>
      <c r="G105" s="562" t="n"/>
      <c r="H105" s="562" t="n"/>
      <c r="I105" s="562" t="n"/>
      <c r="J105" s="539" t="n"/>
      <c r="K105" s="38" t="n"/>
      <c r="L105" s="539" t="n"/>
      <c r="M105" s="539" t="n"/>
      <c r="N105" s="539">
        <f>IF(J105=0,"",(M105-J105)/J105*100)</f>
      </c>
      <c r="O105" s="27" t="n"/>
    </row>
    <row r="106" ht="15.5" customHeight="1">
      <c r="A106" s="259" t="n"/>
      <c r="B106" s="56" t="n"/>
      <c r="C106" s="63" t="n"/>
      <c r="D106" s="251" t="n"/>
      <c r="E106" s="539" t="n"/>
      <c r="F106" s="562" t="n"/>
      <c r="G106" s="562" t="n"/>
      <c r="H106" s="562" t="n"/>
      <c r="I106" s="562" t="n"/>
      <c r="J106" s="539" t="n"/>
      <c r="K106" s="38" t="n"/>
      <c r="L106" s="539" t="n"/>
      <c r="M106" s="539" t="n"/>
      <c r="N106" s="539">
        <f>IF(J106=0,"",(M106-J106)/J106*100)</f>
      </c>
      <c r="O106" s="27" t="n"/>
    </row>
    <row r="107" ht="15.5" customHeight="1">
      <c r="A107" s="259" t="n"/>
      <c r="B107" s="56" t="n"/>
      <c r="C107" s="63" t="n"/>
      <c r="D107" s="251" t="n"/>
      <c r="E107" s="539" t="n"/>
      <c r="F107" s="562" t="n"/>
      <c r="G107" s="562" t="n"/>
      <c r="H107" s="562" t="n"/>
      <c r="I107" s="562" t="n"/>
      <c r="J107" s="539" t="n"/>
      <c r="K107" s="38" t="n"/>
      <c r="L107" s="539" t="n"/>
      <c r="M107" s="539" t="n"/>
      <c r="N107" s="539">
        <f>IF(J107=0,"",(M107-J107)/J107*100)</f>
      </c>
      <c r="O107" s="27" t="n"/>
    </row>
    <row r="108" ht="15.5" customHeight="1">
      <c r="A108" s="259" t="n"/>
      <c r="B108" s="56" t="n"/>
      <c r="C108" s="63" t="n"/>
      <c r="D108" s="251" t="n"/>
      <c r="E108" s="539" t="n"/>
      <c r="F108" s="562" t="n"/>
      <c r="G108" s="562" t="n"/>
      <c r="H108" s="562" t="n"/>
      <c r="I108" s="562" t="n"/>
      <c r="J108" s="539" t="n"/>
      <c r="K108" s="38" t="n"/>
      <c r="L108" s="539" t="n"/>
      <c r="M108" s="539" t="n"/>
      <c r="N108" s="539">
        <f>IF(J108=0,"",(M108-J108)/J108*100)</f>
      </c>
      <c r="O108" s="27" t="n"/>
    </row>
    <row r="109" ht="15.5" customHeight="1">
      <c r="A109" s="259" t="n"/>
      <c r="B109" s="56" t="n"/>
      <c r="C109" s="63" t="n"/>
      <c r="D109" s="251" t="n"/>
      <c r="E109" s="539" t="n"/>
      <c r="F109" s="562" t="n"/>
      <c r="G109" s="562" t="n"/>
      <c r="H109" s="562" t="n"/>
      <c r="I109" s="562" t="n"/>
      <c r="J109" s="539" t="n"/>
      <c r="K109" s="38" t="n"/>
      <c r="L109" s="539" t="n"/>
      <c r="M109" s="539" t="n"/>
      <c r="N109" s="539">
        <f>IF(J109=0,"",(M109-J109)/J109*100)</f>
      </c>
      <c r="O109" s="27" t="n"/>
    </row>
    <row r="110" ht="15.5" customHeight="1">
      <c r="A110" s="259" t="n"/>
      <c r="B110" s="56" t="n"/>
      <c r="C110" s="63" t="n"/>
      <c r="D110" s="251" t="n"/>
      <c r="E110" s="539" t="n"/>
      <c r="F110" s="562" t="n"/>
      <c r="G110" s="562" t="n"/>
      <c r="H110" s="562" t="n"/>
      <c r="I110" s="562" t="n"/>
      <c r="J110" s="539" t="n"/>
      <c r="K110" s="38" t="n"/>
      <c r="L110" s="539" t="n"/>
      <c r="M110" s="539" t="n"/>
      <c r="N110" s="539">
        <f>IF(J110=0,"",(M110-J110)/J110*100)</f>
      </c>
      <c r="O110" s="27" t="n"/>
    </row>
    <row r="111" ht="15.5" customHeight="1">
      <c r="A111" s="259" t="n"/>
      <c r="B111" s="56" t="n"/>
      <c r="C111" s="63" t="n"/>
      <c r="D111" s="251" t="n"/>
      <c r="E111" s="539" t="n"/>
      <c r="F111" s="562" t="n"/>
      <c r="G111" s="562" t="n"/>
      <c r="H111" s="562" t="n"/>
      <c r="I111" s="562" t="n"/>
      <c r="J111" s="539" t="n"/>
      <c r="K111" s="38" t="n"/>
      <c r="L111" s="539" t="n"/>
      <c r="M111" s="539" t="n"/>
      <c r="N111" s="539">
        <f>IF(J111=0,"",(M111-J111)/J111*100)</f>
      </c>
      <c r="O111" s="27" t="n"/>
    </row>
    <row r="112" ht="15.5" customHeight="1">
      <c r="A112" s="259" t="n"/>
      <c r="B112" s="56" t="n"/>
      <c r="C112" s="63" t="n"/>
      <c r="D112" s="251" t="n"/>
      <c r="E112" s="539" t="n"/>
      <c r="F112" s="562" t="n"/>
      <c r="G112" s="562" t="n"/>
      <c r="H112" s="562" t="n"/>
      <c r="I112" s="562" t="n"/>
      <c r="J112" s="539" t="n"/>
      <c r="K112" s="38" t="n"/>
      <c r="L112" s="539" t="n"/>
      <c r="M112" s="539" t="n"/>
      <c r="N112" s="539">
        <f>IF(J112=0,"",(M112-J112)/J112*100)</f>
      </c>
      <c r="O112" s="27" t="n"/>
    </row>
    <row r="113" ht="15.5" customHeight="1">
      <c r="A113" s="259" t="n"/>
      <c r="B113" s="56" t="n"/>
      <c r="C113" s="63" t="n"/>
      <c r="D113" s="251" t="n"/>
      <c r="E113" s="539" t="n"/>
      <c r="F113" s="562" t="n"/>
      <c r="G113" s="562" t="n"/>
      <c r="H113" s="562" t="n"/>
      <c r="I113" s="562" t="n"/>
      <c r="J113" s="539" t="n"/>
      <c r="K113" s="38" t="n"/>
      <c r="L113" s="539" t="n"/>
      <c r="M113" s="539" t="n"/>
      <c r="N113" s="539">
        <f>IF(J113=0,"",(M113-J113)/J113*100)</f>
      </c>
      <c r="O113" s="27" t="n"/>
    </row>
    <row r="114" ht="15.5" customHeight="1">
      <c r="A114" s="259" t="n"/>
      <c r="B114" s="56" t="n"/>
      <c r="C114" s="63" t="n"/>
      <c r="D114" s="251" t="n"/>
      <c r="E114" s="539" t="n"/>
      <c r="F114" s="562" t="n"/>
      <c r="G114" s="562" t="n"/>
      <c r="H114" s="562" t="n"/>
      <c r="I114" s="562" t="n"/>
      <c r="J114" s="539" t="n"/>
      <c r="K114" s="38" t="n"/>
      <c r="L114" s="539" t="n"/>
      <c r="M114" s="539" t="n"/>
      <c r="N114" s="539">
        <f>IF(J114=0,"",(M114-J114)/J114*100)</f>
      </c>
      <c r="O114" s="27" t="n"/>
    </row>
    <row r="115" ht="15.5" customHeight="1">
      <c r="A115" s="259" t="n"/>
      <c r="B115" s="56" t="n"/>
      <c r="C115" s="63" t="n"/>
      <c r="D115" s="251" t="n"/>
      <c r="E115" s="539" t="n"/>
      <c r="F115" s="562" t="n"/>
      <c r="G115" s="562" t="n"/>
      <c r="H115" s="562" t="n"/>
      <c r="I115" s="562" t="n"/>
      <c r="J115" s="539" t="n"/>
      <c r="K115" s="38" t="n"/>
      <c r="L115" s="539" t="n"/>
      <c r="M115" s="539" t="n"/>
      <c r="N115" s="539">
        <f>IF(J115=0,"",(M115-J115)/J115*100)</f>
      </c>
      <c r="O115" s="27" t="n"/>
    </row>
    <row r="116" ht="15.5" customHeight="1">
      <c r="A116" s="259" t="n"/>
      <c r="B116" s="56" t="n"/>
      <c r="C116" s="63" t="n"/>
      <c r="D116" s="251" t="n"/>
      <c r="E116" s="539" t="n"/>
      <c r="F116" s="562" t="n"/>
      <c r="G116" s="562" t="n"/>
      <c r="H116" s="562" t="n"/>
      <c r="I116" s="562" t="n"/>
      <c r="J116" s="539" t="n"/>
      <c r="K116" s="38" t="n"/>
      <c r="L116" s="539" t="n"/>
      <c r="M116" s="539" t="n"/>
      <c r="N116" s="539">
        <f>IF(J116=0,"",(M116-J116)/J116*100)</f>
      </c>
      <c r="O116" s="27" t="n"/>
    </row>
    <row r="117" ht="15.5" customHeight="1">
      <c r="A117" s="259" t="n"/>
      <c r="B117" s="56" t="n"/>
      <c r="C117" s="63" t="n"/>
      <c r="D117" s="251" t="n"/>
      <c r="E117" s="539" t="n"/>
      <c r="F117" s="562" t="n"/>
      <c r="G117" s="562" t="n"/>
      <c r="H117" s="562" t="n"/>
      <c r="I117" s="562" t="n"/>
      <c r="J117" s="539" t="n"/>
      <c r="K117" s="38" t="n"/>
      <c r="L117" s="539" t="n"/>
      <c r="M117" s="539" t="n"/>
      <c r="N117" s="539">
        <f>IF(J117=0,"",(M117-J117)/J117*100)</f>
      </c>
      <c r="O117" s="27" t="n"/>
    </row>
    <row r="118" ht="15.5" customHeight="1">
      <c r="A118" s="259" t="n"/>
      <c r="B118" s="56" t="n"/>
      <c r="C118" s="63" t="n"/>
      <c r="D118" s="251" t="n"/>
      <c r="E118" s="539" t="n"/>
      <c r="F118" s="562" t="n"/>
      <c r="G118" s="562" t="n"/>
      <c r="H118" s="562" t="n"/>
      <c r="I118" s="562" t="n"/>
      <c r="J118" s="539" t="n"/>
      <c r="K118" s="38" t="n"/>
      <c r="L118" s="539" t="n"/>
      <c r="M118" s="539" t="n"/>
      <c r="N118" s="539">
        <f>IF(J118=0,"",(M118-J118)/J118*100)</f>
      </c>
      <c r="O118" s="27" t="n"/>
    </row>
    <row r="119" ht="15.5" customHeight="1">
      <c r="A119" s="259" t="n"/>
      <c r="B119" s="56" t="n"/>
      <c r="C119" s="63" t="n"/>
      <c r="D119" s="251" t="n"/>
      <c r="E119" s="539" t="n"/>
      <c r="F119" s="562" t="n"/>
      <c r="G119" s="562" t="n"/>
      <c r="H119" s="562" t="n"/>
      <c r="I119" s="562" t="n"/>
      <c r="J119" s="539" t="n"/>
      <c r="K119" s="38" t="n"/>
      <c r="L119" s="539" t="n"/>
      <c r="M119" s="539" t="n"/>
      <c r="N119" s="539">
        <f>IF(J119=0,"",(M119-J119)/J119*100)</f>
      </c>
      <c r="O119" s="27" t="n"/>
    </row>
    <row r="120" ht="15.5" customHeight="1">
      <c r="A120" s="259" t="n"/>
      <c r="B120" s="56" t="n"/>
      <c r="C120" s="63" t="n"/>
      <c r="D120" s="251" t="n"/>
      <c r="E120" s="539" t="n"/>
      <c r="F120" s="562" t="n"/>
      <c r="G120" s="562" t="n"/>
      <c r="H120" s="562" t="n"/>
      <c r="I120" s="562" t="n"/>
      <c r="J120" s="539" t="n"/>
      <c r="K120" s="38" t="n"/>
      <c r="L120" s="539" t="n"/>
      <c r="M120" s="539" t="n"/>
      <c r="N120" s="539">
        <f>IF(J120=0,"",(M120-J120)/J120*100)</f>
      </c>
      <c r="O120" s="27" t="n"/>
    </row>
    <row r="121" ht="15.5" customHeight="1">
      <c r="A121" s="259" t="n"/>
      <c r="B121" s="56" t="n"/>
      <c r="C121" s="63" t="n"/>
      <c r="D121" s="251" t="n"/>
      <c r="E121" s="539" t="n"/>
      <c r="F121" s="562" t="n"/>
      <c r="G121" s="562" t="n"/>
      <c r="H121" s="562" t="n"/>
      <c r="I121" s="562" t="n"/>
      <c r="J121" s="539" t="n"/>
      <c r="K121" s="38" t="n"/>
      <c r="L121" s="539" t="n"/>
      <c r="M121" s="539" t="n"/>
      <c r="N121" s="539">
        <f>IF(J121=0,"",(M121-J121)/J121*100)</f>
      </c>
      <c r="O121" s="27" t="n"/>
    </row>
    <row r="122" ht="15.5" customHeight="1">
      <c r="A122" s="259" t="n"/>
      <c r="B122" s="56" t="n"/>
      <c r="C122" s="63" t="n"/>
      <c r="D122" s="251" t="n"/>
      <c r="E122" s="539" t="n"/>
      <c r="F122" s="562" t="n"/>
      <c r="G122" s="562" t="n"/>
      <c r="H122" s="562" t="n"/>
      <c r="I122" s="562" t="n"/>
      <c r="J122" s="539" t="n"/>
      <c r="K122" s="38" t="n"/>
      <c r="L122" s="539" t="n"/>
      <c r="M122" s="539" t="n"/>
      <c r="N122" s="539">
        <f>IF(J122=0,"",(M122-J122)/J122*100)</f>
      </c>
      <c r="O122" s="27" t="n"/>
    </row>
    <row r="123" ht="15.5" customHeight="1">
      <c r="A123" s="259" t="n"/>
      <c r="B123" s="56" t="n"/>
      <c r="C123" s="63" t="n"/>
      <c r="D123" s="251" t="n"/>
      <c r="E123" s="539" t="n"/>
      <c r="F123" s="562" t="n"/>
      <c r="G123" s="562" t="n"/>
      <c r="H123" s="562" t="n"/>
      <c r="I123" s="562" t="n"/>
      <c r="J123" s="539" t="n"/>
      <c r="K123" s="38" t="n"/>
      <c r="L123" s="539" t="n"/>
      <c r="M123" s="539" t="n"/>
      <c r="N123" s="539">
        <f>IF(J123=0,"",(M123-J123)/J123*100)</f>
      </c>
      <c r="O123" s="27" t="n"/>
    </row>
    <row r="124" ht="15.5" customHeight="1">
      <c r="A124" s="259" t="n"/>
      <c r="B124" s="56" t="n"/>
      <c r="C124" s="63" t="n"/>
      <c r="D124" s="251" t="n"/>
      <c r="E124" s="539" t="n"/>
      <c r="F124" s="562" t="n"/>
      <c r="G124" s="562" t="n"/>
      <c r="H124" s="562" t="n"/>
      <c r="I124" s="562" t="n"/>
      <c r="J124" s="539" t="n"/>
      <c r="K124" s="38" t="n"/>
      <c r="L124" s="539" t="n"/>
      <c r="M124" s="539" t="n"/>
      <c r="N124" s="539">
        <f>IF(J124=0,"",(M124-J124)/J124*100)</f>
      </c>
      <c r="O124" s="27" t="n"/>
    </row>
    <row r="125" ht="15.5" customHeight="1">
      <c r="A125" s="259" t="n"/>
      <c r="B125" s="56" t="n"/>
      <c r="C125" s="63" t="n"/>
      <c r="D125" s="251" t="n"/>
      <c r="E125" s="539" t="n"/>
      <c r="F125" s="562" t="n"/>
      <c r="G125" s="562" t="n"/>
      <c r="H125" s="562" t="n"/>
      <c r="I125" s="562" t="n"/>
      <c r="J125" s="539" t="n"/>
      <c r="K125" s="38" t="n"/>
      <c r="L125" s="539" t="n"/>
      <c r="M125" s="539" t="n"/>
      <c r="N125" s="539">
        <f>IF(J125=0,"",(M125-J125)/J125*100)</f>
      </c>
      <c r="O125" s="27" t="n"/>
    </row>
    <row r="126" ht="15.5" customHeight="1">
      <c r="A126" s="259" t="n"/>
      <c r="B126" s="56" t="n"/>
      <c r="C126" s="63" t="n"/>
      <c r="D126" s="251" t="n"/>
      <c r="E126" s="539" t="n"/>
      <c r="F126" s="562" t="n"/>
      <c r="G126" s="562" t="n"/>
      <c r="H126" s="562" t="n"/>
      <c r="I126" s="562" t="n"/>
      <c r="J126" s="539" t="n"/>
      <c r="K126" s="38" t="n"/>
      <c r="L126" s="539" t="n"/>
      <c r="M126" s="539" t="n"/>
      <c r="N126" s="539">
        <f>IF(J126=0,"",(M126-J126)/J126*100)</f>
      </c>
      <c r="O126" s="27" t="n"/>
    </row>
    <row r="127" ht="15.5" customHeight="1">
      <c r="A127" s="259" t="n"/>
      <c r="B127" s="56" t="n"/>
      <c r="C127" s="63" t="n"/>
      <c r="D127" s="251" t="n"/>
      <c r="E127" s="539" t="n"/>
      <c r="F127" s="562" t="n"/>
      <c r="G127" s="562" t="n"/>
      <c r="H127" s="562" t="n"/>
      <c r="I127" s="562" t="n"/>
      <c r="J127" s="539" t="n"/>
      <c r="K127" s="38" t="n"/>
      <c r="L127" s="539" t="n"/>
      <c r="M127" s="539" t="n"/>
      <c r="N127" s="539">
        <f>IF(J127=0,"",(M127-J127)/J127*100)</f>
      </c>
      <c r="O127" s="27" t="n"/>
    </row>
    <row r="128" ht="15.5" customHeight="1">
      <c r="A128" s="259" t="n"/>
      <c r="B128" s="56" t="n"/>
      <c r="C128" s="63" t="n"/>
      <c r="D128" s="251" t="n"/>
      <c r="E128" s="539" t="n"/>
      <c r="F128" s="562" t="n"/>
      <c r="G128" s="562" t="n"/>
      <c r="H128" s="562" t="n"/>
      <c r="I128" s="562" t="n"/>
      <c r="J128" s="539" t="n"/>
      <c r="K128" s="38" t="n"/>
      <c r="L128" s="539" t="n"/>
      <c r="M128" s="539" t="n"/>
      <c r="N128" s="539">
        <f>IF(J128=0,"",(M128-J128)/J128*100)</f>
      </c>
      <c r="O128" s="27" t="n"/>
    </row>
    <row r="129" ht="15.5" customHeight="1">
      <c r="A129" s="259" t="n"/>
      <c r="B129" s="56" t="n"/>
      <c r="C129" s="63" t="n"/>
      <c r="D129" s="251" t="n"/>
      <c r="E129" s="539" t="n"/>
      <c r="F129" s="562" t="n"/>
      <c r="G129" s="562" t="n"/>
      <c r="H129" s="562" t="n"/>
      <c r="I129" s="562" t="n"/>
      <c r="J129" s="539" t="n"/>
      <c r="K129" s="38" t="n"/>
      <c r="L129" s="539" t="n"/>
      <c r="M129" s="539" t="n"/>
      <c r="N129" s="539">
        <f>IF(J129=0,"",(M129-J129)/J129*100)</f>
      </c>
      <c r="O129" s="27" t="n"/>
    </row>
    <row r="130" ht="15.5" customHeight="1">
      <c r="A130" s="259" t="n"/>
      <c r="B130" s="56" t="n"/>
      <c r="C130" s="63" t="n"/>
      <c r="D130" s="251" t="n"/>
      <c r="E130" s="539" t="n"/>
      <c r="F130" s="562" t="n"/>
      <c r="G130" s="562" t="n"/>
      <c r="H130" s="562" t="n"/>
      <c r="I130" s="562" t="n"/>
      <c r="J130" s="539" t="n"/>
      <c r="K130" s="38" t="n"/>
      <c r="L130" s="539" t="n"/>
      <c r="M130" s="539" t="n"/>
      <c r="N130" s="539">
        <f>IF(J130=0,"",(M130-J130)/J130*100)</f>
      </c>
      <c r="O130" s="27" t="n"/>
    </row>
    <row r="131" ht="15.5" customHeight="1">
      <c r="A131" s="259" t="n"/>
      <c r="B131" s="56" t="n"/>
      <c r="C131" s="63" t="n"/>
      <c r="D131" s="251" t="n"/>
      <c r="E131" s="539" t="n"/>
      <c r="F131" s="562" t="n"/>
      <c r="G131" s="562" t="n"/>
      <c r="H131" s="562" t="n"/>
      <c r="I131" s="562" t="n"/>
      <c r="J131" s="539" t="n"/>
      <c r="K131" s="38" t="n"/>
      <c r="L131" s="539" t="n"/>
      <c r="M131" s="539" t="n"/>
      <c r="N131" s="539">
        <f>IF(J131=0,"",(M131-J131)/J131*100)</f>
      </c>
      <c r="O131" s="27" t="n"/>
    </row>
    <row r="132" ht="15.5" customHeight="1">
      <c r="A132" s="259" t="n"/>
      <c r="B132" s="56" t="n"/>
      <c r="C132" s="63" t="n"/>
      <c r="D132" s="251" t="n"/>
      <c r="E132" s="539" t="n"/>
      <c r="F132" s="562" t="n"/>
      <c r="G132" s="562" t="n"/>
      <c r="H132" s="562" t="n"/>
      <c r="I132" s="562" t="n"/>
      <c r="J132" s="539" t="n"/>
      <c r="K132" s="38" t="n"/>
      <c r="L132" s="539" t="n"/>
      <c r="M132" s="539" t="n"/>
      <c r="N132" s="539">
        <f>IF(J132=0,"",(M132-J132)/J132*100)</f>
      </c>
      <c r="O132" s="27" t="n"/>
    </row>
    <row r="133" ht="15.5" customHeight="1">
      <c r="A133" s="259" t="n"/>
      <c r="B133" s="56" t="n"/>
      <c r="C133" s="63" t="n"/>
      <c r="D133" s="251" t="n"/>
      <c r="E133" s="539" t="n"/>
      <c r="F133" s="562" t="n"/>
      <c r="G133" s="562" t="n"/>
      <c r="H133" s="562" t="n"/>
      <c r="I133" s="562" t="n"/>
      <c r="J133" s="539" t="n"/>
      <c r="K133" s="38" t="n"/>
      <c r="L133" s="539" t="n"/>
      <c r="M133" s="539" t="n"/>
      <c r="N133" s="539">
        <f>IF(J133=0,"",(M133-J133)/J133*100)</f>
      </c>
      <c r="O133" s="27" t="n"/>
    </row>
    <row r="134" ht="15.5" customHeight="1">
      <c r="A134" s="259" t="n"/>
      <c r="B134" s="56" t="n"/>
      <c r="C134" s="63" t="n"/>
      <c r="D134" s="251" t="n"/>
      <c r="E134" s="539" t="n"/>
      <c r="F134" s="562" t="n"/>
      <c r="G134" s="562" t="n"/>
      <c r="H134" s="562" t="n"/>
      <c r="I134" s="562" t="n"/>
      <c r="J134" s="539" t="n"/>
      <c r="K134" s="38" t="n"/>
      <c r="L134" s="539" t="n"/>
      <c r="M134" s="539" t="n"/>
      <c r="N134" s="539">
        <f>IF(J134=0,"",(M134-J134)/J134*100)</f>
      </c>
      <c r="O134" s="27" t="n"/>
    </row>
    <row r="135" ht="15.5" customHeight="1">
      <c r="A135" s="259" t="n"/>
      <c r="B135" s="56" t="n"/>
      <c r="C135" s="63" t="n"/>
      <c r="D135" s="251" t="n"/>
      <c r="E135" s="539" t="n"/>
      <c r="F135" s="562" t="n"/>
      <c r="G135" s="562" t="n"/>
      <c r="H135" s="562" t="n"/>
      <c r="I135" s="562" t="n"/>
      <c r="J135" s="539" t="n"/>
      <c r="K135" s="38" t="n"/>
      <c r="L135" s="539" t="n"/>
      <c r="M135" s="539" t="n"/>
      <c r="N135" s="539">
        <f>IF(J135=0,"",(M135-J135)/J135*100)</f>
      </c>
      <c r="O135" s="27" t="n"/>
    </row>
    <row r="136" ht="15.5" customHeight="1">
      <c r="A136" s="259" t="n"/>
      <c r="B136" s="56" t="n"/>
      <c r="C136" s="63" t="n"/>
      <c r="D136" s="251" t="n"/>
      <c r="E136" s="539" t="n"/>
      <c r="F136" s="562" t="n"/>
      <c r="G136" s="562" t="n"/>
      <c r="H136" s="562" t="n"/>
      <c r="I136" s="562" t="n"/>
      <c r="J136" s="539" t="n"/>
      <c r="K136" s="38" t="n"/>
      <c r="L136" s="539" t="n"/>
      <c r="M136" s="539" t="n"/>
      <c r="N136" s="539">
        <f>IF(J136=0,"",(M136-J136)/J136*100)</f>
      </c>
      <c r="O136" s="27" t="n"/>
    </row>
    <row r="137" ht="15.5" customHeight="1">
      <c r="A137" s="259" t="n"/>
      <c r="B137" s="56" t="n"/>
      <c r="C137" s="63" t="n"/>
      <c r="D137" s="251" t="n"/>
      <c r="E137" s="539" t="n"/>
      <c r="F137" s="562" t="n"/>
      <c r="G137" s="562" t="n"/>
      <c r="H137" s="562" t="n"/>
      <c r="I137" s="562" t="n"/>
      <c r="J137" s="539" t="n"/>
      <c r="K137" s="38" t="n"/>
      <c r="L137" s="539" t="n"/>
      <c r="M137" s="539" t="n"/>
      <c r="N137" s="539">
        <f>IF(J137=0,"",(M137-J137)/J137*100)</f>
      </c>
      <c r="O137" s="27" t="n"/>
    </row>
    <row r="138" ht="15.5" customHeight="1">
      <c r="A138" s="259" t="n"/>
      <c r="B138" s="56" t="n"/>
      <c r="C138" s="63" t="n"/>
      <c r="D138" s="251" t="n"/>
      <c r="E138" s="539" t="n"/>
      <c r="F138" s="562" t="n"/>
      <c r="G138" s="562" t="n"/>
      <c r="H138" s="562" t="n"/>
      <c r="I138" s="562" t="n"/>
      <c r="J138" s="539" t="n"/>
      <c r="K138" s="38" t="n"/>
      <c r="L138" s="539" t="n"/>
      <c r="M138" s="539" t="n"/>
      <c r="N138" s="539">
        <f>IF(J138=0,"",(M138-J138)/J138*100)</f>
      </c>
      <c r="O138" s="27" t="n"/>
    </row>
    <row r="139" ht="15.5" customHeight="1">
      <c r="A139" s="259" t="n"/>
      <c r="B139" s="56" t="n"/>
      <c r="C139" s="63" t="n"/>
      <c r="D139" s="251" t="n"/>
      <c r="E139" s="539" t="n"/>
      <c r="F139" s="562" t="n"/>
      <c r="G139" s="562" t="n"/>
      <c r="H139" s="562" t="n"/>
      <c r="I139" s="562" t="n"/>
      <c r="J139" s="539" t="n"/>
      <c r="K139" s="38" t="n"/>
      <c r="L139" s="539" t="n"/>
      <c r="M139" s="539" t="n"/>
      <c r="N139" s="539">
        <f>IF(J139=0,"",(M139-J139)/J139*100)</f>
      </c>
      <c r="O139" s="27" t="n"/>
    </row>
    <row r="140" ht="15.5" customHeight="1">
      <c r="A140" s="259" t="n"/>
      <c r="B140" s="56" t="n"/>
      <c r="C140" s="63" t="n"/>
      <c r="D140" s="251" t="n"/>
      <c r="E140" s="539" t="n"/>
      <c r="F140" s="562" t="n"/>
      <c r="G140" s="562" t="n"/>
      <c r="H140" s="562" t="n"/>
      <c r="I140" s="562" t="n"/>
      <c r="J140" s="539" t="n"/>
      <c r="K140" s="38" t="n"/>
      <c r="L140" s="539" t="n"/>
      <c r="M140" s="539" t="n"/>
      <c r="N140" s="539">
        <f>IF(J140=0,"",(M140-J140)/J140*100)</f>
      </c>
      <c r="O140" s="27" t="n"/>
    </row>
    <row r="141" ht="15.5" customHeight="1">
      <c r="A141" s="259" t="n"/>
      <c r="B141" s="56" t="n"/>
      <c r="C141" s="63" t="n"/>
      <c r="D141" s="251" t="n"/>
      <c r="E141" s="539" t="n"/>
      <c r="F141" s="562" t="n"/>
      <c r="G141" s="562" t="n"/>
      <c r="H141" s="562" t="n"/>
      <c r="I141" s="562" t="n"/>
      <c r="J141" s="539" t="n"/>
      <c r="K141" s="38" t="n"/>
      <c r="L141" s="539" t="n"/>
      <c r="M141" s="539" t="n"/>
      <c r="N141" s="539">
        <f>IF(J141=0,"",(M141-J141)/J141*100)</f>
      </c>
      <c r="O141" s="27" t="n"/>
    </row>
    <row r="142" ht="15.5" customHeight="1">
      <c r="A142" s="259" t="n"/>
      <c r="B142" s="56" t="n"/>
      <c r="C142" s="63" t="n"/>
      <c r="D142" s="251" t="n"/>
      <c r="E142" s="539" t="n"/>
      <c r="F142" s="562" t="n"/>
      <c r="G142" s="562" t="n"/>
      <c r="H142" s="562" t="n"/>
      <c r="I142" s="562" t="n"/>
      <c r="J142" s="539" t="n"/>
      <c r="K142" s="38" t="n"/>
      <c r="L142" s="539" t="n"/>
      <c r="M142" s="539" t="n"/>
      <c r="N142" s="539">
        <f>IF(J142=0,"",(M142-J142)/J142*100)</f>
      </c>
      <c r="O142" s="27" t="n"/>
    </row>
    <row r="143" ht="15.5" customHeight="1">
      <c r="A143" s="259" t="n"/>
      <c r="B143" s="56" t="n"/>
      <c r="C143" s="63" t="n"/>
      <c r="D143" s="251" t="n"/>
      <c r="E143" s="539" t="n"/>
      <c r="F143" s="562" t="n"/>
      <c r="G143" s="562" t="n"/>
      <c r="H143" s="562" t="n"/>
      <c r="I143" s="562" t="n"/>
      <c r="J143" s="539" t="n"/>
      <c r="K143" s="38" t="n"/>
      <c r="L143" s="539" t="n"/>
      <c r="M143" s="539" t="n"/>
      <c r="N143" s="539">
        <f>IF(J143=0,"",(M143-J143)/J143*100)</f>
      </c>
      <c r="O143" s="27" t="n"/>
    </row>
    <row r="144" ht="15.5" customHeight="1">
      <c r="A144" s="259" t="n"/>
      <c r="B144" s="56" t="n"/>
      <c r="C144" s="63" t="n"/>
      <c r="D144" s="251" t="n"/>
      <c r="E144" s="539" t="n"/>
      <c r="F144" s="562" t="n"/>
      <c r="G144" s="562" t="n"/>
      <c r="H144" s="562" t="n"/>
      <c r="I144" s="562" t="n"/>
      <c r="J144" s="539" t="n"/>
      <c r="K144" s="38" t="n"/>
      <c r="L144" s="539" t="n"/>
      <c r="M144" s="539" t="n"/>
      <c r="N144" s="539">
        <f>IF(J144=0,"",(M144-J144)/J144*100)</f>
      </c>
      <c r="O144" s="27" t="n"/>
    </row>
    <row r="145" ht="15.5" customHeight="1">
      <c r="A145" s="259" t="n"/>
      <c r="B145" s="56" t="n"/>
      <c r="C145" s="63" t="n"/>
      <c r="D145" s="251" t="n"/>
      <c r="E145" s="539" t="n"/>
      <c r="F145" s="562" t="n"/>
      <c r="G145" s="562" t="n"/>
      <c r="H145" s="562" t="n"/>
      <c r="I145" s="562" t="n"/>
      <c r="J145" s="539" t="n"/>
      <c r="K145" s="38" t="n"/>
      <c r="L145" s="539" t="n"/>
      <c r="M145" s="539" t="n"/>
      <c r="N145" s="539">
        <f>IF(J145=0,"",(M145-J145)/J145*100)</f>
      </c>
      <c r="O145" s="27" t="n"/>
    </row>
    <row r="146" ht="15.5" customHeight="1">
      <c r="A146" s="259" t="n"/>
      <c r="B146" s="56" t="n"/>
      <c r="C146" s="63" t="n"/>
      <c r="D146" s="251" t="n"/>
      <c r="E146" s="539" t="n"/>
      <c r="F146" s="562" t="n"/>
      <c r="G146" s="562" t="n"/>
      <c r="H146" s="562" t="n"/>
      <c r="I146" s="562" t="n"/>
      <c r="J146" s="539" t="n"/>
      <c r="K146" s="38" t="n"/>
      <c r="L146" s="539" t="n"/>
      <c r="M146" s="539" t="n"/>
      <c r="N146" s="539">
        <f>IF(J146=0,"",(M146-J146)/J146*100)</f>
      </c>
      <c r="O146" s="27" t="n"/>
    </row>
    <row r="147" ht="15.5" customHeight="1">
      <c r="A147" s="259" t="n"/>
      <c r="B147" s="56" t="n"/>
      <c r="C147" s="63" t="n"/>
      <c r="D147" s="251" t="n"/>
      <c r="E147" s="539" t="n"/>
      <c r="F147" s="562" t="n"/>
      <c r="G147" s="562" t="n"/>
      <c r="H147" s="562" t="n"/>
      <c r="I147" s="562" t="n"/>
      <c r="J147" s="539" t="n"/>
      <c r="K147" s="38" t="n"/>
      <c r="L147" s="539" t="n"/>
      <c r="M147" s="539" t="n"/>
      <c r="N147" s="539">
        <f>IF(J147=0,"",(M147-J147)/J147*100)</f>
      </c>
      <c r="O147" s="27" t="n"/>
    </row>
    <row r="148" ht="15.5" customHeight="1">
      <c r="A148" s="259" t="n"/>
      <c r="B148" s="56" t="n"/>
      <c r="C148" s="63" t="n"/>
      <c r="D148" s="251" t="n"/>
      <c r="E148" s="539" t="n"/>
      <c r="F148" s="562" t="n"/>
      <c r="G148" s="562" t="n"/>
      <c r="H148" s="562" t="n"/>
      <c r="I148" s="562" t="n"/>
      <c r="J148" s="539" t="n"/>
      <c r="K148" s="38" t="n"/>
      <c r="L148" s="539" t="n"/>
      <c r="M148" s="539" t="n"/>
      <c r="N148" s="539">
        <f>IF(J148=0,"",(M148-J148)/J148*100)</f>
      </c>
      <c r="O148" s="27" t="n"/>
    </row>
    <row r="149" ht="15.5" customHeight="1">
      <c r="A149" s="259" t="n"/>
      <c r="B149" s="56" t="n"/>
      <c r="C149" s="63" t="n"/>
      <c r="D149" s="251" t="n"/>
      <c r="E149" s="539" t="n"/>
      <c r="F149" s="562" t="n"/>
      <c r="G149" s="562" t="n"/>
      <c r="H149" s="562" t="n"/>
      <c r="I149" s="562" t="n"/>
      <c r="J149" s="539" t="n"/>
      <c r="K149" s="38" t="n"/>
      <c r="L149" s="539" t="n"/>
      <c r="M149" s="539" t="n"/>
      <c r="N149" s="539">
        <f>IF(J149=0,"",(M149-J149)/J149*100)</f>
      </c>
      <c r="O149" s="27" t="n"/>
    </row>
    <row r="150" ht="15.5" customHeight="1">
      <c r="A150" s="259" t="n"/>
      <c r="B150" s="56" t="n"/>
      <c r="C150" s="63" t="n"/>
      <c r="D150" s="251" t="n"/>
      <c r="E150" s="539" t="n"/>
      <c r="F150" s="562" t="n"/>
      <c r="G150" s="562" t="n"/>
      <c r="H150" s="562" t="n"/>
      <c r="I150" s="562" t="n"/>
      <c r="J150" s="539" t="n"/>
      <c r="K150" s="38" t="n"/>
      <c r="L150" s="539" t="n"/>
      <c r="M150" s="539" t="n"/>
      <c r="N150" s="539">
        <f>IF(J150=0,"",(M150-J150)/J150*100)</f>
      </c>
      <c r="O150" s="27" t="n"/>
    </row>
    <row r="151" ht="15.5" customHeight="1">
      <c r="A151" s="259" t="n"/>
      <c r="B151" s="56" t="n"/>
      <c r="C151" s="63" t="n"/>
      <c r="D151" s="251" t="n"/>
      <c r="E151" s="539" t="n"/>
      <c r="F151" s="562" t="n"/>
      <c r="G151" s="562" t="n"/>
      <c r="H151" s="562" t="n"/>
      <c r="I151" s="562" t="n"/>
      <c r="J151" s="539" t="n"/>
      <c r="K151" s="38" t="n"/>
      <c r="L151" s="539" t="n"/>
      <c r="M151" s="539" t="n"/>
      <c r="N151" s="539">
        <f>IF(J151=0,"",(M151-J151)/J151*100)</f>
      </c>
      <c r="O151" s="27" t="n"/>
    </row>
    <row r="152" ht="15.5" customHeight="1">
      <c r="A152" s="259" t="n"/>
      <c r="B152" s="56" t="n"/>
      <c r="C152" s="63" t="n"/>
      <c r="D152" s="251" t="n"/>
      <c r="E152" s="539" t="n"/>
      <c r="F152" s="562" t="n"/>
      <c r="G152" s="562" t="n"/>
      <c r="H152" s="562" t="n"/>
      <c r="I152" s="562" t="n"/>
      <c r="J152" s="539" t="n"/>
      <c r="K152" s="38" t="n"/>
      <c r="L152" s="539" t="n"/>
      <c r="M152" s="539" t="n"/>
      <c r="N152" s="539">
        <f>IF(J152=0,"",(M152-J152)/J152*100)</f>
      </c>
      <c r="O152" s="27" t="n"/>
    </row>
    <row r="153" ht="15.5" customHeight="1">
      <c r="A153" s="259" t="n"/>
      <c r="B153" s="56" t="n"/>
      <c r="C153" s="63" t="n"/>
      <c r="D153" s="251" t="n"/>
      <c r="E153" s="539" t="n"/>
      <c r="F153" s="562" t="n"/>
      <c r="G153" s="562" t="n"/>
      <c r="H153" s="562" t="n"/>
      <c r="I153" s="562" t="n"/>
      <c r="J153" s="539" t="n"/>
      <c r="K153" s="38" t="n"/>
      <c r="L153" s="539" t="n"/>
      <c r="M153" s="539" t="n"/>
      <c r="N153" s="539">
        <f>IF(J153=0,"",(M153-J153)/J153*100)</f>
      </c>
      <c r="O153" s="27" t="n"/>
    </row>
    <row r="154" ht="15.5" customHeight="1">
      <c r="A154" s="259" t="n"/>
      <c r="B154" s="56" t="n"/>
      <c r="C154" s="63" t="n"/>
      <c r="D154" s="251" t="n"/>
      <c r="E154" s="539" t="n"/>
      <c r="F154" s="562" t="n"/>
      <c r="G154" s="562" t="n"/>
      <c r="H154" s="562" t="n"/>
      <c r="I154" s="562" t="n"/>
      <c r="J154" s="539" t="n"/>
      <c r="K154" s="38" t="n"/>
      <c r="L154" s="539" t="n"/>
      <c r="M154" s="539" t="n"/>
      <c r="N154" s="539">
        <f>IF(J154=0,"",(M154-J154)/J154*100)</f>
      </c>
      <c r="O154" s="27" t="n"/>
    </row>
    <row r="155" ht="15.5" customHeight="1">
      <c r="A155" s="259" t="n"/>
      <c r="B155" s="56" t="n"/>
      <c r="C155" s="63" t="n"/>
      <c r="D155" s="251" t="n"/>
      <c r="E155" s="539" t="n"/>
      <c r="F155" s="562" t="n"/>
      <c r="G155" s="562" t="n"/>
      <c r="H155" s="562" t="n"/>
      <c r="I155" s="562" t="n"/>
      <c r="J155" s="539" t="n"/>
      <c r="K155" s="38" t="n"/>
      <c r="L155" s="539" t="n"/>
      <c r="M155" s="539" t="n"/>
      <c r="N155" s="539">
        <f>IF(J155=0,"",(M155-J155)/J155*100)</f>
      </c>
      <c r="O155" s="27" t="n"/>
    </row>
    <row r="156" ht="15.5" customHeight="1">
      <c r="A156" s="259" t="n"/>
      <c r="B156" s="56" t="n"/>
      <c r="C156" s="63" t="n"/>
      <c r="D156" s="251" t="n"/>
      <c r="E156" s="539" t="n"/>
      <c r="F156" s="562" t="n"/>
      <c r="G156" s="562" t="n"/>
      <c r="H156" s="562" t="n"/>
      <c r="I156" s="562" t="n"/>
      <c r="J156" s="539" t="n"/>
      <c r="K156" s="38" t="n"/>
      <c r="L156" s="539" t="n"/>
      <c r="M156" s="539" t="n"/>
      <c r="N156" s="539">
        <f>IF(J156=0,"",(M156-J156)/J156*100)</f>
      </c>
      <c r="O156" s="27" t="n"/>
    </row>
    <row r="157" ht="15.5" customHeight="1">
      <c r="A157" s="259" t="n"/>
      <c r="B157" s="56" t="n"/>
      <c r="C157" s="63" t="n"/>
      <c r="D157" s="251" t="n"/>
      <c r="E157" s="539" t="n"/>
      <c r="F157" s="562" t="n"/>
      <c r="G157" s="562" t="n"/>
      <c r="H157" s="562" t="n"/>
      <c r="I157" s="562" t="n"/>
      <c r="J157" s="539" t="n"/>
      <c r="K157" s="38" t="n"/>
      <c r="L157" s="539" t="n"/>
      <c r="M157" s="539" t="n"/>
      <c r="N157" s="539">
        <f>IF(J157=0,"",(M157-J157)/J157*100)</f>
      </c>
      <c r="O157" s="27" t="n"/>
    </row>
    <row r="158" ht="15.5" customHeight="1">
      <c r="A158" s="259" t="n"/>
      <c r="B158" s="56" t="n"/>
      <c r="C158" s="63" t="n"/>
      <c r="D158" s="251" t="n"/>
      <c r="E158" s="539" t="n"/>
      <c r="F158" s="562" t="n"/>
      <c r="G158" s="562" t="n"/>
      <c r="H158" s="562" t="n"/>
      <c r="I158" s="562" t="n"/>
      <c r="J158" s="539" t="n"/>
      <c r="K158" s="38" t="n"/>
      <c r="L158" s="539" t="n"/>
      <c r="M158" s="539" t="n"/>
      <c r="N158" s="539">
        <f>IF(J158=0,"",(M158-J158)/J158*100)</f>
      </c>
      <c r="O158" s="27" t="n"/>
    </row>
    <row r="159" ht="15.5" customHeight="1">
      <c r="A159" s="259" t="n"/>
      <c r="B159" s="56" t="n"/>
      <c r="C159" s="63" t="n"/>
      <c r="D159" s="251" t="n"/>
      <c r="E159" s="539" t="n"/>
      <c r="F159" s="562" t="n"/>
      <c r="G159" s="562" t="n"/>
      <c r="H159" s="562" t="n"/>
      <c r="I159" s="562" t="n"/>
      <c r="J159" s="539" t="n"/>
      <c r="K159" s="38" t="n"/>
      <c r="L159" s="539" t="n"/>
      <c r="M159" s="539" t="n"/>
      <c r="N159" s="539">
        <f>IF(J159=0,"",(M159-J159)/J159*100)</f>
      </c>
      <c r="O159" s="27" t="n"/>
    </row>
    <row r="160" ht="15.5" customHeight="1">
      <c r="A160" s="259" t="n"/>
      <c r="B160" s="56" t="n"/>
      <c r="C160" s="63" t="n"/>
      <c r="D160" s="251" t="n"/>
      <c r="E160" s="539" t="n"/>
      <c r="F160" s="562" t="n"/>
      <c r="G160" s="562" t="n"/>
      <c r="H160" s="562" t="n"/>
      <c r="I160" s="562" t="n"/>
      <c r="J160" s="539" t="n"/>
      <c r="K160" s="38" t="n"/>
      <c r="L160" s="539" t="n"/>
      <c r="M160" s="539" t="n"/>
      <c r="N160" s="539">
        <f>IF(J160=0,"",(M160-J160)/J160*100)</f>
      </c>
      <c r="O160" s="27" t="n"/>
    </row>
    <row r="161" ht="15.5" customHeight="1">
      <c r="A161" s="259" t="n"/>
      <c r="B161" s="56" t="n"/>
      <c r="C161" s="63" t="n"/>
      <c r="D161" s="251" t="n"/>
      <c r="E161" s="539" t="n"/>
      <c r="F161" s="562" t="n"/>
      <c r="G161" s="562" t="n"/>
      <c r="H161" s="562" t="n"/>
      <c r="I161" s="562" t="n"/>
      <c r="J161" s="539" t="n"/>
      <c r="K161" s="38" t="n"/>
      <c r="L161" s="539" t="n"/>
      <c r="M161" s="539" t="n"/>
      <c r="N161" s="539">
        <f>IF(J161=0,"",(M161-J161)/J161*100)</f>
      </c>
      <c r="O161" s="27" t="n"/>
    </row>
    <row r="162" ht="15.5" customHeight="1">
      <c r="A162" s="259" t="n"/>
      <c r="B162" s="56" t="n"/>
      <c r="C162" s="63" t="n"/>
      <c r="D162" s="251" t="n"/>
      <c r="E162" s="539" t="n"/>
      <c r="F162" s="562" t="n"/>
      <c r="G162" s="562" t="n"/>
      <c r="H162" s="562" t="n"/>
      <c r="I162" s="562" t="n"/>
      <c r="J162" s="539" t="n"/>
      <c r="K162" s="38" t="n"/>
      <c r="L162" s="539" t="n"/>
      <c r="M162" s="539" t="n"/>
      <c r="N162" s="539">
        <f>IF(J162=0,"",(M162-J162)/J162*100)</f>
      </c>
      <c r="O162" s="27" t="n"/>
    </row>
    <row r="163" ht="15.5" customHeight="1">
      <c r="A163" s="259" t="n"/>
      <c r="B163" s="56" t="n"/>
      <c r="C163" s="63" t="n"/>
      <c r="D163" s="251" t="n"/>
      <c r="E163" s="539" t="n"/>
      <c r="F163" s="562" t="n"/>
      <c r="G163" s="562" t="n"/>
      <c r="H163" s="562" t="n"/>
      <c r="I163" s="562" t="n"/>
      <c r="J163" s="539" t="n"/>
      <c r="K163" s="38" t="n"/>
      <c r="L163" s="539" t="n"/>
      <c r="M163" s="539" t="n"/>
      <c r="N163" s="539">
        <f>IF(J163=0,"",(M163-J163)/J163*100)</f>
      </c>
      <c r="O163" s="27" t="n"/>
    </row>
    <row r="164" ht="15.5" customHeight="1">
      <c r="A164" s="259" t="n"/>
      <c r="B164" s="56" t="n"/>
      <c r="C164" s="63" t="n"/>
      <c r="D164" s="251" t="n"/>
      <c r="E164" s="539" t="n"/>
      <c r="F164" s="562" t="n"/>
      <c r="G164" s="562" t="n"/>
      <c r="H164" s="562" t="n"/>
      <c r="I164" s="562" t="n"/>
      <c r="J164" s="539" t="n"/>
      <c r="K164" s="38" t="n"/>
      <c r="L164" s="539" t="n"/>
      <c r="M164" s="539" t="n"/>
      <c r="N164" s="539">
        <f>IF(J164=0,"",(M164-J164)/J164*100)</f>
      </c>
      <c r="O164" s="27" t="n"/>
    </row>
    <row r="165" ht="15.5" customHeight="1">
      <c r="A165" s="259" t="n"/>
      <c r="B165" s="56" t="n"/>
      <c r="C165" s="63" t="n"/>
      <c r="D165" s="251" t="n"/>
      <c r="E165" s="539" t="n"/>
      <c r="F165" s="562" t="n"/>
      <c r="G165" s="562" t="n"/>
      <c r="H165" s="562" t="n"/>
      <c r="I165" s="562" t="n"/>
      <c r="J165" s="539" t="n"/>
      <c r="K165" s="38" t="n"/>
      <c r="L165" s="539" t="n"/>
      <c r="M165" s="539" t="n"/>
      <c r="N165" s="539">
        <f>IF(J165=0,"",(M165-J165)/J165*100)</f>
      </c>
      <c r="O165" s="27" t="n"/>
    </row>
    <row r="166" ht="15.5" customHeight="1">
      <c r="A166" s="259" t="n"/>
      <c r="B166" s="56" t="n"/>
      <c r="C166" s="63" t="n"/>
      <c r="D166" s="251" t="n"/>
      <c r="E166" s="539" t="n"/>
      <c r="F166" s="562" t="n"/>
      <c r="G166" s="562" t="n"/>
      <c r="H166" s="562" t="n"/>
      <c r="I166" s="562" t="n"/>
      <c r="J166" s="539" t="n"/>
      <c r="K166" s="38" t="n"/>
      <c r="L166" s="539" t="n"/>
      <c r="M166" s="539" t="n"/>
      <c r="N166" s="539">
        <f>IF(J166=0,"",(M166-J166)/J166*100)</f>
      </c>
      <c r="O166" s="27" t="n"/>
    </row>
    <row r="167" ht="15.5" customHeight="1">
      <c r="A167" s="259" t="n"/>
      <c r="B167" s="56" t="n"/>
      <c r="C167" s="63" t="n"/>
      <c r="D167" s="251" t="n"/>
      <c r="E167" s="539" t="n"/>
      <c r="F167" s="562" t="n"/>
      <c r="G167" s="562" t="n"/>
      <c r="H167" s="562" t="n"/>
      <c r="I167" s="562" t="n"/>
      <c r="J167" s="539" t="n"/>
      <c r="K167" s="38" t="n"/>
      <c r="L167" s="539" t="n"/>
      <c r="M167" s="539" t="n"/>
      <c r="N167" s="539">
        <f>IF(J167=0,"",(M167-J167)/J167*100)</f>
      </c>
      <c r="O167" s="27" t="n"/>
    </row>
    <row r="168" ht="15.5" customHeight="1">
      <c r="A168" s="259" t="n"/>
      <c r="B168" s="56" t="n"/>
      <c r="C168" s="63" t="n"/>
      <c r="D168" s="251" t="n"/>
      <c r="E168" s="539" t="n"/>
      <c r="F168" s="562" t="n"/>
      <c r="G168" s="562" t="n"/>
      <c r="H168" s="562" t="n"/>
      <c r="I168" s="562" t="n"/>
      <c r="J168" s="539" t="n"/>
      <c r="K168" s="38" t="n"/>
      <c r="L168" s="539" t="n"/>
      <c r="M168" s="539" t="n"/>
      <c r="N168" s="539">
        <f>IF(J168=0,"",(M168-J168)/J168*100)</f>
      </c>
      <c r="O168" s="27" t="n"/>
    </row>
    <row r="169" ht="15.5" customHeight="1">
      <c r="A169" s="259" t="n"/>
      <c r="B169" s="56" t="n"/>
      <c r="C169" s="63" t="n"/>
      <c r="D169" s="251" t="n"/>
      <c r="E169" s="539" t="n"/>
      <c r="F169" s="562" t="n"/>
      <c r="G169" s="562" t="n"/>
      <c r="H169" s="562" t="n"/>
      <c r="I169" s="562" t="n"/>
      <c r="J169" s="539" t="n"/>
      <c r="K169" s="38" t="n"/>
      <c r="L169" s="539" t="n"/>
      <c r="M169" s="539" t="n"/>
      <c r="N169" s="539">
        <f>IF(J169=0,"",(M169-J169)/J169*100)</f>
      </c>
      <c r="O169" s="27" t="n"/>
    </row>
    <row r="170" ht="15.5" customHeight="1">
      <c r="A170" s="259" t="n"/>
      <c r="B170" s="56" t="n"/>
      <c r="C170" s="63" t="n"/>
      <c r="D170" s="251" t="n"/>
      <c r="E170" s="539" t="n"/>
      <c r="F170" s="562" t="n"/>
      <c r="G170" s="562" t="n"/>
      <c r="H170" s="562" t="n"/>
      <c r="I170" s="562" t="n"/>
      <c r="J170" s="539" t="n"/>
      <c r="K170" s="38" t="n"/>
      <c r="L170" s="539" t="n"/>
      <c r="M170" s="539" t="n"/>
      <c r="N170" s="539">
        <f>IF(J170=0,"",(M170-J170)/J170*100)</f>
      </c>
      <c r="O170" s="27" t="n"/>
    </row>
    <row r="171" ht="15.5" customHeight="1">
      <c r="A171" s="259" t="n"/>
      <c r="B171" s="56" t="n"/>
      <c r="C171" s="63" t="n"/>
      <c r="D171" s="251" t="n"/>
      <c r="E171" s="539" t="n"/>
      <c r="F171" s="562" t="n"/>
      <c r="G171" s="562" t="n"/>
      <c r="H171" s="562" t="n"/>
      <c r="I171" s="562" t="n"/>
      <c r="J171" s="539" t="n"/>
      <c r="K171" s="38" t="n"/>
      <c r="L171" s="539" t="n"/>
      <c r="M171" s="539" t="n"/>
      <c r="N171" s="539">
        <f>IF(J171=0,"",(M171-J171)/J171*100)</f>
      </c>
      <c r="O171" s="27" t="n"/>
    </row>
    <row r="172" ht="15.5" customHeight="1">
      <c r="A172" s="259" t="n"/>
      <c r="B172" s="56" t="n"/>
      <c r="C172" s="63" t="n"/>
      <c r="D172" s="251" t="n"/>
      <c r="E172" s="539" t="n"/>
      <c r="F172" s="562" t="n"/>
      <c r="G172" s="562" t="n"/>
      <c r="H172" s="562" t="n"/>
      <c r="I172" s="562" t="n"/>
      <c r="J172" s="539" t="n"/>
      <c r="K172" s="38" t="n"/>
      <c r="L172" s="539" t="n"/>
      <c r="M172" s="539" t="n"/>
      <c r="N172" s="539">
        <f>IF(J172=0,"",(M172-J172)/J172*100)</f>
      </c>
      <c r="O172" s="27" t="n"/>
    </row>
    <row r="173" ht="15.5" customHeight="1">
      <c r="A173" s="259" t="n"/>
      <c r="B173" s="56" t="n"/>
      <c r="C173" s="63" t="n"/>
      <c r="D173" s="251" t="n"/>
      <c r="E173" s="539" t="n"/>
      <c r="F173" s="562" t="n"/>
      <c r="G173" s="562" t="n"/>
      <c r="H173" s="562" t="n"/>
      <c r="I173" s="562" t="n"/>
      <c r="J173" s="539" t="n"/>
      <c r="K173" s="38" t="n"/>
      <c r="L173" s="539" t="n"/>
      <c r="M173" s="539" t="n"/>
      <c r="N173" s="539">
        <f>IF(J173=0,"",(M173-J173)/J173*100)</f>
      </c>
      <c r="O173" s="27" t="n"/>
    </row>
    <row r="174" ht="15.5" customHeight="1">
      <c r="A174" s="259" t="n"/>
      <c r="B174" s="56" t="n"/>
      <c r="C174" s="63" t="n"/>
      <c r="D174" s="251" t="n"/>
      <c r="E174" s="539" t="n"/>
      <c r="F174" s="562" t="n"/>
      <c r="G174" s="562" t="n"/>
      <c r="H174" s="562" t="n"/>
      <c r="I174" s="562" t="n"/>
      <c r="J174" s="539" t="n"/>
      <c r="K174" s="38" t="n"/>
      <c r="L174" s="539" t="n"/>
      <c r="M174" s="539" t="n"/>
      <c r="N174" s="539">
        <f>IF(J174=0,"",(M174-J174)/J174*100)</f>
      </c>
      <c r="O174" s="27" t="n"/>
    </row>
    <row r="175" ht="15.5" customHeight="1">
      <c r="A175" s="259" t="n"/>
      <c r="B175" s="56" t="n"/>
      <c r="C175" s="63" t="n"/>
      <c r="D175" s="251" t="n"/>
      <c r="E175" s="539" t="n"/>
      <c r="F175" s="562" t="n"/>
      <c r="G175" s="562" t="n"/>
      <c r="H175" s="562" t="n"/>
      <c r="I175" s="562" t="n"/>
      <c r="J175" s="539" t="n"/>
      <c r="K175" s="38" t="n"/>
      <c r="L175" s="539" t="n"/>
      <c r="M175" s="539" t="n"/>
      <c r="N175" s="539">
        <f>IF(J175=0,"",(M175-J175)/J175*100)</f>
      </c>
      <c r="O175" s="27" t="n"/>
    </row>
    <row r="176" ht="15.5" customHeight="1">
      <c r="A176" s="259" t="n"/>
      <c r="B176" s="56" t="n"/>
      <c r="C176" s="63" t="n"/>
      <c r="D176" s="251" t="n"/>
      <c r="E176" s="539" t="n"/>
      <c r="F176" s="562" t="n"/>
      <c r="G176" s="562" t="n"/>
      <c r="H176" s="562" t="n"/>
      <c r="I176" s="562" t="n"/>
      <c r="J176" s="539" t="n"/>
      <c r="K176" s="38" t="n"/>
      <c r="L176" s="539" t="n"/>
      <c r="M176" s="539" t="n"/>
      <c r="N176" s="539">
        <f>IF(J176=0,"",(M176-J176)/J176*100)</f>
      </c>
      <c r="O176" s="27" t="n"/>
    </row>
    <row r="177" ht="15.5" customHeight="1">
      <c r="A177" s="259" t="n"/>
      <c r="B177" s="56" t="n"/>
      <c r="C177" s="63" t="n"/>
      <c r="D177" s="251" t="n"/>
      <c r="E177" s="539" t="n"/>
      <c r="F177" s="562" t="n"/>
      <c r="G177" s="562" t="n"/>
      <c r="H177" s="562" t="n"/>
      <c r="I177" s="562" t="n"/>
      <c r="J177" s="539" t="n"/>
      <c r="K177" s="38" t="n"/>
      <c r="L177" s="539" t="n"/>
      <c r="M177" s="539" t="n"/>
      <c r="N177" s="539">
        <f>IF(J177=0,"",(M177-J177)/J177*100)</f>
      </c>
      <c r="O177" s="27" t="n"/>
    </row>
    <row r="178" ht="15.5" customHeight="1">
      <c r="A178" s="259" t="n"/>
      <c r="B178" s="56" t="n"/>
      <c r="C178" s="63" t="n"/>
      <c r="D178" s="251" t="n"/>
      <c r="E178" s="539" t="n"/>
      <c r="F178" s="562" t="n"/>
      <c r="G178" s="562" t="n"/>
      <c r="H178" s="562" t="n"/>
      <c r="I178" s="562" t="n"/>
      <c r="J178" s="539" t="n"/>
      <c r="K178" s="38" t="n"/>
      <c r="L178" s="539" t="n"/>
      <c r="M178" s="539" t="n"/>
      <c r="N178" s="539">
        <f>IF(J178=0,"",(M178-J178)/J178*100)</f>
      </c>
      <c r="O178" s="27" t="n"/>
    </row>
    <row r="179" ht="15.5" customHeight="1">
      <c r="A179" s="259" t="n"/>
      <c r="B179" s="56" t="n"/>
      <c r="C179" s="63" t="n"/>
      <c r="D179" s="251" t="n"/>
      <c r="E179" s="539" t="n"/>
      <c r="F179" s="562" t="n"/>
      <c r="G179" s="562" t="n"/>
      <c r="H179" s="562" t="n"/>
      <c r="I179" s="562" t="n"/>
      <c r="J179" s="539" t="n"/>
      <c r="K179" s="38" t="n"/>
      <c r="L179" s="539" t="n"/>
      <c r="M179" s="539" t="n"/>
      <c r="N179" s="539">
        <f>IF(J179=0,"",(M179-J179)/J179*100)</f>
      </c>
      <c r="O179" s="27" t="n"/>
    </row>
    <row r="180" ht="15.5" customHeight="1">
      <c r="A180" s="259" t="n"/>
      <c r="B180" s="56" t="n"/>
      <c r="C180" s="63" t="n"/>
      <c r="D180" s="251" t="n"/>
      <c r="E180" s="539" t="n"/>
      <c r="F180" s="562" t="n"/>
      <c r="G180" s="562" t="n"/>
      <c r="H180" s="562" t="n"/>
      <c r="I180" s="562" t="n"/>
      <c r="J180" s="539" t="n"/>
      <c r="K180" s="38" t="n"/>
      <c r="L180" s="539" t="n"/>
      <c r="M180" s="539" t="n"/>
      <c r="N180" s="539">
        <f>IF(J180=0,"",(M180-J180)/J180*100)</f>
      </c>
      <c r="O180" s="27" t="n"/>
    </row>
    <row r="181" ht="15.5" customHeight="1">
      <c r="A181" s="259" t="n"/>
      <c r="B181" s="56" t="n"/>
      <c r="C181" s="63" t="n"/>
      <c r="D181" s="251" t="n"/>
      <c r="E181" s="539" t="n"/>
      <c r="F181" s="562" t="n"/>
      <c r="G181" s="562" t="n"/>
      <c r="H181" s="562" t="n"/>
      <c r="I181" s="562" t="n"/>
      <c r="J181" s="539" t="n"/>
      <c r="K181" s="38" t="n"/>
      <c r="L181" s="539" t="n"/>
      <c r="M181" s="539" t="n"/>
      <c r="N181" s="539">
        <f>IF(J181=0,"",(M181-J181)/J181*100)</f>
      </c>
      <c r="O181" s="27" t="n"/>
    </row>
    <row r="182" ht="15.5" customHeight="1">
      <c r="A182" s="259" t="n"/>
      <c r="B182" s="56" t="n"/>
      <c r="C182" s="63" t="n"/>
      <c r="D182" s="251" t="n"/>
      <c r="E182" s="539" t="n"/>
      <c r="F182" s="562" t="n"/>
      <c r="G182" s="562" t="n"/>
      <c r="H182" s="562" t="n"/>
      <c r="I182" s="562" t="n"/>
      <c r="J182" s="539" t="n"/>
      <c r="K182" s="38" t="n"/>
      <c r="L182" s="539" t="n"/>
      <c r="M182" s="539" t="n"/>
      <c r="N182" s="539">
        <f>IF(J182=0,"",(M182-J182)/J182*100)</f>
      </c>
      <c r="O182" s="27" t="n"/>
    </row>
    <row r="183" ht="15.5" customHeight="1">
      <c r="A183" s="259" t="n"/>
      <c r="B183" s="56" t="n"/>
      <c r="C183" s="63" t="n"/>
      <c r="D183" s="251" t="n"/>
      <c r="E183" s="539" t="n"/>
      <c r="F183" s="562" t="n"/>
      <c r="G183" s="562" t="n"/>
      <c r="H183" s="562" t="n"/>
      <c r="I183" s="562" t="n"/>
      <c r="J183" s="539" t="n"/>
      <c r="K183" s="38" t="n"/>
      <c r="L183" s="539" t="n"/>
      <c r="M183" s="539" t="n"/>
      <c r="N183" s="539">
        <f>IF(J183=0,"",(M183-J183)/J183*100)</f>
      </c>
      <c r="O183" s="27" t="n"/>
    </row>
    <row r="184" ht="15.5" customHeight="1">
      <c r="A184" s="259" t="n"/>
      <c r="B184" s="56" t="n"/>
      <c r="C184" s="63" t="n"/>
      <c r="D184" s="251" t="n"/>
      <c r="E184" s="539" t="n"/>
      <c r="F184" s="562" t="n"/>
      <c r="G184" s="562" t="n"/>
      <c r="H184" s="562" t="n"/>
      <c r="I184" s="562" t="n"/>
      <c r="J184" s="539" t="n"/>
      <c r="K184" s="38" t="n"/>
      <c r="L184" s="539" t="n"/>
      <c r="M184" s="539" t="n"/>
      <c r="N184" s="539">
        <f>IF(J184=0,"",(M184-J184)/J184*100)</f>
      </c>
      <c r="O184" s="27" t="n"/>
    </row>
    <row r="185" ht="15.5" customHeight="1">
      <c r="A185" s="259" t="n"/>
      <c r="B185" s="56" t="n"/>
      <c r="C185" s="63" t="n"/>
      <c r="D185" s="251" t="n"/>
      <c r="E185" s="539" t="n"/>
      <c r="F185" s="562" t="n"/>
      <c r="G185" s="562" t="n"/>
      <c r="H185" s="562" t="n"/>
      <c r="I185" s="562" t="n"/>
      <c r="J185" s="539" t="n"/>
      <c r="K185" s="38" t="n"/>
      <c r="L185" s="539" t="n"/>
      <c r="M185" s="539" t="n"/>
      <c r="N185" s="539">
        <f>IF(J185=0,"",(M185-J185)/J185*100)</f>
      </c>
      <c r="O185" s="27" t="n"/>
    </row>
    <row r="186" ht="15.5" customHeight="1">
      <c r="A186" s="259" t="n"/>
      <c r="B186" s="56" t="n"/>
      <c r="C186" s="63" t="n"/>
      <c r="D186" s="251" t="n"/>
      <c r="E186" s="539" t="n"/>
      <c r="F186" s="562" t="n"/>
      <c r="G186" s="562" t="n"/>
      <c r="H186" s="562" t="n"/>
      <c r="I186" s="562" t="n"/>
      <c r="J186" s="539" t="n"/>
      <c r="K186" s="38" t="n"/>
      <c r="L186" s="539" t="n"/>
      <c r="M186" s="539" t="n"/>
      <c r="N186" s="539">
        <f>IF(J186=0,"",(M186-J186)/J186*100)</f>
      </c>
      <c r="O186" s="27" t="n"/>
    </row>
    <row r="187" ht="15.5" customHeight="1">
      <c r="A187" s="259" t="n"/>
      <c r="B187" s="56" t="n"/>
      <c r="C187" s="63" t="n"/>
      <c r="D187" s="251" t="n"/>
      <c r="E187" s="539" t="n"/>
      <c r="F187" s="562" t="n"/>
      <c r="G187" s="562" t="n"/>
      <c r="H187" s="562" t="n"/>
      <c r="I187" s="562" t="n"/>
      <c r="J187" s="539" t="n"/>
      <c r="K187" s="38" t="n"/>
      <c r="L187" s="539" t="n"/>
      <c r="M187" s="539" t="n"/>
      <c r="N187" s="539">
        <f>IF(J187=0,"",(M187-J187)/J187*100)</f>
      </c>
      <c r="O187" s="27" t="n"/>
    </row>
    <row r="188" ht="15.5" customHeight="1">
      <c r="A188" s="259" t="n"/>
      <c r="B188" s="56" t="n"/>
      <c r="C188" s="63" t="n"/>
      <c r="D188" s="251" t="n"/>
      <c r="E188" s="539" t="n"/>
      <c r="F188" s="562" t="n"/>
      <c r="G188" s="562" t="n"/>
      <c r="H188" s="562" t="n"/>
      <c r="I188" s="562" t="n"/>
      <c r="J188" s="539" t="n"/>
      <c r="K188" s="38" t="n"/>
      <c r="L188" s="539" t="n"/>
      <c r="M188" s="539" t="n"/>
      <c r="N188" s="539">
        <f>IF(J188=0,"",(M188-J188)/J188*100)</f>
      </c>
      <c r="O188" s="27" t="n"/>
    </row>
    <row r="189" ht="15.5" customHeight="1">
      <c r="A189" s="259" t="n"/>
      <c r="B189" s="56" t="n"/>
      <c r="C189" s="63" t="n"/>
      <c r="D189" s="251" t="n"/>
      <c r="E189" s="539" t="n"/>
      <c r="F189" s="562" t="n"/>
      <c r="G189" s="562" t="n"/>
      <c r="H189" s="562" t="n"/>
      <c r="I189" s="562" t="n"/>
      <c r="J189" s="539" t="n"/>
      <c r="K189" s="38" t="n"/>
      <c r="L189" s="539" t="n"/>
      <c r="M189" s="539" t="n"/>
      <c r="N189" s="539">
        <f>IF(J189=0,"",(M189-J189)/J189*100)</f>
      </c>
      <c r="O189" s="27" t="n"/>
    </row>
    <row r="190" ht="15.5" customHeight="1">
      <c r="A190" s="259" t="n"/>
      <c r="B190" s="56" t="n"/>
      <c r="C190" s="63" t="n"/>
      <c r="D190" s="251" t="n"/>
      <c r="E190" s="539" t="n"/>
      <c r="F190" s="562" t="n"/>
      <c r="G190" s="562" t="n"/>
      <c r="H190" s="562" t="n"/>
      <c r="I190" s="562" t="n"/>
      <c r="J190" s="539" t="n"/>
      <c r="K190" s="38" t="n"/>
      <c r="L190" s="539" t="n"/>
      <c r="M190" s="539" t="n"/>
      <c r="N190" s="539">
        <f>IF(J190=0,"",(M190-J190)/J190*100)</f>
      </c>
      <c r="O190" s="27" t="n"/>
    </row>
    <row r="191" ht="15.5" customHeight="1">
      <c r="A191" s="259" t="n"/>
      <c r="B191" s="56" t="n"/>
      <c r="C191" s="63" t="n"/>
      <c r="D191" s="251" t="n"/>
      <c r="E191" s="539" t="n"/>
      <c r="F191" s="562" t="n"/>
      <c r="G191" s="562" t="n"/>
      <c r="H191" s="562" t="n"/>
      <c r="I191" s="562" t="n"/>
      <c r="J191" s="539" t="n"/>
      <c r="K191" s="38" t="n"/>
      <c r="L191" s="539" t="n"/>
      <c r="M191" s="539" t="n"/>
      <c r="N191" s="539">
        <f>IF(J191=0,"",(M191-J191)/J191*100)</f>
      </c>
      <c r="O191" s="27" t="n"/>
    </row>
    <row r="192" ht="15.5" customHeight="1">
      <c r="A192" s="259" t="n"/>
      <c r="B192" s="56" t="n"/>
      <c r="C192" s="63" t="n"/>
      <c r="D192" s="251" t="n"/>
      <c r="E192" s="539" t="n"/>
      <c r="F192" s="562" t="n"/>
      <c r="G192" s="562" t="n"/>
      <c r="H192" s="562" t="n"/>
      <c r="I192" s="562" t="n"/>
      <c r="J192" s="539" t="n"/>
      <c r="K192" s="38" t="n"/>
      <c r="L192" s="539" t="n"/>
      <c r="M192" s="539" t="n"/>
      <c r="N192" s="539">
        <f>IF(J192=0,"",(M192-J192)/J192*100)</f>
      </c>
      <c r="O192" s="27" t="n"/>
    </row>
    <row r="193" ht="15.5" customHeight="1">
      <c r="A193" s="259" t="n"/>
      <c r="B193" s="56" t="n"/>
      <c r="C193" s="63" t="n"/>
      <c r="D193" s="251" t="n"/>
      <c r="E193" s="539" t="n"/>
      <c r="F193" s="562" t="n"/>
      <c r="G193" s="562" t="n"/>
      <c r="H193" s="562" t="n"/>
      <c r="I193" s="562" t="n"/>
      <c r="J193" s="539" t="n"/>
      <c r="K193" s="38" t="n"/>
      <c r="L193" s="539" t="n"/>
      <c r="M193" s="539" t="n"/>
      <c r="N193" s="539">
        <f>IF(J193=0,"",(M193-J193)/J193*100)</f>
      </c>
      <c r="O193" s="27" t="n"/>
    </row>
    <row r="194" ht="15.5" customHeight="1">
      <c r="A194" s="259" t="n"/>
      <c r="B194" s="56" t="n"/>
      <c r="C194" s="63" t="n"/>
      <c r="D194" s="251" t="n"/>
      <c r="E194" s="539" t="n"/>
      <c r="F194" s="562" t="n"/>
      <c r="G194" s="562" t="n"/>
      <c r="H194" s="562" t="n"/>
      <c r="I194" s="562" t="n"/>
      <c r="J194" s="539" t="n"/>
      <c r="K194" s="38" t="n"/>
      <c r="L194" s="539" t="n"/>
      <c r="M194" s="539" t="n"/>
      <c r="N194" s="539">
        <f>IF(J194=0,"",(M194-J194)/J194*100)</f>
      </c>
      <c r="O194" s="27" t="n"/>
    </row>
    <row r="195" ht="15.5" customHeight="1">
      <c r="A195" s="259" t="n"/>
      <c r="B195" s="56" t="n"/>
      <c r="C195" s="63" t="n"/>
      <c r="D195" s="251" t="n"/>
      <c r="E195" s="539" t="n"/>
      <c r="F195" s="562" t="n"/>
      <c r="G195" s="562" t="n"/>
      <c r="H195" s="562" t="n"/>
      <c r="I195" s="562" t="n"/>
      <c r="J195" s="539" t="n"/>
      <c r="K195" s="38" t="n"/>
      <c r="L195" s="539" t="n"/>
      <c r="M195" s="539" t="n"/>
      <c r="N195" s="539">
        <f>IF(J195=0,"",(M195-J195)/J195*100)</f>
      </c>
      <c r="O195" s="27" t="n"/>
    </row>
    <row r="196" ht="15.5" customHeight="1">
      <c r="A196" s="259" t="n"/>
      <c r="B196" s="56" t="n"/>
      <c r="C196" s="63" t="n"/>
      <c r="D196" s="251" t="n"/>
      <c r="E196" s="539" t="n"/>
      <c r="F196" s="562" t="n"/>
      <c r="G196" s="562" t="n"/>
      <c r="H196" s="562" t="n"/>
      <c r="I196" s="562" t="n"/>
      <c r="J196" s="539" t="n"/>
      <c r="K196" s="38" t="n"/>
      <c r="L196" s="539" t="n"/>
      <c r="M196" s="539" t="n"/>
      <c r="N196" s="539">
        <f>IF(J196=0,"",(M196-J196)/J196*100)</f>
      </c>
      <c r="O196" s="27" t="n"/>
    </row>
    <row r="197" ht="15.5" customHeight="1">
      <c r="A197" s="259" t="n"/>
      <c r="B197" s="56" t="n"/>
      <c r="C197" s="63" t="n"/>
      <c r="D197" s="251" t="n"/>
      <c r="E197" s="539" t="n"/>
      <c r="F197" s="562" t="n"/>
      <c r="G197" s="562" t="n"/>
      <c r="H197" s="562" t="n"/>
      <c r="I197" s="562" t="n"/>
      <c r="J197" s="539" t="n"/>
      <c r="K197" s="38" t="n"/>
      <c r="L197" s="539" t="n"/>
      <c r="M197" s="539" t="n"/>
      <c r="N197" s="539">
        <f>IF(J197=0,"",(M197-J197)/J197*100)</f>
      </c>
      <c r="O197" s="27" t="n"/>
    </row>
    <row r="198" ht="15.5" customHeight="1">
      <c r="A198" s="259" t="n"/>
      <c r="B198" s="56" t="n"/>
      <c r="C198" s="63" t="n"/>
      <c r="D198" s="251" t="n"/>
      <c r="E198" s="539" t="n"/>
      <c r="F198" s="562" t="n"/>
      <c r="G198" s="562" t="n"/>
      <c r="H198" s="562" t="n"/>
      <c r="I198" s="562" t="n"/>
      <c r="J198" s="539" t="n"/>
      <c r="K198" s="38" t="n"/>
      <c r="L198" s="539" t="n"/>
      <c r="M198" s="539" t="n"/>
      <c r="N198" s="539">
        <f>IF(J198=0,"",(M198-J198)/J198*100)</f>
      </c>
      <c r="O198" s="27" t="n"/>
    </row>
    <row r="199" ht="15.5" customHeight="1">
      <c r="A199" s="259" t="n"/>
      <c r="B199" s="56" t="n"/>
      <c r="C199" s="63" t="n"/>
      <c r="D199" s="251" t="n"/>
      <c r="E199" s="539" t="n"/>
      <c r="F199" s="562" t="n"/>
      <c r="G199" s="562" t="n"/>
      <c r="H199" s="562" t="n"/>
      <c r="I199" s="562" t="n"/>
      <c r="J199" s="539" t="n"/>
      <c r="K199" s="38" t="n"/>
      <c r="L199" s="539" t="n"/>
      <c r="M199" s="539" t="n"/>
      <c r="N199" s="539">
        <f>IF(J199=0,"",(M199-J199)/J199*100)</f>
      </c>
      <c r="O199" s="27" t="n"/>
    </row>
    <row r="200" ht="15.5" customHeight="1">
      <c r="A200" s="259" t="n"/>
      <c r="B200" s="56" t="n"/>
      <c r="C200" s="63" t="n"/>
      <c r="D200" s="251" t="n"/>
      <c r="E200" s="539" t="n"/>
      <c r="F200" s="562" t="n"/>
      <c r="G200" s="562" t="n"/>
      <c r="H200" s="562" t="n"/>
      <c r="I200" s="562" t="n"/>
      <c r="J200" s="539" t="n"/>
      <c r="K200" s="38" t="n"/>
      <c r="L200" s="539" t="n"/>
      <c r="M200" s="539" t="n"/>
      <c r="N200" s="539">
        <f>IF(J200=0,"",(M200-J200)/J200*100)</f>
      </c>
      <c r="O200" s="27" t="n"/>
    </row>
    <row r="201" ht="15.5" customHeight="1">
      <c r="A201" s="259" t="n"/>
      <c r="B201" s="56" t="n"/>
      <c r="C201" s="63" t="n"/>
      <c r="D201" s="251" t="n"/>
      <c r="E201" s="539" t="n"/>
      <c r="F201" s="562" t="n"/>
      <c r="G201" s="562" t="n"/>
      <c r="H201" s="562" t="n"/>
      <c r="I201" s="562" t="n"/>
      <c r="J201" s="539" t="n"/>
      <c r="K201" s="38" t="n"/>
      <c r="L201" s="539" t="n"/>
      <c r="M201" s="539" t="n"/>
      <c r="N201" s="539">
        <f>IF(J201=0,"",(M201-J201)/J201*100)</f>
      </c>
      <c r="O201" s="27" t="n"/>
    </row>
    <row r="202" ht="15.5" customHeight="1">
      <c r="A202" s="259" t="n"/>
      <c r="B202" s="56" t="n"/>
      <c r="C202" s="63" t="n"/>
      <c r="D202" s="251" t="n"/>
      <c r="E202" s="539" t="n"/>
      <c r="F202" s="562" t="n"/>
      <c r="G202" s="562" t="n"/>
      <c r="H202" s="562" t="n"/>
      <c r="I202" s="562" t="n"/>
      <c r="J202" s="539" t="n"/>
      <c r="K202" s="38" t="n"/>
      <c r="L202" s="539" t="n"/>
      <c r="M202" s="539" t="n"/>
      <c r="N202" s="539">
        <f>IF(J202=0,"",(M202-J202)/J202*100)</f>
      </c>
      <c r="O202" s="27" t="n"/>
    </row>
    <row r="203" ht="15.5" customHeight="1">
      <c r="A203" s="259" t="n"/>
      <c r="B203" s="56" t="n"/>
      <c r="C203" s="63" t="n"/>
      <c r="D203" s="251" t="n"/>
      <c r="E203" s="539" t="n"/>
      <c r="F203" s="562" t="n"/>
      <c r="G203" s="562" t="n"/>
      <c r="H203" s="562" t="n"/>
      <c r="I203" s="562" t="n"/>
      <c r="J203" s="539" t="n"/>
      <c r="K203" s="38" t="n"/>
      <c r="L203" s="539" t="n"/>
      <c r="M203" s="539" t="n"/>
      <c r="N203" s="539">
        <f>IF(J203=0,"",(M203-J203)/J203*100)</f>
      </c>
      <c r="O203" s="27" t="n"/>
    </row>
    <row r="204" ht="15.5" customHeight="1">
      <c r="A204" s="259" t="n"/>
      <c r="B204" s="56" t="n"/>
      <c r="C204" s="63" t="n"/>
      <c r="D204" s="251" t="n"/>
      <c r="E204" s="539" t="n"/>
      <c r="F204" s="562" t="n"/>
      <c r="G204" s="562" t="n"/>
      <c r="H204" s="562" t="n"/>
      <c r="I204" s="562" t="n"/>
      <c r="J204" s="539" t="n"/>
      <c r="K204" s="38" t="n"/>
      <c r="L204" s="539" t="n"/>
      <c r="M204" s="539" t="n"/>
      <c r="N204" s="539">
        <f>IF(J204=0,"",(M204-J204)/J204*100)</f>
      </c>
      <c r="O204" s="27" t="n"/>
    </row>
    <row r="205" ht="15.5" customHeight="1">
      <c r="A205" s="259" t="n"/>
      <c r="B205" s="56" t="n"/>
      <c r="C205" s="63" t="n"/>
      <c r="D205" s="251" t="n"/>
      <c r="E205" s="539" t="n"/>
      <c r="F205" s="562" t="n"/>
      <c r="G205" s="562" t="n"/>
      <c r="H205" s="562" t="n"/>
      <c r="I205" s="562" t="n"/>
      <c r="J205" s="539" t="n"/>
      <c r="K205" s="38" t="n"/>
      <c r="L205" s="539" t="n"/>
      <c r="M205" s="539" t="n"/>
      <c r="N205" s="539">
        <f>IF(J205=0,"",(M205-J205)/J205*100)</f>
      </c>
      <c r="O205" s="27" t="n"/>
    </row>
    <row r="206" ht="15.5" customHeight="1">
      <c r="A206" s="259" t="n"/>
      <c r="B206" s="56" t="n"/>
      <c r="C206" s="63" t="n"/>
      <c r="D206" s="251" t="n"/>
      <c r="E206" s="539" t="n"/>
      <c r="F206" s="562" t="n"/>
      <c r="G206" s="562" t="n"/>
      <c r="H206" s="562" t="n"/>
      <c r="I206" s="562" t="n"/>
      <c r="J206" s="539" t="n"/>
      <c r="K206" s="38" t="n"/>
      <c r="L206" s="539" t="n"/>
      <c r="M206" s="539" t="n"/>
      <c r="N206" s="539">
        <f>IF(J206=0,"",(M206-J206)/J206*100)</f>
      </c>
      <c r="O206" s="27" t="n"/>
    </row>
    <row r="207" ht="15.5" customHeight="1">
      <c r="A207" s="259" t="n"/>
      <c r="B207" s="56" t="n"/>
      <c r="C207" s="63" t="n"/>
      <c r="D207" s="251" t="n"/>
      <c r="E207" s="539" t="n"/>
      <c r="F207" s="562" t="n"/>
      <c r="G207" s="562" t="n"/>
      <c r="H207" s="562" t="n"/>
      <c r="I207" s="562" t="n"/>
      <c r="J207" s="539" t="n"/>
      <c r="K207" s="38" t="n"/>
      <c r="L207" s="539" t="n"/>
      <c r="M207" s="539" t="n"/>
      <c r="N207" s="539">
        <f>IF(J207=0,"",(M207-J207)/J207*100)</f>
      </c>
      <c r="O207" s="27" t="n"/>
    </row>
    <row r="208" ht="15.5" customHeight="1">
      <c r="A208" s="259" t="n"/>
      <c r="B208" s="56" t="n"/>
      <c r="C208" s="63" t="n"/>
      <c r="D208" s="251" t="n"/>
      <c r="E208" s="539" t="n"/>
      <c r="F208" s="562" t="n"/>
      <c r="G208" s="562" t="n"/>
      <c r="H208" s="562" t="n"/>
      <c r="I208" s="562" t="n"/>
      <c r="J208" s="539" t="n"/>
      <c r="K208" s="38" t="n"/>
      <c r="L208" s="539" t="n"/>
      <c r="M208" s="539" t="n"/>
      <c r="N208" s="539">
        <f>IF(J208=0,"",(M208-J208)/J208*100)</f>
      </c>
      <c r="O208" s="27" t="n"/>
    </row>
    <row r="209" ht="15.5" customHeight="1">
      <c r="A209" s="259" t="n"/>
      <c r="B209" s="56" t="n"/>
      <c r="C209" s="63" t="n"/>
      <c r="D209" s="251" t="n"/>
      <c r="E209" s="539" t="n"/>
      <c r="F209" s="562" t="n"/>
      <c r="G209" s="562" t="n"/>
      <c r="H209" s="562" t="n"/>
      <c r="I209" s="562" t="n"/>
      <c r="J209" s="539" t="n"/>
      <c r="K209" s="38" t="n"/>
      <c r="L209" s="539" t="n"/>
      <c r="M209" s="539" t="n"/>
      <c r="N209" s="539">
        <f>IF(J209=0,"",(M209-J209)/J209*100)</f>
      </c>
      <c r="O209" s="27" t="n"/>
    </row>
    <row r="210" ht="15.5" customHeight="1">
      <c r="A210" s="259" t="n"/>
      <c r="B210" s="56" t="n"/>
      <c r="C210" s="63" t="n"/>
      <c r="D210" s="251" t="n"/>
      <c r="E210" s="539" t="n"/>
      <c r="F210" s="562" t="n"/>
      <c r="G210" s="562" t="n"/>
      <c r="H210" s="562" t="n"/>
      <c r="I210" s="562" t="n"/>
      <c r="J210" s="539" t="n"/>
      <c r="K210" s="38" t="n"/>
      <c r="L210" s="539" t="n"/>
      <c r="M210" s="539" t="n"/>
      <c r="N210" s="539">
        <f>IF(J210=0,"",(M210-J210)/J210*100)</f>
      </c>
      <c r="O210" s="27" t="n"/>
    </row>
    <row r="211" ht="15.5" customHeight="1">
      <c r="A211" s="259" t="n"/>
      <c r="B211" s="56" t="n"/>
      <c r="C211" s="63" t="n"/>
      <c r="D211" s="251" t="n"/>
      <c r="E211" s="539" t="n"/>
      <c r="F211" s="562" t="n"/>
      <c r="G211" s="562" t="n"/>
      <c r="H211" s="562" t="n"/>
      <c r="I211" s="562" t="n"/>
      <c r="J211" s="539" t="n"/>
      <c r="K211" s="38" t="n"/>
      <c r="L211" s="539" t="n"/>
      <c r="M211" s="539" t="n"/>
      <c r="N211" s="539">
        <f>IF(J211=0,"",(M211-J211)/J211*100)</f>
      </c>
      <c r="O211" s="27" t="n"/>
    </row>
    <row r="212" ht="15.5" customHeight="1">
      <c r="A212" s="259" t="n"/>
      <c r="B212" s="56" t="n"/>
      <c r="C212" s="63" t="n"/>
      <c r="D212" s="251" t="n"/>
      <c r="E212" s="539" t="n"/>
      <c r="F212" s="562" t="n"/>
      <c r="G212" s="562" t="n"/>
      <c r="H212" s="562" t="n"/>
      <c r="I212" s="562" t="n"/>
      <c r="J212" s="539" t="n"/>
      <c r="K212" s="38" t="n"/>
      <c r="L212" s="539" t="n"/>
      <c r="M212" s="539" t="n"/>
      <c r="N212" s="539">
        <f>IF(J212=0,"",(M212-J212)/J212*100)</f>
      </c>
      <c r="O212" s="27" t="n"/>
    </row>
    <row r="213" ht="15.5" customHeight="1">
      <c r="A213" s="259" t="n"/>
      <c r="B213" s="56" t="n"/>
      <c r="C213" s="63" t="n"/>
      <c r="D213" s="251" t="n"/>
      <c r="E213" s="539" t="n"/>
      <c r="F213" s="562" t="n"/>
      <c r="G213" s="562" t="n"/>
      <c r="H213" s="562" t="n"/>
      <c r="I213" s="562" t="n"/>
      <c r="J213" s="539" t="n"/>
      <c r="K213" s="38" t="n"/>
      <c r="L213" s="539" t="n"/>
      <c r="M213" s="539" t="n"/>
      <c r="N213" s="539">
        <f>IF(J213=0,"",(M213-J213)/J213*100)</f>
      </c>
      <c r="O213" s="27" t="n"/>
    </row>
    <row r="214" ht="15.5" customHeight="1">
      <c r="A214" s="259" t="n"/>
      <c r="B214" s="56" t="n"/>
      <c r="C214" s="63" t="n"/>
      <c r="D214" s="251" t="n"/>
      <c r="E214" s="539" t="n"/>
      <c r="F214" s="562" t="n"/>
      <c r="G214" s="562" t="n"/>
      <c r="H214" s="562" t="n"/>
      <c r="I214" s="562" t="n"/>
      <c r="J214" s="539" t="n"/>
      <c r="K214" s="38" t="n"/>
      <c r="L214" s="539" t="n"/>
      <c r="M214" s="539" t="n"/>
      <c r="N214" s="539">
        <f>IF(J214=0,"",(M214-J214)/J214*100)</f>
      </c>
      <c r="O214" s="27" t="n"/>
    </row>
    <row r="215" ht="15.5" customHeight="1">
      <c r="A215" s="259" t="n"/>
      <c r="B215" s="56" t="n"/>
      <c r="C215" s="63" t="n"/>
      <c r="D215" s="251" t="n"/>
      <c r="E215" s="539" t="n"/>
      <c r="F215" s="562" t="n"/>
      <c r="G215" s="562" t="n"/>
      <c r="H215" s="562" t="n"/>
      <c r="I215" s="562" t="n"/>
      <c r="J215" s="539" t="n"/>
      <c r="K215" s="38" t="n"/>
      <c r="L215" s="539" t="n"/>
      <c r="M215" s="539" t="n"/>
      <c r="N215" s="539">
        <f>IF(J215=0,"",(M215-J215)/J215*100)</f>
      </c>
      <c r="O215" s="27" t="n"/>
    </row>
    <row r="216" ht="15.5" customHeight="1">
      <c r="A216" s="259" t="n"/>
      <c r="B216" s="56" t="n"/>
      <c r="C216" s="63" t="n"/>
      <c r="D216" s="251" t="n"/>
      <c r="E216" s="539" t="n"/>
      <c r="F216" s="562" t="n"/>
      <c r="G216" s="562" t="n"/>
      <c r="H216" s="562" t="n"/>
      <c r="I216" s="562" t="n"/>
      <c r="J216" s="539" t="n"/>
      <c r="K216" s="38" t="n"/>
      <c r="L216" s="539" t="n"/>
      <c r="M216" s="539" t="n"/>
      <c r="N216" s="539">
        <f>IF(J216=0,"",(M216-J216)/J216*100)</f>
      </c>
      <c r="O216" s="27" t="n"/>
    </row>
    <row r="217" ht="15.5" customHeight="1">
      <c r="A217" s="259" t="n"/>
      <c r="B217" s="56" t="n"/>
      <c r="C217" s="63" t="n"/>
      <c r="D217" s="251" t="n"/>
      <c r="E217" s="539" t="n"/>
      <c r="F217" s="562" t="n"/>
      <c r="G217" s="562" t="n"/>
      <c r="H217" s="562" t="n"/>
      <c r="I217" s="562" t="n"/>
      <c r="J217" s="539" t="n"/>
      <c r="K217" s="38" t="n"/>
      <c r="L217" s="539" t="n"/>
      <c r="M217" s="539" t="n"/>
      <c r="N217" s="539">
        <f>IF(J217=0,"",(M217-J217)/J217*100)</f>
      </c>
      <c r="O217" s="27" t="n"/>
    </row>
    <row r="218" ht="15.5" customHeight="1">
      <c r="A218" s="259" t="n"/>
      <c r="B218" s="56" t="n"/>
      <c r="C218" s="63" t="n"/>
      <c r="D218" s="251" t="n"/>
      <c r="E218" s="539" t="n"/>
      <c r="F218" s="562" t="n"/>
      <c r="G218" s="562" t="n"/>
      <c r="H218" s="562" t="n"/>
      <c r="I218" s="562" t="n"/>
      <c r="J218" s="539" t="n"/>
      <c r="K218" s="38" t="n"/>
      <c r="L218" s="539" t="n"/>
      <c r="M218" s="539" t="n"/>
      <c r="N218" s="539">
        <f>IF(J218=0,"",(M218-J218)/J218*100)</f>
      </c>
      <c r="O218" s="27" t="n"/>
    </row>
    <row r="219" ht="15.5" customHeight="1">
      <c r="A219" s="259" t="n"/>
      <c r="B219" s="56" t="n"/>
      <c r="C219" s="63" t="n"/>
      <c r="D219" s="251" t="n"/>
      <c r="E219" s="539" t="n"/>
      <c r="F219" s="562" t="n"/>
      <c r="G219" s="562" t="n"/>
      <c r="H219" s="562" t="n"/>
      <c r="I219" s="562" t="n"/>
      <c r="J219" s="539" t="n"/>
      <c r="K219" s="38" t="n"/>
      <c r="L219" s="539" t="n"/>
      <c r="M219" s="539" t="n"/>
      <c r="N219" s="539">
        <f>IF(J219=0,"",(M219-J219)/J219*100)</f>
      </c>
      <c r="O219" s="27" t="n"/>
    </row>
    <row r="220" ht="15.5" customHeight="1">
      <c r="A220" s="259" t="n"/>
      <c r="B220" s="56" t="n"/>
      <c r="C220" s="63" t="n"/>
      <c r="D220" s="251" t="n"/>
      <c r="E220" s="539" t="n"/>
      <c r="F220" s="562" t="n"/>
      <c r="G220" s="562" t="n"/>
      <c r="H220" s="562" t="n"/>
      <c r="I220" s="562" t="n"/>
      <c r="J220" s="539" t="n"/>
      <c r="K220" s="38" t="n"/>
      <c r="L220" s="539" t="n"/>
      <c r="M220" s="539" t="n"/>
      <c r="N220" s="539">
        <f>IF(J220=0,"",(M220-J220)/J220*100)</f>
      </c>
      <c r="O220" s="27" t="n"/>
    </row>
    <row r="221" ht="15.5" customHeight="1">
      <c r="A221" s="259" t="n"/>
      <c r="B221" s="56" t="n"/>
      <c r="C221" s="63" t="n"/>
      <c r="D221" s="251" t="n"/>
      <c r="E221" s="539" t="n"/>
      <c r="F221" s="562" t="n"/>
      <c r="G221" s="562" t="n"/>
      <c r="H221" s="562" t="n"/>
      <c r="I221" s="562" t="n"/>
      <c r="J221" s="539" t="n"/>
      <c r="K221" s="38" t="n"/>
      <c r="L221" s="539" t="n"/>
      <c r="M221" s="539" t="n"/>
      <c r="N221" s="539">
        <f>IF(J221=0,"",(M221-J221)/J221*100)</f>
      </c>
      <c r="O221" s="27" t="n"/>
    </row>
    <row r="222" ht="15.5" customHeight="1">
      <c r="A222" s="259" t="n"/>
      <c r="B222" s="56" t="n"/>
      <c r="C222" s="63" t="n"/>
      <c r="D222" s="251" t="n"/>
      <c r="E222" s="539" t="n"/>
      <c r="F222" s="562" t="n"/>
      <c r="G222" s="562" t="n"/>
      <c r="H222" s="562" t="n"/>
      <c r="I222" s="562" t="n"/>
      <c r="J222" s="539" t="n"/>
      <c r="K222" s="38" t="n"/>
      <c r="L222" s="539" t="n"/>
      <c r="M222" s="539" t="n"/>
      <c r="N222" s="539">
        <f>IF(J222=0,"",(M222-J222)/J222*100)</f>
      </c>
      <c r="O222" s="27" t="n"/>
    </row>
    <row r="223" ht="15.5" customHeight="1">
      <c r="A223" s="259" t="n"/>
      <c r="B223" s="56" t="n"/>
      <c r="C223" s="63" t="n"/>
      <c r="D223" s="251" t="n"/>
      <c r="E223" s="539" t="n"/>
      <c r="F223" s="562" t="n"/>
      <c r="G223" s="562" t="n"/>
      <c r="H223" s="562" t="n"/>
      <c r="I223" s="562" t="n"/>
      <c r="J223" s="539" t="n"/>
      <c r="K223" s="38" t="n"/>
      <c r="L223" s="539" t="n"/>
      <c r="M223" s="539" t="n"/>
      <c r="N223" s="539">
        <f>IF(J223=0,"",(M223-J223)/J223*100)</f>
      </c>
      <c r="O223" s="27" t="n"/>
    </row>
    <row r="224" ht="15.5" customHeight="1">
      <c r="A224" s="259" t="n"/>
      <c r="B224" s="56" t="n"/>
      <c r="C224" s="63" t="n"/>
      <c r="D224" s="251" t="n"/>
      <c r="E224" s="539" t="n"/>
      <c r="F224" s="562" t="n"/>
      <c r="G224" s="562" t="n"/>
      <c r="H224" s="562" t="n"/>
      <c r="I224" s="562" t="n"/>
      <c r="J224" s="539" t="n"/>
      <c r="K224" s="38" t="n"/>
      <c r="L224" s="539" t="n"/>
      <c r="M224" s="539" t="n"/>
      <c r="N224" s="539">
        <f>IF(J224=0,"",(M224-J224)/J224*100)</f>
      </c>
      <c r="O224" s="27" t="n"/>
    </row>
    <row r="225" ht="15.5" customHeight="1">
      <c r="A225" s="259" t="n"/>
      <c r="B225" s="56" t="n"/>
      <c r="C225" s="63" t="n"/>
      <c r="D225" s="251" t="n"/>
      <c r="E225" s="539" t="n"/>
      <c r="F225" s="562" t="n"/>
      <c r="G225" s="562" t="n"/>
      <c r="H225" s="562" t="n"/>
      <c r="I225" s="562" t="n"/>
      <c r="J225" s="539" t="n"/>
      <c r="K225" s="38" t="n"/>
      <c r="L225" s="539" t="n"/>
      <c r="M225" s="539" t="n"/>
      <c r="N225" s="539">
        <f>IF(J225=0,"",(M225-J225)/J225*100)</f>
      </c>
      <c r="O225" s="27" t="n"/>
    </row>
    <row r="226" ht="15.5" customHeight="1">
      <c r="A226" s="259" t="n"/>
      <c r="B226" s="56" t="n"/>
      <c r="C226" s="63" t="n"/>
      <c r="D226" s="251" t="n"/>
      <c r="E226" s="539" t="n"/>
      <c r="F226" s="562" t="n"/>
      <c r="G226" s="562" t="n"/>
      <c r="H226" s="562" t="n"/>
      <c r="I226" s="562" t="n"/>
      <c r="J226" s="539" t="n"/>
      <c r="K226" s="38" t="n"/>
      <c r="L226" s="539" t="n"/>
      <c r="M226" s="539" t="n"/>
      <c r="N226" s="539">
        <f>IF(J226=0,"",(M226-J226)/J226*100)</f>
      </c>
      <c r="O226" s="27" t="n"/>
    </row>
    <row r="227" ht="15.5" customHeight="1">
      <c r="A227" s="259" t="n"/>
      <c r="B227" s="56" t="n"/>
      <c r="C227" s="63" t="n"/>
      <c r="D227" s="251" t="n"/>
      <c r="E227" s="539" t="n"/>
      <c r="F227" s="562" t="n"/>
      <c r="G227" s="562" t="n"/>
      <c r="H227" s="562" t="n"/>
      <c r="I227" s="562" t="n"/>
      <c r="J227" s="539" t="n"/>
      <c r="K227" s="38" t="n"/>
      <c r="L227" s="539" t="n"/>
      <c r="M227" s="539" t="n"/>
      <c r="N227" s="539">
        <f>IF(J227=0,"",(M227-J227)/J227*100)</f>
      </c>
      <c r="O227" s="27" t="n"/>
    </row>
    <row r="228" ht="15.5" customHeight="1">
      <c r="A228" s="259" t="n"/>
      <c r="B228" s="56" t="n"/>
      <c r="C228" s="63" t="n"/>
      <c r="D228" s="251" t="n"/>
      <c r="E228" s="539" t="n"/>
      <c r="F228" s="562" t="n"/>
      <c r="G228" s="562" t="n"/>
      <c r="H228" s="562" t="n"/>
      <c r="I228" s="562" t="n"/>
      <c r="J228" s="539" t="n"/>
      <c r="K228" s="38" t="n"/>
      <c r="L228" s="539" t="n"/>
      <c r="M228" s="539" t="n"/>
      <c r="N228" s="539">
        <f>IF(J228=0,"",(M228-J228)/J228*100)</f>
      </c>
      <c r="O228" s="27" t="n"/>
    </row>
    <row r="229" ht="15.5" customHeight="1">
      <c r="A229" s="259" t="n"/>
      <c r="B229" s="56" t="n"/>
      <c r="C229" s="63" t="n"/>
      <c r="D229" s="251" t="n"/>
      <c r="E229" s="539" t="n"/>
      <c r="F229" s="562" t="n"/>
      <c r="G229" s="562" t="n"/>
      <c r="H229" s="562" t="n"/>
      <c r="I229" s="562" t="n"/>
      <c r="J229" s="539" t="n"/>
      <c r="K229" s="38" t="n"/>
      <c r="L229" s="539" t="n"/>
      <c r="M229" s="539" t="n"/>
      <c r="N229" s="539">
        <f>IF(J229=0,"",(M229-J229)/J229*100)</f>
      </c>
      <c r="O229" s="27" t="n"/>
    </row>
    <row r="230" ht="15.5" customHeight="1">
      <c r="A230" s="259" t="n"/>
      <c r="B230" s="56" t="n"/>
      <c r="C230" s="63" t="n"/>
      <c r="D230" s="251" t="n"/>
      <c r="E230" s="539" t="n"/>
      <c r="F230" s="562" t="n"/>
      <c r="G230" s="562" t="n"/>
      <c r="H230" s="562" t="n"/>
      <c r="I230" s="562" t="n"/>
      <c r="J230" s="539" t="n"/>
      <c r="K230" s="38" t="n"/>
      <c r="L230" s="539" t="n"/>
      <c r="M230" s="539" t="n"/>
      <c r="N230" s="539">
        <f>IF(J230=0,"",(M230-J230)/J230*100)</f>
      </c>
      <c r="O230" s="27" t="n"/>
    </row>
    <row r="231" ht="15.5" customHeight="1">
      <c r="A231" s="259" t="n"/>
      <c r="B231" s="56" t="n"/>
      <c r="C231" s="63" t="n"/>
      <c r="D231" s="251" t="n"/>
      <c r="E231" s="539" t="n"/>
      <c r="F231" s="562" t="n"/>
      <c r="G231" s="562" t="n"/>
      <c r="H231" s="562" t="n"/>
      <c r="I231" s="562" t="n"/>
      <c r="J231" s="539" t="n"/>
      <c r="K231" s="38" t="n"/>
      <c r="L231" s="539" t="n"/>
      <c r="M231" s="539" t="n"/>
      <c r="N231" s="539">
        <f>IF(J231=0,"",(M231-J231)/J231*100)</f>
      </c>
      <c r="O231" s="27" t="n"/>
    </row>
    <row r="232" ht="15.5" customHeight="1">
      <c r="A232" s="259" t="n"/>
      <c r="B232" s="56" t="n"/>
      <c r="C232" s="63" t="n"/>
      <c r="D232" s="251" t="n"/>
      <c r="E232" s="539" t="n"/>
      <c r="F232" s="562" t="n"/>
      <c r="G232" s="562" t="n"/>
      <c r="H232" s="562" t="n"/>
      <c r="I232" s="562" t="n"/>
      <c r="J232" s="539" t="n"/>
      <c r="K232" s="38" t="n"/>
      <c r="L232" s="539" t="n"/>
      <c r="M232" s="539" t="n"/>
      <c r="N232" s="539">
        <f>IF(J232=0,"",(M232-J232)/J232*100)</f>
      </c>
      <c r="O232" s="27" t="n"/>
    </row>
    <row r="233" ht="15.5" customHeight="1">
      <c r="A233" s="259" t="n"/>
      <c r="B233" s="56" t="n"/>
      <c r="C233" s="63" t="n"/>
      <c r="D233" s="251" t="n"/>
      <c r="E233" s="539" t="n"/>
      <c r="F233" s="562" t="n"/>
      <c r="G233" s="562" t="n"/>
      <c r="H233" s="562" t="n"/>
      <c r="I233" s="562" t="n"/>
      <c r="J233" s="539" t="n"/>
      <c r="K233" s="38" t="n"/>
      <c r="L233" s="539" t="n"/>
      <c r="M233" s="539" t="n"/>
      <c r="N233" s="539">
        <f>IF(J233=0,"",(M233-J233)/J233*100)</f>
      </c>
      <c r="O233" s="27" t="n"/>
    </row>
    <row r="234" ht="15.5" customHeight="1">
      <c r="A234" s="259" t="n"/>
      <c r="B234" s="56" t="n"/>
      <c r="C234" s="63" t="n"/>
      <c r="D234" s="251" t="n"/>
      <c r="E234" s="539" t="n"/>
      <c r="F234" s="562" t="n"/>
      <c r="G234" s="562" t="n"/>
      <c r="H234" s="562" t="n"/>
      <c r="I234" s="562" t="n"/>
      <c r="J234" s="539" t="n"/>
      <c r="K234" s="38" t="n"/>
      <c r="L234" s="539" t="n"/>
      <c r="M234" s="539" t="n"/>
      <c r="N234" s="539">
        <f>IF(J234=0,"",(M234-J234)/J234*100)</f>
      </c>
      <c r="O234" s="27" t="n"/>
    </row>
    <row r="235" ht="15.5" customHeight="1">
      <c r="A235" s="259" t="n"/>
      <c r="B235" s="56" t="n"/>
      <c r="C235" s="63" t="n"/>
      <c r="D235" s="251" t="n"/>
      <c r="E235" s="539" t="n"/>
      <c r="F235" s="562" t="n"/>
      <c r="G235" s="562" t="n"/>
      <c r="H235" s="562" t="n"/>
      <c r="I235" s="562" t="n"/>
      <c r="J235" s="539" t="n"/>
      <c r="K235" s="38" t="n"/>
      <c r="L235" s="539" t="n"/>
      <c r="M235" s="539" t="n"/>
      <c r="N235" s="539">
        <f>IF(J235=0,"",(M235-J235)/J235*100)</f>
      </c>
      <c r="O235" s="27" t="n"/>
    </row>
    <row r="236" ht="15.5" customHeight="1">
      <c r="A236" s="259" t="n"/>
      <c r="B236" s="56" t="n"/>
      <c r="C236" s="63" t="n"/>
      <c r="D236" s="251" t="n"/>
      <c r="E236" s="539" t="n"/>
      <c r="F236" s="562" t="n"/>
      <c r="G236" s="562" t="n"/>
      <c r="H236" s="562" t="n"/>
      <c r="I236" s="562" t="n"/>
      <c r="J236" s="539" t="n"/>
      <c r="K236" s="38" t="n"/>
      <c r="L236" s="539" t="n"/>
      <c r="M236" s="539" t="n"/>
      <c r="N236" s="539">
        <f>IF(J236=0,"",(M236-J236)/J236*100)</f>
      </c>
      <c r="O236" s="27" t="n"/>
    </row>
    <row r="237" ht="15.5" customHeight="1">
      <c r="A237" s="259" t="n"/>
      <c r="B237" s="56" t="n"/>
      <c r="C237" s="63" t="n"/>
      <c r="D237" s="251" t="n"/>
      <c r="E237" s="539" t="n"/>
      <c r="F237" s="562" t="n"/>
      <c r="G237" s="562" t="n"/>
      <c r="H237" s="562" t="n"/>
      <c r="I237" s="562" t="n"/>
      <c r="J237" s="539" t="n"/>
      <c r="K237" s="38" t="n"/>
      <c r="L237" s="539" t="n"/>
      <c r="M237" s="539" t="n"/>
      <c r="N237" s="539">
        <f>IF(J237=0,"",(M237-J237)/J237*100)</f>
      </c>
      <c r="O237" s="27" t="n"/>
    </row>
    <row r="238" ht="15.5" customHeight="1">
      <c r="A238" s="259" t="n"/>
      <c r="B238" s="56" t="n"/>
      <c r="C238" s="63" t="n"/>
      <c r="D238" s="251" t="n"/>
      <c r="E238" s="539" t="n"/>
      <c r="F238" s="562" t="n"/>
      <c r="G238" s="562" t="n"/>
      <c r="H238" s="562" t="n"/>
      <c r="I238" s="562" t="n"/>
      <c r="J238" s="539" t="n"/>
      <c r="K238" s="38" t="n"/>
      <c r="L238" s="539" t="n"/>
      <c r="M238" s="539" t="n"/>
      <c r="N238" s="539">
        <f>IF(J238=0,"",(M238-J238)/J238*100)</f>
      </c>
      <c r="O238" s="27" t="n"/>
    </row>
    <row r="239" ht="15.5" customHeight="1">
      <c r="A239" s="259" t="n"/>
      <c r="B239" s="56" t="n"/>
      <c r="C239" s="63" t="n"/>
      <c r="D239" s="251" t="n"/>
      <c r="E239" s="539" t="n"/>
      <c r="F239" s="562" t="n"/>
      <c r="G239" s="562" t="n"/>
      <c r="H239" s="562" t="n"/>
      <c r="I239" s="562" t="n"/>
      <c r="J239" s="539" t="n"/>
      <c r="K239" s="38" t="n"/>
      <c r="L239" s="539" t="n"/>
      <c r="M239" s="539" t="n"/>
      <c r="N239" s="539">
        <f>IF(J239=0,"",(M239-J239)/J239*100)</f>
      </c>
      <c r="O239" s="27" t="n"/>
    </row>
    <row r="240" ht="15.5" customHeight="1">
      <c r="A240" s="259" t="n"/>
      <c r="B240" s="56" t="n"/>
      <c r="C240" s="63" t="n"/>
      <c r="D240" s="251" t="n"/>
      <c r="E240" s="539" t="n"/>
      <c r="F240" s="562" t="n"/>
      <c r="G240" s="562" t="n"/>
      <c r="H240" s="562" t="n"/>
      <c r="I240" s="562" t="n"/>
      <c r="J240" s="539" t="n"/>
      <c r="K240" s="38" t="n"/>
      <c r="L240" s="539" t="n"/>
      <c r="M240" s="539" t="n"/>
      <c r="N240" s="539">
        <f>IF(J240=0,"",(M240-J240)/J240*100)</f>
      </c>
      <c r="O240" s="27" t="n"/>
    </row>
    <row r="241" ht="15.5" customHeight="1">
      <c r="A241" s="259" t="n"/>
      <c r="B241" s="56" t="n"/>
      <c r="C241" s="63" t="n"/>
      <c r="D241" s="251" t="n"/>
      <c r="E241" s="539" t="n"/>
      <c r="F241" s="562" t="n"/>
      <c r="G241" s="562" t="n"/>
      <c r="H241" s="562" t="n"/>
      <c r="I241" s="562" t="n"/>
      <c r="J241" s="539" t="n"/>
      <c r="K241" s="38" t="n"/>
      <c r="L241" s="539" t="n"/>
      <c r="M241" s="539" t="n"/>
      <c r="N241" s="539">
        <f>IF(J241=0,"",(M241-J241)/J241*100)</f>
      </c>
      <c r="O241" s="27" t="n"/>
    </row>
    <row r="242" ht="15.5" customHeight="1">
      <c r="A242" s="259" t="n"/>
      <c r="B242" s="56" t="n"/>
      <c r="C242" s="63" t="n"/>
      <c r="D242" s="251" t="n"/>
      <c r="E242" s="539" t="n"/>
      <c r="F242" s="562" t="n"/>
      <c r="G242" s="562" t="n"/>
      <c r="H242" s="562" t="n"/>
      <c r="I242" s="562" t="n"/>
      <c r="J242" s="539" t="n"/>
      <c r="K242" s="38" t="n"/>
      <c r="L242" s="539" t="n"/>
      <c r="M242" s="539" t="n"/>
      <c r="N242" s="539">
        <f>IF(J242=0,"",(M242-J242)/J242*100)</f>
      </c>
      <c r="O242" s="27" t="n"/>
    </row>
    <row r="243" ht="15.5" customHeight="1">
      <c r="A243" s="259" t="n"/>
      <c r="B243" s="56" t="n"/>
      <c r="C243" s="63" t="n"/>
      <c r="D243" s="251" t="n"/>
      <c r="E243" s="539" t="n"/>
      <c r="F243" s="562" t="n"/>
      <c r="G243" s="562" t="n"/>
      <c r="H243" s="562" t="n"/>
      <c r="I243" s="562" t="n"/>
      <c r="J243" s="539" t="n"/>
      <c r="K243" s="38" t="n"/>
      <c r="L243" s="539" t="n"/>
      <c r="M243" s="539" t="n"/>
      <c r="N243" s="539">
        <f>IF(J243=0,"",(M243-J243)/J243*100)</f>
      </c>
      <c r="O243" s="27" t="n"/>
    </row>
    <row r="244" ht="15.5" customHeight="1">
      <c r="A244" s="259" t="n"/>
      <c r="B244" s="56" t="n"/>
      <c r="C244" s="63" t="n"/>
      <c r="D244" s="251" t="n"/>
      <c r="E244" s="539" t="n"/>
      <c r="F244" s="562" t="n"/>
      <c r="G244" s="562" t="n"/>
      <c r="H244" s="562" t="n"/>
      <c r="I244" s="562" t="n"/>
      <c r="J244" s="539" t="n"/>
      <c r="K244" s="38" t="n"/>
      <c r="L244" s="539" t="n"/>
      <c r="M244" s="539" t="n"/>
      <c r="N244" s="539">
        <f>IF(J244=0,"",(M244-J244)/J244*100)</f>
      </c>
      <c r="O244" s="27" t="n"/>
    </row>
    <row r="245" ht="15.5" customHeight="1">
      <c r="A245" s="259" t="n"/>
      <c r="B245" s="56" t="n"/>
      <c r="C245" s="63" t="n"/>
      <c r="D245" s="251" t="n"/>
      <c r="E245" s="539" t="n"/>
      <c r="F245" s="562" t="n"/>
      <c r="G245" s="562" t="n"/>
      <c r="H245" s="562" t="n"/>
      <c r="I245" s="562" t="n"/>
      <c r="J245" s="539" t="n"/>
      <c r="K245" s="38" t="n"/>
      <c r="L245" s="539" t="n"/>
      <c r="M245" s="539" t="n"/>
      <c r="N245" s="539">
        <f>IF(J245=0,"",(M245-J245)/J245*100)</f>
      </c>
      <c r="O245" s="27" t="n"/>
    </row>
    <row r="246" ht="15.5" customHeight="1">
      <c r="A246" s="259" t="n"/>
      <c r="B246" s="56" t="n"/>
      <c r="C246" s="63" t="n"/>
      <c r="D246" s="251" t="n"/>
      <c r="E246" s="539" t="n"/>
      <c r="F246" s="562" t="n"/>
      <c r="G246" s="562" t="n"/>
      <c r="H246" s="562" t="n"/>
      <c r="I246" s="562" t="n"/>
      <c r="J246" s="539" t="n"/>
      <c r="K246" s="38" t="n"/>
      <c r="L246" s="539" t="n"/>
      <c r="M246" s="539" t="n"/>
      <c r="N246" s="539">
        <f>IF(J246=0,"",(M246-J246)/J246*100)</f>
      </c>
      <c r="O246" s="27" t="n"/>
    </row>
    <row r="247" ht="15.5" customHeight="1">
      <c r="A247" s="259" t="n"/>
      <c r="B247" s="56" t="n"/>
      <c r="C247" s="63" t="n"/>
      <c r="D247" s="251" t="n"/>
      <c r="E247" s="539" t="n"/>
      <c r="F247" s="562" t="n"/>
      <c r="G247" s="562" t="n"/>
      <c r="H247" s="562" t="n"/>
      <c r="I247" s="562" t="n"/>
      <c r="J247" s="539" t="n"/>
      <c r="K247" s="38" t="n"/>
      <c r="L247" s="539" t="n"/>
      <c r="M247" s="539" t="n"/>
      <c r="N247" s="539">
        <f>IF(J247=0,"",(M247-J247)/J247*100)</f>
      </c>
      <c r="O247" s="27" t="n"/>
    </row>
    <row r="248" ht="15.5" customHeight="1">
      <c r="A248" s="259" t="n"/>
      <c r="B248" s="56" t="n"/>
      <c r="C248" s="63" t="n"/>
      <c r="D248" s="251" t="n"/>
      <c r="E248" s="539" t="n"/>
      <c r="F248" s="562" t="n"/>
      <c r="G248" s="562" t="n"/>
      <c r="H248" s="562" t="n"/>
      <c r="I248" s="562" t="n"/>
      <c r="J248" s="539" t="n"/>
      <c r="K248" s="38" t="n"/>
      <c r="L248" s="539" t="n"/>
      <c r="M248" s="539" t="n"/>
      <c r="N248" s="539">
        <f>IF(J248=0,"",(M248-J248)/J248*100)</f>
      </c>
      <c r="O248" s="27" t="n"/>
    </row>
    <row r="249" ht="15.5" customHeight="1">
      <c r="A249" s="259" t="n"/>
      <c r="B249" s="56" t="n"/>
      <c r="C249" s="63" t="n"/>
      <c r="D249" s="251" t="n"/>
      <c r="E249" s="539" t="n"/>
      <c r="F249" s="562" t="n"/>
      <c r="G249" s="562" t="n"/>
      <c r="H249" s="562" t="n"/>
      <c r="I249" s="562" t="n"/>
      <c r="J249" s="539" t="n"/>
      <c r="K249" s="38" t="n"/>
      <c r="L249" s="539" t="n"/>
      <c r="M249" s="539" t="n"/>
      <c r="N249" s="539">
        <f>IF(J249=0,"",(M249-J249)/J249*100)</f>
      </c>
      <c r="O249" s="27" t="n"/>
    </row>
    <row r="250" ht="15.5" customHeight="1">
      <c r="A250" s="259" t="n"/>
      <c r="B250" s="56" t="n"/>
      <c r="C250" s="63" t="n"/>
      <c r="D250" s="251" t="n"/>
      <c r="E250" s="539" t="n"/>
      <c r="F250" s="562" t="n"/>
      <c r="G250" s="562" t="n"/>
      <c r="H250" s="562" t="n"/>
      <c r="I250" s="562" t="n"/>
      <c r="J250" s="539" t="n"/>
      <c r="K250" s="38" t="n"/>
      <c r="L250" s="539" t="n"/>
      <c r="M250" s="539" t="n"/>
      <c r="N250" s="539">
        <f>IF(J250=0,"",(M250-J250)/J250*100)</f>
      </c>
      <c r="O250" s="27" t="n"/>
    </row>
    <row r="251" ht="15.5" customHeight="1">
      <c r="A251" s="259" t="n"/>
      <c r="B251" s="56" t="n"/>
      <c r="C251" s="63" t="n"/>
      <c r="D251" s="251" t="n"/>
      <c r="E251" s="539" t="n"/>
      <c r="F251" s="562" t="n"/>
      <c r="G251" s="562" t="n"/>
      <c r="H251" s="562" t="n"/>
      <c r="I251" s="562" t="n"/>
      <c r="J251" s="539" t="n"/>
      <c r="K251" s="38" t="n"/>
      <c r="L251" s="539" t="n"/>
      <c r="M251" s="539" t="n"/>
      <c r="N251" s="539">
        <f>IF(J251=0,"",(M251-J251)/J251*100)</f>
      </c>
      <c r="O251" s="27" t="n"/>
    </row>
    <row r="252" ht="15.5" customHeight="1">
      <c r="A252" s="259" t="n"/>
      <c r="B252" s="56" t="n"/>
      <c r="C252" s="63" t="n"/>
      <c r="D252" s="251" t="n"/>
      <c r="E252" s="539" t="n"/>
      <c r="F252" s="562" t="n"/>
      <c r="G252" s="562" t="n"/>
      <c r="H252" s="562" t="n"/>
      <c r="I252" s="562" t="n"/>
      <c r="J252" s="539" t="n"/>
      <c r="K252" s="38" t="n"/>
      <c r="L252" s="539" t="n"/>
      <c r="M252" s="539" t="n"/>
      <c r="N252" s="539">
        <f>IF(J252=0,"",(M252-J252)/J252*100)</f>
      </c>
      <c r="O252" s="27" t="n"/>
    </row>
    <row r="253" ht="15.5" customHeight="1">
      <c r="A253" s="259" t="n"/>
      <c r="B253" s="56" t="n"/>
      <c r="C253" s="63" t="n"/>
      <c r="D253" s="251" t="n"/>
      <c r="E253" s="539" t="n"/>
      <c r="F253" s="562" t="n"/>
      <c r="G253" s="562" t="n"/>
      <c r="H253" s="562" t="n"/>
      <c r="I253" s="562" t="n"/>
      <c r="J253" s="539" t="n"/>
      <c r="K253" s="38" t="n"/>
      <c r="L253" s="539" t="n"/>
      <c r="M253" s="539" t="n"/>
      <c r="N253" s="539">
        <f>IF(J253=0,"",(M253-J253)/J253*100)</f>
      </c>
      <c r="O253" s="27" t="n"/>
    </row>
    <row r="254" ht="15.5" customHeight="1">
      <c r="A254" s="259" t="n"/>
      <c r="B254" s="56" t="n"/>
      <c r="C254" s="63" t="n"/>
      <c r="D254" s="251" t="n"/>
      <c r="E254" s="539" t="n"/>
      <c r="F254" s="562" t="n"/>
      <c r="G254" s="562" t="n"/>
      <c r="H254" s="562" t="n"/>
      <c r="I254" s="562" t="n"/>
      <c r="J254" s="539" t="n"/>
      <c r="K254" s="38" t="n"/>
      <c r="L254" s="539" t="n"/>
      <c r="M254" s="539" t="n"/>
      <c r="N254" s="539">
        <f>IF(J254=0,"",(M254-J254)/J254*100)</f>
      </c>
      <c r="O254" s="27" t="n"/>
    </row>
    <row r="255" ht="15.5" customHeight="1">
      <c r="A255" s="259" t="n"/>
      <c r="B255" s="56" t="n"/>
      <c r="C255" s="63" t="n"/>
      <c r="D255" s="251" t="n"/>
      <c r="E255" s="539" t="n"/>
      <c r="F255" s="562" t="n"/>
      <c r="G255" s="562" t="n"/>
      <c r="H255" s="562" t="n"/>
      <c r="I255" s="562" t="n"/>
      <c r="J255" s="539" t="n"/>
      <c r="K255" s="38" t="n"/>
      <c r="L255" s="539" t="n"/>
      <c r="M255" s="539" t="n"/>
      <c r="N255" s="539">
        <f>IF(J255=0,"",(M255-J255)/J255*100)</f>
      </c>
      <c r="O255" s="27" t="n"/>
    </row>
    <row r="256" ht="15.5" customHeight="1">
      <c r="A256" s="259" t="n"/>
      <c r="B256" s="56" t="n"/>
      <c r="C256" s="63" t="n"/>
      <c r="D256" s="251" t="n"/>
      <c r="E256" s="539" t="n"/>
      <c r="F256" s="562" t="n"/>
      <c r="G256" s="562" t="n"/>
      <c r="H256" s="562" t="n"/>
      <c r="I256" s="562" t="n"/>
      <c r="J256" s="539" t="n"/>
      <c r="K256" s="38" t="n"/>
      <c r="L256" s="539" t="n"/>
      <c r="M256" s="539" t="n"/>
      <c r="N256" s="539">
        <f>IF(J256=0,"",(M256-J256)/J256*100)</f>
      </c>
      <c r="O256" s="27" t="n"/>
    </row>
    <row r="257" ht="15.5" customHeight="1">
      <c r="A257" s="259" t="n"/>
      <c r="B257" s="56" t="n"/>
      <c r="C257" s="63" t="n"/>
      <c r="D257" s="251" t="n"/>
      <c r="E257" s="539" t="n"/>
      <c r="F257" s="562" t="n"/>
      <c r="G257" s="562" t="n"/>
      <c r="H257" s="562" t="n"/>
      <c r="I257" s="562" t="n"/>
      <c r="J257" s="539" t="n"/>
      <c r="K257" s="38" t="n"/>
      <c r="L257" s="539" t="n"/>
      <c r="M257" s="539" t="n"/>
      <c r="N257" s="539">
        <f>IF(J257=0,"",(M257-J257)/J257*100)</f>
      </c>
      <c r="O257" s="27" t="n"/>
    </row>
    <row r="258" ht="15.5" customHeight="1">
      <c r="A258" s="259" t="n"/>
      <c r="B258" s="56" t="n"/>
      <c r="C258" s="63" t="n"/>
      <c r="D258" s="251" t="n"/>
      <c r="E258" s="539" t="n"/>
      <c r="F258" s="562" t="n"/>
      <c r="G258" s="562" t="n"/>
      <c r="H258" s="562" t="n"/>
      <c r="I258" s="562" t="n"/>
      <c r="J258" s="539" t="n"/>
      <c r="K258" s="38" t="n"/>
      <c r="L258" s="539" t="n"/>
      <c r="M258" s="539" t="n"/>
      <c r="N258" s="539">
        <f>IF(J258=0,"",(M258-J258)/J258*100)</f>
      </c>
      <c r="O258" s="27" t="n"/>
    </row>
    <row r="259" ht="15.5" customHeight="1">
      <c r="A259" s="259" t="n"/>
      <c r="B259" s="56" t="n"/>
      <c r="C259" s="63" t="n"/>
      <c r="D259" s="251" t="n"/>
      <c r="E259" s="539" t="n"/>
      <c r="F259" s="562" t="n"/>
      <c r="G259" s="562" t="n"/>
      <c r="H259" s="562" t="n"/>
      <c r="I259" s="562" t="n"/>
      <c r="J259" s="539" t="n"/>
      <c r="K259" s="38" t="n"/>
      <c r="L259" s="539" t="n"/>
      <c r="M259" s="539" t="n"/>
      <c r="N259" s="539">
        <f>IF(J259=0,"",(M259-J259)/J259*100)</f>
      </c>
      <c r="O259" s="27" t="n"/>
    </row>
    <row r="260" ht="15.5" customHeight="1">
      <c r="A260" s="259" t="n"/>
      <c r="B260" s="56" t="n"/>
      <c r="C260" s="63" t="n"/>
      <c r="D260" s="251" t="n"/>
      <c r="E260" s="539" t="n"/>
      <c r="F260" s="562" t="n"/>
      <c r="G260" s="562" t="n"/>
      <c r="H260" s="562" t="n"/>
      <c r="I260" s="562" t="n"/>
      <c r="J260" s="539" t="n"/>
      <c r="K260" s="38" t="n"/>
      <c r="L260" s="539" t="n"/>
      <c r="M260" s="539" t="n"/>
      <c r="N260" s="539">
        <f>IF(J260=0,"",(M260-J260)/J260*100)</f>
      </c>
      <c r="O260" s="27" t="n"/>
    </row>
    <row r="261" ht="15.5" customHeight="1">
      <c r="A261" s="259" t="n"/>
      <c r="B261" s="56" t="n"/>
      <c r="C261" s="63" t="n"/>
      <c r="D261" s="251" t="n"/>
      <c r="E261" s="539" t="n"/>
      <c r="F261" s="562" t="n"/>
      <c r="G261" s="562" t="n"/>
      <c r="H261" s="562" t="n"/>
      <c r="I261" s="562" t="n"/>
      <c r="J261" s="539" t="n"/>
      <c r="K261" s="38" t="n"/>
      <c r="L261" s="539" t="n"/>
      <c r="M261" s="539" t="n"/>
      <c r="N261" s="539">
        <f>IF(J261=0,"",(M261-J261)/J261*100)</f>
      </c>
      <c r="O261" s="27" t="n"/>
    </row>
    <row r="262" ht="15.5" customHeight="1">
      <c r="A262" s="259" t="n"/>
      <c r="B262" s="56" t="n"/>
      <c r="C262" s="63" t="n"/>
      <c r="D262" s="251" t="n"/>
      <c r="E262" s="539" t="n"/>
      <c r="F262" s="562" t="n"/>
      <c r="G262" s="562" t="n"/>
      <c r="H262" s="562" t="n"/>
      <c r="I262" s="562" t="n"/>
      <c r="J262" s="539" t="n"/>
      <c r="K262" s="38" t="n"/>
      <c r="L262" s="539" t="n"/>
      <c r="M262" s="539" t="n"/>
      <c r="N262" s="539">
        <f>IF(J262=0,"",(M262-J262)/J262*100)</f>
      </c>
      <c r="O262" s="27" t="n"/>
    </row>
    <row r="263" ht="15.5" customHeight="1">
      <c r="A263" s="259" t="n"/>
      <c r="B263" s="56" t="n"/>
      <c r="C263" s="63" t="n"/>
      <c r="D263" s="251" t="n"/>
      <c r="E263" s="539" t="n"/>
      <c r="F263" s="562" t="n"/>
      <c r="G263" s="562" t="n"/>
      <c r="H263" s="562" t="n"/>
      <c r="I263" s="562" t="n"/>
      <c r="J263" s="539" t="n"/>
      <c r="K263" s="38" t="n"/>
      <c r="L263" s="539" t="n"/>
      <c r="M263" s="539" t="n"/>
      <c r="N263" s="539">
        <f>IF(J263=0,"",(M263-J263)/J263*100)</f>
      </c>
      <c r="O263" s="27" t="n"/>
    </row>
    <row r="264" hidden="1" ht="15.5" customHeight="1">
      <c r="A264" s="23" t="n"/>
      <c r="B264" s="56" t="n"/>
      <c r="C264" s="63" t="n"/>
      <c r="D264" s="251" t="n"/>
      <c r="E264" s="539">
        <f>IF(D264=0,"",F264/D264)</f>
      </c>
      <c r="F264" s="562" t="n"/>
      <c r="G264" s="562" t="n"/>
      <c r="H264" s="562" t="n"/>
      <c r="I264" s="562" t="n"/>
      <c r="J264" s="539" t="n"/>
      <c r="K264" s="38" t="n"/>
      <c r="L264" s="539" t="n"/>
      <c r="M264" s="539" t="n"/>
      <c r="N264" s="539">
        <f>IF(J264=0,"",(M264-J264)/J264*100)</f>
      </c>
      <c r="O264" s="27" t="n"/>
    </row>
    <row r="265" hidden="1" ht="15.5" customHeight="1">
      <c r="A265" s="23" t="n"/>
      <c r="B265" s="56" t="n"/>
      <c r="C265" s="63" t="n"/>
      <c r="D265" s="251" t="n"/>
      <c r="E265" s="539">
        <f>IF(D265=0,"",F265/D265)</f>
      </c>
      <c r="F265" s="562" t="n"/>
      <c r="G265" s="562" t="n"/>
      <c r="H265" s="562" t="n"/>
      <c r="I265" s="562" t="n"/>
      <c r="J265" s="539" t="n"/>
      <c r="K265" s="38" t="n"/>
      <c r="L265" s="539" t="n"/>
      <c r="M265" s="539" t="n"/>
      <c r="N265" s="539">
        <f>IF(J265=0,"",(M265-J265)/J265*100)</f>
      </c>
      <c r="O265" s="27" t="n"/>
    </row>
    <row r="266" hidden="1" ht="15.5" customHeight="1">
      <c r="A266" s="23" t="n"/>
      <c r="B266" s="56" t="n"/>
      <c r="C266" s="63" t="n"/>
      <c r="D266" s="251" t="n"/>
      <c r="E266" s="539">
        <f>IF(D266=0,"",F266/D266)</f>
      </c>
      <c r="F266" s="562" t="n"/>
      <c r="G266" s="562" t="n"/>
      <c r="H266" s="562" t="n"/>
      <c r="I266" s="562" t="n"/>
      <c r="J266" s="539" t="n"/>
      <c r="K266" s="38" t="n"/>
      <c r="L266" s="539" t="n"/>
      <c r="M266" s="539" t="n"/>
      <c r="N266" s="539">
        <f>IF(J266=0,"",(M266-J266)/J266*100)</f>
      </c>
      <c r="O266" s="27" t="n"/>
    </row>
    <row r="267" hidden="1" ht="15.5" customHeight="1">
      <c r="A267" s="23" t="n"/>
      <c r="B267" s="56" t="n"/>
      <c r="C267" s="63" t="n"/>
      <c r="D267" s="251" t="n"/>
      <c r="E267" s="539">
        <f>IF(D267=0,"",F267/D267)</f>
      </c>
      <c r="F267" s="562" t="n"/>
      <c r="G267" s="562" t="n"/>
      <c r="H267" s="562" t="n"/>
      <c r="I267" s="562" t="n"/>
      <c r="J267" s="539" t="n"/>
      <c r="K267" s="38" t="n"/>
      <c r="L267" s="539" t="n"/>
      <c r="M267" s="539" t="n"/>
      <c r="N267" s="539">
        <f>IF(J267=0,"",(M267-J267)/J267*100)</f>
      </c>
      <c r="O267" s="27" t="n"/>
    </row>
    <row r="268" hidden="1" ht="15.5" customHeight="1">
      <c r="A268" s="23" t="n"/>
      <c r="B268" s="56" t="n"/>
      <c r="C268" s="63" t="n"/>
      <c r="D268" s="251" t="n"/>
      <c r="E268" s="539">
        <f>IF(D268=0,"",F268/D268)</f>
      </c>
      <c r="F268" s="562" t="n"/>
      <c r="G268" s="562" t="n"/>
      <c r="H268" s="562" t="n"/>
      <c r="I268" s="562" t="n"/>
      <c r="J268" s="539" t="n"/>
      <c r="K268" s="38" t="n"/>
      <c r="L268" s="539" t="n"/>
      <c r="M268" s="539" t="n"/>
      <c r="N268" s="539">
        <f>IF(J268=0,"",(M268-J268)/J268*100)</f>
      </c>
      <c r="O268" s="27" t="n"/>
    </row>
    <row r="269" hidden="1" ht="15.5" customHeight="1">
      <c r="A269" s="23" t="n"/>
      <c r="B269" s="56" t="n"/>
      <c r="C269" s="63" t="n"/>
      <c r="D269" s="251" t="n"/>
      <c r="E269" s="539">
        <f>IF(D269=0,"",F269/D269)</f>
      </c>
      <c r="F269" s="562" t="n"/>
      <c r="G269" s="562" t="n"/>
      <c r="H269" s="562" t="n"/>
      <c r="I269" s="562" t="n"/>
      <c r="J269" s="539" t="n"/>
      <c r="K269" s="38" t="n"/>
      <c r="L269" s="539" t="n"/>
      <c r="M269" s="539" t="n"/>
      <c r="N269" s="539">
        <f>IF(J269=0,"",(M269-J269)/J269*100)</f>
      </c>
      <c r="O269" s="27" t="n"/>
    </row>
    <row r="270" hidden="1" ht="15.5" customHeight="1">
      <c r="A270" s="23" t="n"/>
      <c r="B270" s="56" t="n"/>
      <c r="C270" s="63" t="n"/>
      <c r="D270" s="251" t="n"/>
      <c r="E270" s="539">
        <f>IF(D270=0,"",F270/D270)</f>
      </c>
      <c r="F270" s="562" t="n"/>
      <c r="G270" s="562" t="n"/>
      <c r="H270" s="562" t="n"/>
      <c r="I270" s="562" t="n"/>
      <c r="J270" s="539" t="n"/>
      <c r="K270" s="38" t="n"/>
      <c r="L270" s="539" t="n"/>
      <c r="M270" s="539" t="n"/>
      <c r="N270" s="539">
        <f>IF(J270=0,"",(M270-J270)/J270*100)</f>
      </c>
      <c r="O270" s="27" t="n"/>
    </row>
    <row r="271" hidden="1" ht="15.5" customHeight="1">
      <c r="A271" s="23" t="n"/>
      <c r="B271" s="56" t="n"/>
      <c r="C271" s="63" t="n"/>
      <c r="D271" s="251" t="n"/>
      <c r="E271" s="539">
        <f>IF(D271=0,"",F271/D271)</f>
      </c>
      <c r="F271" s="562" t="n"/>
      <c r="G271" s="562" t="n"/>
      <c r="H271" s="562" t="n"/>
      <c r="I271" s="562" t="n"/>
      <c r="J271" s="539" t="n"/>
      <c r="K271" s="38" t="n"/>
      <c r="L271" s="539" t="n"/>
      <c r="M271" s="539" t="n"/>
      <c r="N271" s="539">
        <f>IF(J271=0,"",(M271-J271)/J271*100)</f>
      </c>
      <c r="O271" s="27" t="n"/>
    </row>
    <row r="272" hidden="1" ht="15.5" customHeight="1">
      <c r="A272" s="23" t="n"/>
      <c r="B272" s="56" t="n"/>
      <c r="C272" s="63" t="n"/>
      <c r="D272" s="251" t="n"/>
      <c r="E272" s="539">
        <f>IF(D272=0,"",F272/D272)</f>
      </c>
      <c r="F272" s="562" t="n"/>
      <c r="G272" s="562" t="n"/>
      <c r="H272" s="562" t="n"/>
      <c r="I272" s="562" t="n"/>
      <c r="J272" s="539" t="n"/>
      <c r="K272" s="38" t="n"/>
      <c r="L272" s="539" t="n"/>
      <c r="M272" s="539" t="n"/>
      <c r="N272" s="539">
        <f>IF(J272=0,"",(M272-J272)/J272*100)</f>
      </c>
      <c r="O272" s="27" t="n"/>
    </row>
    <row r="273" hidden="1" ht="15.5" customHeight="1">
      <c r="A273" s="23" t="n"/>
      <c r="B273" s="56" t="n"/>
      <c r="C273" s="63" t="n"/>
      <c r="D273" s="251" t="n"/>
      <c r="E273" s="539">
        <f>IF(D273=0,"",F273/D273)</f>
      </c>
      <c r="F273" s="562" t="n"/>
      <c r="G273" s="562" t="n"/>
      <c r="H273" s="562" t="n"/>
      <c r="I273" s="562" t="n"/>
      <c r="J273" s="539" t="n"/>
      <c r="K273" s="38" t="n"/>
      <c r="L273" s="539" t="n"/>
      <c r="M273" s="539" t="n"/>
      <c r="N273" s="539">
        <f>IF(J273=0,"",(M273-J273)/J273*100)</f>
      </c>
      <c r="O273" s="27" t="n"/>
    </row>
    <row r="274" hidden="1" ht="15.5" customHeight="1">
      <c r="A274" s="23" t="n"/>
      <c r="B274" s="56" t="n"/>
      <c r="C274" s="63" t="n"/>
      <c r="D274" s="251" t="n"/>
      <c r="E274" s="539">
        <f>IF(D274=0,"",F274/D274)</f>
      </c>
      <c r="F274" s="562" t="n"/>
      <c r="G274" s="562" t="n"/>
      <c r="H274" s="562" t="n"/>
      <c r="I274" s="562" t="n"/>
      <c r="J274" s="539" t="n"/>
      <c r="K274" s="38" t="n"/>
      <c r="L274" s="539" t="n"/>
      <c r="M274" s="539" t="n"/>
      <c r="N274" s="539">
        <f>IF(J274=0,"",(M274-J274)/J274*100)</f>
      </c>
      <c r="O274" s="27" t="n"/>
    </row>
    <row r="275" hidden="1" ht="15.5" customHeight="1">
      <c r="A275" s="23" t="n"/>
      <c r="B275" s="56" t="n"/>
      <c r="C275" s="63" t="n"/>
      <c r="D275" s="251" t="n"/>
      <c r="E275" s="539">
        <f>IF(D275=0,"",F275/D275)</f>
      </c>
      <c r="F275" s="562" t="n"/>
      <c r="G275" s="562" t="n"/>
      <c r="H275" s="562" t="n"/>
      <c r="I275" s="562" t="n"/>
      <c r="J275" s="539" t="n"/>
      <c r="K275" s="38" t="n"/>
      <c r="L275" s="539" t="n"/>
      <c r="M275" s="539" t="n"/>
      <c r="N275" s="539">
        <f>IF(J275=0,"",(M275-J275)/J275*100)</f>
      </c>
      <c r="O275" s="27" t="n"/>
    </row>
    <row r="276" ht="15.5" customHeight="1">
      <c r="A276" s="23" t="n"/>
      <c r="B276" s="56" t="n"/>
      <c r="C276" s="63" t="n"/>
      <c r="D276" s="251" t="n"/>
      <c r="E276" s="562" t="n"/>
      <c r="F276" s="562" t="n"/>
      <c r="G276" s="562" t="n"/>
      <c r="H276" s="562" t="n"/>
      <c r="I276" s="562" t="n"/>
      <c r="J276" s="539" t="n"/>
      <c r="K276" s="38" t="n"/>
      <c r="L276" s="539" t="n"/>
      <c r="M276" s="539" t="n"/>
      <c r="N276" s="539" t="n"/>
      <c r="O276" s="27" t="n"/>
    </row>
    <row r="277" ht="15.5" customHeight="1">
      <c r="A277" s="23" t="inlineStr">
        <is>
          <t>合            计</t>
        </is>
      </c>
      <c r="B277" s="28" t="n"/>
      <c r="C277" s="63" t="n"/>
      <c r="D277" s="38" t="n"/>
      <c r="E277" s="539" t="n"/>
      <c r="F277" s="539">
        <f>SUM(F7:F276)</f>
      </c>
      <c r="G277" s="539" t="n"/>
      <c r="H277" s="539" t="n"/>
      <c r="I277" s="539" t="n"/>
      <c r="J277" s="539">
        <f>SUM(J7:J276)</f>
      </c>
      <c r="K277" s="38" t="n"/>
      <c r="L277" s="539" t="n"/>
      <c r="M277" s="539">
        <f>SUM(M7:M276)</f>
      </c>
      <c r="N277" s="539">
        <f>IF(J277=0,"",(M277-J277)/J277*100)</f>
      </c>
      <c r="O277" s="27" t="n"/>
    </row>
    <row r="278" ht="15.5" customHeight="1">
      <c r="A278" s="29">
        <f>封面!D11&amp;封面!G11</f>
      </c>
      <c r="E278" s="536" t="n"/>
      <c r="F278" s="536" t="n"/>
      <c r="G278" s="536" t="n"/>
      <c r="H278" s="536" t="n"/>
      <c r="I278" s="536" t="n"/>
      <c r="J278" s="536">
        <f>"评估人员："&amp;封面!G20</f>
      </c>
    </row>
    <row r="279" ht="15.5" customHeight="1">
      <c r="A279" s="13">
        <f>CONCATENATE(封面!D13,封面!F13,封面!G13,封面!H13,封面!I13,封面!J13,封面!K13)</f>
      </c>
      <c r="J279" s="224" t="n"/>
      <c r="K279" s="547" t="n"/>
    </row>
    <row r="280" ht="15.5" customHeight="1">
      <c r="B280" s="261" t="inlineStr">
        <is>
          <t>注1：</t>
        </is>
      </c>
      <c r="C280" s="257" t="inlineStr">
        <is>
          <t>1）正常，无需填写；2）残次，填“A”；3）变质，填“B”；4）毁损，填“C”；5）滞销，填“E”；</t>
        </is>
      </c>
    </row>
    <row r="281" ht="15.5" customHeight="1">
      <c r="C281" s="257" t="inlineStr">
        <is>
          <t>6）积压，填“D”并在备注中填写已积压时间“1年以内”、“1~2年”、“2~3年”、“3年以上”；7）其他情形用文字表述。</t>
        </is>
      </c>
    </row>
  </sheetData>
  <mergeCells count="12">
    <mergeCell ref="A5:A6"/>
    <mergeCell ref="G5:G6"/>
    <mergeCell ref="N5:N6"/>
    <mergeCell ref="O5:O6"/>
    <mergeCell ref="A2:O2"/>
    <mergeCell ref="D5:F5"/>
    <mergeCell ref="K5:M5"/>
    <mergeCell ref="H5:J5"/>
    <mergeCell ref="A277:B277"/>
    <mergeCell ref="B5:B6"/>
    <mergeCell ref="A3:O3"/>
    <mergeCell ref="C5:C6"/>
  </mergeCells>
  <hyperlinks>
    <hyperlink ref="A1" location="索引目录!E19" display="返回索引页"/>
    <hyperlink ref="B1" location="存货汇总!B7" display="返回"/>
  </hyperlinks>
  <printOptions horizontalCentered="1"/>
  <pageMargins left="0.432638888888889" right="0.432638888888889" top="0.826388888888889" bottom="0.786805555555556" header="1.03" footer="0.511805555555556"/>
  <pageSetup orientation="landscape" paperSize="9" fitToHeight="0"/>
  <headerFooter alignWithMargins="0">
    <oddHeader>&amp;R&amp;"宋体,常规"共&amp;"Times New Roman,常规"&amp;N&amp;"宋体,常规"页第&amp;"Times New Roman,常规"&amp;P&amp;"宋体,常规"3-9-2_x000a_页</oddHeader>
    <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codeName="Sheet25">
    <outlinePr summaryBelow="1" summaryRight="1"/>
    <pageSetUpPr fitToPage="1"/>
  </sheetPr>
  <dimension ref="A1:P31"/>
  <sheetViews>
    <sheetView view="pageBreakPreview" zoomScale="60" zoomScaleNormal="100" workbookViewId="0">
      <selection activeCell="G451" sqref="G451"/>
    </sheetView>
  </sheetViews>
  <sheetFormatPr baseColWidth="8" defaultColWidth="9" defaultRowHeight="15.75" customHeight="1"/>
  <cols>
    <col width="4.83333333333333" customWidth="1" style="13" min="1" max="1"/>
    <col width="14.25" customWidth="1" style="13" min="2" max="2"/>
    <col width="4.83333333333333" customWidth="1" style="13" min="3" max="3"/>
    <col hidden="1" outlineLevel="1" width="10.5833333333333" customWidth="1" style="13" min="4" max="4"/>
    <col hidden="1" outlineLevel="1" width="8.58333333333333" customWidth="1" style="255" min="5" max="5"/>
    <col hidden="1" outlineLevel="1" width="11.3333333333333" customWidth="1" style="13" min="6" max="7"/>
    <col collapsed="1" width="12.5" customWidth="1" style="13" min="8" max="8"/>
    <col width="12.5" customWidth="1" style="13" min="9" max="9"/>
    <col width="14.3333333333333" customWidth="1" style="13" min="10" max="10"/>
    <col width="12.5" customWidth="1" style="13" min="11" max="12"/>
    <col width="14.3333333333333" customWidth="1" style="13" min="13" max="13"/>
    <col width="7.75" customWidth="1" style="13" min="14" max="14"/>
    <col width="11.8333333333333" customWidth="1" style="13" min="15" max="15"/>
    <col width="9" customWidth="1" style="13" min="16"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row>
    <row r="2" ht="30" customFormat="1" customHeight="1" s="11">
      <c r="A2" s="17" t="inlineStr">
        <is>
          <t>存货—在库周转材料评估明细表</t>
        </is>
      </c>
    </row>
    <row r="3" ht="14.15" customHeight="1">
      <c r="A3" s="535">
        <f>CONCATENATE(封面!D9,封面!F9,封面!G9,封面!H9,封面!I9,封面!J9,封面!K9)</f>
      </c>
    </row>
    <row r="4" ht="15.5" customHeight="1">
      <c r="A4" s="536">
        <f>封面!D7&amp;封面!F7</f>
      </c>
      <c r="O4" s="20" t="inlineStr">
        <is>
          <t>金额单位：人民币元</t>
        </is>
      </c>
    </row>
    <row r="5" ht="13" customFormat="1" customHeight="1" s="12">
      <c r="A5" s="21" t="inlineStr">
        <is>
          <t>序号</t>
        </is>
      </c>
      <c r="B5" s="21" t="inlineStr">
        <is>
          <t>名称及规格型号</t>
        </is>
      </c>
      <c r="C5" s="22" t="inlineStr">
        <is>
          <t>计量单位</t>
        </is>
      </c>
      <c r="D5" s="21" t="inlineStr">
        <is>
          <t>审计前账面值</t>
        </is>
      </c>
      <c r="E5" s="138" t="n"/>
      <c r="F5" s="28" t="n"/>
      <c r="G5" s="21" t="inlineStr">
        <is>
          <t>审计调整</t>
        </is>
      </c>
      <c r="H5" s="33" t="inlineStr">
        <is>
          <t>账面价值</t>
        </is>
      </c>
      <c r="I5" s="34" t="n"/>
      <c r="J5" s="35" t="n"/>
      <c r="K5" s="21" t="inlineStr">
        <is>
          <t>评估价值</t>
        </is>
      </c>
      <c r="L5" s="138" t="n"/>
      <c r="M5" s="28" t="n"/>
      <c r="N5" s="21" t="inlineStr">
        <is>
          <t>增值率%</t>
        </is>
      </c>
      <c r="O5" s="21" t="inlineStr">
        <is>
          <t>备注</t>
        </is>
      </c>
      <c r="P5" s="21" t="inlineStr">
        <is>
          <t>存放地点</t>
        </is>
      </c>
    </row>
    <row r="6" ht="13" customFormat="1" customHeight="1" s="12">
      <c r="A6" s="36" t="n"/>
      <c r="B6" s="36" t="n"/>
      <c r="C6" s="36" t="n"/>
      <c r="D6" s="21" t="inlineStr">
        <is>
          <t>数量</t>
        </is>
      </c>
      <c r="E6" s="21" t="inlineStr">
        <is>
          <t>单价</t>
        </is>
      </c>
      <c r="F6" s="21" t="inlineStr">
        <is>
          <t>金额</t>
        </is>
      </c>
      <c r="G6" s="36" t="n"/>
      <c r="H6" s="21" t="inlineStr">
        <is>
          <t>数量</t>
        </is>
      </c>
      <c r="I6" s="21" t="inlineStr">
        <is>
          <t>单价</t>
        </is>
      </c>
      <c r="J6" s="21" t="inlineStr">
        <is>
          <t>金额</t>
        </is>
      </c>
      <c r="K6" s="33" t="inlineStr">
        <is>
          <t>实际数量</t>
        </is>
      </c>
      <c r="L6" s="21" t="inlineStr">
        <is>
          <t>单价</t>
        </is>
      </c>
      <c r="M6" s="21" t="inlineStr">
        <is>
          <t>金额</t>
        </is>
      </c>
      <c r="N6" s="36" t="n"/>
      <c r="O6" s="36" t="n"/>
      <c r="P6" s="36" t="n"/>
    </row>
    <row r="7" ht="13" customFormat="1" customHeight="1" s="248">
      <c r="A7" s="45" t="n"/>
      <c r="B7" s="98" t="n"/>
      <c r="C7" s="235" t="n"/>
      <c r="D7" s="236" t="n"/>
      <c r="E7" s="539">
        <f>IF(D7=0,"",F7/D7)</f>
      </c>
      <c r="F7" s="560" t="n"/>
      <c r="G7" s="560" t="n"/>
      <c r="H7" s="560" t="n"/>
      <c r="I7" s="560" t="n"/>
      <c r="J7" s="539" t="n"/>
      <c r="K7" s="38" t="n"/>
      <c r="L7" s="539" t="n"/>
      <c r="M7" s="539" t="n"/>
      <c r="N7" s="539">
        <f>IF(J7=0,"",(M7-J7)/J7*100)</f>
      </c>
      <c r="O7" s="27" t="n"/>
      <c r="P7" s="45" t="n"/>
    </row>
    <row r="8" ht="15.5" customHeight="1">
      <c r="A8" s="23" t="n"/>
      <c r="B8" s="67" t="n"/>
      <c r="C8" s="27" t="n"/>
      <c r="D8" s="251" t="n"/>
      <c r="E8" s="539">
        <f>IF(D8=0,"",F8/D8)</f>
      </c>
      <c r="F8" s="562" t="n"/>
      <c r="G8" s="562" t="n"/>
      <c r="H8" s="562" t="n"/>
      <c r="I8" s="562" t="n"/>
      <c r="J8" s="539" t="n"/>
      <c r="K8" s="38" t="n"/>
      <c r="L8" s="539" t="n"/>
      <c r="M8" s="539" t="n"/>
      <c r="N8" s="539">
        <f>IF(J8=0,"",(M8-J8)/J8*100)</f>
      </c>
      <c r="O8" s="27" t="n"/>
      <c r="P8" s="27" t="n"/>
    </row>
    <row r="9" ht="15.5" customHeight="1">
      <c r="A9" s="23" t="n"/>
      <c r="B9" s="24" t="n"/>
      <c r="C9" s="27" t="n"/>
      <c r="D9" s="251" t="n"/>
      <c r="E9" s="539">
        <f>IF(D9=0,"",F9/D9)</f>
      </c>
      <c r="F9" s="562" t="n"/>
      <c r="G9" s="562" t="n"/>
      <c r="H9" s="562" t="n"/>
      <c r="I9" s="562" t="n"/>
      <c r="J9" s="539" t="n"/>
      <c r="K9" s="38" t="n"/>
      <c r="L9" s="539" t="n"/>
      <c r="M9" s="539" t="n"/>
      <c r="N9" s="539">
        <f>IF(J9=0,"",(M9-J9)/J9*100)</f>
      </c>
      <c r="O9" s="27" t="n"/>
      <c r="P9" s="27" t="n"/>
    </row>
    <row r="10" ht="15.5" customHeight="1">
      <c r="A10" s="23" t="n"/>
      <c r="B10" s="24" t="n"/>
      <c r="C10" s="27" t="n"/>
      <c r="D10" s="251" t="n"/>
      <c r="E10" s="539">
        <f>IF(D10=0,"",F10/D10)</f>
      </c>
      <c r="F10" s="562" t="n"/>
      <c r="G10" s="562" t="n"/>
      <c r="H10" s="562" t="n"/>
      <c r="I10" s="562" t="n"/>
      <c r="J10" s="539" t="n"/>
      <c r="K10" s="38" t="n"/>
      <c r="L10" s="539" t="n"/>
      <c r="M10" s="539" t="n"/>
      <c r="N10" s="539">
        <f>IF(J10=0,"",(M10-J10)/J10*100)</f>
      </c>
      <c r="O10" s="27" t="n"/>
      <c r="P10" s="27" t="n"/>
    </row>
    <row r="11" ht="15.5" customHeight="1">
      <c r="A11" s="23" t="n"/>
      <c r="B11" s="24" t="n"/>
      <c r="C11" s="27" t="n"/>
      <c r="D11" s="251" t="n"/>
      <c r="E11" s="539">
        <f>IF(D11=0,"",F11/D11)</f>
      </c>
      <c r="F11" s="562" t="n"/>
      <c r="G11" s="562" t="n"/>
      <c r="H11" s="562" t="n"/>
      <c r="I11" s="562" t="n"/>
      <c r="J11" s="539" t="n"/>
      <c r="K11" s="38" t="n"/>
      <c r="L11" s="539" t="n"/>
      <c r="M11" s="539" t="n"/>
      <c r="N11" s="539">
        <f>IF(J11=0,"",(M11-J11)/J11*100)</f>
      </c>
      <c r="O11" s="27" t="n"/>
      <c r="P11" s="27" t="n"/>
    </row>
    <row r="12" ht="15.5" customHeight="1">
      <c r="A12" s="23" t="n"/>
      <c r="B12" s="24" t="n"/>
      <c r="C12" s="27" t="n"/>
      <c r="D12" s="251" t="n"/>
      <c r="E12" s="539">
        <f>IF(D12=0,"",F12/D12)</f>
      </c>
      <c r="F12" s="562" t="n"/>
      <c r="G12" s="562" t="n"/>
      <c r="H12" s="562" t="n"/>
      <c r="I12" s="562" t="n"/>
      <c r="J12" s="539" t="n"/>
      <c r="K12" s="38" t="n"/>
      <c r="L12" s="539" t="n"/>
      <c r="M12" s="539" t="n"/>
      <c r="N12" s="539">
        <f>IF(J12=0,"",(M12-J12)/J12*100)</f>
      </c>
      <c r="O12" s="27" t="n"/>
      <c r="P12" s="27" t="n"/>
    </row>
    <row r="13" ht="15.5" customHeight="1">
      <c r="A13" s="23" t="n"/>
      <c r="B13" s="24" t="n"/>
      <c r="C13" s="27" t="n"/>
      <c r="D13" s="251" t="n"/>
      <c r="E13" s="539">
        <f>IF(D13=0,"",F13/D13)</f>
      </c>
      <c r="F13" s="562" t="n"/>
      <c r="G13" s="562" t="n"/>
      <c r="H13" s="562" t="n"/>
      <c r="I13" s="562" t="n"/>
      <c r="J13" s="539" t="n"/>
      <c r="K13" s="38" t="n"/>
      <c r="L13" s="539" t="n"/>
      <c r="M13" s="539" t="n"/>
      <c r="N13" s="539">
        <f>IF(J13=0,"",(M13-J13)/J13*100)</f>
      </c>
      <c r="O13" s="27" t="n"/>
      <c r="P13" s="27" t="n"/>
    </row>
    <row r="14" ht="15.5" customHeight="1">
      <c r="A14" s="23" t="n"/>
      <c r="B14" s="67" t="n"/>
      <c r="C14" s="27" t="n"/>
      <c r="D14" s="251" t="n"/>
      <c r="E14" s="539">
        <f>IF(D14=0,"",F14/D14)</f>
      </c>
      <c r="F14" s="562" t="n"/>
      <c r="G14" s="562" t="n"/>
      <c r="H14" s="562" t="n"/>
      <c r="I14" s="562" t="n"/>
      <c r="J14" s="539" t="n"/>
      <c r="K14" s="38" t="n"/>
      <c r="L14" s="539" t="n"/>
      <c r="M14" s="539" t="n"/>
      <c r="N14" s="539">
        <f>IF(J14=0,"",(M14-J14)/J14*100)</f>
      </c>
      <c r="O14" s="27" t="n"/>
      <c r="P14" s="27" t="n"/>
    </row>
    <row r="15" ht="15.5" customHeight="1">
      <c r="A15" s="23" t="n"/>
      <c r="B15" s="67" t="n"/>
      <c r="C15" s="27" t="n"/>
      <c r="D15" s="251" t="n"/>
      <c r="E15" s="539">
        <f>IF(D15=0,"",F15/D15)</f>
      </c>
      <c r="F15" s="562" t="n"/>
      <c r="G15" s="562" t="n"/>
      <c r="H15" s="562" t="n"/>
      <c r="I15" s="562" t="n"/>
      <c r="J15" s="539" t="n"/>
      <c r="K15" s="38" t="n"/>
      <c r="L15" s="539" t="n"/>
      <c r="M15" s="539" t="n"/>
      <c r="N15" s="539">
        <f>IF(J15=0,"",(M15-J15)/J15*100)</f>
      </c>
      <c r="O15" s="27" t="n"/>
      <c r="P15" s="27" t="n"/>
    </row>
    <row r="16" ht="15.5" customHeight="1">
      <c r="A16" s="23" t="n"/>
      <c r="B16" s="24" t="n"/>
      <c r="C16" s="27" t="n"/>
      <c r="D16" s="251" t="n"/>
      <c r="E16" s="539">
        <f>IF(D16=0,"",F16/D16)</f>
      </c>
      <c r="F16" s="562" t="n"/>
      <c r="G16" s="562" t="n"/>
      <c r="H16" s="562" t="n"/>
      <c r="I16" s="562" t="n"/>
      <c r="J16" s="539" t="n"/>
      <c r="K16" s="38" t="n"/>
      <c r="L16" s="539" t="n"/>
      <c r="M16" s="539" t="n"/>
      <c r="N16" s="539">
        <f>IF(J16=0,"",(M16-J16)/J16*100)</f>
      </c>
      <c r="O16" s="27" t="n"/>
      <c r="P16" s="27" t="n"/>
    </row>
    <row r="17" ht="15.5" customHeight="1">
      <c r="A17" s="23" t="n"/>
      <c r="B17" s="24" t="n"/>
      <c r="C17" s="27" t="n"/>
      <c r="D17" s="251" t="n"/>
      <c r="E17" s="539">
        <f>IF(D17=0,"",F17/D17)</f>
      </c>
      <c r="F17" s="562" t="n"/>
      <c r="G17" s="562" t="n"/>
      <c r="H17" s="562" t="n"/>
      <c r="I17" s="562" t="n"/>
      <c r="J17" s="539" t="n"/>
      <c r="K17" s="38" t="n"/>
      <c r="L17" s="539" t="n"/>
      <c r="M17" s="539" t="n"/>
      <c r="N17" s="539">
        <f>IF(J17=0,"",(M17-J17)/J17*100)</f>
      </c>
      <c r="O17" s="27" t="n"/>
      <c r="P17" s="27" t="n"/>
    </row>
    <row r="18" ht="15.5" customHeight="1">
      <c r="A18" s="23" t="n"/>
      <c r="B18" s="24" t="n"/>
      <c r="C18" s="27" t="n"/>
      <c r="D18" s="251" t="n"/>
      <c r="E18" s="539">
        <f>IF(D18=0,"",F18/D18)</f>
      </c>
      <c r="F18" s="562" t="n"/>
      <c r="G18" s="562" t="n"/>
      <c r="H18" s="562" t="n"/>
      <c r="I18" s="562" t="n"/>
      <c r="J18" s="539" t="n"/>
      <c r="K18" s="38" t="n"/>
      <c r="L18" s="539" t="n"/>
      <c r="M18" s="539" t="n"/>
      <c r="N18" s="539">
        <f>IF(J18=0,"",(M18-J18)/J18*100)</f>
      </c>
      <c r="O18" s="27" t="n"/>
      <c r="P18" s="27" t="n"/>
    </row>
    <row r="19" ht="15.5" customHeight="1">
      <c r="A19" s="23" t="n"/>
      <c r="B19" s="24" t="n"/>
      <c r="C19" s="27" t="n"/>
      <c r="D19" s="251" t="n"/>
      <c r="E19" s="539">
        <f>IF(D19=0,"",F19/D19)</f>
      </c>
      <c r="F19" s="562" t="n"/>
      <c r="G19" s="562" t="n"/>
      <c r="H19" s="562" t="n"/>
      <c r="I19" s="562" t="n"/>
      <c r="J19" s="539" t="n"/>
      <c r="K19" s="38" t="n"/>
      <c r="L19" s="539" t="n"/>
      <c r="M19" s="539" t="n"/>
      <c r="N19" s="539">
        <f>IF(J19=0,"",(M19-J19)/J19*100)</f>
      </c>
      <c r="O19" s="27" t="n"/>
      <c r="P19" s="27" t="n"/>
    </row>
    <row r="20" ht="15.5" customHeight="1">
      <c r="A20" s="23" t="n"/>
      <c r="B20" s="24" t="n"/>
      <c r="C20" s="27" t="n"/>
      <c r="D20" s="251" t="n"/>
      <c r="E20" s="539">
        <f>IF(D20=0,"",F20/D20)</f>
      </c>
      <c r="F20" s="562" t="n"/>
      <c r="G20" s="562" t="n"/>
      <c r="H20" s="562" t="n"/>
      <c r="I20" s="562" t="n"/>
      <c r="J20" s="539" t="n"/>
      <c r="K20" s="38" t="n"/>
      <c r="L20" s="539" t="n"/>
      <c r="M20" s="539" t="n"/>
      <c r="N20" s="539">
        <f>IF(J20=0,"",(M20-J20)/J20*100)</f>
      </c>
      <c r="O20" s="27" t="n"/>
      <c r="P20" s="27" t="n"/>
    </row>
    <row r="21" ht="15.5" customHeight="1">
      <c r="A21" s="23" t="n"/>
      <c r="B21" s="24" t="n"/>
      <c r="C21" s="27" t="n"/>
      <c r="D21" s="251" t="n"/>
      <c r="E21" s="539">
        <f>IF(D21=0,"",F21/D21)</f>
      </c>
      <c r="F21" s="562" t="n"/>
      <c r="G21" s="562" t="n"/>
      <c r="H21" s="562" t="n"/>
      <c r="I21" s="562" t="n"/>
      <c r="J21" s="539" t="n"/>
      <c r="K21" s="38" t="n"/>
      <c r="L21" s="539" t="n"/>
      <c r="M21" s="539" t="n"/>
      <c r="N21" s="539">
        <f>IF(J21=0,"",(M21-J21)/J21*100)</f>
      </c>
      <c r="O21" s="27" t="n"/>
      <c r="P21" s="27" t="n"/>
    </row>
    <row r="22" ht="15.5" customHeight="1">
      <c r="A22" s="23" t="n"/>
      <c r="B22" s="67" t="n"/>
      <c r="C22" s="27" t="n"/>
      <c r="D22" s="251" t="n"/>
      <c r="E22" s="539">
        <f>IF(D22=0,"",F22/D22)</f>
      </c>
      <c r="F22" s="562" t="n"/>
      <c r="G22" s="562" t="n"/>
      <c r="H22" s="562" t="n"/>
      <c r="I22" s="562" t="n"/>
      <c r="J22" s="539" t="n"/>
      <c r="K22" s="38" t="n"/>
      <c r="L22" s="539" t="n"/>
      <c r="M22" s="539" t="n"/>
      <c r="N22" s="539">
        <f>IF(J22=0,"",(M22-J22)/J22*100)</f>
      </c>
      <c r="O22" s="27" t="n"/>
      <c r="P22" s="27" t="n"/>
    </row>
    <row r="23" ht="15.5" customHeight="1">
      <c r="A23" s="23" t="n"/>
      <c r="B23" s="67" t="n"/>
      <c r="C23" s="27" t="n"/>
      <c r="D23" s="251" t="n"/>
      <c r="E23" s="539">
        <f>IF(D23=0,"",F23/D23)</f>
      </c>
      <c r="F23" s="562" t="n"/>
      <c r="G23" s="562" t="n"/>
      <c r="H23" s="562" t="n"/>
      <c r="I23" s="562" t="n"/>
      <c r="J23" s="539" t="n"/>
      <c r="K23" s="38" t="n"/>
      <c r="L23" s="539" t="n"/>
      <c r="M23" s="539" t="n"/>
      <c r="N23" s="539">
        <f>IF(J23=0,"",(M23-J23)/J23*100)</f>
      </c>
      <c r="O23" s="27" t="n"/>
      <c r="P23" s="27" t="n"/>
    </row>
    <row r="24" ht="15.5" customHeight="1">
      <c r="A24" s="23" t="n"/>
      <c r="B24" s="24" t="n"/>
      <c r="C24" s="27" t="n"/>
      <c r="D24" s="251" t="n"/>
      <c r="E24" s="539">
        <f>IF(D24=0,"",F24/D24)</f>
      </c>
      <c r="F24" s="562" t="n"/>
      <c r="G24" s="562" t="n"/>
      <c r="H24" s="562" t="n"/>
      <c r="I24" s="562" t="n"/>
      <c r="J24" s="539" t="n"/>
      <c r="K24" s="38" t="n"/>
      <c r="L24" s="539" t="n"/>
      <c r="M24" s="539" t="n"/>
      <c r="N24" s="539">
        <f>IF(J24=0,"",(M24-J24)/J24*100)</f>
      </c>
      <c r="O24" s="27" t="n"/>
      <c r="P24" s="27" t="n"/>
    </row>
    <row r="25" ht="15.5" customHeight="1">
      <c r="A25" s="23" t="n"/>
      <c r="B25" s="24" t="n"/>
      <c r="C25" s="27" t="n"/>
      <c r="D25" s="251" t="n"/>
      <c r="E25" s="539">
        <f>IF(D25=0,"",F25/D25)</f>
      </c>
      <c r="F25" s="562" t="n"/>
      <c r="G25" s="562" t="n"/>
      <c r="H25" s="562" t="n"/>
      <c r="I25" s="562" t="n"/>
      <c r="J25" s="539" t="n"/>
      <c r="K25" s="38" t="n"/>
      <c r="L25" s="539" t="n"/>
      <c r="M25" s="539" t="n"/>
      <c r="N25" s="539">
        <f>IF(J25=0,"",(M25-J25)/J25*100)</f>
      </c>
      <c r="O25" s="27" t="n"/>
      <c r="P25" s="27" t="n"/>
    </row>
    <row r="26" ht="15.5" customHeight="1">
      <c r="A26" s="23" t="n"/>
      <c r="B26" s="24" t="n"/>
      <c r="C26" s="27" t="n"/>
      <c r="D26" s="251" t="n"/>
      <c r="E26" s="562" t="n"/>
      <c r="F26" s="562" t="n"/>
      <c r="G26" s="562" t="n"/>
      <c r="H26" s="562" t="n"/>
      <c r="I26" s="562" t="n"/>
      <c r="J26" s="539" t="n"/>
      <c r="K26" s="38" t="n"/>
      <c r="L26" s="539" t="n"/>
      <c r="M26" s="539" t="n"/>
      <c r="N26" s="539" t="n"/>
      <c r="O26" s="27" t="n"/>
      <c r="P26" s="27" t="n"/>
    </row>
    <row r="27" ht="15.5" customHeight="1">
      <c r="A27" s="21" t="inlineStr">
        <is>
          <t>合            计</t>
        </is>
      </c>
      <c r="B27" s="28" t="n"/>
      <c r="C27" s="27" t="n"/>
      <c r="D27" s="38" t="n"/>
      <c r="E27" s="539" t="n"/>
      <c r="F27" s="539">
        <f>SUM(F7:F26)</f>
      </c>
      <c r="G27" s="539" t="n"/>
      <c r="H27" s="539" t="n"/>
      <c r="I27" s="539" t="n"/>
      <c r="J27" s="539">
        <f>SUM(J7:J26)</f>
      </c>
      <c r="K27" s="38" t="n"/>
      <c r="L27" s="539" t="n"/>
      <c r="M27" s="539">
        <f>SUM(M7:M26)</f>
      </c>
      <c r="N27" s="539">
        <f>IF(J27=0,"",(M27-J27)/J27*100)</f>
      </c>
      <c r="O27" s="27" t="n"/>
      <c r="P27" s="27" t="n"/>
    </row>
    <row r="28" ht="15.5" customHeight="1">
      <c r="A28" s="29">
        <f>封面!D11&amp;封面!G11</f>
      </c>
      <c r="D28" s="255" t="n"/>
      <c r="E28" s="536" t="n"/>
      <c r="F28" s="536" t="n"/>
      <c r="G28" s="536" t="n"/>
      <c r="H28" s="536" t="n"/>
      <c r="I28" s="536" t="n"/>
      <c r="J28" s="536">
        <f>"评估人员："&amp;封面!G20</f>
      </c>
    </row>
    <row r="29" ht="15.5" customHeight="1">
      <c r="A29" s="13">
        <f>CONCATENATE(封面!D13,封面!F13,封面!G13,封面!H13,封面!I13,封面!J13,封面!K13)</f>
      </c>
      <c r="D29" s="255" t="n"/>
      <c r="F29" s="255" t="n"/>
      <c r="G29" s="255" t="n"/>
      <c r="H29" s="255" t="n"/>
      <c r="I29" s="255" t="n"/>
    </row>
    <row r="30" ht="15.5" customHeight="1">
      <c r="A30" s="12" t="n"/>
      <c r="B30" s="20" t="inlineStr">
        <is>
          <t>注1：</t>
        </is>
      </c>
      <c r="C30" s="13" t="inlineStr">
        <is>
          <t>1）正常，无需填写；2）残次，填“A”；3）变质，填“B”；4）毁损，填“C”；5）滞销，填“E”；</t>
        </is>
      </c>
      <c r="D30" s="255" t="n"/>
      <c r="F30" s="255" t="n"/>
      <c r="G30" s="255" t="n"/>
      <c r="H30" s="255" t="n"/>
      <c r="I30" s="255" t="n"/>
    </row>
    <row r="31" ht="15.5" customHeight="1">
      <c r="A31" s="12" t="n"/>
      <c r="C31" s="13" t="inlineStr">
        <is>
          <t>6）积压，填“D”并在备注中填写已积压时间“1年以内”、“1~2年”、“2~3年”、“3年以上”；7）其他情形用文字表述。</t>
        </is>
      </c>
      <c r="D31" s="255" t="n"/>
      <c r="F31" s="255" t="n"/>
      <c r="G31" s="255" t="n"/>
      <c r="H31" s="255" t="n"/>
      <c r="I31" s="255" t="n"/>
    </row>
  </sheetData>
  <mergeCells count="13">
    <mergeCell ref="A5:A6"/>
    <mergeCell ref="G5:G6"/>
    <mergeCell ref="N5:N6"/>
    <mergeCell ref="O5:O6"/>
    <mergeCell ref="P5:P6"/>
    <mergeCell ref="A2:O2"/>
    <mergeCell ref="D5:F5"/>
    <mergeCell ref="K5:M5"/>
    <mergeCell ref="H5:J5"/>
    <mergeCell ref="A27:B27"/>
    <mergeCell ref="B5:B6"/>
    <mergeCell ref="A3:O3"/>
    <mergeCell ref="C5:C6"/>
  </mergeCells>
  <hyperlinks>
    <hyperlink ref="A1" location="索引目录!E20" display="返回索引页"/>
    <hyperlink ref="B1" location="存货汇总!B8"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Roman,常规"&amp;P&amp;"宋体,常规"3-9-3_x000a_页</oddHeader>
    <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codeName="Sheet26">
    <outlinePr summaryBelow="1" summaryRight="1"/>
    <pageSetUpPr fitToPage="1"/>
  </sheetPr>
  <dimension ref="A1:P29"/>
  <sheetViews>
    <sheetView view="pageBreakPreview" zoomScale="90" zoomScaleNormal="100" workbookViewId="0">
      <selection activeCell="G451" sqref="G451"/>
    </sheetView>
  </sheetViews>
  <sheetFormatPr baseColWidth="8" defaultColWidth="9" defaultRowHeight="15.75" customHeight="1"/>
  <cols>
    <col width="5.75" customWidth="1" style="13" min="1" max="1"/>
    <col width="23.4166666666667" customWidth="1" style="13" min="2" max="2"/>
    <col width="23.8333333333333" customWidth="1" style="13" min="3" max="3"/>
    <col width="5.08333333333333" customWidth="1" style="13" min="4" max="4"/>
    <col hidden="1" outlineLevel="1" width="10.25" customWidth="1" style="547" min="5" max="5"/>
    <col hidden="1" outlineLevel="1" width="6.83333333333333" customWidth="1" style="547" min="6" max="6"/>
    <col hidden="1" outlineLevel="1" width="13.0833333333333" customWidth="1" style="547" min="7" max="8"/>
    <col collapsed="1" width="9.66666666666667" customWidth="1" style="547" min="9" max="9"/>
    <col width="5.5" customWidth="1" style="547" min="10" max="10"/>
    <col width="10" customWidth="1" style="547" min="11" max="11"/>
    <col width="9.16666666666667" customWidth="1" style="13" min="12" max="12"/>
    <col width="4.91666666666667" customWidth="1" style="547" min="13" max="13"/>
    <col width="10.0833333333333" customWidth="1" style="547" min="14" max="14"/>
    <col width="7.5" customWidth="1" style="547" min="15" max="15"/>
    <col width="7.25" customWidth="1" style="13" min="16" max="16"/>
    <col width="9" customWidth="1" style="13" min="17" max="16384"/>
  </cols>
  <sheetData>
    <row r="1" ht="15.5" customHeight="1">
      <c r="A1" s="529" t="inlineStr">
        <is>
          <t>返回索引页</t>
        </is>
      </c>
      <c r="B1" s="230" t="inlineStr">
        <is>
          <t>返回</t>
        </is>
      </c>
      <c r="C1" s="12" t="n"/>
      <c r="D1" s="12" t="n"/>
      <c r="E1" s="12" t="n"/>
      <c r="F1" s="12" t="n"/>
      <c r="G1" s="12" t="n"/>
      <c r="H1" s="12" t="n"/>
      <c r="I1" s="12" t="n"/>
      <c r="J1" s="12" t="n"/>
      <c r="K1" s="12" t="n"/>
      <c r="L1" s="12" t="n"/>
      <c r="M1" s="12" t="n"/>
      <c r="N1" s="12" t="n"/>
      <c r="O1" s="12" t="n"/>
      <c r="P1" s="12" t="n"/>
    </row>
    <row r="2" ht="30" customFormat="1" customHeight="1" s="11">
      <c r="A2" s="53" t="inlineStr">
        <is>
          <t>存货—委托加工物资评估明细表</t>
        </is>
      </c>
    </row>
    <row r="3" ht="14.15" customHeight="1">
      <c r="A3" s="535">
        <f>CONCATENATE(封面!D9,封面!F9,封面!G9,封面!H9,封面!I9,封面!J9,封面!K9)</f>
      </c>
    </row>
    <row r="4" ht="15.5" customHeight="1">
      <c r="A4" s="536">
        <f>封面!D7&amp;封面!F7</f>
      </c>
      <c r="P4" s="54" t="inlineStr">
        <is>
          <t>金额单位：人民币元</t>
        </is>
      </c>
    </row>
    <row r="5" ht="13" customFormat="1" customHeight="1" s="12">
      <c r="A5" s="23" t="inlineStr">
        <is>
          <t>序号</t>
        </is>
      </c>
      <c r="B5" s="23" t="inlineStr">
        <is>
          <t>名称及规格型号</t>
        </is>
      </c>
      <c r="C5" s="23" t="inlineStr">
        <is>
          <t>加工单位名称</t>
        </is>
      </c>
      <c r="D5" s="55" t="inlineStr">
        <is>
          <t>计量单位</t>
        </is>
      </c>
      <c r="E5" s="23" t="inlineStr">
        <is>
          <t>审计前账面值</t>
        </is>
      </c>
      <c r="F5" s="138" t="n"/>
      <c r="G5" s="28" t="n"/>
      <c r="H5" s="23" t="inlineStr">
        <is>
          <t>审计调整</t>
        </is>
      </c>
      <c r="I5" s="563" t="inlineStr">
        <is>
          <t>账面价值</t>
        </is>
      </c>
      <c r="J5" s="34" t="n"/>
      <c r="K5" s="35" t="n"/>
      <c r="L5" s="564" t="inlineStr">
        <is>
          <t>评估价值</t>
        </is>
      </c>
      <c r="M5" s="138" t="n"/>
      <c r="N5" s="28" t="n"/>
      <c r="O5" s="564" t="inlineStr">
        <is>
          <t>增值率%</t>
        </is>
      </c>
      <c r="P5" s="23" t="inlineStr">
        <is>
          <t>备注</t>
        </is>
      </c>
    </row>
    <row r="6" ht="13" customFormat="1" customHeight="1" s="12">
      <c r="A6" s="36" t="n"/>
      <c r="B6" s="36" t="n"/>
      <c r="C6" s="36" t="n"/>
      <c r="D6" s="36" t="n"/>
      <c r="E6" s="23" t="inlineStr">
        <is>
          <t>数量</t>
        </is>
      </c>
      <c r="F6" s="23" t="inlineStr">
        <is>
          <t>单价</t>
        </is>
      </c>
      <c r="G6" s="23" t="inlineStr">
        <is>
          <t>金额</t>
        </is>
      </c>
      <c r="H6" s="36" t="n"/>
      <c r="I6" s="23" t="inlineStr">
        <is>
          <t>数量</t>
        </is>
      </c>
      <c r="J6" s="23" t="inlineStr">
        <is>
          <t>单价</t>
        </is>
      </c>
      <c r="K6" s="23" t="inlineStr">
        <is>
          <t>金额</t>
        </is>
      </c>
      <c r="L6" s="232" t="inlineStr">
        <is>
          <t>实际数量</t>
        </is>
      </c>
      <c r="M6" s="564" t="inlineStr">
        <is>
          <t>单价</t>
        </is>
      </c>
      <c r="N6" s="564" t="inlineStr">
        <is>
          <t>金额</t>
        </is>
      </c>
      <c r="O6" s="36" t="n"/>
      <c r="P6" s="36" t="n"/>
    </row>
    <row r="7" ht="15.5" customHeight="1">
      <c r="A7" s="23" t="n"/>
      <c r="B7" s="234" t="n"/>
      <c r="C7" s="63" t="n"/>
      <c r="D7" s="235" t="n"/>
      <c r="E7" s="236" t="n"/>
      <c r="F7" s="539" t="n"/>
      <c r="G7" s="560" t="n"/>
      <c r="H7" s="560" t="n"/>
      <c r="I7" s="38" t="n"/>
      <c r="J7" s="539" t="n"/>
      <c r="K7" s="539" t="n"/>
      <c r="L7" s="38" t="n"/>
      <c r="M7" s="539" t="n"/>
      <c r="N7" s="539" t="n"/>
      <c r="O7" s="539">
        <f>IF(K7=0,"",(N7-K7)/K7*100)</f>
      </c>
      <c r="P7" s="27" t="n"/>
    </row>
    <row r="8" ht="15.5" customHeight="1">
      <c r="A8" s="23" t="n"/>
      <c r="B8" s="56" t="n"/>
      <c r="C8" s="63" t="n"/>
      <c r="D8" s="235" t="n"/>
      <c r="E8" s="251" t="n"/>
      <c r="F8" s="539" t="n"/>
      <c r="G8" s="562" t="n"/>
      <c r="H8" s="562" t="n"/>
      <c r="I8" s="38" t="n"/>
      <c r="J8" s="539" t="n"/>
      <c r="K8" s="539" t="n"/>
      <c r="L8" s="38" t="n"/>
      <c r="M8" s="539" t="n"/>
      <c r="N8" s="539" t="n"/>
      <c r="O8" s="539">
        <f>IF(K8=0,"",(N8-K8)/K8*100)</f>
      </c>
      <c r="P8" s="27" t="n"/>
    </row>
    <row r="9" ht="15.5" customHeight="1">
      <c r="A9" s="23" t="n"/>
      <c r="B9" s="56" t="n"/>
      <c r="C9" s="63" t="n"/>
      <c r="D9" s="235" t="n"/>
      <c r="E9" s="251" t="n"/>
      <c r="F9" s="539" t="n"/>
      <c r="G9" s="562" t="n"/>
      <c r="H9" s="562" t="n"/>
      <c r="I9" s="38" t="n"/>
      <c r="J9" s="539" t="n"/>
      <c r="K9" s="539" t="n"/>
      <c r="L9" s="38" t="n"/>
      <c r="M9" s="539" t="n"/>
      <c r="N9" s="539" t="n"/>
      <c r="O9" s="539">
        <f>IF(K9=0,"",(N9-K9)/K9*100)</f>
      </c>
      <c r="P9" s="27" t="n"/>
    </row>
    <row r="10" ht="15.5" customHeight="1">
      <c r="A10" s="23" t="n"/>
      <c r="B10" s="56" t="n"/>
      <c r="C10" s="63" t="n"/>
      <c r="D10" s="235" t="n"/>
      <c r="E10" s="251" t="n"/>
      <c r="F10" s="539" t="n"/>
      <c r="G10" s="562" t="n"/>
      <c r="H10" s="562" t="n"/>
      <c r="I10" s="38" t="n"/>
      <c r="J10" s="539" t="n"/>
      <c r="K10" s="539" t="n"/>
      <c r="L10" s="38" t="n"/>
      <c r="M10" s="539" t="n"/>
      <c r="N10" s="539" t="n"/>
      <c r="O10" s="539">
        <f>IF(K10=0,"",(N10-K10)/K10*100)</f>
      </c>
      <c r="P10" s="27" t="n"/>
    </row>
    <row r="11" ht="15.5" customHeight="1">
      <c r="A11" s="23" t="n"/>
      <c r="B11" s="56" t="n"/>
      <c r="C11" s="63" t="n"/>
      <c r="D11" s="235" t="n"/>
      <c r="E11" s="251" t="n"/>
      <c r="F11" s="539" t="n"/>
      <c r="G11" s="562" t="n"/>
      <c r="H11" s="562" t="n"/>
      <c r="I11" s="38" t="n"/>
      <c r="J11" s="539" t="n"/>
      <c r="K11" s="539" t="n"/>
      <c r="L11" s="38" t="n"/>
      <c r="M11" s="539" t="n"/>
      <c r="N11" s="539" t="n"/>
      <c r="O11" s="539">
        <f>IF(K11=0,"",(N11-K11)/K11*100)</f>
      </c>
      <c r="P11" s="27" t="n"/>
    </row>
    <row r="12" ht="15.5" customHeight="1">
      <c r="A12" s="23" t="n"/>
      <c r="B12" s="24" t="n"/>
      <c r="C12" s="23" t="n"/>
      <c r="D12" s="27" t="n"/>
      <c r="E12" s="251" t="n"/>
      <c r="F12" s="539">
        <f>IF(E12=0,"",G12/E12)</f>
      </c>
      <c r="G12" s="562" t="n"/>
      <c r="H12" s="562" t="n"/>
      <c r="I12" s="562" t="n"/>
      <c r="J12" s="562" t="n"/>
      <c r="K12" s="539" t="n"/>
      <c r="L12" s="38" t="n"/>
      <c r="M12" s="539" t="n"/>
      <c r="N12" s="539" t="n"/>
      <c r="O12" s="539">
        <f>IF(K12=0,"",(N12-K12)/K12*100)</f>
      </c>
      <c r="P12" s="27" t="n"/>
    </row>
    <row r="13" ht="15.5" customHeight="1">
      <c r="A13" s="23" t="n"/>
      <c r="B13" s="24" t="n"/>
      <c r="C13" s="23" t="n"/>
      <c r="D13" s="27" t="n"/>
      <c r="E13" s="251" t="n"/>
      <c r="F13" s="539">
        <f>IF(E13=0,"",G13/E13)</f>
      </c>
      <c r="G13" s="562" t="n"/>
      <c r="H13" s="562" t="n"/>
      <c r="I13" s="562" t="n"/>
      <c r="J13" s="562" t="n"/>
      <c r="K13" s="539" t="n"/>
      <c r="L13" s="38" t="n"/>
      <c r="M13" s="539" t="n"/>
      <c r="N13" s="539" t="n"/>
      <c r="O13" s="539">
        <f>IF(K13=0,"",(N13-K13)/K13*100)</f>
      </c>
      <c r="P13" s="27" t="n"/>
    </row>
    <row r="14" ht="15.5" customHeight="1">
      <c r="A14" s="23" t="n"/>
      <c r="B14" s="24" t="n"/>
      <c r="C14" s="23" t="n"/>
      <c r="D14" s="27" t="n"/>
      <c r="E14" s="251" t="n"/>
      <c r="F14" s="539">
        <f>IF(E14=0,"",G14/E14)</f>
      </c>
      <c r="G14" s="562" t="n"/>
      <c r="H14" s="562" t="n"/>
      <c r="I14" s="562" t="n"/>
      <c r="J14" s="562" t="n"/>
      <c r="K14" s="539" t="n"/>
      <c r="L14" s="38" t="n"/>
      <c r="M14" s="539" t="n"/>
      <c r="N14" s="539" t="n"/>
      <c r="O14" s="539">
        <f>IF(K14=0,"",(N14-K14)/K14*100)</f>
      </c>
      <c r="P14" s="27" t="n"/>
    </row>
    <row r="15" ht="15.5" customHeight="1">
      <c r="A15" s="23" t="n"/>
      <c r="B15" s="24" t="n"/>
      <c r="C15" s="23" t="n"/>
      <c r="D15" s="27" t="n"/>
      <c r="E15" s="251" t="n"/>
      <c r="F15" s="539">
        <f>IF(E15=0,"",G15/E15)</f>
      </c>
      <c r="G15" s="562" t="n"/>
      <c r="H15" s="562" t="n"/>
      <c r="I15" s="562" t="n"/>
      <c r="J15" s="562" t="n"/>
      <c r="K15" s="539" t="n"/>
      <c r="L15" s="38" t="n"/>
      <c r="M15" s="539" t="n"/>
      <c r="N15" s="539" t="n"/>
      <c r="O15" s="539">
        <f>IF(K15=0,"",(N15-K15)/K15*100)</f>
      </c>
      <c r="P15" s="27" t="n"/>
    </row>
    <row r="16" ht="15.5" customHeight="1">
      <c r="A16" s="23" t="n"/>
      <c r="B16" s="24" t="n"/>
      <c r="C16" s="23" t="n"/>
      <c r="D16" s="27" t="n"/>
      <c r="E16" s="251" t="n"/>
      <c r="F16" s="539">
        <f>IF(E16=0,"",G16/E16)</f>
      </c>
      <c r="G16" s="562" t="n"/>
      <c r="H16" s="562" t="n"/>
      <c r="I16" s="562" t="n"/>
      <c r="J16" s="562" t="n"/>
      <c r="K16" s="539" t="n"/>
      <c r="L16" s="38" t="n"/>
      <c r="M16" s="539" t="n"/>
      <c r="N16" s="539" t="n"/>
      <c r="O16" s="539">
        <f>IF(K16=0,"",(N16-K16)/K16*100)</f>
      </c>
      <c r="P16" s="27" t="n"/>
    </row>
    <row r="17" ht="15.5" customHeight="1">
      <c r="A17" s="23" t="n"/>
      <c r="B17" s="24" t="n"/>
      <c r="C17" s="23" t="n"/>
      <c r="D17" s="27" t="n"/>
      <c r="E17" s="251" t="n"/>
      <c r="F17" s="539">
        <f>IF(E17=0,"",G17/E17)</f>
      </c>
      <c r="G17" s="562" t="n"/>
      <c r="H17" s="562" t="n"/>
      <c r="I17" s="562" t="n"/>
      <c r="J17" s="562" t="n"/>
      <c r="K17" s="539" t="n"/>
      <c r="L17" s="38" t="n"/>
      <c r="M17" s="539" t="n"/>
      <c r="N17" s="539" t="n"/>
      <c r="O17" s="539">
        <f>IF(K17=0,"",(N17-K17)/K17*100)</f>
      </c>
      <c r="P17" s="27" t="n"/>
    </row>
    <row r="18" ht="15.5" customHeight="1">
      <c r="A18" s="23" t="n"/>
      <c r="B18" s="24" t="n"/>
      <c r="C18" s="23" t="n"/>
      <c r="D18" s="27" t="n"/>
      <c r="E18" s="251" t="n"/>
      <c r="F18" s="539">
        <f>IF(E18=0,"",G18/E18)</f>
      </c>
      <c r="G18" s="562" t="n"/>
      <c r="H18" s="562" t="n"/>
      <c r="I18" s="562" t="n"/>
      <c r="J18" s="562" t="n"/>
      <c r="K18" s="539" t="n"/>
      <c r="L18" s="38" t="n"/>
      <c r="M18" s="539" t="n"/>
      <c r="N18" s="539" t="n"/>
      <c r="O18" s="539">
        <f>IF(K18=0,"",(N18-K18)/K18*100)</f>
      </c>
      <c r="P18" s="27" t="n"/>
    </row>
    <row r="19" ht="15.5" customHeight="1">
      <c r="A19" s="23" t="n"/>
      <c r="B19" s="24" t="n"/>
      <c r="C19" s="23" t="n"/>
      <c r="D19" s="27" t="n"/>
      <c r="E19" s="251" t="n"/>
      <c r="F19" s="539">
        <f>IF(E19=0,"",G19/E19)</f>
      </c>
      <c r="G19" s="562" t="n"/>
      <c r="H19" s="562" t="n"/>
      <c r="I19" s="562" t="n"/>
      <c r="J19" s="562" t="n"/>
      <c r="K19" s="539" t="n"/>
      <c r="L19" s="38" t="n"/>
      <c r="M19" s="539" t="n"/>
      <c r="N19" s="539" t="n"/>
      <c r="O19" s="539">
        <f>IF(K19=0,"",(N19-K19)/K19*100)</f>
      </c>
      <c r="P19" s="27" t="n"/>
    </row>
    <row r="20" ht="15.5" customHeight="1">
      <c r="A20" s="23" t="n"/>
      <c r="B20" s="24" t="n"/>
      <c r="C20" s="23" t="n"/>
      <c r="D20" s="27" t="n"/>
      <c r="E20" s="251" t="n"/>
      <c r="F20" s="539">
        <f>IF(E20=0,"",G20/E20)</f>
      </c>
      <c r="G20" s="562" t="n"/>
      <c r="H20" s="562" t="n"/>
      <c r="I20" s="562" t="n"/>
      <c r="J20" s="562" t="n"/>
      <c r="K20" s="539" t="n"/>
      <c r="L20" s="38" t="n"/>
      <c r="M20" s="539" t="n"/>
      <c r="N20" s="539" t="n"/>
      <c r="O20" s="539">
        <f>IF(K20=0,"",(N20-K20)/K20*100)</f>
      </c>
      <c r="P20" s="27" t="n"/>
    </row>
    <row r="21" ht="15.5" customHeight="1">
      <c r="A21" s="23" t="n"/>
      <c r="B21" s="24" t="n"/>
      <c r="C21" s="23" t="n"/>
      <c r="D21" s="27" t="n"/>
      <c r="E21" s="251" t="n"/>
      <c r="F21" s="539">
        <f>IF(E21=0,"",G21/E21)</f>
      </c>
      <c r="G21" s="562" t="n"/>
      <c r="H21" s="562" t="n"/>
      <c r="I21" s="562" t="n"/>
      <c r="J21" s="562" t="n"/>
      <c r="K21" s="539" t="n"/>
      <c r="L21" s="38" t="n"/>
      <c r="M21" s="539" t="n"/>
      <c r="N21" s="539" t="n"/>
      <c r="O21" s="539">
        <f>IF(K21=0,"",(N21-K21)/K21*100)</f>
      </c>
      <c r="P21" s="27" t="n"/>
    </row>
    <row r="22" ht="15.5" customHeight="1">
      <c r="A22" s="23" t="n"/>
      <c r="B22" s="24" t="n"/>
      <c r="C22" s="23" t="n"/>
      <c r="D22" s="27" t="n"/>
      <c r="E22" s="251" t="n"/>
      <c r="F22" s="539">
        <f>IF(E22=0,"",G22/E22)</f>
      </c>
      <c r="G22" s="562" t="n"/>
      <c r="H22" s="562" t="n"/>
      <c r="I22" s="562" t="n"/>
      <c r="J22" s="562" t="n"/>
      <c r="K22" s="539" t="n"/>
      <c r="L22" s="38" t="n"/>
      <c r="M22" s="539" t="n"/>
      <c r="N22" s="539" t="n"/>
      <c r="O22" s="539">
        <f>IF(K22=0,"",(N22-K22)/K22*100)</f>
      </c>
      <c r="P22" s="27" t="n"/>
    </row>
    <row r="23" ht="15.5" customHeight="1">
      <c r="A23" s="23" t="n"/>
      <c r="B23" s="24" t="n"/>
      <c r="C23" s="23" t="n"/>
      <c r="D23" s="27" t="n"/>
      <c r="E23" s="251" t="n"/>
      <c r="F23" s="539">
        <f>IF(E23=0,"",G23/E23)</f>
      </c>
      <c r="G23" s="562" t="n"/>
      <c r="H23" s="562" t="n"/>
      <c r="I23" s="562" t="n"/>
      <c r="J23" s="562" t="n"/>
      <c r="K23" s="539" t="n"/>
      <c r="L23" s="38" t="n"/>
      <c r="M23" s="539" t="n"/>
      <c r="N23" s="539" t="n"/>
      <c r="O23" s="539">
        <f>IF(K23=0,"",(N23-K23)/K23*100)</f>
      </c>
      <c r="P23" s="27" t="n"/>
    </row>
    <row r="24" ht="15.5" customHeight="1">
      <c r="A24" s="23" t="n"/>
      <c r="B24" s="24" t="n"/>
      <c r="C24" s="23" t="n"/>
      <c r="D24" s="27" t="n"/>
      <c r="E24" s="251" t="n"/>
      <c r="F24" s="539">
        <f>IF(E24=0,"",G24/E24)</f>
      </c>
      <c r="G24" s="562" t="n"/>
      <c r="H24" s="562" t="n"/>
      <c r="I24" s="562" t="n"/>
      <c r="J24" s="562" t="n"/>
      <c r="K24" s="539" t="n"/>
      <c r="L24" s="38" t="n"/>
      <c r="M24" s="539" t="n"/>
      <c r="N24" s="539" t="n"/>
      <c r="O24" s="539">
        <f>IF(K24=0,"",(N24-K24)/K24*100)</f>
      </c>
      <c r="P24" s="27" t="n"/>
    </row>
    <row r="25" ht="15.5" customHeight="1">
      <c r="A25" s="23" t="n"/>
      <c r="B25" s="24" t="n"/>
      <c r="C25" s="23" t="n"/>
      <c r="D25" s="27" t="n"/>
      <c r="E25" s="251" t="n"/>
      <c r="F25" s="539">
        <f>IF(E25=0,"",G25/E25)</f>
      </c>
      <c r="G25" s="562" t="n"/>
      <c r="H25" s="562" t="n"/>
      <c r="I25" s="562" t="n"/>
      <c r="J25" s="562" t="n"/>
      <c r="K25" s="539" t="n"/>
      <c r="L25" s="38" t="n"/>
      <c r="M25" s="539" t="n"/>
      <c r="N25" s="539" t="n"/>
      <c r="O25" s="539">
        <f>IF(K25=0,"",(N25-K25)/K25*100)</f>
      </c>
      <c r="P25" s="27" t="n"/>
    </row>
    <row r="26" ht="15.5" customHeight="1">
      <c r="A26" s="23" t="n"/>
      <c r="B26" s="24" t="n"/>
      <c r="C26" s="23" t="n"/>
      <c r="D26" s="27" t="n"/>
      <c r="E26" s="251" t="n"/>
      <c r="F26" s="562" t="n"/>
      <c r="G26" s="562" t="n"/>
      <c r="H26" s="562" t="n"/>
      <c r="I26" s="562" t="n"/>
      <c r="J26" s="562" t="n"/>
      <c r="K26" s="539" t="n"/>
      <c r="L26" s="38" t="n"/>
      <c r="M26" s="539" t="n"/>
      <c r="N26" s="539" t="n"/>
      <c r="O26" s="539" t="n"/>
      <c r="P26" s="27" t="n"/>
    </row>
    <row r="27" ht="15.5" customHeight="1">
      <c r="A27" s="23" t="inlineStr">
        <is>
          <t>合            计</t>
        </is>
      </c>
      <c r="B27" s="28" t="n"/>
      <c r="C27" s="23" t="n"/>
      <c r="D27" s="27" t="n"/>
      <c r="E27" s="38" t="n"/>
      <c r="F27" s="539" t="n"/>
      <c r="G27" s="539">
        <f>SUM(G7:G26)</f>
      </c>
      <c r="H27" s="539" t="n"/>
      <c r="I27" s="539" t="n"/>
      <c r="J27" s="539" t="n"/>
      <c r="K27" s="539">
        <f>SUM(K7:K26)</f>
      </c>
      <c r="L27" s="38" t="n"/>
      <c r="M27" s="539" t="n"/>
      <c r="N27" s="539">
        <f>SUM(N7:N26)</f>
      </c>
      <c r="O27" s="539">
        <f>IF(K27=0,"",(N27-K27)/K27*100)</f>
      </c>
      <c r="P27" s="27" t="n"/>
    </row>
    <row r="28" ht="15.5" customHeight="1">
      <c r="A28" s="29">
        <f>封面!D11&amp;封面!G11</f>
      </c>
      <c r="K28" s="536">
        <f>"评估人员："&amp;封面!G20</f>
      </c>
    </row>
    <row r="29" ht="15.5" customHeight="1">
      <c r="A29" s="29">
        <f>CONCATENATE(封面!D13,封面!F13,封面!G13,封面!H13,封面!I13,封面!J13,封面!K13)</f>
      </c>
    </row>
  </sheetData>
  <mergeCells count="13">
    <mergeCell ref="A5:A6"/>
    <mergeCell ref="O5:O6"/>
    <mergeCell ref="P5:P6"/>
    <mergeCell ref="H5:H6"/>
    <mergeCell ref="E5:G5"/>
    <mergeCell ref="A2:P2"/>
    <mergeCell ref="I5:K5"/>
    <mergeCell ref="L5:N5"/>
    <mergeCell ref="A3:P3"/>
    <mergeCell ref="A27:B27"/>
    <mergeCell ref="D5:D6"/>
    <mergeCell ref="B5:B6"/>
    <mergeCell ref="C5:C6"/>
  </mergeCells>
  <hyperlinks>
    <hyperlink ref="A1" location="索引目录!E21" display="返回索引页"/>
    <hyperlink ref="B1" location="存货汇总!B9" display="返回"/>
  </hyperlinks>
  <printOptions horizontalCentered="1"/>
  <pageMargins left="0.354330708661417" right="0.354330708661417" top="0.78740157480315" bottom="0.78740157480315" header="1.02" footer="0.511811023622047"/>
  <pageSetup orientation="landscape" paperSize="9" fitToHeight="0"/>
  <headerFooter alignWithMargins="0">
    <oddHeader>&amp;R&amp;"宋体,常规"共&amp;"Times New Roman,常规"&amp;N&amp;"宋体,常规"页第&amp;"Times New Roman,常规"&amp;P&amp;"宋体,常规"3-9-4_x000a_页</oddHeader>
    <oddFooter/>
    <evenHeader/>
    <evenFooter/>
    <firstHeader/>
    <firstFooter/>
  </headerFooter>
</worksheet>
</file>

<file path=xl/worksheets/sheet27.xml><?xml version="1.0" encoding="utf-8"?>
<worksheet xmlns="http://schemas.openxmlformats.org/spreadsheetml/2006/main">
  <sheetPr codeName="Sheet27">
    <outlinePr summaryBelow="1" summaryRight="1"/>
    <pageSetUpPr fitToPage="1"/>
  </sheetPr>
  <dimension ref="A1:P31"/>
  <sheetViews>
    <sheetView view="pageBreakPreview" zoomScale="60" zoomScaleNormal="100" workbookViewId="0">
      <selection activeCell="G451" sqref="G451"/>
    </sheetView>
  </sheetViews>
  <sheetFormatPr baseColWidth="8" defaultColWidth="9" defaultRowHeight="15.75" customHeight="1"/>
  <cols>
    <col width="5.83333333333333" customWidth="1" style="13" min="1" max="1"/>
    <col width="18.8333333333333" customWidth="1" style="13" min="2" max="2"/>
    <col width="4.08333333333333" customWidth="1" style="13" min="3" max="3"/>
    <col hidden="1" outlineLevel="1" width="10.5833333333333" customWidth="1" style="13" min="4" max="4"/>
    <col hidden="1" outlineLevel="1" width="8.08333333333333" customWidth="1" style="13" min="5" max="5"/>
    <col hidden="1" outlineLevel="1" width="13.0833333333333" customWidth="1" style="255" min="6" max="7"/>
    <col collapsed="1" width="11.3333333333333" customWidth="1" style="255" min="8" max="8"/>
    <col width="11.3333333333333" customWidth="1" style="255" min="9" max="9"/>
    <col width="13.75" customWidth="1" style="13" min="10" max="10"/>
    <col width="11.3333333333333" customWidth="1" style="13" min="11" max="12"/>
    <col width="13.75" customWidth="1" style="13" min="13" max="13"/>
    <col width="9.58333333333333" customWidth="1" style="13" min="14" max="14"/>
    <col width="10.8333333333333" customWidth="1" style="13" min="15" max="15"/>
    <col width="8.25" customWidth="1" style="13" min="16" max="16"/>
    <col width="9" customWidth="1" style="13" min="17"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row>
    <row r="2" ht="30" customFormat="1" customHeight="1" s="11">
      <c r="A2" s="17" t="inlineStr">
        <is>
          <t>存货—产成品（库存商品）评估明细表</t>
        </is>
      </c>
    </row>
    <row r="3" ht="14.15" customHeight="1">
      <c r="A3" s="535">
        <f>CONCATENATE(封面!D9,封面!F9,封面!G9,封面!H9,封面!I9,封面!J9,封面!K9)</f>
      </c>
    </row>
    <row r="4" ht="15.5" customHeight="1">
      <c r="A4" s="536">
        <f>封面!D7&amp;封面!F7</f>
      </c>
      <c r="O4" s="20" t="inlineStr">
        <is>
          <t>金额单位：人民币元</t>
        </is>
      </c>
    </row>
    <row r="5" ht="13" customFormat="1" customHeight="1" s="12">
      <c r="A5" s="21" t="inlineStr">
        <is>
          <t>序号</t>
        </is>
      </c>
      <c r="B5" s="21" t="inlineStr">
        <is>
          <t>名称及规格型号</t>
        </is>
      </c>
      <c r="C5" s="22" t="inlineStr">
        <is>
          <t>计量单位</t>
        </is>
      </c>
      <c r="D5" s="21" t="inlineStr">
        <is>
          <t>审计前账面值</t>
        </is>
      </c>
      <c r="E5" s="138" t="n"/>
      <c r="F5" s="28" t="n"/>
      <c r="G5" s="21" t="inlineStr">
        <is>
          <t>审计调整</t>
        </is>
      </c>
      <c r="H5" s="33" t="inlineStr">
        <is>
          <t>账面价值</t>
        </is>
      </c>
      <c r="I5" s="34" t="n"/>
      <c r="J5" s="35" t="n"/>
      <c r="K5" s="21" t="inlineStr">
        <is>
          <t>评估价值</t>
        </is>
      </c>
      <c r="L5" s="138" t="n"/>
      <c r="M5" s="28" t="n"/>
      <c r="N5" s="21" t="inlineStr">
        <is>
          <t>增值率%</t>
        </is>
      </c>
      <c r="O5" s="21" t="inlineStr">
        <is>
          <t>备注</t>
        </is>
      </c>
      <c r="P5" s="21" t="inlineStr">
        <is>
          <t>存放地点</t>
        </is>
      </c>
    </row>
    <row r="6" ht="13" customFormat="1" customHeight="1" s="12">
      <c r="A6" s="36" t="n"/>
      <c r="B6" s="36" t="n"/>
      <c r="C6" s="36" t="n"/>
      <c r="D6" s="21" t="inlineStr">
        <is>
          <t>数量</t>
        </is>
      </c>
      <c r="E6" s="21" t="inlineStr">
        <is>
          <t>单价</t>
        </is>
      </c>
      <c r="F6" s="21" t="inlineStr">
        <is>
          <t>金额</t>
        </is>
      </c>
      <c r="G6" s="36" t="n"/>
      <c r="H6" s="21" t="inlineStr">
        <is>
          <t>数量</t>
        </is>
      </c>
      <c r="I6" s="21" t="inlineStr">
        <is>
          <t>单价</t>
        </is>
      </c>
      <c r="J6" s="21" t="inlineStr">
        <is>
          <t>金额</t>
        </is>
      </c>
      <c r="K6" s="33" t="inlineStr">
        <is>
          <t>实际数量</t>
        </is>
      </c>
      <c r="L6" s="21" t="inlineStr">
        <is>
          <t>单价</t>
        </is>
      </c>
      <c r="M6" s="21" t="inlineStr">
        <is>
          <t>金额</t>
        </is>
      </c>
      <c r="N6" s="36" t="n"/>
      <c r="O6" s="36" t="n"/>
      <c r="P6" s="36" t="n"/>
    </row>
    <row r="7" ht="13" customFormat="1" customHeight="1" s="248">
      <c r="A7" s="45" t="n"/>
      <c r="B7" s="98" t="n"/>
      <c r="C7" s="235" t="n"/>
      <c r="D7" s="236" t="n"/>
      <c r="E7" s="539">
        <f>IF(D7=0,"",F7/D7)</f>
      </c>
      <c r="F7" s="560" t="n"/>
      <c r="G7" s="560" t="n"/>
      <c r="H7" s="560" t="n"/>
      <c r="I7" s="560" t="n"/>
      <c r="J7" s="539" t="n"/>
      <c r="K7" s="38" t="n"/>
      <c r="L7" s="539" t="n"/>
      <c r="M7" s="539" t="n"/>
      <c r="N7" s="539">
        <f>IF(J7=0,"",(M7-J7)/J7*100)</f>
      </c>
      <c r="O7" s="27" t="n"/>
      <c r="P7" s="45" t="n"/>
    </row>
    <row r="8" ht="15.5" customHeight="1">
      <c r="A8" s="23" t="n"/>
      <c r="B8" s="67" t="n"/>
      <c r="C8" s="27" t="n"/>
      <c r="D8" s="251" t="n"/>
      <c r="E8" s="539">
        <f>IF(D8=0,"",F8/D8)</f>
      </c>
      <c r="F8" s="562" t="n"/>
      <c r="G8" s="562" t="n"/>
      <c r="H8" s="562" t="n"/>
      <c r="I8" s="562" t="n"/>
      <c r="J8" s="539" t="n"/>
      <c r="K8" s="38" t="n"/>
      <c r="L8" s="539" t="n"/>
      <c r="M8" s="539" t="n"/>
      <c r="N8" s="539">
        <f>IF(J8=0,"",(M8-J8)/J8*100)</f>
      </c>
      <c r="O8" s="27" t="n"/>
      <c r="P8" s="27" t="n"/>
    </row>
    <row r="9" ht="15.5" customHeight="1">
      <c r="A9" s="23" t="n"/>
      <c r="B9" s="24" t="n"/>
      <c r="C9" s="27" t="n"/>
      <c r="D9" s="251" t="n"/>
      <c r="E9" s="539">
        <f>IF(D9=0,"",F9/D9)</f>
      </c>
      <c r="F9" s="562" t="n"/>
      <c r="G9" s="562" t="n"/>
      <c r="H9" s="562" t="n"/>
      <c r="I9" s="562" t="n"/>
      <c r="J9" s="539" t="n"/>
      <c r="K9" s="38" t="n"/>
      <c r="L9" s="539" t="n"/>
      <c r="M9" s="539" t="n"/>
      <c r="N9" s="539">
        <f>IF(J9=0,"",(M9-J9)/J9*100)</f>
      </c>
      <c r="O9" s="27" t="n"/>
      <c r="P9" s="27" t="n"/>
    </row>
    <row r="10" ht="15.5" customHeight="1">
      <c r="A10" s="23" t="n"/>
      <c r="B10" s="24" t="n"/>
      <c r="C10" s="27" t="n"/>
      <c r="D10" s="251" t="n"/>
      <c r="E10" s="539">
        <f>IF(D10=0,"",F10/D10)</f>
      </c>
      <c r="F10" s="562" t="n"/>
      <c r="G10" s="562" t="n"/>
      <c r="H10" s="562" t="n"/>
      <c r="I10" s="562" t="n"/>
      <c r="J10" s="539" t="n"/>
      <c r="K10" s="38" t="n"/>
      <c r="L10" s="539" t="n"/>
      <c r="M10" s="539" t="n"/>
      <c r="N10" s="539">
        <f>IF(J10=0,"",(M10-J10)/J10*100)</f>
      </c>
      <c r="O10" s="27" t="n"/>
      <c r="P10" s="27" t="n"/>
    </row>
    <row r="11" ht="15.5" customHeight="1">
      <c r="A11" s="23" t="n"/>
      <c r="B11" s="24" t="n"/>
      <c r="C11" s="27" t="n"/>
      <c r="D11" s="251" t="n"/>
      <c r="E11" s="539">
        <f>IF(D11=0,"",F11/D11)</f>
      </c>
      <c r="F11" s="562" t="n"/>
      <c r="G11" s="562" t="n"/>
      <c r="H11" s="562" t="n"/>
      <c r="I11" s="562" t="n"/>
      <c r="J11" s="539" t="n"/>
      <c r="K11" s="38" t="n"/>
      <c r="L11" s="539" t="n"/>
      <c r="M11" s="539" t="n"/>
      <c r="N11" s="539">
        <f>IF(J11=0,"",(M11-J11)/J11*100)</f>
      </c>
      <c r="O11" s="27" t="n"/>
      <c r="P11" s="27" t="n"/>
    </row>
    <row r="12" ht="15.5" customHeight="1">
      <c r="A12" s="23" t="n"/>
      <c r="B12" s="24" t="n"/>
      <c r="C12" s="27" t="n"/>
      <c r="D12" s="251" t="n"/>
      <c r="E12" s="539">
        <f>IF(D12=0,"",F12/D12)</f>
      </c>
      <c r="F12" s="562" t="n"/>
      <c r="G12" s="562" t="n"/>
      <c r="H12" s="562" t="n"/>
      <c r="I12" s="562" t="n"/>
      <c r="J12" s="539" t="n"/>
      <c r="K12" s="38" t="n"/>
      <c r="L12" s="539" t="n"/>
      <c r="M12" s="539" t="n"/>
      <c r="N12" s="539">
        <f>IF(J12=0,"",(M12-J12)/J12*100)</f>
      </c>
      <c r="O12" s="27" t="n"/>
      <c r="P12" s="27" t="n"/>
    </row>
    <row r="13" ht="15.5" customHeight="1">
      <c r="A13" s="23" t="n"/>
      <c r="B13" s="24" t="n"/>
      <c r="C13" s="27" t="n"/>
      <c r="D13" s="251" t="n"/>
      <c r="E13" s="539">
        <f>IF(D13=0,"",F13/D13)</f>
      </c>
      <c r="F13" s="562" t="n"/>
      <c r="G13" s="562" t="n"/>
      <c r="H13" s="562" t="n"/>
      <c r="I13" s="562" t="n"/>
      <c r="J13" s="539" t="n"/>
      <c r="K13" s="38" t="n"/>
      <c r="L13" s="539" t="n"/>
      <c r="M13" s="539" t="n"/>
      <c r="N13" s="539">
        <f>IF(J13=0,"",(M13-J13)/J13*100)</f>
      </c>
      <c r="O13" s="27" t="n"/>
      <c r="P13" s="27" t="n"/>
    </row>
    <row r="14" ht="15.5" customHeight="1">
      <c r="A14" s="23" t="n"/>
      <c r="B14" s="67" t="n"/>
      <c r="C14" s="27" t="n"/>
      <c r="D14" s="251" t="n"/>
      <c r="E14" s="539">
        <f>IF(D14=0,"",F14/D14)</f>
      </c>
      <c r="F14" s="562" t="n"/>
      <c r="G14" s="562" t="n"/>
      <c r="H14" s="562" t="n"/>
      <c r="I14" s="562" t="n"/>
      <c r="J14" s="539" t="n"/>
      <c r="K14" s="38" t="n"/>
      <c r="L14" s="539" t="n"/>
      <c r="M14" s="539" t="n"/>
      <c r="N14" s="539">
        <f>IF(J14=0,"",(M14-J14)/J14*100)</f>
      </c>
      <c r="O14" s="27" t="n"/>
      <c r="P14" s="27" t="n"/>
    </row>
    <row r="15" ht="15.5" customHeight="1">
      <c r="A15" s="23" t="n"/>
      <c r="B15" s="67" t="n"/>
      <c r="C15" s="27" t="n"/>
      <c r="D15" s="251" t="n"/>
      <c r="E15" s="539">
        <f>IF(D15=0,"",F15/D15)</f>
      </c>
      <c r="F15" s="562" t="n"/>
      <c r="G15" s="562" t="n"/>
      <c r="H15" s="562" t="n"/>
      <c r="I15" s="562" t="n"/>
      <c r="J15" s="539" t="n"/>
      <c r="K15" s="38" t="n"/>
      <c r="L15" s="539" t="n"/>
      <c r="M15" s="539" t="n"/>
      <c r="N15" s="539">
        <f>IF(J15=0,"",(M15-J15)/J15*100)</f>
      </c>
      <c r="O15" s="27" t="n"/>
      <c r="P15" s="27" t="n"/>
    </row>
    <row r="16" ht="15.5" customHeight="1">
      <c r="A16" s="23" t="n"/>
      <c r="B16" s="24" t="n"/>
      <c r="C16" s="27" t="n"/>
      <c r="D16" s="251" t="n"/>
      <c r="E16" s="539">
        <f>IF(D16=0,"",F16/D16)</f>
      </c>
      <c r="F16" s="562" t="n"/>
      <c r="G16" s="562" t="n"/>
      <c r="H16" s="562" t="n"/>
      <c r="I16" s="562" t="n"/>
      <c r="J16" s="539" t="n"/>
      <c r="K16" s="38" t="n"/>
      <c r="L16" s="539" t="n"/>
      <c r="M16" s="539" t="n"/>
      <c r="N16" s="539">
        <f>IF(J16=0,"",(M16-J16)/J16*100)</f>
      </c>
      <c r="O16" s="27" t="n"/>
      <c r="P16" s="27" t="n"/>
    </row>
    <row r="17" ht="15.5" customHeight="1">
      <c r="A17" s="23" t="n"/>
      <c r="B17" s="24" t="n"/>
      <c r="C17" s="27" t="n"/>
      <c r="D17" s="251" t="n"/>
      <c r="E17" s="539">
        <f>IF(D17=0,"",F17/D17)</f>
      </c>
      <c r="F17" s="562" t="n"/>
      <c r="G17" s="562" t="n"/>
      <c r="H17" s="562" t="n"/>
      <c r="I17" s="562" t="n"/>
      <c r="J17" s="539" t="n"/>
      <c r="K17" s="38" t="n"/>
      <c r="L17" s="539" t="n"/>
      <c r="M17" s="539" t="n"/>
      <c r="N17" s="539">
        <f>IF(J17=0,"",(M17-J17)/J17*100)</f>
      </c>
      <c r="O17" s="27" t="n"/>
      <c r="P17" s="27" t="n"/>
    </row>
    <row r="18" ht="15.5" customHeight="1">
      <c r="A18" s="23" t="n"/>
      <c r="B18" s="24" t="n"/>
      <c r="C18" s="27" t="n"/>
      <c r="D18" s="251" t="n"/>
      <c r="E18" s="539">
        <f>IF(D18=0,"",F18/D18)</f>
      </c>
      <c r="F18" s="562" t="n"/>
      <c r="G18" s="562" t="n"/>
      <c r="H18" s="562" t="n"/>
      <c r="I18" s="562" t="n"/>
      <c r="J18" s="539" t="n"/>
      <c r="K18" s="38" t="n"/>
      <c r="L18" s="539" t="n"/>
      <c r="M18" s="539" t="n"/>
      <c r="N18" s="539">
        <f>IF(J18=0,"",(M18-J18)/J18*100)</f>
      </c>
      <c r="O18" s="27" t="n"/>
      <c r="P18" s="27" t="n"/>
    </row>
    <row r="19" ht="15.5" customHeight="1">
      <c r="A19" s="23" t="n"/>
      <c r="B19" s="24" t="n"/>
      <c r="C19" s="27" t="n"/>
      <c r="D19" s="251" t="n"/>
      <c r="E19" s="539">
        <f>IF(D19=0,"",F19/D19)</f>
      </c>
      <c r="F19" s="562" t="n"/>
      <c r="G19" s="562" t="n"/>
      <c r="H19" s="562" t="n"/>
      <c r="I19" s="562" t="n"/>
      <c r="J19" s="539" t="n"/>
      <c r="K19" s="38" t="n"/>
      <c r="L19" s="539" t="n"/>
      <c r="M19" s="539" t="n"/>
      <c r="N19" s="539">
        <f>IF(J19=0,"",(M19-J19)/J19*100)</f>
      </c>
      <c r="O19" s="27" t="n"/>
      <c r="P19" s="27" t="n"/>
    </row>
    <row r="20" ht="15.5" customHeight="1">
      <c r="A20" s="23" t="n"/>
      <c r="B20" s="24" t="n"/>
      <c r="C20" s="27" t="n"/>
      <c r="D20" s="251" t="n"/>
      <c r="E20" s="539">
        <f>IF(D20=0,"",F20/D20)</f>
      </c>
      <c r="F20" s="562" t="n"/>
      <c r="G20" s="562" t="n"/>
      <c r="H20" s="562" t="n"/>
      <c r="I20" s="562" t="n"/>
      <c r="J20" s="539" t="n"/>
      <c r="K20" s="38" t="n"/>
      <c r="L20" s="539" t="n"/>
      <c r="M20" s="539" t="n"/>
      <c r="N20" s="539">
        <f>IF(J20=0,"",(M20-J20)/J20*100)</f>
      </c>
      <c r="O20" s="27" t="n"/>
      <c r="P20" s="27" t="n"/>
    </row>
    <row r="21" ht="15.5" customHeight="1">
      <c r="A21" s="23" t="n"/>
      <c r="B21" s="24" t="n"/>
      <c r="C21" s="27" t="n"/>
      <c r="D21" s="251" t="n"/>
      <c r="E21" s="539">
        <f>IF(D21=0,"",F21/D21)</f>
      </c>
      <c r="F21" s="562" t="n"/>
      <c r="G21" s="562" t="n"/>
      <c r="H21" s="562" t="n"/>
      <c r="I21" s="562" t="n"/>
      <c r="J21" s="539" t="n"/>
      <c r="K21" s="38" t="n"/>
      <c r="L21" s="539" t="n"/>
      <c r="M21" s="539" t="n"/>
      <c r="N21" s="539">
        <f>IF(J21=0,"",(M21-J21)/J21*100)</f>
      </c>
      <c r="O21" s="27" t="n"/>
      <c r="P21" s="27" t="n"/>
    </row>
    <row r="22" ht="15.5" customHeight="1">
      <c r="A22" s="23" t="n"/>
      <c r="B22" s="67" t="n"/>
      <c r="C22" s="27" t="n"/>
      <c r="D22" s="251" t="n"/>
      <c r="E22" s="539">
        <f>IF(D22=0,"",F22/D22)</f>
      </c>
      <c r="F22" s="562" t="n"/>
      <c r="G22" s="562" t="n"/>
      <c r="H22" s="562" t="n"/>
      <c r="I22" s="562" t="n"/>
      <c r="J22" s="539" t="n"/>
      <c r="K22" s="38" t="n"/>
      <c r="L22" s="539" t="n"/>
      <c r="M22" s="539" t="n"/>
      <c r="N22" s="539">
        <f>IF(J22=0,"",(M22-J22)/J22*100)</f>
      </c>
      <c r="O22" s="27" t="n"/>
      <c r="P22" s="27" t="n"/>
    </row>
    <row r="23" ht="15.5" customHeight="1">
      <c r="A23" s="23" t="n"/>
      <c r="B23" s="67" t="n"/>
      <c r="C23" s="27" t="n"/>
      <c r="D23" s="251" t="n"/>
      <c r="E23" s="539">
        <f>IF(D23=0,"",F23/D23)</f>
      </c>
      <c r="F23" s="562" t="n"/>
      <c r="G23" s="562" t="n"/>
      <c r="H23" s="562" t="n"/>
      <c r="I23" s="562" t="n"/>
      <c r="J23" s="539" t="n"/>
      <c r="K23" s="38" t="n"/>
      <c r="L23" s="539" t="n"/>
      <c r="M23" s="539" t="n"/>
      <c r="N23" s="539">
        <f>IF(J23=0,"",(M23-J23)/J23*100)</f>
      </c>
      <c r="O23" s="27" t="n"/>
      <c r="P23" s="27" t="n"/>
    </row>
    <row r="24" ht="15.5" customHeight="1">
      <c r="A24" s="23" t="n"/>
      <c r="B24" s="24" t="n"/>
      <c r="C24" s="27" t="n"/>
      <c r="D24" s="251" t="n"/>
      <c r="E24" s="539">
        <f>IF(D24=0,"",F24/D24)</f>
      </c>
      <c r="F24" s="562" t="n"/>
      <c r="G24" s="562" t="n"/>
      <c r="H24" s="562" t="n"/>
      <c r="I24" s="562" t="n"/>
      <c r="J24" s="539" t="n"/>
      <c r="K24" s="38" t="n"/>
      <c r="L24" s="539" t="n"/>
      <c r="M24" s="539" t="n"/>
      <c r="N24" s="539">
        <f>IF(J24=0,"",(M24-J24)/J24*100)</f>
      </c>
      <c r="O24" s="27" t="n"/>
      <c r="P24" s="27" t="n"/>
    </row>
    <row r="25" ht="15.5" customHeight="1">
      <c r="A25" s="23" t="n"/>
      <c r="B25" s="24" t="n"/>
      <c r="C25" s="27" t="n"/>
      <c r="D25" s="251" t="n"/>
      <c r="E25" s="539">
        <f>IF(D25=0,"",F25/D25)</f>
      </c>
      <c r="F25" s="562" t="n"/>
      <c r="G25" s="562" t="n"/>
      <c r="H25" s="562" t="n"/>
      <c r="I25" s="562" t="n"/>
      <c r="J25" s="539" t="n"/>
      <c r="K25" s="38" t="n"/>
      <c r="L25" s="539" t="n"/>
      <c r="M25" s="539" t="n"/>
      <c r="N25" s="539">
        <f>IF(J25=0,"",(M25-J25)/J25*100)</f>
      </c>
      <c r="O25" s="27" t="n"/>
      <c r="P25" s="27" t="n"/>
    </row>
    <row r="26" ht="15.5" customHeight="1">
      <c r="A26" s="23" t="n"/>
      <c r="B26" s="24" t="n"/>
      <c r="C26" s="27" t="n"/>
      <c r="D26" s="251" t="n"/>
      <c r="E26" s="562" t="n"/>
      <c r="F26" s="562" t="n"/>
      <c r="G26" s="562" t="n"/>
      <c r="H26" s="562" t="n"/>
      <c r="I26" s="562" t="n"/>
      <c r="J26" s="539" t="n"/>
      <c r="K26" s="38" t="n"/>
      <c r="L26" s="539" t="n"/>
      <c r="M26" s="539" t="n"/>
      <c r="N26" s="539" t="n"/>
      <c r="O26" s="27" t="n"/>
      <c r="P26" s="27" t="n"/>
    </row>
    <row r="27" ht="15.5" customHeight="1">
      <c r="A27" s="21" t="inlineStr">
        <is>
          <t>合            计</t>
        </is>
      </c>
      <c r="B27" s="28" t="n"/>
      <c r="C27" s="27" t="n"/>
      <c r="D27" s="38" t="n"/>
      <c r="E27" s="539" t="n"/>
      <c r="F27" s="539">
        <f>SUM(F7:F26)</f>
      </c>
      <c r="G27" s="539" t="n"/>
      <c r="H27" s="539" t="n"/>
      <c r="I27" s="539" t="n"/>
      <c r="J27" s="539">
        <f>SUM(J7:J26)</f>
      </c>
      <c r="K27" s="38" t="n"/>
      <c r="L27" s="539" t="n"/>
      <c r="M27" s="539">
        <f>SUM(M7:M26)</f>
      </c>
      <c r="N27" s="539">
        <f>IF(J27=0,"",(M27-J27)/J27*100)</f>
      </c>
      <c r="O27" s="27" t="n"/>
      <c r="P27" s="27" t="n"/>
    </row>
    <row r="28" ht="15.5" customHeight="1">
      <c r="A28" s="29">
        <f>封面!D11&amp;封面!G11</f>
      </c>
      <c r="D28" s="255" t="n"/>
      <c r="E28" s="536" t="n"/>
      <c r="F28" s="536" t="n"/>
      <c r="G28" s="536" t="n"/>
      <c r="H28" s="536" t="n"/>
      <c r="I28" s="536" t="n"/>
      <c r="J28" s="536">
        <f>"评估人员："&amp;封面!G20</f>
      </c>
    </row>
    <row r="29" ht="15.5" customHeight="1">
      <c r="A29" s="13">
        <f>CONCATENATE(封面!D13,封面!F13,封面!G13,封面!H13,封面!I13,封面!J13,封面!K13)</f>
      </c>
      <c r="D29" s="255" t="n"/>
      <c r="E29" s="255" t="n"/>
    </row>
    <row r="30" ht="15.5" customHeight="1">
      <c r="A30" s="12" t="n"/>
      <c r="B30" s="20" t="inlineStr">
        <is>
          <t>注1：</t>
        </is>
      </c>
      <c r="C30" s="13" t="inlineStr">
        <is>
          <t>1）正常，无需填写；2）残次，填“A”；3）变质，填“B”；4）毁损，填“C”；5）滞销，填“E”；</t>
        </is>
      </c>
      <c r="D30" s="255" t="n"/>
      <c r="E30" s="255" t="n"/>
    </row>
    <row r="31" ht="15.5" customHeight="1">
      <c r="A31" s="12" t="n"/>
      <c r="C31" s="13" t="inlineStr">
        <is>
          <t>6）积压，填“D”并在备注中填写已积压时间“1年以内”、“1~2年”、“2~3年”、“3年以上”；7）其他情形用文字表述。</t>
        </is>
      </c>
      <c r="D31" s="255" t="n"/>
      <c r="E31" s="255" t="n"/>
    </row>
  </sheetData>
  <mergeCells count="13">
    <mergeCell ref="A5:A6"/>
    <mergeCell ref="G5:G6"/>
    <mergeCell ref="N5:N6"/>
    <mergeCell ref="O5:O6"/>
    <mergeCell ref="P5:P6"/>
    <mergeCell ref="A2:O2"/>
    <mergeCell ref="D5:F5"/>
    <mergeCell ref="K5:M5"/>
    <mergeCell ref="H5:J5"/>
    <mergeCell ref="A27:B27"/>
    <mergeCell ref="B5:B6"/>
    <mergeCell ref="A3:O3"/>
    <mergeCell ref="C5:C6"/>
  </mergeCells>
  <hyperlinks>
    <hyperlink ref="A1" location="索引目录!E22" display="返回索引页"/>
    <hyperlink ref="B1" location="存货汇总!B10" display="返回"/>
  </hyperlinks>
  <printOptions horizontalCentered="1"/>
  <pageMargins left="0.354330708661417" right="0.354330708661417" top="0.78740157480315" bottom="0.78740157480315" header="1.06" footer="0.511811023622047"/>
  <pageSetup orientation="landscape" paperSize="9" fitToHeight="0"/>
  <headerFooter alignWithMargins="0">
    <oddHeader>&amp;R&amp;"宋体,常规"共&amp;"Times New Roman,常规"&amp;N&amp;"宋体,常规"页第&amp;"Times New Roman,常规"&amp;P&amp;"宋体,常规"3-9-5_x000a_页</oddHeader>
    <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codeName="Sheet28">
    <outlinePr summaryBelow="1" summaryRight="1"/>
    <pageSetUpPr fitToPage="1"/>
  </sheetPr>
  <dimension ref="A1:O29"/>
  <sheetViews>
    <sheetView view="pageBreakPreview" zoomScale="60" zoomScaleNormal="100" workbookViewId="0">
      <selection activeCell="G451" sqref="G451"/>
    </sheetView>
  </sheetViews>
  <sheetFormatPr baseColWidth="8" defaultColWidth="9" defaultRowHeight="15.75" customHeight="1"/>
  <cols>
    <col width="5.75" customWidth="1" style="13" min="1" max="1"/>
    <col width="20.0833333333333" customWidth="1" style="13" min="2" max="2"/>
    <col width="4.33333333333333" customWidth="1" style="13" min="3" max="3"/>
    <col hidden="1" outlineLevel="1" width="9.83333333333333" customWidth="1" style="547" min="4" max="5"/>
    <col hidden="1" outlineLevel="1" width="13.3333333333333" customWidth="1" style="547" min="6" max="7"/>
    <col collapsed="1" width="11.25" customWidth="1" style="547" min="8" max="8"/>
    <col width="11.25" customWidth="1" style="547" min="9" max="9"/>
    <col width="14.5" customWidth="1" style="547" min="10" max="10"/>
    <col width="11.25" customWidth="1" style="13" min="11" max="11"/>
    <col width="11.25" customWidth="1" style="547" min="12" max="12"/>
    <col width="14.3333333333333" customWidth="1" style="547" min="13" max="13"/>
    <col width="8.75" customWidth="1" style="547" min="14" max="14"/>
    <col width="9.5" customWidth="1" style="13" min="15" max="15"/>
    <col width="9" customWidth="1" style="13" min="16"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row>
    <row r="2" ht="30" customFormat="1" customHeight="1" s="11">
      <c r="A2" s="17" t="inlineStr">
        <is>
          <t>存货—在产品（自制半成品）评估明细表</t>
        </is>
      </c>
    </row>
    <row r="3" ht="14.15" customHeight="1">
      <c r="A3" s="535">
        <f>CONCATENATE(封面!D9,封面!F9,封面!G9,封面!H9,封面!I9,封面!J9,封面!K9)</f>
      </c>
    </row>
    <row r="4" ht="15.5" customHeight="1">
      <c r="A4" s="536">
        <f>封面!D7&amp;封面!F7</f>
      </c>
      <c r="O4" s="20" t="inlineStr">
        <is>
          <t>金额单位：人民币元</t>
        </is>
      </c>
    </row>
    <row r="5" ht="13" customFormat="1" customHeight="1" s="12">
      <c r="A5" s="21" t="inlineStr">
        <is>
          <t>序号</t>
        </is>
      </c>
      <c r="B5" s="21" t="inlineStr">
        <is>
          <t>名称及规格型号</t>
        </is>
      </c>
      <c r="C5" s="22" t="inlineStr">
        <is>
          <t>计量单位</t>
        </is>
      </c>
      <c r="D5" s="21" t="inlineStr">
        <is>
          <t>审计前账面值</t>
        </is>
      </c>
      <c r="E5" s="138" t="n"/>
      <c r="F5" s="28" t="n"/>
      <c r="G5" s="21" t="inlineStr">
        <is>
          <t>审计调整</t>
        </is>
      </c>
      <c r="H5" s="33" t="inlineStr">
        <is>
          <t>账面价值</t>
        </is>
      </c>
      <c r="I5" s="34" t="n"/>
      <c r="J5" s="35" t="n"/>
      <c r="K5" s="21" t="inlineStr">
        <is>
          <t>评估价值</t>
        </is>
      </c>
      <c r="L5" s="138" t="n"/>
      <c r="M5" s="28" t="n"/>
      <c r="N5" s="21" t="inlineStr">
        <is>
          <t>增值率%</t>
        </is>
      </c>
      <c r="O5" s="21" t="inlineStr">
        <is>
          <t>备注</t>
        </is>
      </c>
    </row>
    <row r="6" ht="13" customFormat="1" customHeight="1" s="12">
      <c r="A6" s="36" t="n"/>
      <c r="B6" s="36" t="n"/>
      <c r="C6" s="36" t="n"/>
      <c r="D6" s="21" t="inlineStr">
        <is>
          <t>数量</t>
        </is>
      </c>
      <c r="E6" s="21" t="inlineStr">
        <is>
          <t>单价</t>
        </is>
      </c>
      <c r="F6" s="21" t="inlineStr">
        <is>
          <t>金额</t>
        </is>
      </c>
      <c r="G6" s="36" t="n"/>
      <c r="H6" s="21" t="inlineStr">
        <is>
          <t>数量</t>
        </is>
      </c>
      <c r="I6" s="21" t="inlineStr">
        <is>
          <t>单价</t>
        </is>
      </c>
      <c r="J6" s="21" t="inlineStr">
        <is>
          <t>金额</t>
        </is>
      </c>
      <c r="K6" s="33" t="inlineStr">
        <is>
          <t>实际数量</t>
        </is>
      </c>
      <c r="L6" s="21" t="inlineStr">
        <is>
          <t>单价</t>
        </is>
      </c>
      <c r="M6" s="21" t="inlineStr">
        <is>
          <t>金额</t>
        </is>
      </c>
      <c r="N6" s="36" t="n"/>
      <c r="O6" s="36" t="n"/>
    </row>
    <row r="7" ht="13" customFormat="1" customHeight="1" s="248">
      <c r="A7" s="45" t="n"/>
      <c r="B7" s="98" t="n"/>
      <c r="C7" s="235" t="n"/>
      <c r="D7" s="236" t="n"/>
      <c r="E7" s="539">
        <f>IF(D7=0,"",F7/D7)</f>
      </c>
      <c r="F7" s="560" t="n"/>
      <c r="G7" s="560" t="n"/>
      <c r="H7" s="560" t="n"/>
      <c r="I7" s="560" t="n"/>
      <c r="J7" s="539" t="n"/>
      <c r="K7" s="38" t="n"/>
      <c r="L7" s="539" t="n"/>
      <c r="M7" s="539" t="n"/>
      <c r="N7" s="539">
        <f>IF(J7=0,"",(M7-J7)/J7*100)</f>
      </c>
      <c r="O7" s="27" t="n"/>
    </row>
    <row r="8" ht="15.5" customHeight="1">
      <c r="A8" s="23" t="n"/>
      <c r="B8" s="67" t="n"/>
      <c r="C8" s="27" t="n"/>
      <c r="D8" s="251" t="n"/>
      <c r="E8" s="539">
        <f>IF(D8=0,"",F8/D8)</f>
      </c>
      <c r="F8" s="562" t="n"/>
      <c r="G8" s="562" t="n"/>
      <c r="H8" s="562" t="n"/>
      <c r="I8" s="562" t="n"/>
      <c r="J8" s="539" t="n"/>
      <c r="K8" s="38" t="n"/>
      <c r="L8" s="539" t="n"/>
      <c r="M8" s="539" t="n"/>
      <c r="N8" s="539">
        <f>IF(J8=0,"",(M8-J8)/J8*100)</f>
      </c>
      <c r="O8" s="27" t="n"/>
    </row>
    <row r="9" ht="15.5" customHeight="1">
      <c r="A9" s="23" t="n"/>
      <c r="B9" s="24" t="n"/>
      <c r="C9" s="27" t="n"/>
      <c r="D9" s="251" t="n"/>
      <c r="E9" s="539">
        <f>IF(D9=0,"",F9/D9)</f>
      </c>
      <c r="F9" s="562" t="n"/>
      <c r="G9" s="562" t="n"/>
      <c r="H9" s="562" t="n"/>
      <c r="I9" s="562" t="n"/>
      <c r="J9" s="539" t="n"/>
      <c r="K9" s="38" t="n"/>
      <c r="L9" s="539" t="n"/>
      <c r="M9" s="539" t="n"/>
      <c r="N9" s="539">
        <f>IF(J9=0,"",(M9-J9)/J9*100)</f>
      </c>
      <c r="O9" s="27" t="n"/>
    </row>
    <row r="10" ht="15.5" customHeight="1">
      <c r="A10" s="23" t="n"/>
      <c r="B10" s="24" t="n"/>
      <c r="C10" s="27" t="n"/>
      <c r="D10" s="251" t="n"/>
      <c r="E10" s="539">
        <f>IF(D10=0,"",F10/D10)</f>
      </c>
      <c r="F10" s="562" t="n"/>
      <c r="G10" s="562" t="n"/>
      <c r="H10" s="562" t="n"/>
      <c r="I10" s="562" t="n"/>
      <c r="J10" s="539" t="n"/>
      <c r="K10" s="38" t="n"/>
      <c r="L10" s="539" t="n"/>
      <c r="M10" s="539" t="n"/>
      <c r="N10" s="539">
        <f>IF(J10=0,"",(M10-J10)/J10*100)</f>
      </c>
      <c r="O10" s="27" t="n"/>
    </row>
    <row r="11" ht="15.5" customHeight="1">
      <c r="A11" s="23" t="n"/>
      <c r="B11" s="24" t="n"/>
      <c r="C11" s="27" t="n"/>
      <c r="D11" s="251" t="n"/>
      <c r="E11" s="539">
        <f>IF(D11=0,"",F11/D11)</f>
      </c>
      <c r="F11" s="562" t="n"/>
      <c r="G11" s="562" t="n"/>
      <c r="H11" s="562" t="n"/>
      <c r="I11" s="562" t="n"/>
      <c r="J11" s="539" t="n"/>
      <c r="K11" s="38" t="n"/>
      <c r="L11" s="539" t="n"/>
      <c r="M11" s="539" t="n"/>
      <c r="N11" s="539">
        <f>IF(J11=0,"",(M11-J11)/J11*100)</f>
      </c>
      <c r="O11" s="27" t="n"/>
    </row>
    <row r="12" ht="15.5" customHeight="1">
      <c r="A12" s="23" t="n"/>
      <c r="B12" s="24" t="n"/>
      <c r="C12" s="27" t="n"/>
      <c r="D12" s="251" t="n"/>
      <c r="E12" s="539">
        <f>IF(D12=0,"",F12/D12)</f>
      </c>
      <c r="F12" s="562" t="n"/>
      <c r="G12" s="562" t="n"/>
      <c r="H12" s="562" t="n"/>
      <c r="I12" s="562" t="n"/>
      <c r="J12" s="539" t="n"/>
      <c r="K12" s="38" t="n"/>
      <c r="L12" s="539" t="n"/>
      <c r="M12" s="539" t="n"/>
      <c r="N12" s="539">
        <f>IF(J12=0,"",(M12-J12)/J12*100)</f>
      </c>
      <c r="O12" s="27" t="n"/>
    </row>
    <row r="13" ht="15.5" customHeight="1">
      <c r="A13" s="23" t="n"/>
      <c r="B13" s="24" t="n"/>
      <c r="C13" s="27" t="n"/>
      <c r="D13" s="251" t="n"/>
      <c r="E13" s="539">
        <f>IF(D13=0,"",F13/D13)</f>
      </c>
      <c r="F13" s="562" t="n"/>
      <c r="G13" s="562" t="n"/>
      <c r="H13" s="562" t="n"/>
      <c r="I13" s="562" t="n"/>
      <c r="J13" s="539" t="n"/>
      <c r="K13" s="38" t="n"/>
      <c r="L13" s="539" t="n"/>
      <c r="M13" s="539" t="n"/>
      <c r="N13" s="539">
        <f>IF(J13=0,"",(M13-J13)/J13*100)</f>
      </c>
      <c r="O13" s="27" t="n"/>
    </row>
    <row r="14" ht="15.5" customHeight="1">
      <c r="A14" s="23" t="n"/>
      <c r="B14" s="67" t="n"/>
      <c r="C14" s="27" t="n"/>
      <c r="D14" s="251" t="n"/>
      <c r="E14" s="539">
        <f>IF(D14=0,"",F14/D14)</f>
      </c>
      <c r="F14" s="562" t="n"/>
      <c r="G14" s="562" t="n"/>
      <c r="H14" s="562" t="n"/>
      <c r="I14" s="562" t="n"/>
      <c r="J14" s="539" t="n"/>
      <c r="K14" s="38" t="n"/>
      <c r="L14" s="539" t="n"/>
      <c r="M14" s="539" t="n"/>
      <c r="N14" s="539">
        <f>IF(J14=0,"",(M14-J14)/J14*100)</f>
      </c>
      <c r="O14" s="27" t="n"/>
    </row>
    <row r="15" ht="15.5" customHeight="1">
      <c r="A15" s="23" t="n"/>
      <c r="B15" s="67" t="n"/>
      <c r="C15" s="27" t="n"/>
      <c r="D15" s="251" t="n"/>
      <c r="E15" s="539">
        <f>IF(D15=0,"",F15/D15)</f>
      </c>
      <c r="F15" s="562" t="n"/>
      <c r="G15" s="562" t="n"/>
      <c r="H15" s="562" t="n"/>
      <c r="I15" s="562" t="n"/>
      <c r="J15" s="539" t="n"/>
      <c r="K15" s="38" t="n"/>
      <c r="L15" s="539" t="n"/>
      <c r="M15" s="539" t="n"/>
      <c r="N15" s="539">
        <f>IF(J15=0,"",(M15-J15)/J15*100)</f>
      </c>
      <c r="O15" s="27" t="n"/>
    </row>
    <row r="16" ht="15.5" customHeight="1">
      <c r="A16" s="23" t="n"/>
      <c r="B16" s="24" t="n"/>
      <c r="C16" s="27" t="n"/>
      <c r="D16" s="251" t="n"/>
      <c r="E16" s="539">
        <f>IF(D16=0,"",F16/D16)</f>
      </c>
      <c r="F16" s="562" t="n"/>
      <c r="G16" s="562" t="n"/>
      <c r="H16" s="562" t="n"/>
      <c r="I16" s="562" t="n"/>
      <c r="J16" s="539" t="n"/>
      <c r="K16" s="38" t="n"/>
      <c r="L16" s="539" t="n"/>
      <c r="M16" s="539" t="n"/>
      <c r="N16" s="539">
        <f>IF(J16=0,"",(M16-J16)/J16*100)</f>
      </c>
      <c r="O16" s="27" t="n"/>
    </row>
    <row r="17" ht="15.5" customHeight="1">
      <c r="A17" s="23" t="n"/>
      <c r="B17" s="24" t="n"/>
      <c r="C17" s="27" t="n"/>
      <c r="D17" s="251" t="n"/>
      <c r="E17" s="539">
        <f>IF(D17=0,"",F17/D17)</f>
      </c>
      <c r="F17" s="562" t="n"/>
      <c r="G17" s="562" t="n"/>
      <c r="H17" s="562" t="n"/>
      <c r="I17" s="562" t="n"/>
      <c r="J17" s="539" t="n"/>
      <c r="K17" s="38" t="n"/>
      <c r="L17" s="539" t="n"/>
      <c r="M17" s="539" t="n"/>
      <c r="N17" s="539">
        <f>IF(J17=0,"",(M17-J17)/J17*100)</f>
      </c>
      <c r="O17" s="27" t="n"/>
    </row>
    <row r="18" ht="15.5" customHeight="1">
      <c r="A18" s="23" t="n"/>
      <c r="B18" s="24" t="n"/>
      <c r="C18" s="27" t="n"/>
      <c r="D18" s="251" t="n"/>
      <c r="E18" s="539">
        <f>IF(D18=0,"",F18/D18)</f>
      </c>
      <c r="F18" s="562" t="n"/>
      <c r="G18" s="562" t="n"/>
      <c r="H18" s="562" t="n"/>
      <c r="I18" s="562" t="n"/>
      <c r="J18" s="539" t="n"/>
      <c r="K18" s="38" t="n"/>
      <c r="L18" s="539" t="n"/>
      <c r="M18" s="539" t="n"/>
      <c r="N18" s="539">
        <f>IF(J18=0,"",(M18-J18)/J18*100)</f>
      </c>
      <c r="O18" s="27" t="n"/>
    </row>
    <row r="19" ht="15.5" customHeight="1">
      <c r="A19" s="23" t="n"/>
      <c r="B19" s="24" t="n"/>
      <c r="C19" s="27" t="n"/>
      <c r="D19" s="251" t="n"/>
      <c r="E19" s="539">
        <f>IF(D19=0,"",F19/D19)</f>
      </c>
      <c r="F19" s="562" t="n"/>
      <c r="G19" s="562" t="n"/>
      <c r="H19" s="562" t="n"/>
      <c r="I19" s="562" t="n"/>
      <c r="J19" s="539" t="n"/>
      <c r="K19" s="38" t="n"/>
      <c r="L19" s="539" t="n"/>
      <c r="M19" s="539" t="n"/>
      <c r="N19" s="539">
        <f>IF(J19=0,"",(M19-J19)/J19*100)</f>
      </c>
      <c r="O19" s="27" t="n"/>
    </row>
    <row r="20" ht="15.5" customHeight="1">
      <c r="A20" s="23" t="n"/>
      <c r="B20" s="24" t="n"/>
      <c r="C20" s="27" t="n"/>
      <c r="D20" s="251" t="n"/>
      <c r="E20" s="539">
        <f>IF(D20=0,"",F20/D20)</f>
      </c>
      <c r="F20" s="562" t="n"/>
      <c r="G20" s="562" t="n"/>
      <c r="H20" s="562" t="n"/>
      <c r="I20" s="562" t="n"/>
      <c r="J20" s="539" t="n"/>
      <c r="K20" s="38" t="n"/>
      <c r="L20" s="539" t="n"/>
      <c r="M20" s="539" t="n"/>
      <c r="N20" s="539">
        <f>IF(J20=0,"",(M20-J20)/J20*100)</f>
      </c>
      <c r="O20" s="27" t="n"/>
    </row>
    <row r="21" ht="15.5" customHeight="1">
      <c r="A21" s="23" t="n"/>
      <c r="B21" s="24" t="n"/>
      <c r="C21" s="27" t="n"/>
      <c r="D21" s="251" t="n"/>
      <c r="E21" s="539">
        <f>IF(D21=0,"",F21/D21)</f>
      </c>
      <c r="F21" s="562" t="n"/>
      <c r="G21" s="562" t="n"/>
      <c r="H21" s="562" t="n"/>
      <c r="I21" s="562" t="n"/>
      <c r="J21" s="539" t="n"/>
      <c r="K21" s="38" t="n"/>
      <c r="L21" s="539" t="n"/>
      <c r="M21" s="539" t="n"/>
      <c r="N21" s="539">
        <f>IF(J21=0,"",(M21-J21)/J21*100)</f>
      </c>
      <c r="O21" s="27" t="n"/>
    </row>
    <row r="22" ht="15.5" customHeight="1">
      <c r="A22" s="23" t="n"/>
      <c r="B22" s="67" t="n"/>
      <c r="C22" s="27" t="n"/>
      <c r="D22" s="251" t="n"/>
      <c r="E22" s="539">
        <f>IF(D22=0,"",F22/D22)</f>
      </c>
      <c r="F22" s="562" t="n"/>
      <c r="G22" s="562" t="n"/>
      <c r="H22" s="562" t="n"/>
      <c r="I22" s="562" t="n"/>
      <c r="J22" s="539" t="n"/>
      <c r="K22" s="38" t="n"/>
      <c r="L22" s="539" t="n"/>
      <c r="M22" s="539" t="n"/>
      <c r="N22" s="539">
        <f>IF(J22=0,"",(M22-J22)/J22*100)</f>
      </c>
      <c r="O22" s="27" t="n"/>
    </row>
    <row r="23" ht="15.5" customHeight="1">
      <c r="A23" s="23" t="n"/>
      <c r="B23" s="67" t="n"/>
      <c r="C23" s="27" t="n"/>
      <c r="D23" s="251" t="n"/>
      <c r="E23" s="539">
        <f>IF(D23=0,"",F23/D23)</f>
      </c>
      <c r="F23" s="562" t="n"/>
      <c r="G23" s="562" t="n"/>
      <c r="H23" s="562" t="n"/>
      <c r="I23" s="562" t="n"/>
      <c r="J23" s="539" t="n"/>
      <c r="K23" s="38" t="n"/>
      <c r="L23" s="539" t="n"/>
      <c r="M23" s="539" t="n"/>
      <c r="N23" s="539">
        <f>IF(J23=0,"",(M23-J23)/J23*100)</f>
      </c>
      <c r="O23" s="27" t="n"/>
    </row>
    <row r="24" ht="15.5" customHeight="1">
      <c r="A24" s="23" t="n"/>
      <c r="B24" s="24" t="n"/>
      <c r="C24" s="27" t="n"/>
      <c r="D24" s="251" t="n"/>
      <c r="E24" s="539">
        <f>IF(D24=0,"",F24/D24)</f>
      </c>
      <c r="F24" s="562" t="n"/>
      <c r="G24" s="562" t="n"/>
      <c r="H24" s="562" t="n"/>
      <c r="I24" s="562" t="n"/>
      <c r="J24" s="539" t="n"/>
      <c r="K24" s="38" t="n"/>
      <c r="L24" s="539" t="n"/>
      <c r="M24" s="539" t="n"/>
      <c r="N24" s="539">
        <f>IF(J24=0,"",(M24-J24)/J24*100)</f>
      </c>
      <c r="O24" s="27" t="n"/>
    </row>
    <row r="25" ht="15.5" customHeight="1">
      <c r="A25" s="23" t="n"/>
      <c r="B25" s="24" t="n"/>
      <c r="C25" s="27" t="n"/>
      <c r="D25" s="251" t="n"/>
      <c r="E25" s="539">
        <f>IF(D25=0,"",F25/D25)</f>
      </c>
      <c r="F25" s="562" t="n"/>
      <c r="G25" s="562" t="n"/>
      <c r="H25" s="562" t="n"/>
      <c r="I25" s="562" t="n"/>
      <c r="J25" s="539" t="n"/>
      <c r="K25" s="38" t="n"/>
      <c r="L25" s="539" t="n"/>
      <c r="M25" s="539" t="n"/>
      <c r="N25" s="539">
        <f>IF(J25=0,"",(M25-J25)/J25*100)</f>
      </c>
      <c r="O25" s="27" t="n"/>
    </row>
    <row r="26" ht="15.5" customHeight="1">
      <c r="A26" s="23" t="n"/>
      <c r="B26" s="24" t="n"/>
      <c r="C26" s="27" t="n"/>
      <c r="D26" s="251" t="n"/>
      <c r="E26" s="562" t="n"/>
      <c r="F26" s="562" t="n"/>
      <c r="G26" s="562" t="n"/>
      <c r="H26" s="562" t="n"/>
      <c r="I26" s="562" t="n"/>
      <c r="J26" s="539" t="n"/>
      <c r="K26" s="38" t="n"/>
      <c r="L26" s="539" t="n"/>
      <c r="M26" s="539" t="n"/>
      <c r="N26" s="539" t="n"/>
      <c r="O26" s="27" t="n"/>
    </row>
    <row r="27" ht="15.5" customHeight="1">
      <c r="A27" s="21" t="inlineStr">
        <is>
          <t>合            计</t>
        </is>
      </c>
      <c r="B27" s="28" t="n"/>
      <c r="C27" s="27" t="n"/>
      <c r="D27" s="38" t="n"/>
      <c r="E27" s="539" t="n"/>
      <c r="F27" s="539">
        <f>SUM(F7:F26)</f>
      </c>
      <c r="G27" s="539" t="n"/>
      <c r="H27" s="539" t="n"/>
      <c r="I27" s="539" t="n"/>
      <c r="J27" s="539">
        <f>SUM(J7:J26)</f>
      </c>
      <c r="K27" s="38" t="n"/>
      <c r="L27" s="539" t="n"/>
      <c r="M27" s="539">
        <f>SUM(M7:M26)</f>
      </c>
      <c r="N27" s="539">
        <f>IF(J27=0,"",(M27-J27)/J27*100)</f>
      </c>
      <c r="O27" s="27" t="n"/>
    </row>
    <row r="28" ht="15.5" customHeight="1">
      <c r="A28" s="29">
        <f>封面!D11&amp;封面!G11</f>
      </c>
      <c r="D28" s="255" t="n"/>
      <c r="E28" s="536" t="n"/>
      <c r="F28" s="536" t="n"/>
      <c r="G28" s="536" t="n"/>
      <c r="H28" s="536" t="n"/>
      <c r="I28" s="536" t="n"/>
      <c r="J28" s="536">
        <f>"评估人员："&amp;封面!G20</f>
      </c>
      <c r="L28" s="13" t="n"/>
      <c r="M28" s="13" t="n"/>
      <c r="N28" s="13" t="n"/>
    </row>
    <row r="29" ht="15.5" customHeight="1">
      <c r="A29" s="13">
        <f>CONCATENATE(封面!D13,封面!F13,封面!G13,封面!H13,封面!I13,封面!J13,封面!K13)</f>
      </c>
      <c r="D29" s="255" t="n"/>
      <c r="E29" s="255" t="n"/>
      <c r="F29" s="255" t="n"/>
      <c r="G29" s="255" t="n"/>
      <c r="H29" s="255" t="n"/>
      <c r="I29" s="255" t="n"/>
      <c r="J29" s="13" t="n"/>
      <c r="L29" s="13" t="n"/>
      <c r="M29" s="13" t="n"/>
      <c r="N29" s="13" t="n"/>
    </row>
  </sheetData>
  <mergeCells count="12">
    <mergeCell ref="A5:A6"/>
    <mergeCell ref="G5:G6"/>
    <mergeCell ref="N5:N6"/>
    <mergeCell ref="O5:O6"/>
    <mergeCell ref="A2:O2"/>
    <mergeCell ref="D5:F5"/>
    <mergeCell ref="K5:M5"/>
    <mergeCell ref="H5:J5"/>
    <mergeCell ref="A27:B27"/>
    <mergeCell ref="B5:B6"/>
    <mergeCell ref="A3:O3"/>
    <mergeCell ref="C5:C6"/>
  </mergeCells>
  <hyperlinks>
    <hyperlink ref="A1" location="索引目录!E23" display="返回索引页"/>
    <hyperlink ref="B1" location="存货汇总!B11" display="返回"/>
  </hyperlinks>
  <printOptions horizontalCentered="1"/>
  <pageMargins left="0.354330708661417" right="0.354330708661417" top="0.78740157480315" bottom="0.78740157480315" header="1.06" footer="0.511811023622047"/>
  <pageSetup orientation="landscape" paperSize="9" fitToHeight="0"/>
  <headerFooter alignWithMargins="0">
    <oddHeader>&amp;R&amp;"宋体,常规"共&amp;"Times New Roman,常规"&amp;N&amp;"宋体,常规"页第&amp;"Times New Roman,常规"&amp;P&amp;"宋体,常规"3-9-6_x000a_页</oddHeader>
    <oddFooter/>
    <evenHeader/>
    <evenFooter/>
    <firstHeader/>
    <firstFooter/>
  </headerFooter>
</worksheet>
</file>

<file path=xl/worksheets/sheet29.xml><?xml version="1.0" encoding="utf-8"?>
<worksheet xmlns="http://schemas.openxmlformats.org/spreadsheetml/2006/main">
  <sheetPr codeName="Sheet29">
    <outlinePr summaryBelow="1" summaryRight="1"/>
    <pageSetUpPr/>
  </sheetPr>
  <dimension ref="A1:AI123"/>
  <sheetViews>
    <sheetView view="pageBreakPreview" zoomScale="90" zoomScaleNormal="100" workbookViewId="0">
      <selection activeCell="G451" sqref="G451"/>
    </sheetView>
  </sheetViews>
  <sheetFormatPr baseColWidth="8" defaultColWidth="9" defaultRowHeight="15.75" customHeight="1"/>
  <cols>
    <col width="5.75" customWidth="1" style="13" min="1" max="1"/>
    <col width="23.9166666666667" customWidth="1" style="13" min="2" max="2"/>
    <col width="23.1666666666667" customWidth="1" style="13" min="3" max="3"/>
    <col width="5.08333333333333" customWidth="1" style="12" min="4" max="4"/>
    <col hidden="1" outlineLevel="1" width="10.25" customWidth="1" style="547" min="5" max="5"/>
    <col hidden="1" outlineLevel="1" width="6.83333333333333" customWidth="1" style="547" min="6" max="6"/>
    <col hidden="1" outlineLevel="1" width="13.0833333333333" customWidth="1" style="547" min="7" max="8"/>
    <col collapsed="1" width="7.83333333333333" customWidth="1" style="547" min="9" max="9"/>
    <col width="6.66666666666667" customWidth="1" style="547" min="10" max="10"/>
    <col width="9.58333333333333" customWidth="1" style="547" min="11" max="11"/>
    <col width="7.25" customWidth="1" style="13" min="12" max="12"/>
    <col width="8.16666666666667" customWidth="1" style="547" min="13" max="13"/>
    <col width="9.33333333333333" customWidth="1" style="547" min="14" max="14"/>
    <col width="7" customWidth="1" style="547" min="15" max="15"/>
    <col width="8.08333333333333" customWidth="1" style="13" min="16" max="16"/>
    <col width="9" customWidth="1" style="13" min="17" max="31"/>
    <col width="12.5" customWidth="1" style="13" min="32" max="32"/>
    <col width="10.4166666666667" customWidth="1" style="13" min="33" max="33"/>
    <col width="24.3333333333333" customWidth="1" style="13" min="34" max="34"/>
    <col width="9" customWidth="1" style="13" min="35" max="16384"/>
  </cols>
  <sheetData>
    <row r="1" ht="15.5" customHeight="1">
      <c r="A1" s="529" t="inlineStr">
        <is>
          <t>返回索引页</t>
        </is>
      </c>
      <c r="B1" s="230" t="inlineStr">
        <is>
          <t>返回</t>
        </is>
      </c>
      <c r="C1" s="12" t="n"/>
      <c r="E1" s="12" t="n"/>
      <c r="F1" s="12" t="n"/>
      <c r="G1" s="12" t="n"/>
      <c r="H1" s="12" t="n"/>
      <c r="I1" s="12" t="n"/>
      <c r="J1" s="12" t="n"/>
      <c r="K1" s="12" t="n"/>
      <c r="L1" s="12" t="n"/>
      <c r="M1" s="12" t="n"/>
      <c r="N1" s="12" t="n"/>
      <c r="O1" s="12" t="n"/>
      <c r="P1" s="12" t="n"/>
    </row>
    <row r="2" ht="30" customFormat="1" customHeight="1" s="11">
      <c r="A2" s="53" t="inlineStr">
        <is>
          <t>存货—发出商品评估明细表</t>
        </is>
      </c>
    </row>
    <row r="3" ht="14.15" customHeight="1">
      <c r="A3" s="535">
        <f>CONCATENATE(封面!D9,封面!F9,封面!G9,封面!H9,封面!I9,封面!J9,封面!K9)</f>
      </c>
    </row>
    <row r="4" ht="15.5" customHeight="1">
      <c r="A4" s="536">
        <f>封面!D7&amp;封面!F7</f>
      </c>
      <c r="P4" s="54" t="inlineStr">
        <is>
          <t>金额单位：人民币元</t>
        </is>
      </c>
    </row>
    <row r="5" ht="13" customFormat="1" customHeight="1" s="12">
      <c r="A5" s="23" t="inlineStr">
        <is>
          <t>序号</t>
        </is>
      </c>
      <c r="B5" s="23" t="inlineStr">
        <is>
          <t>商品名称</t>
        </is>
      </c>
      <c r="C5" s="23" t="inlineStr">
        <is>
          <t>对方单位名称</t>
        </is>
      </c>
      <c r="D5" s="55" t="inlineStr">
        <is>
          <t>计量单位</t>
        </is>
      </c>
      <c r="E5" s="23" t="inlineStr">
        <is>
          <t>审计前账面值</t>
        </is>
      </c>
      <c r="F5" s="138" t="n"/>
      <c r="G5" s="28" t="n"/>
      <c r="H5" s="23" t="inlineStr">
        <is>
          <t>审计调整</t>
        </is>
      </c>
      <c r="I5" s="563" t="inlineStr">
        <is>
          <t>账面价值</t>
        </is>
      </c>
      <c r="J5" s="34" t="n"/>
      <c r="K5" s="35" t="n"/>
      <c r="L5" s="564" t="inlineStr">
        <is>
          <t>评估价值</t>
        </is>
      </c>
      <c r="M5" s="138" t="n"/>
      <c r="N5" s="28" t="n"/>
      <c r="O5" s="564" t="inlineStr">
        <is>
          <t>增值率%</t>
        </is>
      </c>
      <c r="P5" s="23" t="inlineStr">
        <is>
          <t>备注</t>
        </is>
      </c>
    </row>
    <row r="6" ht="13" customFormat="1" customHeight="1" s="12">
      <c r="A6" s="36" t="n"/>
      <c r="B6" s="36" t="n"/>
      <c r="C6" s="36" t="n"/>
      <c r="D6" s="36" t="n"/>
      <c r="E6" s="23" t="inlineStr">
        <is>
          <t>数量</t>
        </is>
      </c>
      <c r="F6" s="23" t="inlineStr">
        <is>
          <t>单价</t>
        </is>
      </c>
      <c r="G6" s="23" t="inlineStr">
        <is>
          <t>金额</t>
        </is>
      </c>
      <c r="H6" s="36" t="n"/>
      <c r="I6" s="23" t="inlineStr">
        <is>
          <t>数量</t>
        </is>
      </c>
      <c r="J6" s="23" t="inlineStr">
        <is>
          <t>单价</t>
        </is>
      </c>
      <c r="K6" s="23" t="inlineStr">
        <is>
          <t>金额</t>
        </is>
      </c>
      <c r="L6" s="232" t="inlineStr">
        <is>
          <t>实际数量</t>
        </is>
      </c>
      <c r="M6" s="564" t="inlineStr">
        <is>
          <t>单价</t>
        </is>
      </c>
      <c r="N6" s="564" t="inlineStr">
        <is>
          <t>金额</t>
        </is>
      </c>
      <c r="O6" s="36" t="n"/>
      <c r="P6" s="36" t="n"/>
      <c r="W6" s="233" t="inlineStr">
        <is>
          <t>税金及附加率</t>
        </is>
      </c>
      <c r="X6" s="233" t="inlineStr">
        <is>
          <t>销售费用率</t>
        </is>
      </c>
      <c r="Y6" s="233" t="inlineStr">
        <is>
          <t>营业利润率</t>
        </is>
      </c>
      <c r="Z6" s="233" t="inlineStr">
        <is>
          <t>所得税率</t>
        </is>
      </c>
      <c r="AA6" s="233" t="inlineStr">
        <is>
          <t>净利润率</t>
        </is>
      </c>
      <c r="AB6" s="233" t="inlineStr">
        <is>
          <t>R</t>
        </is>
      </c>
      <c r="AC6" s="233" t="inlineStr">
        <is>
          <t>评估单价</t>
        </is>
      </c>
    </row>
    <row r="7" ht="13" customFormat="1" customHeight="1" s="229">
      <c r="A7" s="63" t="n"/>
      <c r="B7" s="234" t="n"/>
      <c r="C7" s="63" t="n"/>
      <c r="D7" s="235" t="n"/>
      <c r="E7" s="236" t="n"/>
      <c r="F7" s="565" t="n"/>
      <c r="G7" s="560" t="n"/>
      <c r="H7" s="560" t="n"/>
      <c r="I7" s="38" t="n"/>
      <c r="J7" s="560" t="n"/>
      <c r="K7" s="565" t="n"/>
      <c r="L7" s="38" t="n"/>
      <c r="M7" s="566" t="n"/>
      <c r="N7" s="565" t="n"/>
      <c r="O7" s="565">
        <f>IF(K7=0,"",(N7-K7)/K7*100)</f>
      </c>
      <c r="P7" s="240" t="n"/>
      <c r="V7" s="567">
        <f>J7*(1+$AH$19)</f>
      </c>
      <c r="W7" s="242">
        <f>AI14</f>
      </c>
      <c r="X7" s="242">
        <f>AI15</f>
      </c>
      <c r="Y7" s="242">
        <f>AI16</f>
      </c>
      <c r="Z7" s="242"/>
      <c r="AA7" s="242">
        <f>AI17</f>
      </c>
      <c r="AB7" s="243"/>
      <c r="AC7" s="568">
        <f>V7*(1-$W$7-$X$7-$Y$7*$Z$7-$AA$7*$AB$7)</f>
      </c>
      <c r="AD7" s="245" t="n"/>
      <c r="AE7" s="245" t="n"/>
      <c r="AF7" s="245" t="n"/>
      <c r="AG7" s="245" t="n"/>
      <c r="AH7" s="245" t="inlineStr">
        <is>
          <t>毛利率采用加权平均数计算=[（A1-B1）+(A23-B2)]/(A1+A2)</t>
        </is>
      </c>
      <c r="AI7" s="245" t="n"/>
    </row>
    <row r="8" ht="15.5" customFormat="1" customHeight="1" s="229">
      <c r="A8" s="63" t="n"/>
      <c r="B8" s="56" t="n"/>
      <c r="C8" s="63" t="n"/>
      <c r="D8" s="235" t="n"/>
      <c r="E8" s="236" t="n"/>
      <c r="F8" s="565" t="n"/>
      <c r="G8" s="560" t="n"/>
      <c r="H8" s="560" t="n"/>
      <c r="I8" s="38" t="n"/>
      <c r="J8" s="560" t="n"/>
      <c r="K8" s="565" t="n"/>
      <c r="L8" s="38" t="n"/>
      <c r="M8" s="566" t="n"/>
      <c r="N8" s="565" t="n"/>
      <c r="O8" s="565">
        <f>IF(K8=0,"",(N8-K8)/K8*100)</f>
      </c>
      <c r="P8" s="240" t="n"/>
      <c r="V8" s="567">
        <f>J8*(1+$AH$19)</f>
      </c>
      <c r="W8" s="246" t="n"/>
      <c r="X8" s="246" t="n"/>
      <c r="Y8" s="246" t="n"/>
      <c r="Z8" s="246" t="n"/>
      <c r="AA8" s="246" t="n"/>
      <c r="AB8" s="246" t="n"/>
      <c r="AC8" s="568">
        <f>V8*(1-$W$7-$X$7-$Y$7*$Z$7-$AA$7*$AB$7)</f>
      </c>
      <c r="AD8" s="247" t="n"/>
      <c r="AE8" s="248" t="n"/>
      <c r="AF8" s="248"/>
      <c r="AG8" s="248" t="n"/>
      <c r="AI8" s="248" t="n"/>
    </row>
    <row r="9" ht="15.5" customFormat="1" customHeight="1" s="229">
      <c r="A9" s="63" t="n"/>
      <c r="B9" s="56" t="n"/>
      <c r="C9" s="63" t="n"/>
      <c r="D9" s="235" t="n"/>
      <c r="E9" s="236" t="n"/>
      <c r="F9" s="565" t="n"/>
      <c r="G9" s="560" t="n"/>
      <c r="H9" s="560" t="n"/>
      <c r="I9" s="38" t="n"/>
      <c r="J9" s="560" t="n"/>
      <c r="K9" s="565" t="n"/>
      <c r="L9" s="38" t="n"/>
      <c r="M9" s="566" t="n"/>
      <c r="N9" s="565" t="n"/>
      <c r="O9" s="565">
        <f>IF(K9=0,"",(N9-K9)/K9*100)</f>
      </c>
      <c r="P9" s="240" t="n"/>
      <c r="V9" s="567">
        <f>J9*(1+$AH$19)</f>
      </c>
      <c r="W9" s="246" t="n"/>
      <c r="X9" s="246" t="n"/>
      <c r="Y9" s="246" t="n"/>
      <c r="Z9" s="246" t="n"/>
      <c r="AA9" s="246" t="n"/>
      <c r="AB9" s="246" t="n"/>
      <c r="AC9" s="568">
        <f>V9*(1-$W$7-$X$7-$Y$7*$Z$7-$AA$7*$AB$7)</f>
      </c>
      <c r="AD9" s="247" t="inlineStr">
        <is>
          <t>A</t>
        </is>
      </c>
      <c r="AE9" s="13" t="inlineStr">
        <is>
          <t>营业收入</t>
        </is>
      </c>
      <c r="AF9" s="547"/>
      <c r="AG9" s="547"/>
      <c r="AH9" s="569">
        <f>AF9+AG9</f>
      </c>
      <c r="AI9" s="13" t="n"/>
    </row>
    <row r="10" ht="15.5" customFormat="1" customHeight="1" s="229">
      <c r="A10" s="63" t="n"/>
      <c r="B10" s="56" t="n"/>
      <c r="C10" s="63" t="n"/>
      <c r="D10" s="235" t="n"/>
      <c r="E10" s="236" t="n"/>
      <c r="F10" s="565" t="n"/>
      <c r="G10" s="560" t="n"/>
      <c r="H10" s="560" t="n"/>
      <c r="I10" s="38" t="n"/>
      <c r="J10" s="560" t="n"/>
      <c r="K10" s="565" t="n"/>
      <c r="L10" s="38" t="n"/>
      <c r="M10" s="566" t="n"/>
      <c r="N10" s="565" t="n"/>
      <c r="O10" s="565">
        <f>IF(K10=0,"",(N10-K10)/K10*100)</f>
      </c>
      <c r="P10" s="240" t="n"/>
      <c r="V10" s="567">
        <f>J10*(1+$AH$19)</f>
      </c>
      <c r="W10" s="246" t="n"/>
      <c r="X10" s="246" t="n"/>
      <c r="Y10" s="246" t="n"/>
      <c r="Z10" s="246" t="n"/>
      <c r="AA10" s="246" t="n"/>
      <c r="AB10" s="246" t="n"/>
      <c r="AC10" s="568">
        <f>V10*(1-$W$7-$X$7-$Y$7*$Z$7-$AA$7*$AB$7)</f>
      </c>
      <c r="AD10" s="247" t="n"/>
      <c r="AE10" s="13" t="inlineStr">
        <is>
          <t>营业税金及附加</t>
        </is>
      </c>
      <c r="AF10" s="547"/>
      <c r="AG10" s="547"/>
      <c r="AH10" s="569" t="n"/>
      <c r="AI10" s="13" t="n"/>
    </row>
    <row r="11" ht="15.5" customFormat="1" customHeight="1" s="229">
      <c r="A11" s="63" t="n"/>
      <c r="B11" s="56" t="n"/>
      <c r="C11" s="63" t="n"/>
      <c r="D11" s="235" t="n"/>
      <c r="E11" s="236" t="n"/>
      <c r="F11" s="565" t="n"/>
      <c r="G11" s="560" t="n"/>
      <c r="H11" s="560" t="n"/>
      <c r="I11" s="38" t="n"/>
      <c r="J11" s="560" t="n"/>
      <c r="K11" s="565" t="n"/>
      <c r="L11" s="38" t="n"/>
      <c r="M11" s="566" t="n"/>
      <c r="N11" s="565" t="n"/>
      <c r="O11" s="565">
        <f>IF(K11=0,"",(N11-K11)/K11*100)</f>
      </c>
      <c r="P11" s="240" t="n"/>
      <c r="V11" s="567">
        <f>J11*(1+$AH$19)</f>
      </c>
      <c r="W11" s="246" t="n"/>
      <c r="X11" s="246" t="n"/>
      <c r="Y11" s="246" t="n"/>
      <c r="Z11" s="246" t="n"/>
      <c r="AA11" s="246" t="n"/>
      <c r="AB11" s="246" t="n"/>
      <c r="AC11" s="568">
        <f>V11*(1-$W$7-$X$7-$Y$7*$Z$7-$AA$7*$AB$7)</f>
      </c>
      <c r="AD11" s="247" t="n"/>
      <c r="AE11" s="13" t="inlineStr">
        <is>
          <t>销售费用</t>
        </is>
      </c>
      <c r="AF11" s="547"/>
      <c r="AG11" s="547"/>
      <c r="AH11" s="569" t="n"/>
      <c r="AI11" s="13" t="n"/>
    </row>
    <row r="12" ht="15.5" customFormat="1" customHeight="1" s="229">
      <c r="A12" s="63" t="n"/>
      <c r="B12" s="56" t="n"/>
      <c r="C12" s="63" t="n"/>
      <c r="D12" s="235" t="n"/>
      <c r="E12" s="236" t="n"/>
      <c r="F12" s="565" t="n"/>
      <c r="G12" s="560" t="n"/>
      <c r="H12" s="560" t="n"/>
      <c r="I12" s="38" t="n"/>
      <c r="J12" s="560" t="n"/>
      <c r="K12" s="565" t="n"/>
      <c r="L12" s="38" t="n"/>
      <c r="M12" s="566" t="n"/>
      <c r="N12" s="565" t="n"/>
      <c r="O12" s="565">
        <f>IF(K12=0,"",(N12-K12)/K12*100)</f>
      </c>
      <c r="P12" s="240" t="n"/>
      <c r="V12" s="567">
        <f>J12*(1+$AH$19)</f>
      </c>
      <c r="W12" s="246" t="n"/>
      <c r="X12" s="246" t="n"/>
      <c r="Y12" s="246" t="n"/>
      <c r="Z12" s="246" t="n"/>
      <c r="AA12" s="246" t="n"/>
      <c r="AB12" s="246" t="n"/>
      <c r="AC12" s="568">
        <f>V12*(1-$W$7-$X$7-$Y$7*$Z$7-$AA$7*$AB$7)</f>
      </c>
      <c r="AD12" s="247" t="n"/>
      <c r="AE12" s="13" t="inlineStr">
        <is>
          <t>营业利润</t>
        </is>
      </c>
      <c r="AF12" s="547"/>
      <c r="AG12" s="547"/>
      <c r="AH12" s="569" t="n"/>
      <c r="AI12" s="13" t="n"/>
    </row>
    <row r="13" ht="15.5" customFormat="1" customHeight="1" s="229">
      <c r="A13" s="63" t="n"/>
      <c r="B13" s="56" t="n"/>
      <c r="C13" s="63" t="n"/>
      <c r="D13" s="235" t="n"/>
      <c r="E13" s="236" t="n"/>
      <c r="F13" s="565" t="n"/>
      <c r="G13" s="560" t="n"/>
      <c r="H13" s="560" t="n"/>
      <c r="I13" s="38" t="n"/>
      <c r="J13" s="560" t="n"/>
      <c r="K13" s="565" t="n"/>
      <c r="L13" s="38" t="n"/>
      <c r="M13" s="566" t="n"/>
      <c r="N13" s="565" t="n"/>
      <c r="O13" s="565">
        <f>IF(K13=0,"",(N13-K13)/K13*100)</f>
      </c>
      <c r="P13" s="240" t="n"/>
      <c r="V13" s="567">
        <f>J13*(1+$AH$19)</f>
      </c>
      <c r="W13" s="246" t="n"/>
      <c r="X13" s="246" t="n"/>
      <c r="Y13" s="246" t="n"/>
      <c r="Z13" s="246" t="n"/>
      <c r="AA13" s="246" t="n"/>
      <c r="AB13" s="246" t="n"/>
      <c r="AC13" s="568">
        <f>V13*(1-$W$7-$X$7-$Y$7*$Z$7-$AA$7*$AB$7)</f>
      </c>
      <c r="AD13" s="247" t="n"/>
      <c r="AE13" s="13" t="inlineStr">
        <is>
          <t>净利润</t>
        </is>
      </c>
      <c r="AF13" s="547"/>
      <c r="AG13" s="547"/>
      <c r="AH13" s="569" t="n"/>
      <c r="AI13" s="13" t="n"/>
    </row>
    <row r="14" ht="15.5" customFormat="1" customHeight="1" s="229">
      <c r="A14" s="63" t="n"/>
      <c r="B14" s="56" t="n"/>
      <c r="C14" s="63" t="n"/>
      <c r="D14" s="235" t="n"/>
      <c r="E14" s="236" t="n"/>
      <c r="F14" s="565" t="n"/>
      <c r="G14" s="560" t="n"/>
      <c r="H14" s="560" t="n"/>
      <c r="I14" s="38" t="n"/>
      <c r="J14" s="560" t="n"/>
      <c r="K14" s="565" t="n"/>
      <c r="L14" s="38" t="n"/>
      <c r="M14" s="566" t="n"/>
      <c r="N14" s="565" t="n"/>
      <c r="O14" s="565">
        <f>IF(K14=0,"",(N14-K14)/K14*100)</f>
      </c>
      <c r="P14" s="240" t="n"/>
      <c r="V14" s="567">
        <f>J14*(1+$AH$19)</f>
      </c>
      <c r="W14" s="246" t="n"/>
      <c r="X14" s="246" t="n"/>
      <c r="Y14" s="246" t="n"/>
      <c r="Z14" s="246" t="n"/>
      <c r="AA14" s="246" t="n"/>
      <c r="AB14" s="246" t="n"/>
      <c r="AC14" s="568">
        <f>V14*(1-$W$7-$X$7-$Y$7*$Z$7-$AA$7*$AB$7)</f>
      </c>
      <c r="AD14" s="247" t="n"/>
      <c r="AE14" s="570" t="inlineStr">
        <is>
          <t>税金及附加率</t>
        </is>
      </c>
      <c r="AF14" s="547">
        <f>AF10/AF9</f>
      </c>
      <c r="AG14" s="547">
        <f>AG10/AG9</f>
      </c>
      <c r="AH14" s="569" t="n"/>
      <c r="AI14" s="72">
        <f>(AF14+AG14+AH14)/2</f>
      </c>
    </row>
    <row r="15" ht="15.5" customFormat="1" customHeight="1" s="229">
      <c r="A15" s="63" t="n"/>
      <c r="B15" s="56" t="n"/>
      <c r="C15" s="63" t="n"/>
      <c r="D15" s="235" t="n"/>
      <c r="E15" s="236" t="n"/>
      <c r="F15" s="565" t="n"/>
      <c r="G15" s="560" t="n"/>
      <c r="H15" s="560" t="n"/>
      <c r="I15" s="38" t="n"/>
      <c r="J15" s="560" t="n"/>
      <c r="K15" s="565" t="n"/>
      <c r="L15" s="38" t="n"/>
      <c r="M15" s="566" t="n"/>
      <c r="N15" s="565" t="n"/>
      <c r="O15" s="565">
        <f>IF(K15=0,"",(N15-K15)/K15*100)</f>
      </c>
      <c r="P15" s="240" t="n"/>
      <c r="V15" s="567">
        <f>J15*(1+$AH$19)</f>
      </c>
      <c r="W15" s="246" t="n"/>
      <c r="X15" s="246" t="n"/>
      <c r="Y15" s="246" t="n"/>
      <c r="Z15" s="246" t="n"/>
      <c r="AA15" s="246" t="n"/>
      <c r="AB15" s="246" t="n"/>
      <c r="AC15" s="568">
        <f>V15*(1-$W$7-$X$7-$Y$7*$Z$7-$AA$7*$AB$7)</f>
      </c>
      <c r="AD15" s="247" t="n"/>
      <c r="AE15" s="570" t="inlineStr">
        <is>
          <t>销售费用率</t>
        </is>
      </c>
      <c r="AF15" s="547">
        <f>AF11/AF9</f>
      </c>
      <c r="AG15" s="547">
        <f>AG11/AG9</f>
      </c>
      <c r="AH15" s="569" t="n"/>
      <c r="AI15" s="72">
        <f>(AF15+AG15+AH15)/2</f>
      </c>
    </row>
    <row r="16" ht="15.5" customFormat="1" customHeight="1" s="229">
      <c r="A16" s="63" t="n"/>
      <c r="B16" s="56" t="n"/>
      <c r="C16" s="63" t="n"/>
      <c r="D16" s="235" t="n"/>
      <c r="E16" s="236" t="n"/>
      <c r="F16" s="565" t="n"/>
      <c r="G16" s="560" t="n"/>
      <c r="H16" s="560" t="n"/>
      <c r="I16" s="38" t="n"/>
      <c r="J16" s="560" t="n"/>
      <c r="K16" s="565" t="n"/>
      <c r="L16" s="38" t="n"/>
      <c r="M16" s="566" t="n"/>
      <c r="N16" s="565" t="n"/>
      <c r="O16" s="565">
        <f>IF(K16=0,"",(N16-K16)/K16*100)</f>
      </c>
      <c r="P16" s="240" t="n"/>
      <c r="V16" s="567">
        <f>J16*(1+$AH$19)</f>
      </c>
      <c r="W16" s="246" t="n"/>
      <c r="X16" s="246" t="n"/>
      <c r="Y16" s="246" t="n"/>
      <c r="Z16" s="246" t="n"/>
      <c r="AA16" s="246" t="n"/>
      <c r="AB16" s="246" t="n"/>
      <c r="AC16" s="568">
        <f>V16*(1-$W$7-$X$7-$Y$7*$Z$7-$AA$7*$AB$7)</f>
      </c>
      <c r="AD16" s="247" t="n"/>
      <c r="AE16" s="13" t="inlineStr">
        <is>
          <t>营业利润率</t>
        </is>
      </c>
      <c r="AF16" s="547">
        <f>AF12/AF9</f>
      </c>
      <c r="AG16" s="547">
        <f>AG12/AG9</f>
      </c>
      <c r="AH16" s="569" t="n"/>
      <c r="AI16" s="72">
        <f>(AF16+AG16+AH16)/2</f>
      </c>
    </row>
    <row r="17" ht="15.5" customFormat="1" customHeight="1" s="229">
      <c r="A17" s="63" t="n"/>
      <c r="B17" s="56" t="n"/>
      <c r="C17" s="63" t="n"/>
      <c r="D17" s="235" t="n"/>
      <c r="E17" s="236" t="n"/>
      <c r="F17" s="565" t="n"/>
      <c r="G17" s="560" t="n"/>
      <c r="H17" s="560" t="n"/>
      <c r="I17" s="38" t="n"/>
      <c r="J17" s="560" t="n"/>
      <c r="K17" s="565" t="n"/>
      <c r="L17" s="38" t="n"/>
      <c r="M17" s="566" t="n"/>
      <c r="N17" s="565" t="n"/>
      <c r="O17" s="565">
        <f>IF(K17=0,"",(N17-K17)/K17*100)</f>
      </c>
      <c r="P17" s="240" t="n"/>
      <c r="V17" s="567">
        <f>J17*(1+$AH$19)</f>
      </c>
      <c r="W17" s="246" t="n"/>
      <c r="X17" s="246" t="n"/>
      <c r="Y17" s="246" t="n"/>
      <c r="Z17" s="246" t="n"/>
      <c r="AA17" s="246" t="n"/>
      <c r="AB17" s="246" t="n"/>
      <c r="AC17" s="568">
        <f>V17*(1-$W$7-$X$7-$Y$7*$Z$7-$AA$7*$AB$7)</f>
      </c>
      <c r="AD17" s="247" t="n"/>
      <c r="AE17" s="13" t="inlineStr">
        <is>
          <t>净利润率</t>
        </is>
      </c>
      <c r="AF17" s="547">
        <f>AF13/AF9</f>
      </c>
      <c r="AG17" s="547">
        <f>AG13/AG9</f>
      </c>
      <c r="AH17" s="569" t="n"/>
      <c r="AI17" s="72">
        <f>(AF17+AG17+AH17)/2</f>
      </c>
    </row>
    <row r="18" ht="15.5" customFormat="1" customHeight="1" s="229">
      <c r="A18" s="63" t="n"/>
      <c r="B18" s="56" t="n"/>
      <c r="C18" s="63" t="n"/>
      <c r="D18" s="235" t="n"/>
      <c r="E18" s="236" t="n"/>
      <c r="F18" s="565" t="n"/>
      <c r="G18" s="560" t="n"/>
      <c r="H18" s="560" t="n"/>
      <c r="I18" s="38" t="n"/>
      <c r="J18" s="560" t="n"/>
      <c r="K18" s="565" t="n"/>
      <c r="L18" s="38" t="n"/>
      <c r="M18" s="566" t="n"/>
      <c r="N18" s="565" t="n"/>
      <c r="O18" s="565">
        <f>IF(K18=0,"",(N18-K18)/K18*100)</f>
      </c>
      <c r="P18" s="240" t="n"/>
      <c r="V18" s="567">
        <f>J18*(1+$AH$19)</f>
      </c>
      <c r="W18" s="247" t="n"/>
      <c r="X18" s="247" t="n"/>
      <c r="Y18" s="247" t="n"/>
      <c r="Z18" s="247" t="n"/>
      <c r="AA18" s="247" t="n"/>
      <c r="AB18" s="247" t="n"/>
      <c r="AC18" s="568">
        <f>V18*(1-$W$7-$X$7-$Y$7*$Z$7-$AA$7*$AB$7)</f>
      </c>
      <c r="AD18" s="247" t="inlineStr">
        <is>
          <t>B</t>
        </is>
      </c>
      <c r="AE18" s="13" t="inlineStr">
        <is>
          <t>营业成本</t>
        </is>
      </c>
      <c r="AF18" s="547"/>
      <c r="AG18" s="547"/>
      <c r="AH18" s="569">
        <f>AF18+AG18</f>
      </c>
      <c r="AI18" s="13" t="n"/>
    </row>
    <row r="19" ht="15.5" customFormat="1" customHeight="1" s="229">
      <c r="A19" s="63" t="n"/>
      <c r="B19" s="56" t="n"/>
      <c r="C19" s="63" t="n"/>
      <c r="D19" s="235" t="n"/>
      <c r="E19" s="236" t="n"/>
      <c r="F19" s="565" t="n"/>
      <c r="G19" s="560" t="n"/>
      <c r="H19" s="560" t="n"/>
      <c r="I19" s="38" t="n"/>
      <c r="J19" s="560" t="n"/>
      <c r="K19" s="565" t="n"/>
      <c r="L19" s="38" t="n"/>
      <c r="M19" s="566" t="n"/>
      <c r="N19" s="565" t="n"/>
      <c r="O19" s="565">
        <f>IF(K19=0,"",(N19-K19)/K19*100)</f>
      </c>
      <c r="P19" s="240" t="n"/>
      <c r="V19" s="567">
        <f>J19*(1+$AH$19)</f>
      </c>
      <c r="W19" s="247" t="n"/>
      <c r="X19" s="247" t="n"/>
      <c r="Y19" s="247" t="n"/>
      <c r="Z19" s="247" t="n"/>
      <c r="AA19" s="247" t="n"/>
      <c r="AB19" s="247" t="n"/>
      <c r="AC19" s="568">
        <f>V19*(1-$W$7-$X$7-$Y$7*$Z$7-$AA$7*$AB$7)</f>
      </c>
      <c r="AD19" s="247" t="n"/>
      <c r="AE19" s="13" t="n"/>
      <c r="AF19" s="72">
        <f>(AF9-AF18)/AF9</f>
      </c>
      <c r="AG19" s="72">
        <f>(AG9-AG18)/AG9</f>
      </c>
      <c r="AH19" s="144">
        <f>0.3</f>
      </c>
      <c r="AI19" s="13" t="n"/>
    </row>
    <row r="20" ht="13" customFormat="1" customHeight="1" s="229">
      <c r="A20" s="63" t="n"/>
      <c r="B20" s="56" t="n"/>
      <c r="C20" s="63" t="n"/>
      <c r="D20" s="235" t="n"/>
      <c r="E20" s="236" t="n"/>
      <c r="F20" s="565" t="n"/>
      <c r="G20" s="560" t="n"/>
      <c r="H20" s="560" t="n"/>
      <c r="I20" s="38" t="n"/>
      <c r="J20" s="560" t="n"/>
      <c r="K20" s="565" t="n"/>
      <c r="L20" s="38" t="n"/>
      <c r="M20" s="566" t="n"/>
      <c r="N20" s="565" t="n"/>
      <c r="O20" s="565">
        <f>IF(K20=0,"",(N20-K20)/K20*100)</f>
      </c>
      <c r="P20" s="240" t="n"/>
      <c r="V20" s="567">
        <f>J20*(1+$AH$19)</f>
      </c>
      <c r="AC20" s="568">
        <f>V20*(1-$W$7-$X$7-$Y$7*$Z$7-$AA$7*$AB$7)</f>
      </c>
      <c r="AF20" s="571" t="n"/>
      <c r="AG20" s="571" t="n"/>
      <c r="AH20" s="571" t="n"/>
    </row>
    <row r="21" ht="13" customFormat="1" customHeight="1" s="229">
      <c r="A21" s="63" t="n"/>
      <c r="B21" s="56" t="n"/>
      <c r="C21" s="63" t="n"/>
      <c r="D21" s="235" t="n"/>
      <c r="E21" s="236" t="n"/>
      <c r="F21" s="565" t="n"/>
      <c r="G21" s="560" t="n"/>
      <c r="H21" s="560" t="n"/>
      <c r="I21" s="38" t="n"/>
      <c r="J21" s="560" t="n"/>
      <c r="K21" s="565" t="n"/>
      <c r="L21" s="38" t="n"/>
      <c r="M21" s="566" t="n"/>
      <c r="N21" s="565" t="n"/>
      <c r="O21" s="565">
        <f>IF(K21=0,"",(N21-K21)/K21*100)</f>
      </c>
      <c r="P21" s="240" t="n"/>
      <c r="V21" s="567">
        <f>J21*(1+$AH$19)</f>
      </c>
      <c r="AC21" s="568">
        <f>V21*(1-$W$7-$X$7-$Y$7*$Z$7-$AA$7*$AB$7)</f>
      </c>
    </row>
    <row r="22" ht="13" customFormat="1" customHeight="1" s="229">
      <c r="A22" s="63" t="n"/>
      <c r="B22" s="56" t="n"/>
      <c r="C22" s="63" t="n"/>
      <c r="D22" s="235" t="n"/>
      <c r="E22" s="236" t="n"/>
      <c r="F22" s="565" t="n"/>
      <c r="G22" s="560" t="n"/>
      <c r="H22" s="560" t="n"/>
      <c r="I22" s="38" t="n"/>
      <c r="J22" s="560" t="n"/>
      <c r="K22" s="565" t="n"/>
      <c r="L22" s="38" t="n"/>
      <c r="M22" s="566" t="n"/>
      <c r="N22" s="565" t="n"/>
      <c r="O22" s="565">
        <f>IF(K22=0,"",(N22-K22)/K22*100)</f>
      </c>
      <c r="P22" s="240" t="n"/>
      <c r="V22" s="567">
        <f>J22*(1+$AH$19)</f>
      </c>
      <c r="AC22" s="568">
        <f>V22*(1-$W$7-$X$7-$Y$7*$Z$7-$AA$7*$AB$7)</f>
      </c>
    </row>
    <row r="23" ht="13" customFormat="1" customHeight="1" s="229">
      <c r="A23" s="63" t="n"/>
      <c r="B23" s="56" t="n"/>
      <c r="C23" s="63" t="n"/>
      <c r="D23" s="235" t="n"/>
      <c r="E23" s="236" t="n"/>
      <c r="F23" s="565" t="n"/>
      <c r="G23" s="560" t="n"/>
      <c r="H23" s="560" t="n"/>
      <c r="I23" s="38" t="n"/>
      <c r="J23" s="560" t="n"/>
      <c r="K23" s="565" t="n"/>
      <c r="L23" s="38" t="n"/>
      <c r="M23" s="566" t="n"/>
      <c r="N23" s="565" t="n"/>
      <c r="O23" s="565">
        <f>IF(K23=0,"",(N23-K23)/K23*100)</f>
      </c>
      <c r="P23" s="240" t="n"/>
      <c r="V23" s="567">
        <f>J23*(1+$AH$19)</f>
      </c>
      <c r="AC23" s="568">
        <f>V23*(1-$W$7-$X$7-$Y$7*$Z$7-$AA$7*$AB$7)</f>
      </c>
    </row>
    <row r="24" ht="13" customFormat="1" customHeight="1" s="229">
      <c r="A24" s="63" t="n"/>
      <c r="B24" s="56" t="n"/>
      <c r="C24" s="63" t="n"/>
      <c r="D24" s="235" t="n"/>
      <c r="E24" s="236" t="n"/>
      <c r="F24" s="565" t="n"/>
      <c r="G24" s="560" t="n"/>
      <c r="H24" s="560" t="n"/>
      <c r="I24" s="38" t="n"/>
      <c r="J24" s="560" t="n"/>
      <c r="K24" s="565" t="n"/>
      <c r="L24" s="38" t="n"/>
      <c r="M24" s="566" t="n"/>
      <c r="N24" s="565" t="n"/>
      <c r="O24" s="565">
        <f>IF(K24=0,"",(N24-K24)/K24*100)</f>
      </c>
      <c r="P24" s="240" t="n"/>
      <c r="V24" s="567">
        <f>J24*(1+$AH$19)</f>
      </c>
      <c r="AC24" s="568">
        <f>V24*(1-$W$7-$X$7-$Y$7*$Z$7-$AA$7*$AB$7)</f>
      </c>
    </row>
    <row r="25" ht="13" customFormat="1" customHeight="1" s="229">
      <c r="A25" s="63" t="n"/>
      <c r="B25" s="56" t="n"/>
      <c r="C25" s="63" t="n"/>
      <c r="D25" s="235" t="n"/>
      <c r="E25" s="236" t="n"/>
      <c r="F25" s="565" t="n"/>
      <c r="G25" s="560" t="n"/>
      <c r="H25" s="560" t="n"/>
      <c r="I25" s="38" t="n"/>
      <c r="J25" s="560" t="n"/>
      <c r="K25" s="565" t="n"/>
      <c r="L25" s="38" t="n"/>
      <c r="M25" s="566" t="n"/>
      <c r="N25" s="565" t="n"/>
      <c r="O25" s="565">
        <f>IF(K25=0,"",(N25-K25)/K25*100)</f>
      </c>
      <c r="P25" s="240" t="n"/>
      <c r="V25" s="567">
        <f>J25*(1+$AH$19)</f>
      </c>
      <c r="AC25" s="568">
        <f>V25*(1-$W$7-$X$7-$Y$7*$Z$7-$AA$7*$AB$7)</f>
      </c>
    </row>
    <row r="26" ht="13" customFormat="1" customHeight="1" s="229">
      <c r="A26" s="63" t="n"/>
      <c r="B26" s="56" t="n"/>
      <c r="C26" s="63" t="n"/>
      <c r="D26" s="235" t="n"/>
      <c r="E26" s="236" t="n"/>
      <c r="F26" s="565" t="n"/>
      <c r="G26" s="560" t="n"/>
      <c r="H26" s="560" t="n"/>
      <c r="I26" s="38" t="n"/>
      <c r="J26" s="560" t="n"/>
      <c r="K26" s="565" t="n"/>
      <c r="L26" s="38" t="n"/>
      <c r="M26" s="566" t="n"/>
      <c r="N26" s="565" t="n"/>
      <c r="O26" s="565">
        <f>IF(K26=0,"",(N26-K26)/K26*100)</f>
      </c>
      <c r="P26" s="240" t="n"/>
      <c r="V26" s="567">
        <f>J26*(1+$AH$19)</f>
      </c>
      <c r="AC26" s="568">
        <f>V26*(1-$W$7-$X$7-$Y$7*$Z$7-$AA$7*$AB$7)</f>
      </c>
    </row>
    <row r="27" ht="13" customFormat="1" customHeight="1" s="229">
      <c r="A27" s="63" t="n"/>
      <c r="B27" s="56" t="n"/>
      <c r="C27" s="63" t="n"/>
      <c r="D27" s="235" t="n"/>
      <c r="E27" s="236" t="n"/>
      <c r="F27" s="565" t="n"/>
      <c r="G27" s="560" t="n"/>
      <c r="H27" s="560" t="n"/>
      <c r="I27" s="38" t="n"/>
      <c r="J27" s="560" t="n"/>
      <c r="K27" s="565" t="n"/>
      <c r="L27" s="38" t="n"/>
      <c r="M27" s="566" t="n"/>
      <c r="N27" s="565" t="n"/>
      <c r="O27" s="565">
        <f>IF(K27=0,"",(N27-K27)/K27*100)</f>
      </c>
      <c r="P27" s="240" t="n"/>
      <c r="V27" s="567">
        <f>J27*(1+$AH$19)</f>
      </c>
      <c r="AC27" s="568">
        <f>V27*(1-$W$7-$X$7-$Y$7*$Z$7-$AA$7*$AB$7)</f>
      </c>
    </row>
    <row r="28" ht="13" customFormat="1" customHeight="1" s="229">
      <c r="A28" s="63" t="n"/>
      <c r="B28" s="56" t="n"/>
      <c r="C28" s="63" t="n"/>
      <c r="D28" s="235" t="n"/>
      <c r="E28" s="236" t="n"/>
      <c r="F28" s="565" t="n"/>
      <c r="G28" s="560" t="n"/>
      <c r="H28" s="560" t="n"/>
      <c r="I28" s="38" t="n"/>
      <c r="J28" s="560" t="n"/>
      <c r="K28" s="565" t="n"/>
      <c r="L28" s="38" t="n"/>
      <c r="M28" s="566" t="n"/>
      <c r="N28" s="565" t="n"/>
      <c r="O28" s="565">
        <f>IF(K28=0,"",(N28-K28)/K28*100)</f>
      </c>
      <c r="P28" s="240" t="n"/>
      <c r="V28" s="567">
        <f>J28*(1+$AH$19)</f>
      </c>
      <c r="AC28" s="568">
        <f>V28*(1-$W$7-$X$7-$Y$7*$Z$7-$AA$7*$AB$7)</f>
      </c>
    </row>
    <row r="29" ht="13" customFormat="1" customHeight="1" s="229">
      <c r="A29" s="63" t="n"/>
      <c r="B29" s="56" t="n"/>
      <c r="C29" s="63" t="n"/>
      <c r="D29" s="235" t="n"/>
      <c r="E29" s="236" t="n"/>
      <c r="F29" s="565" t="n"/>
      <c r="G29" s="560" t="n"/>
      <c r="H29" s="560" t="n"/>
      <c r="I29" s="38" t="n"/>
      <c r="J29" s="560" t="n"/>
      <c r="K29" s="565" t="n"/>
      <c r="L29" s="38" t="n"/>
      <c r="M29" s="566" t="n"/>
      <c r="N29" s="565" t="n"/>
      <c r="O29" s="565">
        <f>IF(K29=0,"",(N29-K29)/K29*100)</f>
      </c>
      <c r="P29" s="240" t="n"/>
      <c r="V29" s="567">
        <f>J29*(1+$AH$19)</f>
      </c>
      <c r="AC29" s="568">
        <f>V29*(1-$W$7-$X$7-$Y$7*$Z$7-$AA$7*$AB$7)</f>
      </c>
    </row>
    <row r="30" ht="13" customFormat="1" customHeight="1" s="229">
      <c r="A30" s="63" t="n"/>
      <c r="B30" s="56" t="n"/>
      <c r="C30" s="63" t="n"/>
      <c r="D30" s="55" t="n"/>
      <c r="E30" s="236" t="n"/>
      <c r="F30" s="565" t="n"/>
      <c r="G30" s="560" t="n"/>
      <c r="H30" s="560" t="n"/>
      <c r="I30" s="38" t="n"/>
      <c r="J30" s="560" t="n"/>
      <c r="K30" s="565" t="n"/>
      <c r="L30" s="38" t="n"/>
      <c r="M30" s="566" t="n"/>
      <c r="N30" s="565" t="n"/>
      <c r="O30" s="565">
        <f>IF(K30=0,"",(N30-K30)/K30*100)</f>
      </c>
      <c r="P30" s="240" t="n"/>
      <c r="V30" s="567">
        <f>J30*(1+$AH$19)</f>
      </c>
      <c r="AC30" s="568">
        <f>V30*(1-$W$7-$X$7-$Y$7*$Z$7-$AA$7*$AB$7)</f>
      </c>
    </row>
    <row r="31" ht="13" customFormat="1" customHeight="1" s="229">
      <c r="A31" s="63" t="n"/>
      <c r="B31" s="56" t="n"/>
      <c r="C31" s="63" t="n"/>
      <c r="D31" s="55" t="n"/>
      <c r="E31" s="236" t="n"/>
      <c r="F31" s="565" t="n"/>
      <c r="G31" s="560" t="n"/>
      <c r="H31" s="560" t="n"/>
      <c r="I31" s="38" t="n"/>
      <c r="J31" s="560" t="n"/>
      <c r="K31" s="565" t="n"/>
      <c r="L31" s="38" t="n"/>
      <c r="M31" s="566" t="n"/>
      <c r="N31" s="565" t="n"/>
      <c r="O31" s="565">
        <f>IF(K31=0,"",(N31-K31)/K31*100)</f>
      </c>
      <c r="P31" s="240" t="n"/>
      <c r="V31" s="567">
        <f>J31*(1+$AH$19)</f>
      </c>
      <c r="AC31" s="568">
        <f>V31*(1-$W$7-$X$7-$Y$7*$Z$7-$AA$7*$AB$7)</f>
      </c>
    </row>
    <row r="32" ht="13" customFormat="1" customHeight="1" s="229">
      <c r="A32" s="63" t="n"/>
      <c r="B32" s="56" t="n"/>
      <c r="C32" s="63" t="n"/>
      <c r="D32" s="55" t="n"/>
      <c r="E32" s="236" t="n"/>
      <c r="F32" s="565" t="n"/>
      <c r="G32" s="560" t="n"/>
      <c r="H32" s="560" t="n"/>
      <c r="I32" s="38" t="n"/>
      <c r="J32" s="560" t="n"/>
      <c r="K32" s="565" t="n"/>
      <c r="L32" s="38" t="n"/>
      <c r="M32" s="566" t="n"/>
      <c r="N32" s="565" t="n"/>
      <c r="O32" s="565">
        <f>IF(K32=0,"",(N32-K32)/K32*100)</f>
      </c>
      <c r="P32" s="240" t="n"/>
      <c r="V32" s="567">
        <f>J32*(1+$AH$19)</f>
      </c>
      <c r="AC32" s="568">
        <f>V32*(1-$W$7-$X$7-$Y$7*$Z$7-$AA$7*$AB$7)</f>
      </c>
    </row>
    <row r="33" ht="13" customFormat="1" customHeight="1" s="229">
      <c r="A33" s="63" t="n"/>
      <c r="B33" s="56" t="n"/>
      <c r="C33" s="63" t="n"/>
      <c r="D33" s="55" t="n"/>
      <c r="E33" s="236" t="n"/>
      <c r="F33" s="565" t="n"/>
      <c r="G33" s="560" t="n"/>
      <c r="H33" s="560" t="n"/>
      <c r="I33" s="38" t="n"/>
      <c r="J33" s="560" t="n"/>
      <c r="K33" s="565" t="n"/>
      <c r="L33" s="38" t="n"/>
      <c r="M33" s="566" t="n"/>
      <c r="N33" s="565" t="n"/>
      <c r="O33" s="565">
        <f>IF(K33=0,"",(N33-K33)/K33*100)</f>
      </c>
      <c r="P33" s="240" t="n"/>
      <c r="V33" s="567">
        <f>J33*(1+$AH$19)</f>
      </c>
      <c r="AC33" s="568">
        <f>V33*(1-$W$7-$X$7-$Y$7*$Z$7-$AA$7*$AB$7)</f>
      </c>
    </row>
    <row r="34" ht="13" customFormat="1" customHeight="1" s="229">
      <c r="A34" s="63" t="n"/>
      <c r="B34" s="56" t="n"/>
      <c r="C34" s="63" t="n"/>
      <c r="D34" s="55" t="n"/>
      <c r="E34" s="236" t="n"/>
      <c r="F34" s="565" t="n"/>
      <c r="G34" s="560" t="n"/>
      <c r="H34" s="560" t="n"/>
      <c r="I34" s="38" t="n"/>
      <c r="J34" s="560" t="n"/>
      <c r="K34" s="565" t="n"/>
      <c r="L34" s="38" t="n"/>
      <c r="M34" s="566" t="n"/>
      <c r="N34" s="565" t="n"/>
      <c r="O34" s="565">
        <f>IF(K34=0,"",(N34-K34)/K34*100)</f>
      </c>
      <c r="P34" s="240" t="n"/>
      <c r="V34" s="567">
        <f>J34*(1+$AH$19)</f>
      </c>
      <c r="AC34" s="568">
        <f>V34*(1-$W$7-$X$7-$Y$7*$Z$7-$AA$7*$AB$7)</f>
      </c>
    </row>
    <row r="35" ht="15.5" customHeight="1">
      <c r="A35" s="63" t="n"/>
      <c r="B35" s="56" t="n"/>
      <c r="C35" s="63" t="n"/>
      <c r="D35" s="23" t="n"/>
      <c r="E35" s="251" t="n"/>
      <c r="F35" s="539">
        <f>IF(E35=0,"",G35/E35)</f>
      </c>
      <c r="G35" s="562" t="n"/>
      <c r="H35" s="562" t="n"/>
      <c r="I35" s="562" t="n"/>
      <c r="J35" s="562" t="n"/>
      <c r="K35" s="539" t="n"/>
      <c r="L35" s="38" t="n"/>
      <c r="M35" s="539" t="n"/>
      <c r="N35" s="539" t="n"/>
      <c r="O35" s="539">
        <f>IF(K35=0,"",(N35-K35)/K35*100)</f>
      </c>
      <c r="P35" s="27" t="n"/>
      <c r="V35" s="572">
        <f>J36</f>
      </c>
      <c r="AC35" s="573" t="n"/>
    </row>
    <row r="36" ht="15.5" customHeight="1">
      <c r="A36" s="23" t="n"/>
      <c r="B36" s="24" t="n"/>
      <c r="C36" s="23" t="n"/>
      <c r="D36" s="23" t="n"/>
      <c r="E36" s="251" t="n"/>
      <c r="F36" s="562" t="n"/>
      <c r="G36" s="562" t="n"/>
      <c r="H36" s="562" t="n"/>
      <c r="I36" s="562" t="n"/>
      <c r="J36" s="562" t="n"/>
      <c r="K36" s="539" t="n"/>
      <c r="L36" s="38" t="n"/>
      <c r="M36" s="539" t="n"/>
      <c r="N36" s="539" t="n"/>
      <c r="O36" s="539" t="n"/>
      <c r="P36" s="27" t="n"/>
      <c r="V36" s="572">
        <f>J37</f>
      </c>
      <c r="AC36" s="573" t="n"/>
    </row>
    <row r="37" ht="15.5" customHeight="1">
      <c r="A37" s="23" t="inlineStr">
        <is>
          <t>合            计</t>
        </is>
      </c>
      <c r="B37" s="28" t="n"/>
      <c r="C37" s="23" t="n"/>
      <c r="D37" s="23" t="n"/>
      <c r="E37" s="38" t="n"/>
      <c r="F37" s="539" t="n"/>
      <c r="G37" s="539">
        <f>SUM(G7:G36)</f>
      </c>
      <c r="H37" s="539" t="n"/>
      <c r="I37" s="539" t="n"/>
      <c r="J37" s="539" t="n"/>
      <c r="O37" s="539"/>
      <c r="P37" s="27" t="n"/>
      <c r="V37" s="572">
        <f>J38</f>
      </c>
      <c r="AC37" s="573" t="n"/>
    </row>
    <row r="38" ht="15.5" customHeight="1">
      <c r="A38" s="29">
        <f>封面!D11&amp;封面!G11</f>
      </c>
      <c r="K38" s="536">
        <f>"评估人员："&amp;封面!G20</f>
      </c>
      <c r="V38" s="572">
        <f>J39</f>
      </c>
      <c r="AC38" s="573" t="n"/>
    </row>
    <row r="39" ht="15.5" customHeight="1">
      <c r="A39" s="29">
        <f>CONCATENATE(封面!D13,封面!F13,封面!G13,封面!H13,封面!I13,封面!J13,封面!K13)</f>
      </c>
      <c r="L39" s="224" t="n"/>
      <c r="V39" s="572">
        <f>J40</f>
      </c>
      <c r="AC39" s="573" t="n"/>
    </row>
    <row r="40" ht="15.5" customHeight="1">
      <c r="V40" s="572">
        <f>J41</f>
      </c>
      <c r="AC40" s="573" t="n"/>
    </row>
    <row r="41" ht="15.5" customHeight="1">
      <c r="V41" s="572">
        <f>J42</f>
      </c>
      <c r="AC41" s="573" t="n"/>
    </row>
    <row r="42" ht="15.5" customHeight="1">
      <c r="V42" s="572">
        <f>J43</f>
      </c>
      <c r="AC42" s="573" t="n"/>
    </row>
    <row r="43" ht="15.5" customHeight="1">
      <c r="V43" s="572">
        <f>J44</f>
      </c>
      <c r="AC43" s="573" t="n"/>
    </row>
    <row r="44" ht="15.5" customHeight="1">
      <c r="V44" s="572">
        <f>J45</f>
      </c>
      <c r="AC44" s="573" t="n"/>
    </row>
    <row r="45" ht="15.5" customHeight="1">
      <c r="V45" s="572">
        <f>J46</f>
      </c>
      <c r="AC45" s="573" t="n"/>
    </row>
    <row r="46" ht="15.5" customHeight="1">
      <c r="V46" s="572">
        <f>J47</f>
      </c>
      <c r="AC46" s="573" t="n"/>
    </row>
    <row r="47" ht="15.5" customHeight="1">
      <c r="V47" s="572">
        <f>J48</f>
      </c>
      <c r="AC47" s="573" t="n"/>
    </row>
    <row r="48" ht="15.5" customHeight="1">
      <c r="V48" s="572">
        <f>J49</f>
      </c>
      <c r="AC48" s="573" t="n"/>
    </row>
    <row r="49" ht="15.5" customHeight="1">
      <c r="V49" s="572">
        <f>J50</f>
      </c>
      <c r="AC49" s="573" t="n"/>
    </row>
    <row r="50" ht="15.5" customHeight="1">
      <c r="V50" s="572">
        <f>J51</f>
      </c>
      <c r="AC50" s="573" t="n"/>
    </row>
    <row r="51" ht="15.5" customHeight="1">
      <c r="V51" s="572">
        <f>J52</f>
      </c>
      <c r="AC51" s="573" t="n"/>
    </row>
    <row r="52" ht="15.5" customHeight="1">
      <c r="V52" s="572">
        <f>J53</f>
      </c>
      <c r="AC52" s="573" t="n"/>
    </row>
    <row r="53" ht="15.5" customHeight="1">
      <c r="V53" s="572">
        <f>J54</f>
      </c>
      <c r="AC53" s="573" t="n"/>
    </row>
    <row r="54" ht="15.5" customHeight="1">
      <c r="V54" s="572">
        <f>J55</f>
      </c>
      <c r="AC54" s="573" t="n"/>
    </row>
    <row r="55" ht="15.5" customHeight="1">
      <c r="V55" s="572">
        <f>J56</f>
      </c>
      <c r="AC55" s="573" t="n"/>
    </row>
    <row r="56" ht="15.5" customHeight="1">
      <c r="V56" s="572">
        <f>J57</f>
      </c>
      <c r="AC56" s="573" t="n"/>
    </row>
    <row r="57" ht="15.5" customHeight="1">
      <c r="V57" s="572">
        <f>J58</f>
      </c>
      <c r="AC57" s="573" t="n"/>
    </row>
    <row r="58" ht="15.5" customHeight="1">
      <c r="V58" s="572">
        <f>J59</f>
      </c>
      <c r="AC58" s="573" t="n"/>
    </row>
    <row r="59" ht="15.5" customHeight="1">
      <c r="V59" s="572">
        <f>J60</f>
      </c>
      <c r="AC59" s="573" t="n"/>
    </row>
    <row r="60" ht="15.5" customHeight="1">
      <c r="V60" s="572">
        <f>J61</f>
      </c>
      <c r="AC60" s="573" t="n"/>
    </row>
    <row r="61" ht="15.5" customHeight="1">
      <c r="V61" s="572">
        <f>J62</f>
      </c>
      <c r="AC61" s="573" t="n"/>
    </row>
    <row r="62" ht="15.5" customHeight="1">
      <c r="V62" s="572">
        <f>J63</f>
      </c>
      <c r="AC62" s="573" t="n"/>
    </row>
    <row r="63" ht="15.5" customHeight="1">
      <c r="V63" s="572">
        <f>J64</f>
      </c>
      <c r="AC63" s="573" t="n"/>
    </row>
    <row r="64" ht="15.5" customHeight="1">
      <c r="V64" s="572">
        <f>J65</f>
      </c>
      <c r="AC64" s="573" t="n"/>
    </row>
    <row r="65" ht="15.5" customHeight="1">
      <c r="V65" s="572">
        <f>J66</f>
      </c>
      <c r="AC65" s="573" t="n"/>
    </row>
    <row r="66" ht="15.5" customHeight="1">
      <c r="V66" s="572">
        <f>J67</f>
      </c>
      <c r="AC66" s="573" t="n"/>
    </row>
    <row r="67" ht="15.5" customHeight="1">
      <c r="V67" s="572">
        <f>J68</f>
      </c>
      <c r="AC67" s="573" t="n"/>
    </row>
    <row r="68" ht="15.5" customHeight="1">
      <c r="V68" s="572">
        <f>J69</f>
      </c>
      <c r="AC68" s="573" t="n"/>
    </row>
    <row r="69" ht="15.5" customHeight="1">
      <c r="V69" s="572">
        <f>J70</f>
      </c>
      <c r="AC69" s="573" t="n"/>
    </row>
    <row r="70" ht="15.5" customHeight="1">
      <c r="V70" s="572">
        <f>J71</f>
      </c>
      <c r="AC70" s="573" t="n"/>
    </row>
    <row r="71" ht="15.5" customHeight="1">
      <c r="V71" s="572">
        <f>J72</f>
      </c>
      <c r="AC71" s="573" t="n"/>
    </row>
    <row r="72" ht="15.5" customHeight="1">
      <c r="V72" s="572">
        <f>J73</f>
      </c>
      <c r="AC72" s="573" t="n"/>
    </row>
    <row r="73" ht="15.5" customHeight="1">
      <c r="V73" s="572">
        <f>J74</f>
      </c>
      <c r="AC73" s="573" t="n"/>
    </row>
    <row r="74" ht="15.5" customHeight="1">
      <c r="V74" s="572">
        <f>J75</f>
      </c>
      <c r="AC74" s="573" t="n"/>
    </row>
    <row r="75" ht="15.5" customHeight="1">
      <c r="V75" s="572">
        <f>J76</f>
      </c>
      <c r="AC75" s="573" t="n"/>
    </row>
    <row r="76" ht="15.5" customHeight="1">
      <c r="V76" s="572">
        <f>J77</f>
      </c>
      <c r="AC76" s="573" t="n"/>
    </row>
    <row r="77" ht="15.5" customHeight="1">
      <c r="V77" s="572">
        <f>J78</f>
      </c>
      <c r="AC77" s="573" t="n"/>
    </row>
    <row r="78" ht="15.5" customHeight="1">
      <c r="V78" s="572">
        <f>J79</f>
      </c>
      <c r="AC78" s="573" t="n"/>
    </row>
    <row r="79" ht="15.5" customHeight="1">
      <c r="V79" s="572">
        <f>J80</f>
      </c>
      <c r="AC79" s="573" t="n"/>
    </row>
    <row r="80" ht="15.5" customHeight="1">
      <c r="V80" s="572">
        <f>J81</f>
      </c>
      <c r="AC80" s="573" t="n"/>
    </row>
    <row r="81" ht="15.5" customHeight="1">
      <c r="V81" s="572">
        <f>J82</f>
      </c>
      <c r="AC81" s="573" t="n"/>
    </row>
    <row r="82" ht="15.5" customHeight="1">
      <c r="V82" s="572">
        <f>J83</f>
      </c>
      <c r="AC82" s="573" t="n"/>
    </row>
    <row r="83" ht="15.5" customHeight="1">
      <c r="V83" s="572">
        <f>J84</f>
      </c>
      <c r="AC83" s="573" t="n"/>
    </row>
    <row r="84" ht="15.5" customHeight="1">
      <c r="V84" s="572">
        <f>J85</f>
      </c>
      <c r="AC84" s="573" t="n"/>
    </row>
    <row r="85" ht="15.5" customHeight="1">
      <c r="V85" s="572">
        <f>J86</f>
      </c>
      <c r="AC85" s="573" t="n"/>
    </row>
    <row r="86" ht="15.5" customHeight="1">
      <c r="V86" s="572">
        <f>J87</f>
      </c>
      <c r="AC86" s="573" t="n"/>
    </row>
    <row r="87" ht="15.5" customHeight="1">
      <c r="V87" s="572">
        <f>J88</f>
      </c>
      <c r="AC87" s="573" t="n"/>
    </row>
    <row r="88" ht="15.5" customHeight="1">
      <c r="V88" s="572">
        <f>J89</f>
      </c>
      <c r="AC88" s="573" t="n"/>
    </row>
    <row r="89" ht="15.5" customHeight="1">
      <c r="V89" s="572">
        <f>J90</f>
      </c>
      <c r="AC89" s="573" t="n"/>
    </row>
    <row r="90" ht="15.5" customHeight="1">
      <c r="V90" s="572">
        <f>J91</f>
      </c>
      <c r="AC90" s="573" t="n"/>
    </row>
    <row r="91" ht="15.5" customHeight="1">
      <c r="V91" s="572">
        <f>J92</f>
      </c>
      <c r="AC91" s="573" t="n"/>
    </row>
    <row r="92" ht="15.5" customHeight="1">
      <c r="V92" s="572">
        <f>J93</f>
      </c>
      <c r="AC92" s="573" t="n"/>
    </row>
    <row r="93" ht="15.5" customHeight="1">
      <c r="V93" s="572">
        <f>J94</f>
      </c>
      <c r="AC93" s="573" t="n"/>
    </row>
    <row r="94" ht="15.5" customHeight="1">
      <c r="V94" s="572">
        <f>J95</f>
      </c>
      <c r="AC94" s="573" t="n"/>
    </row>
    <row r="95" ht="15.5" customHeight="1">
      <c r="V95" s="572">
        <f>J96</f>
      </c>
      <c r="AC95" s="573" t="n"/>
    </row>
    <row r="96" ht="15.5" customHeight="1">
      <c r="V96" s="572">
        <f>J97</f>
      </c>
      <c r="AC96" s="573" t="n"/>
    </row>
    <row r="97" ht="15.5" customHeight="1">
      <c r="V97" s="572">
        <f>J98</f>
      </c>
      <c r="AC97" s="573" t="n"/>
    </row>
    <row r="98" ht="15.5" customHeight="1">
      <c r="V98" s="572">
        <f>J99</f>
      </c>
      <c r="AC98" s="573" t="n"/>
    </row>
    <row r="99" ht="15.5" customHeight="1">
      <c r="AC99" s="573" t="n"/>
    </row>
    <row r="100" ht="15.5" customHeight="1">
      <c r="AC100" s="573" t="n"/>
    </row>
    <row r="101" ht="15.5" customHeight="1">
      <c r="AC101" s="573" t="n"/>
    </row>
    <row r="102" ht="15.5" customHeight="1">
      <c r="AC102" s="573" t="n"/>
    </row>
    <row r="103" ht="15.5" customHeight="1">
      <c r="AC103" s="573" t="n"/>
    </row>
    <row r="104" ht="15.5" customHeight="1">
      <c r="AC104" s="573" t="n"/>
    </row>
    <row r="105" ht="15.5" customHeight="1">
      <c r="AC105" s="573" t="n"/>
    </row>
    <row r="106" ht="15.5" customHeight="1">
      <c r="AC106" s="573" t="n"/>
    </row>
    <row r="107" ht="15.5" customHeight="1">
      <c r="AC107" s="573" t="n"/>
    </row>
    <row r="108" ht="15.5" customHeight="1">
      <c r="AC108" s="573" t="n"/>
    </row>
    <row r="109" ht="15.5" customHeight="1">
      <c r="AC109" s="573" t="n"/>
    </row>
    <row r="110" ht="15.5" customHeight="1">
      <c r="AC110" s="573" t="n"/>
    </row>
    <row r="111" ht="15.5" customHeight="1">
      <c r="AC111" s="573" t="n"/>
    </row>
    <row r="112" ht="15.5" customHeight="1">
      <c r="AC112" s="573" t="n"/>
    </row>
    <row r="113" ht="15.5" customHeight="1">
      <c r="AC113" s="573" t="n"/>
    </row>
    <row r="114" ht="15.5" customHeight="1">
      <c r="AC114" s="573" t="n"/>
    </row>
    <row r="115" ht="15.5" customHeight="1">
      <c r="AC115" s="573" t="n"/>
    </row>
    <row r="116" ht="15.5" customHeight="1">
      <c r="AC116" s="573" t="n"/>
    </row>
    <row r="117" ht="15.5" customHeight="1">
      <c r="AC117" s="573" t="n"/>
    </row>
    <row r="118" ht="15.5" customHeight="1">
      <c r="AC118" s="573" t="n"/>
    </row>
    <row r="119" ht="15.5" customHeight="1">
      <c r="AC119" s="573" t="n"/>
    </row>
    <row r="120" ht="15.5" customHeight="1">
      <c r="AC120" s="573" t="n"/>
    </row>
    <row r="121" ht="15.5" customHeight="1">
      <c r="AC121" s="573" t="n"/>
    </row>
    <row r="122" ht="15.5" customHeight="1">
      <c r="AC122" s="573" t="n"/>
    </row>
    <row r="123" ht="15.5" customHeight="1">
      <c r="AC123" s="573" t="n"/>
    </row>
  </sheetData>
  <mergeCells count="14">
    <mergeCell ref="A5:A6"/>
    <mergeCell ref="O5:O6"/>
    <mergeCell ref="P5:P6"/>
    <mergeCell ref="H5:H6"/>
    <mergeCell ref="E5:G5"/>
    <mergeCell ref="B5:B6"/>
    <mergeCell ref="I5:K5"/>
    <mergeCell ref="A2:P2"/>
    <mergeCell ref="L5:N5"/>
    <mergeCell ref="A37:B37"/>
    <mergeCell ref="A3:P3"/>
    <mergeCell ref="D5:D6"/>
    <mergeCell ref="AH7:AH8"/>
    <mergeCell ref="C5:C6"/>
  </mergeCells>
  <hyperlinks>
    <hyperlink ref="A1" location="索引目录!E24" display="返回索引页"/>
    <hyperlink ref="B1" location="存货汇总!B12" display="返回"/>
  </hyperlinks>
  <printOptions horizontalCentered="1"/>
  <pageMargins left="0.354166666666667" right="0.354166666666667" top="0.786805555555556" bottom="0.786805555555556" header="1.02" footer="0.511805555555556"/>
  <pageSetup orientation="landscape" paperSize="9"/>
  <headerFooter alignWithMargins="0">
    <oddHeader>&amp;R&amp;"宋体,常规"共&amp;"Times New Roman,常规"&amp;N&amp;"宋体,常规"页第&amp;"Times New Roman,常规"&amp;P&amp;"宋体,常规"3-9-7_x000a_页</oddHeader>
    <oddFooter/>
    <evenHeader/>
    <evenFooter/>
    <firstHeader/>
    <firstFooter/>
  </headerFooter>
</worksheet>
</file>

<file path=xl/worksheets/sheet30.xml><?xml version="1.0" encoding="utf-8"?>
<worksheet xmlns="http://schemas.openxmlformats.org/spreadsheetml/2006/main">
  <sheetPr codeName="Sheet30">
    <outlinePr summaryBelow="1" summaryRight="1"/>
    <pageSetUpPr fitToPage="1"/>
  </sheetPr>
  <dimension ref="A1:P29"/>
  <sheetViews>
    <sheetView view="pageBreakPreview" zoomScale="115" zoomScaleNormal="100" workbookViewId="0">
      <selection activeCell="G451" sqref="G451"/>
    </sheetView>
  </sheetViews>
  <sheetFormatPr baseColWidth="8" defaultColWidth="9" defaultRowHeight="15.75" customHeight="1"/>
  <cols>
    <col width="5.83333333333333" customWidth="1" style="13" min="1" max="1"/>
    <col width="17.5" customWidth="1" style="13" min="2" max="2"/>
    <col width="8" customWidth="1" style="13" min="3" max="3"/>
    <col width="6.5" customWidth="1" style="13" min="4" max="4"/>
    <col width="5" customWidth="1" style="13" min="5" max="5"/>
    <col hidden="1" outlineLevel="1" width="10.5833333333333" customWidth="1" style="13" min="6" max="6"/>
    <col hidden="1" outlineLevel="1" width="13.75" customWidth="1" style="13" min="7" max="7"/>
    <col hidden="1" outlineLevel="1" width="12.5833333333333" customWidth="1" style="13" min="8" max="8"/>
    <col collapsed="1" width="10" customWidth="1" style="13" min="9" max="9"/>
    <col width="12.75" customWidth="1" style="13" min="10" max="10"/>
    <col width="9.25" customWidth="1" style="13" min="11" max="11"/>
    <col width="8.5" customWidth="1" style="13" min="12" max="12"/>
    <col width="8.33333333333333" customWidth="1" style="13" min="13" max="13"/>
    <col width="13.8333333333333" customWidth="1" style="13" min="14" max="14"/>
    <col width="7" customWidth="1" style="13" min="15" max="15"/>
    <col width="9.83333333333333" customWidth="1" style="13" min="16" max="16"/>
    <col width="9" customWidth="1" style="13" min="17" max="16384"/>
  </cols>
  <sheetData>
    <row r="1" ht="15.5" customHeight="1">
      <c r="A1" s="559" t="inlineStr">
        <is>
          <t>返回索引页</t>
        </is>
      </c>
      <c r="B1" s="30" t="inlineStr">
        <is>
          <t>返回</t>
        </is>
      </c>
      <c r="C1" s="30" t="n"/>
      <c r="D1" s="30" t="n"/>
      <c r="E1" s="12" t="n"/>
      <c r="F1" s="12" t="n"/>
      <c r="G1" s="12" t="n"/>
      <c r="H1" s="12" t="n"/>
      <c r="I1" s="12" t="n"/>
      <c r="J1" s="12" t="n"/>
      <c r="K1" s="12" t="n"/>
      <c r="L1" s="12" t="n"/>
      <c r="M1" s="12" t="n"/>
      <c r="N1" s="12" t="n"/>
      <c r="O1" s="12" t="n"/>
      <c r="P1" s="12" t="n"/>
    </row>
    <row r="2" ht="30" customFormat="1" customHeight="1" s="11">
      <c r="A2" s="17" t="inlineStr">
        <is>
          <t>存货—在用周转材料评估明细表</t>
        </is>
      </c>
    </row>
    <row r="3" ht="14.15" customHeight="1">
      <c r="A3" s="535">
        <f>CONCATENATE(封面!D9,封面!F9,封面!G9,封面!H9,封面!I9,封面!J9,封面!K9)</f>
      </c>
    </row>
    <row r="4" ht="15.5" customHeight="1">
      <c r="A4" s="536">
        <f>封面!D7&amp;封面!F7</f>
      </c>
      <c r="P4" s="20" t="inlineStr">
        <is>
          <t>金额单位：人民币元</t>
        </is>
      </c>
    </row>
    <row r="5" ht="13" customFormat="1" customHeight="1" s="12">
      <c r="A5" s="21" t="inlineStr">
        <is>
          <t>序号</t>
        </is>
      </c>
      <c r="B5" s="21" t="inlineStr">
        <is>
          <t>名称及规格型号</t>
        </is>
      </c>
      <c r="C5" s="21" t="inlineStr">
        <is>
          <t>启用日期</t>
        </is>
      </c>
      <c r="D5" s="22" t="inlineStr">
        <is>
          <t>原始入账价值</t>
        </is>
      </c>
      <c r="E5" s="22" t="inlineStr">
        <is>
          <t>计量单位</t>
        </is>
      </c>
      <c r="F5" s="21" t="inlineStr">
        <is>
          <t>审计前账面值</t>
        </is>
      </c>
      <c r="G5" s="28" t="n"/>
      <c r="H5" s="21" t="inlineStr">
        <is>
          <t>审计调整</t>
        </is>
      </c>
      <c r="I5" s="33" t="inlineStr">
        <is>
          <t>账面价值</t>
        </is>
      </c>
      <c r="J5" s="35" t="n"/>
      <c r="K5" s="21" t="inlineStr">
        <is>
          <t>实际数量</t>
        </is>
      </c>
      <c r="L5" s="21" t="inlineStr">
        <is>
          <t>评估价值</t>
        </is>
      </c>
      <c r="M5" s="138" t="n"/>
      <c r="N5" s="28" t="n"/>
      <c r="O5" s="21" t="inlineStr">
        <is>
          <t>增值率%</t>
        </is>
      </c>
      <c r="P5" s="21" t="inlineStr">
        <is>
          <t>备注</t>
        </is>
      </c>
    </row>
    <row r="6" ht="13" customFormat="1" customHeight="1" s="12">
      <c r="A6" s="36" t="n"/>
      <c r="B6" s="36" t="n"/>
      <c r="C6" s="36" t="n"/>
      <c r="D6" s="36" t="n"/>
      <c r="E6" s="36" t="n"/>
      <c r="F6" s="21" t="inlineStr">
        <is>
          <t>数量</t>
        </is>
      </c>
      <c r="G6" s="21" t="inlineStr">
        <is>
          <t>金额</t>
        </is>
      </c>
      <c r="H6" s="36" t="n"/>
      <c r="I6" s="21" t="inlineStr">
        <is>
          <t>数量</t>
        </is>
      </c>
      <c r="J6" s="21" t="inlineStr">
        <is>
          <t>金额</t>
        </is>
      </c>
      <c r="K6" s="36" t="n"/>
      <c r="L6" s="21" t="inlineStr">
        <is>
          <t>单价</t>
        </is>
      </c>
      <c r="M6" s="21" t="inlineStr">
        <is>
          <t>成新率%</t>
        </is>
      </c>
      <c r="N6" s="21" t="inlineStr">
        <is>
          <t>金额</t>
        </is>
      </c>
      <c r="O6" s="36" t="n"/>
      <c r="P6" s="36" t="n"/>
    </row>
    <row r="7" ht="15.5" customHeight="1">
      <c r="A7" s="23" t="n"/>
      <c r="B7" s="24" t="n"/>
      <c r="C7" s="24" t="n"/>
      <c r="D7" s="24" t="n"/>
      <c r="E7" s="23" t="n"/>
      <c r="F7" s="38" t="n"/>
      <c r="G7" s="539" t="n"/>
      <c r="H7" s="539" t="n"/>
      <c r="I7" s="539" t="n"/>
      <c r="J7" s="539" t="n"/>
      <c r="K7" s="38" t="n"/>
      <c r="L7" s="539" t="n"/>
      <c r="M7" s="23" t="n"/>
      <c r="N7" s="539">
        <f>K7*L7*M7/100</f>
      </c>
      <c r="O7" s="539">
        <f>IF(J7=0,"",(N7-J7)/J7*100)</f>
      </c>
      <c r="P7" s="27" t="n"/>
    </row>
    <row r="8" ht="15.5" customHeight="1">
      <c r="A8" s="23" t="n"/>
      <c r="B8" s="24" t="n"/>
      <c r="C8" s="24" t="n"/>
      <c r="D8" s="24" t="n"/>
      <c r="E8" s="23" t="n"/>
      <c r="F8" s="38" t="n"/>
      <c r="G8" s="539" t="n"/>
      <c r="H8" s="539" t="n"/>
      <c r="I8" s="539" t="n"/>
      <c r="J8" s="539" t="n"/>
      <c r="K8" s="38" t="n"/>
      <c r="L8" s="539" t="n"/>
      <c r="M8" s="23" t="n"/>
      <c r="N8" s="539">
        <f>K8*L8*M8/100</f>
      </c>
      <c r="O8" s="539">
        <f>IF(J8=0,"",(N8-J8)/J8*100)</f>
      </c>
      <c r="P8" s="27" t="n"/>
    </row>
    <row r="9" ht="15.5" customHeight="1">
      <c r="A9" s="23" t="n"/>
      <c r="B9" s="24" t="n"/>
      <c r="C9" s="24" t="n"/>
      <c r="D9" s="24" t="n"/>
      <c r="E9" s="23" t="n"/>
      <c r="F9" s="38" t="n"/>
      <c r="G9" s="539" t="n"/>
      <c r="H9" s="539" t="n"/>
      <c r="I9" s="539" t="n"/>
      <c r="J9" s="539" t="n"/>
      <c r="K9" s="38" t="n"/>
      <c r="L9" s="539" t="n"/>
      <c r="M9" s="23" t="n"/>
      <c r="N9" s="539">
        <f>K9*L9*M9/100</f>
      </c>
      <c r="O9" s="539">
        <f>IF(J9=0,"",(N9-J9)/J9*100)</f>
      </c>
      <c r="P9" s="27" t="n"/>
    </row>
    <row r="10" ht="15.5" customHeight="1">
      <c r="A10" s="23" t="n"/>
      <c r="B10" s="24" t="n"/>
      <c r="C10" s="24" t="n"/>
      <c r="D10" s="24" t="n"/>
      <c r="E10" s="23" t="n"/>
      <c r="F10" s="38" t="n"/>
      <c r="G10" s="539" t="n"/>
      <c r="H10" s="539" t="n"/>
      <c r="I10" s="539" t="n"/>
      <c r="J10" s="539" t="n"/>
      <c r="K10" s="38" t="n"/>
      <c r="L10" s="539" t="n"/>
      <c r="M10" s="23" t="n"/>
      <c r="N10" s="539">
        <f>K10*L10*M10/100</f>
      </c>
      <c r="O10" s="539">
        <f>IF(J10=0,"",(N10-J10)/J10*100)</f>
      </c>
      <c r="P10" s="27" t="n"/>
    </row>
    <row r="11" ht="15.5" customHeight="1">
      <c r="A11" s="23" t="n"/>
      <c r="B11" s="24" t="n"/>
      <c r="C11" s="24" t="n"/>
      <c r="D11" s="24" t="n"/>
      <c r="E11" s="23" t="n"/>
      <c r="F11" s="38" t="n"/>
      <c r="G11" s="539" t="n"/>
      <c r="H11" s="539" t="n"/>
      <c r="I11" s="539" t="n"/>
      <c r="J11" s="539" t="n"/>
      <c r="K11" s="38" t="n"/>
      <c r="L11" s="539" t="n"/>
      <c r="M11" s="23" t="n"/>
      <c r="N11" s="539">
        <f>K11*L11*M11/100</f>
      </c>
      <c r="O11" s="539">
        <f>IF(J11=0,"",(N11-J11)/J11*100)</f>
      </c>
      <c r="P11" s="27" t="n"/>
    </row>
    <row r="12" ht="15.5" customHeight="1">
      <c r="A12" s="23" t="n"/>
      <c r="B12" s="24" t="n"/>
      <c r="C12" s="24" t="n"/>
      <c r="D12" s="24" t="n"/>
      <c r="E12" s="23" t="n"/>
      <c r="F12" s="38" t="n"/>
      <c r="G12" s="539" t="n"/>
      <c r="H12" s="539" t="n"/>
      <c r="I12" s="539" t="n"/>
      <c r="J12" s="539" t="n"/>
      <c r="K12" s="38" t="n"/>
      <c r="L12" s="539" t="n"/>
      <c r="M12" s="23" t="n"/>
      <c r="N12" s="539">
        <f>K12*L12*M12/100</f>
      </c>
      <c r="O12" s="539">
        <f>IF(J12=0,"",(N12-J12)/J12*100)</f>
      </c>
      <c r="P12" s="27" t="n"/>
    </row>
    <row r="13" ht="15.5" customHeight="1">
      <c r="A13" s="23" t="n"/>
      <c r="B13" s="24" t="n"/>
      <c r="C13" s="24" t="n"/>
      <c r="D13" s="24" t="n"/>
      <c r="E13" s="23" t="n"/>
      <c r="F13" s="38" t="n"/>
      <c r="G13" s="539" t="n"/>
      <c r="H13" s="539" t="n"/>
      <c r="I13" s="539" t="n"/>
      <c r="J13" s="539" t="n"/>
      <c r="K13" s="38" t="n"/>
      <c r="L13" s="539" t="n"/>
      <c r="M13" s="23" t="n"/>
      <c r="N13" s="539">
        <f>K13*L13*M13/100</f>
      </c>
      <c r="O13" s="539">
        <f>IF(J13=0,"",(N13-J13)/J13*100)</f>
      </c>
      <c r="P13" s="27" t="n"/>
    </row>
    <row r="14" ht="15.5" customHeight="1">
      <c r="A14" s="23" t="n"/>
      <c r="B14" s="24" t="n"/>
      <c r="C14" s="24" t="n"/>
      <c r="D14" s="24" t="n"/>
      <c r="E14" s="23" t="n"/>
      <c r="F14" s="38" t="n"/>
      <c r="G14" s="539" t="n"/>
      <c r="H14" s="539" t="n"/>
      <c r="I14" s="539" t="n"/>
      <c r="J14" s="539" t="n"/>
      <c r="K14" s="38" t="n"/>
      <c r="L14" s="539" t="n"/>
      <c r="M14" s="23" t="n"/>
      <c r="N14" s="539">
        <f>K14*L14*M14/100</f>
      </c>
      <c r="O14" s="539">
        <f>IF(J14=0,"",(N14-J14)/J14*100)</f>
      </c>
      <c r="P14" s="27" t="n"/>
    </row>
    <row r="15" ht="15.5" customHeight="1">
      <c r="A15" s="23" t="n"/>
      <c r="B15" s="24" t="n"/>
      <c r="C15" s="24" t="n"/>
      <c r="D15" s="24" t="n"/>
      <c r="E15" s="23" t="n"/>
      <c r="F15" s="38" t="n"/>
      <c r="G15" s="539" t="n"/>
      <c r="H15" s="539" t="n"/>
      <c r="I15" s="539" t="n"/>
      <c r="J15" s="539" t="n"/>
      <c r="K15" s="38" t="n"/>
      <c r="L15" s="539" t="n"/>
      <c r="M15" s="23" t="n"/>
      <c r="N15" s="539">
        <f>K15*L15*M15/100</f>
      </c>
      <c r="O15" s="539">
        <f>IF(J15=0,"",(N15-J15)/J15*100)</f>
      </c>
      <c r="P15" s="27" t="n"/>
    </row>
    <row r="16" ht="15.5" customHeight="1">
      <c r="A16" s="23" t="n"/>
      <c r="B16" s="24" t="n"/>
      <c r="C16" s="24" t="n"/>
      <c r="D16" s="24" t="n"/>
      <c r="E16" s="23" t="n"/>
      <c r="F16" s="38" t="n"/>
      <c r="G16" s="539" t="n"/>
      <c r="H16" s="539" t="n"/>
      <c r="I16" s="539" t="n"/>
      <c r="J16" s="539" t="n"/>
      <c r="K16" s="38" t="n"/>
      <c r="L16" s="539" t="n"/>
      <c r="M16" s="23" t="n"/>
      <c r="N16" s="539">
        <f>K16*L16*M16/100</f>
      </c>
      <c r="O16" s="539">
        <f>IF(J16=0,"",(N16-J16)/J16*100)</f>
      </c>
      <c r="P16" s="27" t="n"/>
    </row>
    <row r="17" ht="15.5" customHeight="1">
      <c r="A17" s="23" t="n"/>
      <c r="B17" s="24" t="n"/>
      <c r="C17" s="24" t="n"/>
      <c r="D17" s="24" t="n"/>
      <c r="E17" s="23" t="n"/>
      <c r="F17" s="38" t="n"/>
      <c r="G17" s="539" t="n"/>
      <c r="H17" s="539" t="n"/>
      <c r="I17" s="539" t="n"/>
      <c r="J17" s="539" t="n"/>
      <c r="K17" s="38" t="n"/>
      <c r="L17" s="539" t="n"/>
      <c r="M17" s="23" t="n"/>
      <c r="N17" s="539">
        <f>K17*L17*M17/100</f>
      </c>
      <c r="O17" s="539">
        <f>IF(J17=0,"",(N17-J17)/J17*100)</f>
      </c>
      <c r="P17" s="27" t="n"/>
    </row>
    <row r="18" ht="15.5" customHeight="1">
      <c r="A18" s="23" t="n"/>
      <c r="B18" s="24" t="n"/>
      <c r="C18" s="24" t="n"/>
      <c r="D18" s="24" t="n"/>
      <c r="E18" s="23" t="n"/>
      <c r="F18" s="38" t="n"/>
      <c r="G18" s="539" t="n"/>
      <c r="H18" s="539" t="n"/>
      <c r="I18" s="539" t="n"/>
      <c r="J18" s="539" t="n"/>
      <c r="K18" s="38" t="n"/>
      <c r="L18" s="539" t="n"/>
      <c r="M18" s="23" t="n"/>
      <c r="N18" s="539">
        <f>K18*L18*M18/100</f>
      </c>
      <c r="O18" s="539">
        <f>IF(J18=0,"",(N18-J18)/J18*100)</f>
      </c>
      <c r="P18" s="27" t="n"/>
    </row>
    <row r="19" ht="15.5" customHeight="1">
      <c r="A19" s="23" t="n"/>
      <c r="B19" s="24" t="n"/>
      <c r="C19" s="24" t="n"/>
      <c r="D19" s="24" t="n"/>
      <c r="E19" s="23" t="n"/>
      <c r="F19" s="38" t="n"/>
      <c r="G19" s="539" t="n"/>
      <c r="H19" s="539" t="n"/>
      <c r="I19" s="539" t="n"/>
      <c r="J19" s="539" t="n"/>
      <c r="K19" s="38" t="n"/>
      <c r="L19" s="539" t="n"/>
      <c r="M19" s="23" t="n"/>
      <c r="N19" s="539">
        <f>K19*L19*M19/100</f>
      </c>
      <c r="O19" s="539">
        <f>IF(J19=0,"",(N19-J19)/J19*100)</f>
      </c>
      <c r="P19" s="27" t="n"/>
    </row>
    <row r="20" ht="15.5" customHeight="1">
      <c r="A20" s="23" t="n"/>
      <c r="B20" s="24" t="n"/>
      <c r="C20" s="24" t="n"/>
      <c r="D20" s="24" t="n"/>
      <c r="E20" s="23" t="n"/>
      <c r="F20" s="38" t="n"/>
      <c r="G20" s="539" t="n"/>
      <c r="H20" s="539" t="n"/>
      <c r="I20" s="539" t="n"/>
      <c r="J20" s="539" t="n"/>
      <c r="K20" s="38" t="n"/>
      <c r="L20" s="539" t="n"/>
      <c r="M20" s="23" t="n"/>
      <c r="N20" s="539">
        <f>K20*L20*M20/100</f>
      </c>
      <c r="O20" s="539">
        <f>IF(J20=0,"",(N20-J20)/J20*100)</f>
      </c>
      <c r="P20" s="27" t="n"/>
    </row>
    <row r="21" ht="15.5" customHeight="1">
      <c r="A21" s="23" t="n"/>
      <c r="B21" s="24" t="n"/>
      <c r="C21" s="24" t="n"/>
      <c r="D21" s="24" t="n"/>
      <c r="E21" s="23" t="n"/>
      <c r="F21" s="38" t="n"/>
      <c r="G21" s="539" t="n"/>
      <c r="H21" s="539" t="n"/>
      <c r="I21" s="539" t="n"/>
      <c r="J21" s="539" t="n"/>
      <c r="K21" s="38" t="n"/>
      <c r="L21" s="539" t="n"/>
      <c r="M21" s="23" t="n"/>
      <c r="N21" s="539">
        <f>K21*L21*M21/100</f>
      </c>
      <c r="O21" s="539">
        <f>IF(J21=0,"",(N21-J21)/J21*100)</f>
      </c>
      <c r="P21" s="27" t="n"/>
    </row>
    <row r="22" ht="15.5" customHeight="1">
      <c r="A22" s="23" t="n"/>
      <c r="B22" s="24" t="n"/>
      <c r="C22" s="24" t="n"/>
      <c r="D22" s="24" t="n"/>
      <c r="E22" s="23" t="n"/>
      <c r="F22" s="38" t="n"/>
      <c r="G22" s="539" t="n"/>
      <c r="H22" s="539" t="n"/>
      <c r="I22" s="539" t="n"/>
      <c r="J22" s="539" t="n"/>
      <c r="K22" s="38" t="n"/>
      <c r="L22" s="539" t="n"/>
      <c r="M22" s="23" t="n"/>
      <c r="N22" s="539">
        <f>K22*L22*M22/100</f>
      </c>
      <c r="O22" s="539">
        <f>IF(J22=0,"",(N22-J22)/J22*100)</f>
      </c>
      <c r="P22" s="27" t="n"/>
    </row>
    <row r="23" ht="15.5" customHeight="1">
      <c r="A23" s="23" t="n"/>
      <c r="B23" s="24" t="n"/>
      <c r="C23" s="24" t="n"/>
      <c r="D23" s="24" t="n"/>
      <c r="E23" s="23" t="n"/>
      <c r="F23" s="38" t="n"/>
      <c r="G23" s="539" t="n"/>
      <c r="H23" s="539" t="n"/>
      <c r="I23" s="539" t="n"/>
      <c r="J23" s="539" t="n"/>
      <c r="K23" s="38" t="n"/>
      <c r="L23" s="539" t="n"/>
      <c r="M23" s="23" t="n"/>
      <c r="N23" s="539">
        <f>K23*L23*M23/100</f>
      </c>
      <c r="O23" s="539">
        <f>IF(J23=0,"",(N23-J23)/J23*100)</f>
      </c>
      <c r="P23" s="27" t="n"/>
    </row>
    <row r="24" ht="15.5" customHeight="1">
      <c r="A24" s="23" t="n"/>
      <c r="B24" s="24" t="n"/>
      <c r="C24" s="24" t="n"/>
      <c r="D24" s="24" t="n"/>
      <c r="E24" s="23" t="n"/>
      <c r="F24" s="38" t="n"/>
      <c r="G24" s="539" t="n"/>
      <c r="H24" s="539" t="n"/>
      <c r="I24" s="539" t="n"/>
      <c r="J24" s="539" t="n"/>
      <c r="K24" s="38" t="n"/>
      <c r="L24" s="539" t="n"/>
      <c r="M24" s="23" t="n"/>
      <c r="N24" s="539">
        <f>K24*L24*M24/100</f>
      </c>
      <c r="O24" s="539">
        <f>IF(J24=0,"",(N24-J24)/J24*100)</f>
      </c>
      <c r="P24" s="27" t="n"/>
    </row>
    <row r="25" ht="15.5" customHeight="1">
      <c r="A25" s="23" t="n"/>
      <c r="B25" s="24" t="n"/>
      <c r="C25" s="24" t="n"/>
      <c r="D25" s="24" t="n"/>
      <c r="E25" s="23" t="n"/>
      <c r="F25" s="38" t="n"/>
      <c r="G25" s="539" t="n"/>
      <c r="H25" s="539" t="n"/>
      <c r="I25" s="539" t="n"/>
      <c r="J25" s="539" t="n"/>
      <c r="K25" s="38" t="n"/>
      <c r="L25" s="539" t="n"/>
      <c r="M25" s="23" t="n"/>
      <c r="N25" s="539">
        <f>K25*L25*M25/100</f>
      </c>
      <c r="O25" s="539">
        <f>IF(J25=0,"",(N25-J25)/J25*100)</f>
      </c>
      <c r="P25" s="27" t="n"/>
    </row>
    <row r="26" ht="15.5" customHeight="1">
      <c r="A26" s="23" t="n"/>
      <c r="B26" s="24" t="n"/>
      <c r="C26" s="24" t="n"/>
      <c r="D26" s="24" t="n"/>
      <c r="E26" s="23" t="n"/>
      <c r="F26" s="38" t="n"/>
      <c r="G26" s="539" t="n"/>
      <c r="H26" s="539" t="n"/>
      <c r="I26" s="539" t="n"/>
      <c r="J26" s="539" t="n"/>
      <c r="K26" s="38" t="n"/>
      <c r="L26" s="539" t="n"/>
      <c r="M26" s="23" t="n"/>
      <c r="N26" s="539" t="n"/>
      <c r="O26" s="539" t="n"/>
      <c r="P26" s="27" t="n"/>
    </row>
    <row r="27" ht="15.5" customHeight="1">
      <c r="A27" s="21" t="inlineStr">
        <is>
          <t>合            计</t>
        </is>
      </c>
      <c r="B27" s="28" t="n"/>
      <c r="C27" s="77" t="n"/>
      <c r="D27" s="77" t="n"/>
      <c r="E27" s="27" t="n"/>
      <c r="F27" s="38" t="n"/>
      <c r="G27" s="539">
        <f>SUM(G7:G26)</f>
      </c>
      <c r="H27" s="539" t="n"/>
      <c r="I27" s="539" t="n"/>
      <c r="J27" s="539">
        <f>SUM(J7:J26)</f>
      </c>
      <c r="K27" s="38" t="n"/>
      <c r="L27" s="539" t="n"/>
      <c r="M27" s="23" t="n"/>
      <c r="N27" s="539">
        <f>SUM(N7:N26)</f>
      </c>
      <c r="O27" s="539">
        <f>IF(J27=0,"",(N27-J27)/J27*100)</f>
      </c>
      <c r="P27" s="27" t="n"/>
    </row>
    <row r="28" ht="15.5" customHeight="1">
      <c r="A28" s="29">
        <f>封面!D11&amp;封面!G11</f>
      </c>
      <c r="F28" s="536" t="n"/>
      <c r="J28" s="536">
        <f>"评估人员："&amp;封面!G20</f>
      </c>
    </row>
    <row r="29" ht="15.5" customHeight="1">
      <c r="A29" s="29">
        <f>CONCATENATE(封面!D13,封面!F13,封面!G13,封面!H13,封面!I13,封面!J13,封面!K13)</f>
      </c>
    </row>
  </sheetData>
  <mergeCells count="15">
    <mergeCell ref="A5:A6"/>
    <mergeCell ref="O5:O6"/>
    <mergeCell ref="E5:E6"/>
    <mergeCell ref="P5:P6"/>
    <mergeCell ref="H5:H6"/>
    <mergeCell ref="B5:B6"/>
    <mergeCell ref="A2:P2"/>
    <mergeCell ref="F5:G5"/>
    <mergeCell ref="L5:N5"/>
    <mergeCell ref="I5:J5"/>
    <mergeCell ref="A3:P3"/>
    <mergeCell ref="A27:B27"/>
    <mergeCell ref="D5:D6"/>
    <mergeCell ref="K5:K6"/>
    <mergeCell ref="C5:C6"/>
  </mergeCells>
  <hyperlinks>
    <hyperlink ref="A1" location="索引目录!E25" display="返回索引页"/>
    <hyperlink ref="B1" location="存货汇总!B13" display="返回"/>
  </hyperlinks>
  <printOptions horizontalCentered="1"/>
  <pageMargins left="0.354330708661417" right="0.354330708661417" top="0.78740157480315" bottom="0.78740157480315" header="1.06" footer="0.511811023622047"/>
  <pageSetup orientation="landscape" paperSize="9" fitToHeight="0"/>
  <headerFooter alignWithMargins="0">
    <oddHeader>&amp;R&amp;"宋体,常规"共&amp;"Times New Roman,常规"&amp;N&amp;"宋体,常规"页第&amp;"Times New Roman,常规"&amp;P&amp;"宋体,常规"3-9-8_x000a_页</oddHeader>
    <oddFooter/>
    <evenHeader/>
    <evenFooter/>
    <firstHeader/>
    <firstFooter/>
  </headerFooter>
</worksheet>
</file>

<file path=xl/worksheets/sheet31.xml><?xml version="1.0" encoding="utf-8"?>
<worksheet xmlns="http://schemas.openxmlformats.org/spreadsheetml/2006/main">
  <sheetPr codeName="Sheet31">
    <outlinePr summaryBelow="1" summaryRight="1"/>
    <pageSetUpPr fitToPage="1"/>
  </sheetPr>
  <dimension ref="A1:J29"/>
  <sheetViews>
    <sheetView view="pageBreakPreview" zoomScale="60" zoomScaleNormal="100" workbookViewId="0">
      <selection activeCell="G451" sqref="G451"/>
    </sheetView>
  </sheetViews>
  <sheetFormatPr baseColWidth="8" defaultColWidth="9" defaultRowHeight="15.75" customHeight="1"/>
  <cols>
    <col width="5.75" customWidth="1" style="13" min="1" max="1"/>
    <col width="24.8333333333333" customWidth="1" style="13" min="2" max="2"/>
    <col width="8.25" customWidth="1" style="13" min="3" max="3"/>
    <col width="20.5833333333333" customWidth="1" style="13" min="4" max="4"/>
    <col hidden="1" outlineLevel="1" width="16.3333333333333" customWidth="1" style="13" min="5" max="6"/>
    <col collapsed="1" width="18.0833333333333" customWidth="1" style="13" min="7" max="7"/>
    <col width="18.0833333333333" customWidth="1" style="13" min="8" max="8"/>
    <col width="11" customWidth="1" style="13" min="9" max="9"/>
    <col width="14.5833333333333" customWidth="1" style="13" min="10" max="10"/>
    <col width="9" customWidth="1" style="13" min="11" max="16384"/>
  </cols>
  <sheetData>
    <row r="1" ht="15.5" customHeight="1">
      <c r="A1" s="559" t="inlineStr">
        <is>
          <t>返回索引页</t>
        </is>
      </c>
      <c r="B1" s="15" t="inlineStr">
        <is>
          <t>返回</t>
        </is>
      </c>
      <c r="C1" s="16" t="n"/>
      <c r="D1" s="16" t="n"/>
      <c r="E1" s="16" t="n"/>
      <c r="F1" s="16" t="n"/>
      <c r="G1" s="16" t="n"/>
      <c r="H1" s="16" t="n"/>
      <c r="I1" s="16" t="n"/>
      <c r="J1" s="16" t="n"/>
    </row>
    <row r="2" ht="30" customFormat="1" customHeight="1" s="11">
      <c r="A2" s="17" t="inlineStr">
        <is>
          <t>一年内到期的非流动资产评估明细表</t>
        </is>
      </c>
    </row>
    <row r="3" ht="14.15" customHeight="1">
      <c r="A3" s="535">
        <f>CONCATENATE(封面!D9,封面!F9,封面!G9,封面!H9,封面!I9,封面!J9,封面!K9)</f>
      </c>
    </row>
    <row r="4" ht="15.5" customHeight="1">
      <c r="A4" s="536">
        <f>封面!D7&amp;封面!F7</f>
      </c>
      <c r="J4" s="20" t="inlineStr">
        <is>
          <t>金额单位：人民币元</t>
        </is>
      </c>
    </row>
    <row r="5" ht="13" customFormat="1" customHeight="1" s="12">
      <c r="A5" s="21" t="inlineStr">
        <is>
          <t>序号</t>
        </is>
      </c>
      <c r="B5" s="21" t="inlineStr">
        <is>
          <t>项目及内容</t>
        </is>
      </c>
      <c r="C5" s="21" t="inlineStr">
        <is>
          <t>发生日期</t>
        </is>
      </c>
      <c r="D5" s="21" t="inlineStr">
        <is>
          <t>结算内容</t>
        </is>
      </c>
      <c r="E5" s="22" t="inlineStr">
        <is>
          <t>审计前账面值</t>
        </is>
      </c>
      <c r="F5" s="22" t="inlineStr">
        <is>
          <t>审计调整</t>
        </is>
      </c>
      <c r="G5" s="21" t="inlineStr">
        <is>
          <t>账面价值</t>
        </is>
      </c>
      <c r="H5" s="21" t="inlineStr">
        <is>
          <t>评估价值</t>
        </is>
      </c>
      <c r="I5" s="21" t="inlineStr">
        <is>
          <t>增值率%</t>
        </is>
      </c>
      <c r="J5" s="21" t="inlineStr">
        <is>
          <t>备注</t>
        </is>
      </c>
    </row>
    <row r="6" ht="15.5" customHeight="1">
      <c r="A6" s="23" t="n"/>
      <c r="B6" s="24" t="n"/>
      <c r="C6" s="23" t="n"/>
      <c r="D6" s="23" t="n"/>
      <c r="E6" s="539" t="n"/>
      <c r="F6" s="539" t="n"/>
      <c r="G6" s="539" t="n"/>
      <c r="H6" s="539" t="n"/>
      <c r="I6" s="539">
        <f>IF(G6=0,"",(H6-G6)/G6*100)</f>
      </c>
      <c r="J6" s="27" t="n"/>
    </row>
    <row r="7" ht="15.5" customHeight="1">
      <c r="A7" s="27" t="n"/>
      <c r="B7" s="24" t="n"/>
      <c r="C7" s="25" t="n"/>
      <c r="D7" s="25" t="n"/>
      <c r="E7" s="539" t="n"/>
      <c r="F7" s="539" t="n"/>
      <c r="G7" s="539" t="n"/>
      <c r="H7" s="539" t="n"/>
      <c r="I7" s="539">
        <f>IF(G7=0,"",(H7-G7)/G7*100)</f>
      </c>
      <c r="J7" s="27" t="n"/>
    </row>
    <row r="8" ht="15.5" customHeight="1">
      <c r="A8" s="27" t="n"/>
      <c r="B8" s="24" t="n"/>
      <c r="C8" s="25" t="n"/>
      <c r="D8" s="25" t="n"/>
      <c r="E8" s="539" t="n"/>
      <c r="F8" s="539" t="n"/>
      <c r="G8" s="539" t="n"/>
      <c r="H8" s="539" t="n"/>
      <c r="I8" s="539">
        <f>IF(G8=0,"",(H8-G8)/G8*100)</f>
      </c>
      <c r="J8" s="27" t="n"/>
    </row>
    <row r="9" ht="15.5" customHeight="1">
      <c r="A9" s="27" t="n"/>
      <c r="B9" s="24" t="n"/>
      <c r="C9" s="25" t="n"/>
      <c r="D9" s="25" t="n"/>
      <c r="E9" s="539" t="n"/>
      <c r="F9" s="539" t="n"/>
      <c r="G9" s="539" t="n"/>
      <c r="H9" s="539" t="n"/>
      <c r="I9" s="539">
        <f>IF(G9=0,"",(H9-G9)/G9*100)</f>
      </c>
      <c r="J9" s="27" t="n"/>
    </row>
    <row r="10" ht="15.5" customHeight="1">
      <c r="A10" s="27" t="n"/>
      <c r="B10" s="24" t="n"/>
      <c r="C10" s="25" t="n"/>
      <c r="D10" s="25" t="n"/>
      <c r="E10" s="539" t="n"/>
      <c r="F10" s="539" t="n"/>
      <c r="G10" s="539" t="n"/>
      <c r="H10" s="539" t="n"/>
      <c r="I10" s="539">
        <f>IF(G10=0,"",(H10-G10)/G10*100)</f>
      </c>
      <c r="J10" s="27" t="n"/>
    </row>
    <row r="11" ht="15.5" customHeight="1">
      <c r="A11" s="27" t="n"/>
      <c r="B11" s="24" t="n"/>
      <c r="C11" s="25" t="n"/>
      <c r="D11" s="25" t="n"/>
      <c r="E11" s="539" t="n"/>
      <c r="F11" s="539" t="n"/>
      <c r="G11" s="539" t="n"/>
      <c r="H11" s="539" t="n"/>
      <c r="I11" s="539">
        <f>IF(G11=0,"",(H11-G11)/G11*100)</f>
      </c>
      <c r="J11" s="27" t="n"/>
    </row>
    <row r="12" ht="15.5" customHeight="1">
      <c r="A12" s="27" t="n"/>
      <c r="B12" s="24" t="n"/>
      <c r="C12" s="25" t="n"/>
      <c r="D12" s="25" t="n"/>
      <c r="E12" s="539" t="n"/>
      <c r="F12" s="539" t="n"/>
      <c r="G12" s="539" t="n"/>
      <c r="H12" s="539" t="n"/>
      <c r="I12" s="539">
        <f>IF(G12=0,"",(H12-G12)/G12*100)</f>
      </c>
      <c r="J12" s="27" t="n"/>
    </row>
    <row r="13" ht="15.5" customHeight="1">
      <c r="A13" s="27" t="n"/>
      <c r="B13" s="24" t="n"/>
      <c r="C13" s="25" t="n"/>
      <c r="D13" s="25" t="n"/>
      <c r="E13" s="539" t="n"/>
      <c r="F13" s="539" t="n"/>
      <c r="G13" s="539" t="n"/>
      <c r="H13" s="539" t="n"/>
      <c r="I13" s="539">
        <f>IF(G13=0,"",(H13-G13)/G13*100)</f>
      </c>
      <c r="J13" s="27" t="n"/>
    </row>
    <row r="14" ht="15.5" customHeight="1">
      <c r="A14" s="27" t="n"/>
      <c r="B14" s="24" t="n"/>
      <c r="C14" s="25" t="n"/>
      <c r="D14" s="25" t="n"/>
      <c r="E14" s="539" t="n"/>
      <c r="F14" s="539" t="n"/>
      <c r="G14" s="539" t="n"/>
      <c r="H14" s="539" t="n"/>
      <c r="I14" s="539">
        <f>IF(G14=0,"",(H14-G14)/G14*100)</f>
      </c>
      <c r="J14" s="27" t="n"/>
    </row>
    <row r="15" ht="15.5" customHeight="1">
      <c r="A15" s="27" t="n"/>
      <c r="B15" s="24" t="n"/>
      <c r="C15" s="25" t="n"/>
      <c r="D15" s="25" t="n"/>
      <c r="E15" s="539" t="n"/>
      <c r="F15" s="539" t="n"/>
      <c r="G15" s="539" t="n"/>
      <c r="H15" s="539" t="n"/>
      <c r="I15" s="539">
        <f>IF(G15=0,"",(H15-G15)/G15*100)</f>
      </c>
      <c r="J15" s="27" t="n"/>
    </row>
    <row r="16" ht="15.5" customHeight="1">
      <c r="A16" s="27" t="n"/>
      <c r="B16" s="24" t="n"/>
      <c r="C16" s="25" t="n"/>
      <c r="D16" s="25" t="n"/>
      <c r="E16" s="539" t="n"/>
      <c r="F16" s="539" t="n"/>
      <c r="G16" s="539" t="n"/>
      <c r="H16" s="539" t="n"/>
      <c r="I16" s="539">
        <f>IF(G16=0,"",(H16-G16)/G16*100)</f>
      </c>
      <c r="J16" s="27" t="n"/>
    </row>
    <row r="17" ht="15.5" customHeight="1">
      <c r="A17" s="27" t="n"/>
      <c r="B17" s="24" t="n"/>
      <c r="C17" s="25" t="n"/>
      <c r="D17" s="25" t="n"/>
      <c r="E17" s="539" t="n"/>
      <c r="F17" s="539" t="n"/>
      <c r="G17" s="539" t="n"/>
      <c r="H17" s="539" t="n"/>
      <c r="I17" s="539">
        <f>IF(G17=0,"",(H17-G17)/G17*100)</f>
      </c>
      <c r="J17" s="27" t="n"/>
    </row>
    <row r="18" ht="15.5" customHeight="1">
      <c r="A18" s="27" t="n"/>
      <c r="B18" s="24" t="n"/>
      <c r="C18" s="25" t="n"/>
      <c r="D18" s="25" t="n"/>
      <c r="E18" s="539" t="n"/>
      <c r="F18" s="539" t="n"/>
      <c r="G18" s="539" t="n"/>
      <c r="H18" s="539" t="n"/>
      <c r="I18" s="539">
        <f>IF(G18=0,"",(H18-G18)/G18*100)</f>
      </c>
      <c r="J18" s="27" t="n"/>
    </row>
    <row r="19" ht="15.5" customHeight="1">
      <c r="A19" s="27" t="n"/>
      <c r="B19" s="24" t="n"/>
      <c r="C19" s="25" t="n"/>
      <c r="D19" s="25" t="n"/>
      <c r="E19" s="539" t="n"/>
      <c r="F19" s="539" t="n"/>
      <c r="G19" s="539" t="n"/>
      <c r="H19" s="539" t="n"/>
      <c r="I19" s="539">
        <f>IF(G19=0,"",(H19-G19)/G19*100)</f>
      </c>
      <c r="J19" s="27" t="n"/>
    </row>
    <row r="20" ht="15.5" customHeight="1">
      <c r="A20" s="27" t="n"/>
      <c r="B20" s="24" t="n"/>
      <c r="C20" s="25" t="n"/>
      <c r="D20" s="25" t="n"/>
      <c r="E20" s="539" t="n"/>
      <c r="F20" s="539" t="n"/>
      <c r="G20" s="539" t="n"/>
      <c r="H20" s="539" t="n"/>
      <c r="I20" s="539">
        <f>IF(G20=0,"",(H20-G20)/G20*100)</f>
      </c>
      <c r="J20" s="27" t="n"/>
    </row>
    <row r="21" ht="15.5" customHeight="1">
      <c r="A21" s="27" t="n"/>
      <c r="B21" s="24" t="n"/>
      <c r="C21" s="25" t="n"/>
      <c r="D21" s="25" t="n"/>
      <c r="E21" s="539" t="n"/>
      <c r="F21" s="539" t="n"/>
      <c r="G21" s="539" t="n"/>
      <c r="H21" s="539" t="n"/>
      <c r="I21" s="539">
        <f>IF(G21=0,"",(H21-G21)/G21*100)</f>
      </c>
      <c r="J21" s="27" t="n"/>
    </row>
    <row r="22" ht="15.5" customHeight="1">
      <c r="A22" s="27" t="n"/>
      <c r="B22" s="24" t="n"/>
      <c r="C22" s="25" t="n"/>
      <c r="D22" s="25" t="n"/>
      <c r="E22" s="539" t="n"/>
      <c r="F22" s="539" t="n"/>
      <c r="G22" s="539" t="n"/>
      <c r="H22" s="539" t="n"/>
      <c r="I22" s="539">
        <f>IF(G22=0,"",(H22-G22)/G22*100)</f>
      </c>
      <c r="J22" s="27" t="n"/>
    </row>
    <row r="23" ht="15.5" customHeight="1">
      <c r="A23" s="27" t="n"/>
      <c r="B23" s="24" t="n"/>
      <c r="C23" s="25" t="n"/>
      <c r="D23" s="25" t="n"/>
      <c r="E23" s="539" t="n"/>
      <c r="F23" s="539" t="n"/>
      <c r="G23" s="539" t="n"/>
      <c r="H23" s="539" t="n"/>
      <c r="I23" s="539">
        <f>IF(G23=0,"",(H23-G23)/G23*100)</f>
      </c>
      <c r="J23" s="27" t="n"/>
    </row>
    <row r="24" ht="15.5" customHeight="1">
      <c r="A24" s="27" t="n"/>
      <c r="B24" s="24" t="n"/>
      <c r="C24" s="25" t="n"/>
      <c r="D24" s="25" t="n"/>
      <c r="E24" s="539" t="n"/>
      <c r="F24" s="539" t="n"/>
      <c r="G24" s="539" t="n"/>
      <c r="H24" s="539" t="n"/>
      <c r="I24" s="539">
        <f>IF(G24=0,"",(H24-G24)/G24*100)</f>
      </c>
      <c r="J24" s="27" t="n"/>
    </row>
    <row r="25" ht="15.5" customHeight="1">
      <c r="A25" s="27" t="n"/>
      <c r="B25" s="24" t="n"/>
      <c r="C25" s="25" t="n"/>
      <c r="D25" s="25" t="n"/>
      <c r="E25" s="539" t="n"/>
      <c r="F25" s="539" t="n"/>
      <c r="G25" s="539" t="n"/>
      <c r="H25" s="539" t="n"/>
      <c r="I25" s="539">
        <f>IF(G25=0,"",(H25-G25)/G25*100)</f>
      </c>
      <c r="J25" s="27" t="n"/>
    </row>
    <row r="26" ht="15.5" customHeight="1">
      <c r="A26" s="27" t="n"/>
      <c r="B26" s="24" t="n"/>
      <c r="C26" s="25" t="n"/>
      <c r="D26" s="25" t="n"/>
      <c r="E26" s="539" t="n"/>
      <c r="F26" s="539" t="n"/>
      <c r="G26" s="539" t="n"/>
      <c r="H26" s="539" t="n"/>
      <c r="I26" s="539" t="n"/>
      <c r="J26" s="27" t="n"/>
    </row>
    <row r="27" ht="15.5" customHeight="1">
      <c r="A27" s="21" t="inlineStr">
        <is>
          <t>合            计</t>
        </is>
      </c>
      <c r="B27" s="28" t="n"/>
      <c r="C27" s="25" t="n"/>
      <c r="D27" s="25" t="n"/>
      <c r="E27" s="539">
        <f>SUM(E6:E26)</f>
      </c>
      <c r="F27" s="539" t="n"/>
      <c r="G27" s="539">
        <f>SUM(G6:G26)</f>
      </c>
      <c r="H27" s="539">
        <f>SUM(H6:H26)</f>
      </c>
      <c r="I27" s="539">
        <f>IF(G27=0,"",(H27-G27)/G27*100)</f>
      </c>
      <c r="J27" s="27" t="n"/>
    </row>
    <row r="28" ht="15.5" customHeight="1">
      <c r="A28" s="29">
        <f>封面!D11&amp;封面!G11</f>
      </c>
      <c r="G28" s="536">
        <f>"评估人员："&amp;封面!G20</f>
      </c>
    </row>
    <row r="29" ht="15.5" customHeight="1">
      <c r="A29" s="29">
        <f>CONCATENATE(封面!D13,封面!F13,封面!G13,封面!H13,封面!I13,封面!J13,封面!K13)</f>
      </c>
    </row>
  </sheetData>
  <mergeCells count="3">
    <mergeCell ref="A27:B27"/>
    <mergeCell ref="A3:J3"/>
    <mergeCell ref="A2:J2"/>
  </mergeCells>
  <hyperlinks>
    <hyperlink ref="A1" location="索引目录!D26" display="返回索引页"/>
    <hyperlink ref="B1" location="流动汇总!B15" display="返回"/>
  </hyperlinks>
  <printOptions horizontalCentered="1"/>
  <pageMargins left="0.354330708661417" right="0.354330708661417" top="0.78740157480315" bottom="0.78740157480315" header="1.06" footer="0.511811023622047"/>
  <pageSetup orientation="landscape" paperSize="9" fitToHeight="0"/>
  <headerFooter alignWithMargins="0">
    <oddHeader>&amp;R&amp;"宋体,常规"共&amp;"Times New Roman,常规"&amp;N&amp;"宋体,常规"页第&amp;"Times New Roman,常规"&amp;P&amp;"宋体,常规"3-10_x000a_页</oddHeader>
    <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codeName="Sheet32">
    <outlinePr summaryBelow="1" summaryRight="1"/>
    <pageSetUpPr fitToPage="1"/>
  </sheetPr>
  <dimension ref="A1:J29"/>
  <sheetViews>
    <sheetView view="pageBreakPreview" zoomScale="60" zoomScaleNormal="100" workbookViewId="0">
      <selection activeCell="G451" sqref="G451"/>
    </sheetView>
  </sheetViews>
  <sheetFormatPr baseColWidth="8" defaultColWidth="9" defaultRowHeight="15.75" customHeight="1"/>
  <cols>
    <col width="5.5" customWidth="1" style="13" min="1" max="1"/>
    <col width="25.25" customWidth="1" style="13" min="2" max="2"/>
    <col width="8.25" customWidth="1" style="13" min="3" max="3"/>
    <col width="20" customWidth="1" style="13" min="4" max="4"/>
    <col hidden="1" outlineLevel="1" width="14.5833333333333" customWidth="1" style="13" min="5" max="6"/>
    <col collapsed="1" width="18.75" customWidth="1" style="13" min="7" max="7"/>
    <col width="18.75" customWidth="1" style="13" min="8" max="8"/>
    <col width="9.75" customWidth="1" style="13" min="9" max="9"/>
    <col width="15.5" customWidth="1" style="13" min="10" max="10"/>
    <col width="9" customWidth="1" style="13" min="11" max="16384"/>
  </cols>
  <sheetData>
    <row r="1" ht="11.25" customHeight="1">
      <c r="A1" s="559" t="inlineStr">
        <is>
          <t>返回索引页</t>
        </is>
      </c>
      <c r="B1" s="15" t="inlineStr">
        <is>
          <t>返回</t>
        </is>
      </c>
      <c r="C1" s="15" t="n"/>
      <c r="D1" s="15" t="n"/>
      <c r="E1" s="16" t="n"/>
      <c r="F1" s="16" t="n"/>
      <c r="G1" s="16" t="n"/>
      <c r="H1" s="16" t="n"/>
      <c r="I1" s="16" t="n"/>
      <c r="J1" s="16" t="n"/>
    </row>
    <row r="2" ht="30" customFormat="1" customHeight="1" s="11">
      <c r="A2" s="17" t="inlineStr">
        <is>
          <t>其他流动资产评估明细表</t>
        </is>
      </c>
    </row>
    <row r="3" ht="14.15" customHeight="1">
      <c r="A3" s="535">
        <f>CONCATENATE(封面!D9,封面!F9,封面!G9,封面!H9,封面!I9,封面!J9,封面!K9)</f>
      </c>
    </row>
    <row r="4" ht="15.5" customHeight="1">
      <c r="A4" s="536">
        <f>封面!D7&amp;封面!F7</f>
      </c>
      <c r="J4" s="20" t="inlineStr">
        <is>
          <t>金额单位：人民币元</t>
        </is>
      </c>
    </row>
    <row r="5" ht="13" customFormat="1" customHeight="1" s="12">
      <c r="A5" s="21" t="inlineStr">
        <is>
          <t>序号</t>
        </is>
      </c>
      <c r="B5" s="21" t="inlineStr">
        <is>
          <t>项目及内容</t>
        </is>
      </c>
      <c r="C5" s="21" t="inlineStr">
        <is>
          <t>发生日期</t>
        </is>
      </c>
      <c r="D5" s="21" t="inlineStr">
        <is>
          <t>结算内容</t>
        </is>
      </c>
      <c r="E5" s="22" t="inlineStr">
        <is>
          <t>审计前账面值</t>
        </is>
      </c>
      <c r="F5" s="22" t="inlineStr">
        <is>
          <t>审计调整</t>
        </is>
      </c>
      <c r="G5" s="21" t="inlineStr">
        <is>
          <t>账面价值</t>
        </is>
      </c>
      <c r="H5" s="21" t="inlineStr">
        <is>
          <t>评估价值</t>
        </is>
      </c>
      <c r="I5" s="21" t="inlineStr">
        <is>
          <t>增值率%</t>
        </is>
      </c>
      <c r="J5" s="21" t="inlineStr">
        <is>
          <t>备注</t>
        </is>
      </c>
    </row>
    <row r="6" ht="15.5" customHeight="1">
      <c r="A6" s="23" t="n"/>
      <c r="B6" s="24" t="n"/>
      <c r="C6" s="24" t="n"/>
      <c r="D6" s="24" t="n"/>
      <c r="E6" s="539" t="n"/>
      <c r="F6" s="539" t="n"/>
      <c r="G6" s="539" t="n"/>
      <c r="H6" s="539" t="n"/>
      <c r="I6" s="539">
        <f>IF(G6=0,"",(H6-G6)/G6*100)</f>
      </c>
      <c r="J6" s="27" t="n"/>
    </row>
    <row r="7" ht="15.5" customHeight="1">
      <c r="A7" s="23" t="n"/>
      <c r="B7" s="24" t="n"/>
      <c r="C7" s="21" t="n"/>
      <c r="D7" s="21" t="n"/>
      <c r="E7" s="539" t="n"/>
      <c r="F7" s="539" t="n"/>
      <c r="G7" s="539" t="n"/>
      <c r="H7" s="539" t="n"/>
      <c r="I7" s="539">
        <f>IF(G7=0,"",(H7-G7)/G7*100)</f>
      </c>
      <c r="J7" s="27" t="n"/>
    </row>
    <row r="8" ht="15.5" customHeight="1">
      <c r="A8" s="23" t="n"/>
      <c r="B8" s="24" t="n"/>
      <c r="C8" s="24" t="n"/>
      <c r="D8" s="24" t="n"/>
      <c r="E8" s="539" t="n"/>
      <c r="F8" s="539" t="n"/>
      <c r="G8" s="539" t="n"/>
      <c r="H8" s="539" t="n"/>
      <c r="I8" s="539">
        <f>IF(G8=0,"",(H8-G8)/G8*100)</f>
      </c>
      <c r="J8" s="27" t="n"/>
    </row>
    <row r="9" ht="15.5" customHeight="1">
      <c r="A9" s="23" t="n"/>
      <c r="B9" s="24" t="n"/>
      <c r="C9" s="24" t="n"/>
      <c r="D9" s="24" t="n"/>
      <c r="E9" s="539" t="n"/>
      <c r="F9" s="539" t="n"/>
      <c r="G9" s="539" t="n"/>
      <c r="H9" s="539" t="n"/>
      <c r="I9" s="539">
        <f>IF(G9=0,"",(H9-G9)/G9*100)</f>
      </c>
      <c r="J9" s="27" t="n"/>
    </row>
    <row r="10" ht="15.5" customHeight="1">
      <c r="A10" s="23" t="n"/>
      <c r="B10" s="24" t="n"/>
      <c r="C10" s="24" t="n"/>
      <c r="D10" s="24" t="n"/>
      <c r="E10" s="539" t="n"/>
      <c r="F10" s="539" t="n"/>
      <c r="G10" s="539" t="n"/>
      <c r="H10" s="539" t="n"/>
      <c r="I10" s="539">
        <f>IF(G10=0,"",(H10-G10)/G10*100)</f>
      </c>
      <c r="J10" s="27" t="n"/>
    </row>
    <row r="11" ht="15.5" customHeight="1">
      <c r="A11" s="23" t="n"/>
      <c r="B11" s="24" t="n"/>
      <c r="C11" s="24" t="n"/>
      <c r="D11" s="24" t="n"/>
      <c r="E11" s="539" t="n"/>
      <c r="F11" s="539" t="n"/>
      <c r="G11" s="539" t="n"/>
      <c r="H11" s="539" t="n"/>
      <c r="I11" s="539">
        <f>IF(G11=0,"",(H11-G11)/G11*100)</f>
      </c>
      <c r="J11" s="27" t="n"/>
    </row>
    <row r="12" ht="15.5" customHeight="1">
      <c r="A12" s="23" t="n"/>
      <c r="B12" s="24" t="n"/>
      <c r="C12" s="24" t="n"/>
      <c r="D12" s="24" t="n"/>
      <c r="E12" s="539" t="n"/>
      <c r="F12" s="539" t="n"/>
      <c r="G12" s="539" t="n"/>
      <c r="H12" s="539" t="n"/>
      <c r="I12" s="539">
        <f>IF(G12=0,"",(H12-G12)/G12*100)</f>
      </c>
      <c r="J12" s="27" t="n"/>
    </row>
    <row r="13" ht="15.5" customHeight="1">
      <c r="A13" s="23" t="n"/>
      <c r="B13" s="24" t="n"/>
      <c r="C13" s="24" t="n"/>
      <c r="D13" s="24" t="n"/>
      <c r="E13" s="539" t="n"/>
      <c r="F13" s="539" t="n"/>
      <c r="G13" s="539" t="n"/>
      <c r="H13" s="539" t="n"/>
      <c r="I13" s="539">
        <f>IF(G13=0,"",(H13-G13)/G13*100)</f>
      </c>
      <c r="J13" s="27" t="n"/>
    </row>
    <row r="14" ht="15.5" customHeight="1">
      <c r="A14" s="23" t="n"/>
      <c r="B14" s="24" t="n"/>
      <c r="C14" s="24" t="n"/>
      <c r="D14" s="24" t="n"/>
      <c r="E14" s="539" t="n"/>
      <c r="F14" s="539" t="n"/>
      <c r="G14" s="539" t="n"/>
      <c r="H14" s="539" t="n"/>
      <c r="I14" s="539">
        <f>IF(G14=0,"",(H14-G14)/G14*100)</f>
      </c>
      <c r="J14" s="27" t="n"/>
    </row>
    <row r="15" ht="15.5" customHeight="1">
      <c r="A15" s="23" t="n"/>
      <c r="B15" s="24" t="n"/>
      <c r="C15" s="24" t="n"/>
      <c r="D15" s="24" t="n"/>
      <c r="E15" s="539" t="n"/>
      <c r="F15" s="539" t="n"/>
      <c r="G15" s="539" t="n"/>
      <c r="H15" s="539" t="n"/>
      <c r="I15" s="539">
        <f>IF(G15=0,"",(H15-G15)/G15*100)</f>
      </c>
      <c r="J15" s="27" t="n"/>
    </row>
    <row r="16" ht="15.5" customHeight="1">
      <c r="A16" s="23" t="n"/>
      <c r="B16" s="24" t="n"/>
      <c r="C16" s="24" t="n"/>
      <c r="D16" s="24" t="n"/>
      <c r="E16" s="539" t="n"/>
      <c r="F16" s="539" t="n"/>
      <c r="G16" s="539" t="n"/>
      <c r="H16" s="539" t="n"/>
      <c r="I16" s="539">
        <f>IF(G16=0,"",(H16-G16)/G16*100)</f>
      </c>
      <c r="J16" s="27" t="n"/>
    </row>
    <row r="17" ht="15.5" customHeight="1">
      <c r="A17" s="23" t="n"/>
      <c r="B17" s="24" t="n"/>
      <c r="C17" s="24" t="n"/>
      <c r="D17" s="24" t="n"/>
      <c r="E17" s="539" t="n"/>
      <c r="F17" s="539" t="n"/>
      <c r="G17" s="539" t="n"/>
      <c r="H17" s="539" t="n"/>
      <c r="I17" s="539">
        <f>IF(G17=0,"",(H17-G17)/G17*100)</f>
      </c>
      <c r="J17" s="27" t="n"/>
    </row>
    <row r="18" ht="15.5" customHeight="1">
      <c r="A18" s="23" t="n"/>
      <c r="B18" s="24" t="n"/>
      <c r="C18" s="24" t="n"/>
      <c r="D18" s="24" t="n"/>
      <c r="E18" s="539" t="n"/>
      <c r="F18" s="539" t="n"/>
      <c r="G18" s="539" t="n"/>
      <c r="H18" s="539" t="n"/>
      <c r="I18" s="539">
        <f>IF(G18=0,"",(H18-G18)/G18*100)</f>
      </c>
      <c r="J18" s="27" t="n"/>
    </row>
    <row r="19" ht="15.5" customHeight="1">
      <c r="A19" s="23" t="n"/>
      <c r="B19" s="24" t="n"/>
      <c r="C19" s="24" t="n"/>
      <c r="D19" s="24" t="n"/>
      <c r="E19" s="539" t="n"/>
      <c r="F19" s="539" t="n"/>
      <c r="G19" s="539" t="n"/>
      <c r="H19" s="539" t="n"/>
      <c r="I19" s="539">
        <f>IF(G19=0,"",(H19-G19)/G19*100)</f>
      </c>
      <c r="J19" s="27" t="n"/>
    </row>
    <row r="20" ht="15.5" customHeight="1">
      <c r="A20" s="23" t="n"/>
      <c r="B20" s="24" t="n"/>
      <c r="C20" s="24" t="n"/>
      <c r="D20" s="24" t="n"/>
      <c r="E20" s="539" t="n"/>
      <c r="F20" s="539" t="n"/>
      <c r="G20" s="539" t="n"/>
      <c r="H20" s="539" t="n"/>
      <c r="I20" s="539">
        <f>IF(G20=0,"",(H20-G20)/G20*100)</f>
      </c>
      <c r="J20" s="27" t="n"/>
    </row>
    <row r="21" ht="15.5" customHeight="1">
      <c r="A21" s="23" t="n"/>
      <c r="B21" s="24" t="n"/>
      <c r="C21" s="24" t="n"/>
      <c r="D21" s="24" t="n"/>
      <c r="E21" s="539" t="n"/>
      <c r="F21" s="539" t="n"/>
      <c r="G21" s="539" t="n"/>
      <c r="H21" s="539" t="n"/>
      <c r="I21" s="539">
        <f>IF(G21=0,"",(H21-G21)/G21*100)</f>
      </c>
      <c r="J21" s="27" t="n"/>
    </row>
    <row r="22" ht="15.5" customHeight="1">
      <c r="A22" s="23" t="n"/>
      <c r="B22" s="24" t="n"/>
      <c r="C22" s="24" t="n"/>
      <c r="D22" s="24" t="n"/>
      <c r="E22" s="539" t="n"/>
      <c r="F22" s="539" t="n"/>
      <c r="G22" s="539" t="n"/>
      <c r="H22" s="539" t="n"/>
      <c r="I22" s="539">
        <f>IF(G22=0,"",(H22-G22)/G22*100)</f>
      </c>
      <c r="J22" s="27" t="n"/>
    </row>
    <row r="23" ht="15.5" customHeight="1">
      <c r="A23" s="23" t="n"/>
      <c r="B23" s="24" t="n"/>
      <c r="C23" s="24" t="n"/>
      <c r="D23" s="24" t="n"/>
      <c r="E23" s="539" t="n"/>
      <c r="F23" s="539" t="n"/>
      <c r="G23" s="539" t="n"/>
      <c r="H23" s="539" t="n"/>
      <c r="I23" s="539">
        <f>IF(G23=0,"",(H23-G23)/G23*100)</f>
      </c>
      <c r="J23" s="27" t="n"/>
    </row>
    <row r="24" ht="15.5" customHeight="1">
      <c r="A24" s="23" t="n"/>
      <c r="B24" s="24" t="n"/>
      <c r="C24" s="24" t="n"/>
      <c r="D24" s="24" t="n"/>
      <c r="E24" s="539" t="n"/>
      <c r="F24" s="539" t="n"/>
      <c r="G24" s="539" t="n"/>
      <c r="H24" s="539" t="n"/>
      <c r="I24" s="539">
        <f>IF(G24=0,"",(H24-G24)/G24*100)</f>
      </c>
      <c r="J24" s="27" t="n"/>
    </row>
    <row r="25" ht="15.5" customHeight="1">
      <c r="A25" s="23" t="n"/>
      <c r="B25" s="24" t="n"/>
      <c r="C25" s="24" t="n"/>
      <c r="D25" s="24" t="n"/>
      <c r="E25" s="539" t="n"/>
      <c r="F25" s="539" t="n"/>
      <c r="G25" s="539" t="n"/>
      <c r="H25" s="539" t="n"/>
      <c r="I25" s="539">
        <f>IF(G25=0,"",(H25-G25)/G25*100)</f>
      </c>
      <c r="J25" s="27" t="n"/>
    </row>
    <row r="26" ht="15.5" customHeight="1">
      <c r="A26" s="23" t="n"/>
      <c r="B26" s="24" t="n"/>
      <c r="C26" s="24" t="n"/>
      <c r="D26" s="24" t="n"/>
      <c r="E26" s="539" t="n"/>
      <c r="F26" s="539" t="n"/>
      <c r="G26" s="539" t="n"/>
      <c r="H26" s="539" t="n"/>
      <c r="I26" s="539" t="n"/>
      <c r="J26" s="27" t="n"/>
    </row>
    <row r="27" ht="15.5" customHeight="1">
      <c r="A27" s="21" t="inlineStr">
        <is>
          <t>合            计</t>
        </is>
      </c>
      <c r="B27" s="28" t="n"/>
      <c r="C27" s="21" t="n"/>
      <c r="D27" s="21" t="n"/>
      <c r="E27" s="539">
        <f>SUM(E6:E26)</f>
      </c>
      <c r="F27" s="539" t="n"/>
      <c r="G27" s="539">
        <f>SUM(G6:G26)</f>
      </c>
      <c r="H27" s="539">
        <f>SUM(H6:H26)</f>
      </c>
      <c r="I27" s="539">
        <f>IF(G27=0,"",(H27-G27)/G27*100)</f>
      </c>
      <c r="J27" s="27" t="n"/>
    </row>
    <row r="28" ht="15.5" customHeight="1">
      <c r="A28" s="29">
        <f>封面!D11&amp;封面!G11</f>
      </c>
      <c r="G28" s="536">
        <f>"评估人员："&amp;封面!G20</f>
      </c>
    </row>
    <row r="29" ht="15.5" customHeight="1">
      <c r="A29" s="29">
        <f>CONCATENATE(封面!D13,封面!F13,封面!G13,封面!H13,封面!I13,封面!J13,封面!K13)</f>
      </c>
    </row>
  </sheetData>
  <mergeCells count="3">
    <mergeCell ref="A27:B27"/>
    <mergeCell ref="A3:J3"/>
    <mergeCell ref="A2:J2"/>
  </mergeCells>
  <hyperlinks>
    <hyperlink ref="A1" location="索引目录!D27" display="返回索引页"/>
    <hyperlink ref="B1" location="流动汇总!B16"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Roman,常规"&amp;P&amp;"宋体,常规"3-11_x000a_页</oddHeader>
    <oddFooter/>
    <evenHeader/>
    <evenFooter/>
    <firstHeader/>
    <firstFooter/>
  </headerFooter>
  <legacyDrawing xmlns:r="http://schemas.openxmlformats.org/officeDocument/2006/relationships" r:id="anysvml"/>
</worksheet>
</file>

<file path=xl/worksheets/sheet33.xml><?xml version="1.0" encoding="utf-8"?>
<worksheet xmlns="http://schemas.openxmlformats.org/spreadsheetml/2006/main">
  <sheetPr codeName="Sheet33">
    <tabColor indexed="10"/>
    <outlinePr summaryBelow="1" summaryRight="1"/>
    <pageSetUpPr fitToPage="1"/>
  </sheetPr>
  <dimension ref="A1:G34"/>
  <sheetViews>
    <sheetView view="pageBreakPreview" topLeftCell="A3" zoomScale="85" zoomScaleNormal="85" workbookViewId="0">
      <selection activeCell="G451" sqref="G451"/>
    </sheetView>
  </sheetViews>
  <sheetFormatPr baseColWidth="8" defaultColWidth="9" defaultRowHeight="15.75" customHeight="1"/>
  <cols>
    <col width="6.25" customWidth="1" style="13" min="1" max="1"/>
    <col width="28" customWidth="1" style="13" min="2" max="2"/>
    <col hidden="1" outlineLevel="1" width="19.0833333333333" customWidth="1" style="13" min="3" max="3"/>
    <col collapsed="1" width="25" customWidth="1" style="13" min="4" max="4"/>
    <col width="25" customWidth="1" style="13" min="5" max="6"/>
    <col width="12.5" customWidth="1" style="13" min="7" max="7"/>
    <col width="9" customWidth="1" style="13" min="8" max="16384"/>
  </cols>
  <sheetData>
    <row r="1" ht="15.5" customHeight="1">
      <c r="A1" s="529" t="inlineStr">
        <is>
          <t>返回索引页</t>
        </is>
      </c>
      <c r="B1" s="534" t="inlineStr">
        <is>
          <t>返回</t>
        </is>
      </c>
      <c r="C1" s="16" t="n"/>
      <c r="D1" s="16" t="n"/>
      <c r="E1" s="16" t="n"/>
      <c r="F1" s="16" t="n"/>
      <c r="G1" s="16" t="n"/>
    </row>
    <row r="2" ht="30" customFormat="1" customHeight="1" s="11">
      <c r="A2" s="53" t="inlineStr">
        <is>
          <t>非流动资产评估汇总表</t>
        </is>
      </c>
    </row>
    <row r="3" ht="14.15" customHeight="1">
      <c r="A3" s="535">
        <f>CONCATENATE(封面!D9,封面!F9,封面!G9,封面!H9,封面!I9,封面!J9,封面!K9)</f>
      </c>
    </row>
    <row r="4" ht="15.5" customHeight="1">
      <c r="A4" s="536">
        <f>封面!D7&amp;封面!F7</f>
      </c>
      <c r="G4" s="44" t="inlineStr">
        <is>
          <t>金额单位：人民币元</t>
        </is>
      </c>
    </row>
    <row r="5" ht="13" customFormat="1" customHeight="1" s="12">
      <c r="A5" s="45" t="inlineStr">
        <is>
          <t>编号</t>
        </is>
      </c>
      <c r="B5" s="45" t="inlineStr">
        <is>
          <t>科目名称</t>
        </is>
      </c>
      <c r="C5" s="45" t="inlineStr">
        <is>
          <t>审计前账面值</t>
        </is>
      </c>
      <c r="D5" s="45" t="inlineStr">
        <is>
          <t>账面价值</t>
        </is>
      </c>
      <c r="E5" s="45" t="inlineStr">
        <is>
          <t>评估价值</t>
        </is>
      </c>
      <c r="F5" s="46" t="inlineStr">
        <is>
          <t>增值额</t>
        </is>
      </c>
      <c r="G5" s="45" t="inlineStr">
        <is>
          <t>增值率%</t>
        </is>
      </c>
    </row>
    <row r="6" ht="15.5" customHeight="1">
      <c r="A6" s="45" t="inlineStr">
        <is>
          <t>4-1</t>
        </is>
      </c>
      <c r="B6" s="27" t="inlineStr">
        <is>
          <t>可供出售金融资产</t>
        </is>
      </c>
      <c r="C6" s="539">
        <f>可供出售金融资产汇总!C27</f>
      </c>
      <c r="D6" s="539">
        <f>可供出售金融资产汇总!E27</f>
      </c>
      <c r="E6" s="539">
        <f>可供出售金融资产汇总!F27</f>
      </c>
      <c r="F6" s="539">
        <f>E6-D6</f>
      </c>
      <c r="G6" s="546">
        <f>IF(D6=0,"",F6/D6*100)</f>
      </c>
    </row>
    <row r="7" ht="15.5" customHeight="1">
      <c r="A7" s="45" t="inlineStr">
        <is>
          <t>4-2</t>
        </is>
      </c>
      <c r="B7" s="27" t="inlineStr">
        <is>
          <t>持有至到期投资</t>
        </is>
      </c>
      <c r="C7" s="539">
        <f>持有到期投资!H27</f>
      </c>
      <c r="D7" s="539">
        <f>持有到期投资!J27</f>
      </c>
      <c r="E7" s="539">
        <f>持有到期投资!K27</f>
      </c>
      <c r="F7" s="539">
        <f>E7-D7</f>
      </c>
      <c r="G7" s="546">
        <f>IF(D7=0,"",F7/D7*100)</f>
      </c>
    </row>
    <row r="8" ht="15.5" customHeight="1">
      <c r="A8" s="45" t="inlineStr">
        <is>
          <t>4-3</t>
        </is>
      </c>
      <c r="B8" s="27" t="inlineStr">
        <is>
          <t>长期应收款</t>
        </is>
      </c>
      <c r="C8" s="539">
        <f>长期应收!E27</f>
      </c>
      <c r="D8" s="539">
        <f>长期应收!G27</f>
      </c>
      <c r="E8" s="539">
        <f>长期应收!H27</f>
      </c>
      <c r="F8" s="539">
        <f>E8-D8</f>
      </c>
      <c r="G8" s="546">
        <f>IF(D8=0,"",F8/D8*100)</f>
      </c>
    </row>
    <row r="9" ht="15.5" customHeight="1">
      <c r="A9" s="45" t="inlineStr">
        <is>
          <t>4-4</t>
        </is>
      </c>
      <c r="B9" s="27" t="inlineStr">
        <is>
          <t>长期股权投资</t>
        </is>
      </c>
      <c r="C9" s="539">
        <f>股权投资!G27</f>
      </c>
      <c r="D9" s="539">
        <f>股权投资!I27</f>
      </c>
      <c r="E9" s="539">
        <f>股权投资!J27</f>
      </c>
      <c r="F9" s="539">
        <f>E9-D9</f>
      </c>
      <c r="G9" s="546">
        <f>IF(D9=0,"",F9/D9*100)</f>
      </c>
    </row>
    <row r="10" ht="15.5" customHeight="1">
      <c r="A10" s="45" t="inlineStr">
        <is>
          <t>4-5</t>
        </is>
      </c>
      <c r="B10" s="27" t="inlineStr">
        <is>
          <t>投资性房地产</t>
        </is>
      </c>
      <c r="C10" s="539">
        <f>'4-5-1投资性房地产'!K27+'4-5-2投资性房地产'!L27+'4-5-3投资性地产'!M27+'4-5-4投资性地产'!M27</f>
      </c>
      <c r="D10" s="539">
        <f>'4-5-1投资性房地产'!O27+'4-5-2投资性房地产'!N27+'4-5-3投资性地产'!O27+'4-5-4投资性地产'!O27</f>
      </c>
      <c r="E10" s="539">
        <f>'4-5-1投资性房地产'!R27+'4-5-2投资性房地产'!O27+'4-5-3投资性地产'!P27+'4-5-4投资性地产'!P27</f>
      </c>
      <c r="F10" s="539">
        <f>E10-D10</f>
      </c>
      <c r="G10" s="546">
        <f>IF(D10=0,"",F10/D10*100)</f>
      </c>
    </row>
    <row r="11" ht="15.5" customHeight="1">
      <c r="A11" s="45" t="inlineStr">
        <is>
          <t>4-6</t>
        </is>
      </c>
      <c r="B11" s="27" t="inlineStr">
        <is>
          <t>固定资产</t>
        </is>
      </c>
      <c r="C11" s="539">
        <f>固定资产汇总!D22</f>
      </c>
      <c r="D11" s="539">
        <f>固定资产汇总!F22</f>
      </c>
      <c r="E11" s="539">
        <f>固定资产汇总!H22</f>
      </c>
      <c r="F11" s="539">
        <f>E11-D11</f>
      </c>
      <c r="G11" s="546">
        <f>IF(D11=0,"",F11/D11*100)</f>
      </c>
    </row>
    <row r="12" ht="15.5" customHeight="1">
      <c r="A12" s="45" t="inlineStr">
        <is>
          <t>4-7</t>
        </is>
      </c>
      <c r="B12" s="27" t="inlineStr">
        <is>
          <t>在建工程</t>
        </is>
      </c>
      <c r="C12" s="539">
        <f>在建工程汇总!C27</f>
      </c>
      <c r="D12" s="539">
        <f>在建工程汇总!D27</f>
      </c>
      <c r="E12" s="539">
        <f>在建工程汇总!E27</f>
      </c>
      <c r="F12" s="539">
        <f>E12-D12</f>
      </c>
      <c r="G12" s="546">
        <f>IF(D12=0,"",F12/D12*100)</f>
      </c>
    </row>
    <row r="13" ht="15.5" customHeight="1">
      <c r="A13" s="45" t="inlineStr">
        <is>
          <t>4-8</t>
        </is>
      </c>
      <c r="B13" s="27" t="inlineStr">
        <is>
          <t>工程物资</t>
        </is>
      </c>
      <c r="C13" s="539">
        <f>工程物资!G27</f>
      </c>
      <c r="D13" s="539">
        <f>工程物资!K27</f>
      </c>
      <c r="E13" s="539">
        <f>工程物资!N27</f>
      </c>
      <c r="F13" s="539">
        <f>E13-D13</f>
      </c>
      <c r="G13" s="546">
        <f>IF(D13=0,"",F13/D13*100)</f>
      </c>
    </row>
    <row r="14" ht="15.5" customHeight="1">
      <c r="A14" s="45" t="inlineStr">
        <is>
          <t>4-9</t>
        </is>
      </c>
      <c r="B14" s="27" t="inlineStr">
        <is>
          <t>固定资产清理</t>
        </is>
      </c>
      <c r="C14" s="539">
        <f>固定资产清理!D27</f>
      </c>
      <c r="D14" s="539">
        <f>固定资产清理!F27</f>
      </c>
      <c r="E14" s="539">
        <f>固定资产清理!G27</f>
      </c>
      <c r="F14" s="539">
        <f>E14-D14</f>
      </c>
      <c r="G14" s="546">
        <f>IF(D14=0,"",F14/D14*100)</f>
      </c>
    </row>
    <row r="15" ht="15.5" customHeight="1">
      <c r="A15" s="45" t="inlineStr">
        <is>
          <t>4-10</t>
        </is>
      </c>
      <c r="B15" s="27" t="inlineStr">
        <is>
          <t>生产性生物资产</t>
        </is>
      </c>
      <c r="C15" s="539">
        <f>生产性生物资产!I27</f>
      </c>
      <c r="D15" s="539">
        <f>生产性生物资产!M27</f>
      </c>
      <c r="E15" s="539">
        <f>生产性生物资产!P27</f>
      </c>
      <c r="F15" s="539">
        <f>E15-D15</f>
      </c>
      <c r="G15" s="546">
        <f>IF(D15=0,"",F15/D15*100)</f>
      </c>
    </row>
    <row r="16" ht="15.5" customHeight="1">
      <c r="A16" s="45" t="inlineStr">
        <is>
          <t>4-11</t>
        </is>
      </c>
      <c r="B16" s="27" t="inlineStr">
        <is>
          <t>油气资产</t>
        </is>
      </c>
      <c r="C16" s="539">
        <f>油气资产!J27</f>
      </c>
      <c r="D16" s="539">
        <f>油气资产!N27</f>
      </c>
      <c r="E16" s="539">
        <f>油气资产!Q27</f>
      </c>
      <c r="F16" s="539">
        <f>E16-D16</f>
      </c>
      <c r="G16" s="546">
        <f>IF(D16=0,"",F16/D16*100)</f>
      </c>
    </row>
    <row r="17" ht="15.5" customHeight="1">
      <c r="A17" s="45" t="inlineStr">
        <is>
          <t>4-12</t>
        </is>
      </c>
      <c r="B17" s="195" t="inlineStr">
        <is>
          <t>使用权资产</t>
        </is>
      </c>
      <c r="C17" s="539" t="n"/>
      <c r="D17" s="539">
        <f>使用权资产!H27</f>
      </c>
      <c r="E17" s="539">
        <f>使用权资产!J27</f>
      </c>
      <c r="F17" s="539">
        <f>使用权资产!K27</f>
      </c>
      <c r="G17" s="546" t="n"/>
    </row>
    <row r="18" ht="15.5" customHeight="1">
      <c r="A18" s="45" t="inlineStr">
        <is>
          <t>4-13</t>
        </is>
      </c>
      <c r="B18" s="27" t="inlineStr">
        <is>
          <t>无形资产</t>
        </is>
      </c>
      <c r="C18" s="539">
        <f>无形资产汇总!C27</f>
      </c>
      <c r="D18" s="539">
        <f>无形资产汇总!D27</f>
      </c>
      <c r="E18" s="539">
        <f>无形资产汇总!E27</f>
      </c>
      <c r="F18" s="539">
        <f>E18-D18</f>
      </c>
      <c r="G18" s="546">
        <f>IF(D18=0,"",F18/D18*100)</f>
      </c>
    </row>
    <row r="19" ht="15.5" customHeight="1">
      <c r="A19" s="45" t="inlineStr">
        <is>
          <t>4-14</t>
        </is>
      </c>
      <c r="B19" s="27" t="inlineStr">
        <is>
          <t>开发支出</t>
        </is>
      </c>
      <c r="C19" s="539">
        <f>开发支出!D27</f>
      </c>
      <c r="D19" s="539">
        <f>开发支出!F27</f>
      </c>
      <c r="E19" s="539">
        <f>开发支出!G27</f>
      </c>
      <c r="F19" s="539">
        <f>E19-D19</f>
      </c>
      <c r="G19" s="546">
        <f>IF(D19=0,"",F19/D19*100)</f>
      </c>
    </row>
    <row r="20" ht="15.5" customHeight="1">
      <c r="A20" s="45" t="inlineStr">
        <is>
          <t>4-15</t>
        </is>
      </c>
      <c r="B20" s="27" t="inlineStr">
        <is>
          <t>商誉</t>
        </is>
      </c>
      <c r="C20" s="539">
        <f>商誉!D27</f>
      </c>
      <c r="D20" s="539">
        <f>商誉!F27</f>
      </c>
      <c r="E20" s="539">
        <f>商誉!G27</f>
      </c>
      <c r="F20" s="539">
        <f>E20-D20</f>
      </c>
      <c r="G20" s="546">
        <f>IF(D20=0,"",F20/D20*100)</f>
      </c>
    </row>
    <row r="21" ht="15.5" customHeight="1">
      <c r="A21" s="45" t="inlineStr">
        <is>
          <t>4-16</t>
        </is>
      </c>
      <c r="B21" s="27" t="inlineStr">
        <is>
          <t>长期待摊费用</t>
        </is>
      </c>
      <c r="C21" s="539">
        <f>长期待摊费用!F27</f>
      </c>
      <c r="D21" s="539">
        <f>长期待摊费用!H27</f>
      </c>
      <c r="E21" s="539">
        <f>长期待摊费用!J27</f>
      </c>
      <c r="F21" s="539">
        <f>E21-D21</f>
      </c>
      <c r="G21" s="546">
        <f>IF(D21=0,"",F21/D21*100)</f>
      </c>
    </row>
    <row r="22" ht="15.5" customHeight="1">
      <c r="A22" s="45" t="inlineStr">
        <is>
          <t>4-17</t>
        </is>
      </c>
      <c r="B22" s="27" t="inlineStr">
        <is>
          <t>递延所得税资产</t>
        </is>
      </c>
      <c r="C22" s="539">
        <f>递延所得税资产!D27</f>
      </c>
      <c r="D22" s="539">
        <f>递延所得税资产!F27</f>
      </c>
      <c r="E22" s="539">
        <f>递延所得税资产!G27</f>
      </c>
      <c r="F22" s="539">
        <f>E22-D22</f>
      </c>
      <c r="G22" s="546">
        <f>IF(D22=0,"",F22/D22*100)</f>
      </c>
    </row>
    <row r="23" ht="15.5" customHeight="1">
      <c r="A23" s="45" t="inlineStr">
        <is>
          <t>4-18</t>
        </is>
      </c>
      <c r="B23" s="27" t="inlineStr">
        <is>
          <t>其他非流动资产</t>
        </is>
      </c>
      <c r="C23" s="539">
        <f>其他非流动资产!D27</f>
      </c>
      <c r="D23" s="539">
        <f>其他非流动资产!F27</f>
      </c>
      <c r="E23" s="539">
        <f>其他非流动资产!G27</f>
      </c>
      <c r="F23" s="539">
        <f>E23-D23</f>
      </c>
      <c r="G23" s="546">
        <f>IF(D23=0,"",F23/D23*100)</f>
      </c>
    </row>
    <row r="24" ht="15.5" customHeight="1">
      <c r="A24" s="23" t="n"/>
      <c r="B24" s="27" t="n"/>
      <c r="C24" s="539" t="n"/>
      <c r="D24" s="539" t="n"/>
      <c r="E24" s="539" t="n"/>
      <c r="F24" s="539" t="n"/>
      <c r="G24" s="546" t="n"/>
    </row>
    <row r="25" ht="15.5" customHeight="1">
      <c r="A25" s="23" t="n"/>
      <c r="B25" s="27" t="n"/>
      <c r="C25" s="539" t="n"/>
      <c r="D25" s="539" t="n"/>
      <c r="E25" s="539" t="n"/>
      <c r="F25" s="539" t="n"/>
      <c r="G25" s="546" t="n"/>
    </row>
    <row r="26" ht="15.5" customHeight="1">
      <c r="A26" s="45" t="n"/>
      <c r="B26" s="45" t="n"/>
      <c r="C26" s="539" t="n"/>
      <c r="D26" s="539" t="n"/>
      <c r="E26" s="539" t="n"/>
      <c r="F26" s="539" t="n"/>
      <c r="G26" s="546" t="n"/>
    </row>
    <row r="27" ht="15.5" customHeight="1">
      <c r="A27" s="45" t="n"/>
      <c r="B27" s="45" t="n"/>
      <c r="C27" s="539" t="n"/>
      <c r="D27" s="539" t="n"/>
      <c r="E27" s="539" t="n"/>
      <c r="F27" s="539" t="n"/>
      <c r="G27" s="546" t="n"/>
    </row>
    <row r="28" ht="15.5" customHeight="1">
      <c r="A28" s="45" t="inlineStr">
        <is>
          <t>4</t>
        </is>
      </c>
      <c r="B28" s="23" t="inlineStr">
        <is>
          <t>合计</t>
        </is>
      </c>
      <c r="C28" s="539">
        <f>SUM(C6:C27)</f>
      </c>
      <c r="D28" s="539">
        <f>SUM(D6:D27)</f>
      </c>
      <c r="E28" s="539">
        <f>SUM(E6:E27)</f>
      </c>
      <c r="F28" s="539">
        <f>SUM(F6:F27)</f>
      </c>
      <c r="G28" s="546">
        <f>IF(D28=0,"",F28/D28*100)</f>
      </c>
    </row>
    <row r="29" ht="15.5" customHeight="1">
      <c r="A29" s="29">
        <f>封面!D11&amp;封面!G11</f>
      </c>
      <c r="E29" s="536">
        <f>"评估人员："&amp;封面!G22</f>
      </c>
    </row>
    <row r="30" ht="15.5" customHeight="1">
      <c r="A30" s="29">
        <f>CONCATENATE(封面!D13,封面!F13,封面!G13,封面!H13,封面!I13,封面!J13,封面!K13)</f>
      </c>
    </row>
    <row r="31" ht="15.5" customHeight="1"/>
    <row r="32" ht="15.5" customHeight="1">
      <c r="D32" s="547">
        <f>D11/10000</f>
      </c>
      <c r="E32" s="547">
        <f>E11/10000</f>
      </c>
      <c r="F32" s="547">
        <f>F11/10000</f>
      </c>
    </row>
    <row r="33" ht="15.5" customHeight="1">
      <c r="D33" s="547">
        <f>D18/10000</f>
      </c>
      <c r="E33" s="547">
        <f>E18/10000</f>
      </c>
      <c r="F33" s="547">
        <f>F18/10000</f>
      </c>
    </row>
    <row r="34" ht="15.5" customHeight="1">
      <c r="D34" s="547">
        <f>D28/10000</f>
      </c>
      <c r="E34" s="547">
        <f>E28/10000</f>
      </c>
      <c r="F34" s="547">
        <f>F28/10000</f>
      </c>
    </row>
  </sheetData>
  <mergeCells count="2">
    <mergeCell ref="A3:G3"/>
    <mergeCell ref="A2:G2"/>
  </mergeCells>
  <hyperlinks>
    <hyperlink ref="A1" location="索引目录!C28" display="返回索引页"/>
    <hyperlink ref="B1" location="分类汇总!B20" display="返回"/>
    <hyperlink ref="B6" location="可供出售金融资产汇总!B1" display="可供出售金融资产"/>
    <hyperlink ref="B7" location="持有到期投资!B1" display="持有至到期投资"/>
    <hyperlink ref="B8" location="长期应收!B1" display="长期应收款"/>
    <hyperlink ref="B9" location="股权投资!B1" display="长期股权投资"/>
    <hyperlink ref="B10" location="投资性房地产!B1" display="投资性房地产"/>
    <hyperlink ref="B11" location="固定资产汇总!A1" display="固定资产"/>
    <hyperlink ref="B12" location="在建工程汇总!Print_Area" display="在建工程"/>
    <hyperlink ref="B13" location="工程物资!Print_Titles" display="工程物资"/>
    <hyperlink ref="B14" location="固定资产清理!Print_Area" display="固定资产清理"/>
    <hyperlink ref="B15" location="生产性生物资产!Print_Area" display="生产性生物资产"/>
    <hyperlink ref="B16" location="油气资产!Print_Area" display="油气资产"/>
    <hyperlink ref="B18" location="无形资产汇总!Print_Area" display="无形资产"/>
    <hyperlink ref="B19" location="开发支出!Print_Titles" display="开发支出"/>
    <hyperlink ref="B20" location="商誉!Print_Area" display="商誉"/>
    <hyperlink ref="B21" location="长期待摊费用!Print_Area" display="长期待摊费用"/>
    <hyperlink ref="B22" location="递延所得税资产!Print_Area" display="递延所得税资产"/>
    <hyperlink ref="B23" location="其他非流动资产!Print_Titles" display="其他非流动资产"/>
  </hyperlinks>
  <printOptions horizontalCentered="1"/>
  <pageMargins left="0.354330708661417" right="0.354330708661417" top="0.78740157480315" bottom="0.78740157480315" header="0.99" footer="0.511811023622047"/>
  <pageSetup orientation="landscape" paperSize="9" fitToHeight="0"/>
  <headerFooter alignWithMargins="0">
    <oddHeader>&amp;R&amp;"宋体,常规"共&amp;"Times New Roman,常规"&amp;N&amp;"宋体,常规"页第&amp;"Times New Roman,常规"&amp;P&amp;"宋体,常规"4_x000a_页</oddHeader>
    <oddFooter/>
    <evenHeader/>
    <evenFooter/>
    <firstHeader/>
    <firstFooter/>
  </headerFooter>
</worksheet>
</file>

<file path=xl/worksheets/sheet34.xml><?xml version="1.0" encoding="utf-8"?>
<worksheet xmlns="http://schemas.openxmlformats.org/spreadsheetml/2006/main">
  <sheetPr codeName="Sheet34">
    <outlinePr summaryBelow="1" summaryRight="1"/>
    <pageSetUpPr fitToPage="1"/>
  </sheetPr>
  <dimension ref="A1:H29"/>
  <sheetViews>
    <sheetView view="pageBreakPreview" zoomScale="60" zoomScaleNormal="85" workbookViewId="0">
      <selection activeCell="G451" sqref="G451"/>
    </sheetView>
  </sheetViews>
  <sheetFormatPr baseColWidth="8" defaultColWidth="9" defaultRowHeight="15.75" customHeight="1"/>
  <cols>
    <col width="6.25" customWidth="1" style="13" min="1" max="1"/>
    <col width="28" customWidth="1" style="13" min="2" max="2"/>
    <col hidden="1" outlineLevel="1" width="19.0833333333333" customWidth="1" style="13" min="3" max="4"/>
    <col collapsed="1" width="25" customWidth="1" style="13" min="5" max="5"/>
    <col width="25" customWidth="1" style="13" min="6" max="7"/>
    <col width="12.3333333333333" customWidth="1" style="13" min="8" max="8"/>
    <col width="9" customWidth="1" style="13" min="9" max="16384"/>
  </cols>
  <sheetData>
    <row r="1" ht="15.5" customHeight="1">
      <c r="A1" s="559" t="inlineStr">
        <is>
          <t>返回索引页</t>
        </is>
      </c>
      <c r="B1" s="545" t="inlineStr">
        <is>
          <t>返回</t>
        </is>
      </c>
      <c r="C1" s="16" t="n"/>
      <c r="D1" s="16" t="n"/>
      <c r="E1" s="16" t="n"/>
      <c r="F1" s="16" t="n"/>
      <c r="G1" s="16" t="n"/>
      <c r="H1" s="16" t="n"/>
    </row>
    <row r="2" ht="30" customFormat="1" customHeight="1" s="11">
      <c r="A2" s="17" t="inlineStr">
        <is>
          <t>可供出售金融资产评估汇总表</t>
        </is>
      </c>
    </row>
    <row r="3" ht="14.15" customHeight="1">
      <c r="A3" s="535">
        <f>CONCATENATE(封面!D9,封面!F9,封面!G9,封面!H9,封面!I9,封面!J9,封面!K9)</f>
      </c>
    </row>
    <row r="4" ht="15.5" customHeight="1">
      <c r="A4" s="536">
        <f>封面!D7&amp;封面!F7</f>
      </c>
      <c r="H4" s="44" t="inlineStr">
        <is>
          <t>金额单位：人民币元</t>
        </is>
      </c>
    </row>
    <row r="5" ht="13" customFormat="1" customHeight="1" s="43">
      <c r="A5" s="45" t="inlineStr">
        <is>
          <t>编号</t>
        </is>
      </c>
      <c r="B5" s="45" t="inlineStr">
        <is>
          <t>科目名称</t>
        </is>
      </c>
      <c r="C5" s="45" t="inlineStr">
        <is>
          <t>审计前账面值</t>
        </is>
      </c>
      <c r="D5" s="45" t="inlineStr">
        <is>
          <t>审计调整</t>
        </is>
      </c>
      <c r="E5" s="45" t="inlineStr">
        <is>
          <t>账面价值</t>
        </is>
      </c>
      <c r="F5" s="45" t="inlineStr">
        <is>
          <t>评估价值</t>
        </is>
      </c>
      <c r="G5" s="46" t="inlineStr">
        <is>
          <t>增值额</t>
        </is>
      </c>
      <c r="H5" s="45" t="inlineStr">
        <is>
          <t>增值率%</t>
        </is>
      </c>
    </row>
    <row r="6" ht="15.5" customHeight="1">
      <c r="A6" s="45" t="inlineStr">
        <is>
          <t>4-1-1</t>
        </is>
      </c>
      <c r="B6" s="27" t="inlineStr">
        <is>
          <t>可供出售金融资产-股票投资</t>
        </is>
      </c>
      <c r="C6" s="539">
        <f>'可出售-股票'!I27</f>
      </c>
      <c r="D6" s="539" t="n"/>
      <c r="E6" s="539">
        <f>'可出售-股票'!K27</f>
      </c>
      <c r="F6" s="539">
        <f>'可出售-股票'!L27</f>
      </c>
      <c r="G6" s="539">
        <f>F6-E6</f>
      </c>
      <c r="H6" s="546">
        <f>IF(E6=0,"",G6/E6*100)</f>
      </c>
    </row>
    <row r="7" ht="15.5" customHeight="1">
      <c r="A7" s="45" t="inlineStr">
        <is>
          <t>4-1-2</t>
        </is>
      </c>
      <c r="B7" s="27" t="inlineStr">
        <is>
          <t>可供出售金融资产-债券投资</t>
        </is>
      </c>
      <c r="C7" s="539">
        <f>'可出售-债券'!H27</f>
      </c>
      <c r="D7" s="539" t="n"/>
      <c r="E7" s="539">
        <f>'可出售-债券'!J27</f>
      </c>
      <c r="F7" s="539">
        <f>'可出售-债券'!K27</f>
      </c>
      <c r="G7" s="539">
        <f>F7-E7</f>
      </c>
      <c r="H7" s="546">
        <f>IF(E7=0,"",G7/E7*100)</f>
      </c>
    </row>
    <row r="8" ht="15.5" customHeight="1">
      <c r="A8" s="45" t="inlineStr">
        <is>
          <t>4-1-3</t>
        </is>
      </c>
      <c r="B8" s="27" t="inlineStr">
        <is>
          <t>可供出售金融资产-其他投资</t>
        </is>
      </c>
      <c r="C8" s="539">
        <f>'可出售-其他'!H27</f>
      </c>
      <c r="D8" s="539" t="n"/>
      <c r="E8" s="539">
        <f>'可出售-其他'!J27</f>
      </c>
      <c r="F8" s="539">
        <f>'可出售-其他'!K27</f>
      </c>
      <c r="G8" s="539">
        <f>F8-E8</f>
      </c>
      <c r="H8" s="546">
        <f>IF(E8=0,"",G8/E8*100)</f>
      </c>
    </row>
    <row r="9" ht="15.5" customHeight="1">
      <c r="A9" s="23" t="n"/>
      <c r="B9" s="27" t="n"/>
      <c r="C9" s="539" t="n"/>
      <c r="D9" s="539" t="n"/>
      <c r="E9" s="539" t="n"/>
      <c r="F9" s="539" t="n"/>
      <c r="G9" s="539" t="n"/>
      <c r="H9" s="546" t="n"/>
    </row>
    <row r="10" ht="15.5" customHeight="1">
      <c r="A10" s="23" t="n"/>
      <c r="B10" s="27" t="n"/>
      <c r="C10" s="539" t="n"/>
      <c r="D10" s="539" t="n"/>
      <c r="E10" s="539" t="n"/>
      <c r="F10" s="539" t="n"/>
      <c r="G10" s="539" t="n"/>
      <c r="H10" s="546" t="n"/>
    </row>
    <row r="11" ht="15.5" customHeight="1">
      <c r="A11" s="23" t="n"/>
      <c r="B11" s="27" t="n"/>
      <c r="C11" s="539" t="n"/>
      <c r="D11" s="539" t="n"/>
      <c r="E11" s="539" t="n"/>
      <c r="F11" s="539" t="n"/>
      <c r="G11" s="539" t="n"/>
      <c r="H11" s="546" t="n"/>
    </row>
    <row r="12" ht="15.5" customHeight="1">
      <c r="A12" s="23" t="n"/>
      <c r="B12" s="27" t="n"/>
      <c r="C12" s="539" t="n"/>
      <c r="D12" s="539" t="n"/>
      <c r="E12" s="539" t="n"/>
      <c r="F12" s="539" t="n"/>
      <c r="G12" s="539" t="n"/>
      <c r="H12" s="546" t="n"/>
    </row>
    <row r="13" ht="15.5" customHeight="1">
      <c r="A13" s="23" t="n"/>
      <c r="B13" s="27" t="n"/>
      <c r="C13" s="539" t="n"/>
      <c r="D13" s="539" t="n"/>
      <c r="E13" s="539" t="n"/>
      <c r="F13" s="539" t="n"/>
      <c r="G13" s="539" t="n"/>
      <c r="H13" s="546" t="n"/>
    </row>
    <row r="14" ht="15.5" customHeight="1">
      <c r="A14" s="23" t="n"/>
      <c r="B14" s="27" t="n"/>
      <c r="C14" s="539" t="n"/>
      <c r="D14" s="539" t="n"/>
      <c r="E14" s="539" t="n"/>
      <c r="F14" s="539" t="n"/>
      <c r="G14" s="539" t="n"/>
      <c r="H14" s="546" t="n"/>
    </row>
    <row r="15" ht="15.5" customHeight="1">
      <c r="A15" s="23" t="n"/>
      <c r="B15" s="27" t="n"/>
      <c r="C15" s="539" t="n"/>
      <c r="D15" s="539" t="n"/>
      <c r="E15" s="539" t="n"/>
      <c r="F15" s="539" t="n"/>
      <c r="G15" s="539" t="n"/>
      <c r="H15" s="546" t="n"/>
    </row>
    <row r="16" ht="15.5" customHeight="1">
      <c r="A16" s="23" t="n"/>
      <c r="B16" s="27" t="n"/>
      <c r="C16" s="539" t="n"/>
      <c r="D16" s="539" t="n"/>
      <c r="E16" s="539" t="n"/>
      <c r="F16" s="539" t="n"/>
      <c r="G16" s="539" t="n"/>
      <c r="H16" s="546" t="n"/>
    </row>
    <row r="17" ht="15.5" customHeight="1">
      <c r="A17" s="23" t="n"/>
      <c r="B17" s="27" t="n"/>
      <c r="C17" s="539" t="n"/>
      <c r="D17" s="539" t="n"/>
      <c r="E17" s="539" t="n"/>
      <c r="F17" s="539" t="n"/>
      <c r="G17" s="539" t="n"/>
      <c r="H17" s="546" t="n"/>
    </row>
    <row r="18" ht="15.5" customHeight="1">
      <c r="A18" s="23" t="n"/>
      <c r="B18" s="27" t="n"/>
      <c r="C18" s="539" t="n"/>
      <c r="D18" s="539" t="n"/>
      <c r="E18" s="539" t="n"/>
      <c r="F18" s="539" t="n"/>
      <c r="G18" s="539" t="n"/>
      <c r="H18" s="546" t="n"/>
    </row>
    <row r="19" ht="15.5" customHeight="1">
      <c r="A19" s="23" t="n"/>
      <c r="B19" s="27" t="n"/>
      <c r="C19" s="539" t="n"/>
      <c r="D19" s="539" t="n"/>
      <c r="E19" s="539" t="n"/>
      <c r="F19" s="539" t="n"/>
      <c r="G19" s="539" t="n"/>
      <c r="H19" s="546" t="n"/>
    </row>
    <row r="20" ht="15.5" customHeight="1">
      <c r="A20" s="23" t="n"/>
      <c r="B20" s="27" t="n"/>
      <c r="C20" s="539" t="n"/>
      <c r="D20" s="539" t="n"/>
      <c r="E20" s="539" t="n"/>
      <c r="F20" s="539" t="n"/>
      <c r="G20" s="539" t="n"/>
      <c r="H20" s="546" t="n"/>
    </row>
    <row r="21" ht="15.5" customHeight="1">
      <c r="A21" s="23" t="n"/>
      <c r="B21" s="27" t="n"/>
      <c r="C21" s="539" t="n"/>
      <c r="D21" s="539" t="n"/>
      <c r="E21" s="539" t="n"/>
      <c r="F21" s="539" t="n"/>
      <c r="G21" s="539" t="n"/>
      <c r="H21" s="546" t="n"/>
    </row>
    <row r="22" ht="15.5" customHeight="1">
      <c r="A22" s="23" t="n"/>
      <c r="B22" s="27" t="n"/>
      <c r="C22" s="539" t="n"/>
      <c r="D22" s="539" t="n"/>
      <c r="E22" s="539" t="n"/>
      <c r="F22" s="539" t="n"/>
      <c r="G22" s="539" t="n"/>
      <c r="H22" s="546" t="n"/>
    </row>
    <row r="23" ht="15.5" customHeight="1">
      <c r="A23" s="23" t="n"/>
      <c r="B23" s="27" t="n"/>
      <c r="C23" s="539" t="n"/>
      <c r="D23" s="539" t="n"/>
      <c r="E23" s="539" t="n"/>
      <c r="F23" s="539" t="n"/>
      <c r="G23" s="539" t="n"/>
      <c r="H23" s="546" t="n"/>
    </row>
    <row r="24" ht="15.5" customHeight="1">
      <c r="A24" s="23" t="n"/>
      <c r="B24" s="27" t="n"/>
      <c r="C24" s="539" t="n"/>
      <c r="D24" s="539" t="n"/>
      <c r="E24" s="539" t="n"/>
      <c r="F24" s="539" t="n"/>
      <c r="G24" s="539" t="n"/>
      <c r="H24" s="546" t="n"/>
    </row>
    <row r="25" ht="15.5" customHeight="1">
      <c r="A25" s="45" t="inlineStr">
        <is>
          <t>4</t>
        </is>
      </c>
      <c r="B25" s="45" t="inlineStr">
        <is>
          <t>可供出售金融资产合计</t>
        </is>
      </c>
      <c r="C25" s="539">
        <f>SUM(C6:C24)</f>
      </c>
      <c r="D25" s="539" t="n"/>
      <c r="E25" s="539">
        <f>SUM(E6:E24)</f>
      </c>
      <c r="F25" s="539">
        <f>SUM(F6:F24)</f>
      </c>
      <c r="G25" s="539">
        <f>SUM(G6:G24)</f>
      </c>
      <c r="H25" s="546">
        <f>IF(E25=0,"",G25/E25*100)</f>
      </c>
    </row>
    <row r="26" ht="15.5" customHeight="1">
      <c r="A26" s="45" t="inlineStr">
        <is>
          <t>4</t>
        </is>
      </c>
      <c r="B26" s="45" t="inlineStr">
        <is>
          <t>减：可供出售金融资产减值准备</t>
        </is>
      </c>
      <c r="C26" s="539" t="n"/>
      <c r="D26" s="539" t="n"/>
      <c r="E26" s="539">
        <f>C26</f>
      </c>
      <c r="F26" s="539" t="n">
        <v>0</v>
      </c>
      <c r="G26" s="539">
        <f>F26-E26</f>
      </c>
      <c r="H26" s="546">
        <f>IF(E26=0,"",G26/E26*100)</f>
      </c>
    </row>
    <row r="27" ht="15.5" customHeight="1">
      <c r="A27" s="45" t="inlineStr">
        <is>
          <t>4</t>
        </is>
      </c>
      <c r="B27" s="45" t="inlineStr">
        <is>
          <t>可供出售金融资产净额</t>
        </is>
      </c>
      <c r="C27" s="539">
        <f>C25-C26</f>
      </c>
      <c r="D27" s="539" t="n"/>
      <c r="E27" s="539">
        <f>E25-E26</f>
      </c>
      <c r="F27" s="539">
        <f>F25-F26</f>
      </c>
      <c r="G27" s="539">
        <f>G25-G26</f>
      </c>
      <c r="H27" s="546">
        <f>IF(E27=0,"",G27/E27*100)</f>
      </c>
    </row>
    <row r="28" ht="15.5" customHeight="1">
      <c r="A28" s="29">
        <f>封面!D11&amp;封面!G11</f>
      </c>
      <c r="E28" s="536" t="n"/>
      <c r="F28" s="13">
        <f>"评估人员："&amp;封面!G22</f>
      </c>
    </row>
    <row r="29" ht="15.5" customHeight="1">
      <c r="A29" s="29">
        <f>CONCATENATE(封面!D13,封面!F13,封面!G13,封面!H13,封面!I13,封面!J13,封面!K13)</f>
      </c>
    </row>
  </sheetData>
  <mergeCells count="2">
    <mergeCell ref="A3:H3"/>
    <mergeCell ref="A2:H2"/>
  </mergeCells>
  <hyperlinks>
    <hyperlink ref="A1" location="索引目录!D28" display="返回索引页"/>
    <hyperlink ref="B1" location="长期投资汇总!B6" display="返回"/>
    <hyperlink ref="B6" location="'可出售-股票'!B1" display="可供出售金融资产-股票投资"/>
    <hyperlink ref="B7" location="'可出售-债券'!B1" display="可供出售金融资产-债券投资"/>
    <hyperlink ref="B8" location="'可出售-其他'!B1" display="可供出售金融资产-其他投资"/>
  </hyperlinks>
  <printOptions horizontalCentered="1"/>
  <pageMargins left="0.354330708661417" right="0.354330708661417" top="0.78740157480315" bottom="0.78740157480315" header="1.06" footer="0.511811023622047"/>
  <pageSetup orientation="landscape" paperSize="9" fitToHeight="0"/>
  <headerFooter alignWithMargins="0">
    <oddHeader>&amp;R&amp;"宋体,常规"共&amp;"Times New Roman,常规"&amp;N&amp;"宋体,常规"页第&amp;"Times New Roman,常规"&amp;P&amp;"宋体,常规"4-1_x000a_页</oddHeader>
    <oddFooter/>
    <evenHeader/>
    <evenFooter/>
    <firstHeader/>
    <firstFooter/>
  </headerFooter>
</worksheet>
</file>

<file path=xl/worksheets/sheet35.xml><?xml version="1.0" encoding="utf-8"?>
<worksheet xmlns="http://schemas.openxmlformats.org/spreadsheetml/2006/main">
  <sheetPr codeName="Sheet35">
    <outlinePr summaryBelow="1" summaryRight="1"/>
    <pageSetUpPr fitToPage="1"/>
  </sheetPr>
  <dimension ref="A1:N29"/>
  <sheetViews>
    <sheetView view="pageBreakPreview" zoomScale="60" zoomScaleNormal="100" workbookViewId="0">
      <selection activeCell="G451" sqref="G451"/>
    </sheetView>
  </sheetViews>
  <sheetFormatPr baseColWidth="8" defaultColWidth="9" defaultRowHeight="15.75" customHeight="1"/>
  <cols>
    <col width="5.58333333333333" customWidth="1" style="13" min="1" max="1"/>
    <col width="17.75" customWidth="1" style="13" min="2" max="2"/>
    <col width="9" customWidth="1" style="13" min="3" max="3"/>
    <col width="7.58333333333333" customWidth="1" style="13" min="4" max="4"/>
    <col width="7.75" customWidth="1" style="13" min="5" max="5"/>
    <col width="8.83333333333333" customWidth="1" style="13" min="6" max="6"/>
    <col width="9.5" customWidth="1" style="13" min="7" max="7"/>
    <col width="7.83333333333333" customWidth="1" style="13" min="8" max="8"/>
    <col hidden="1" outlineLevel="1" width="13.0833333333333" customWidth="1" style="13" min="9" max="10"/>
    <col collapsed="1" width="14.8333333333333" customWidth="1" style="13" min="11" max="11"/>
    <col width="14.3333333333333" customWidth="1" style="13" min="12" max="12"/>
    <col width="9" customWidth="1" style="13" min="13" max="16384"/>
  </cols>
  <sheetData>
    <row r="1" ht="12.75" customHeight="1">
      <c r="A1" s="559" t="inlineStr">
        <is>
          <t>返回索引页</t>
        </is>
      </c>
      <c r="B1" s="15" t="inlineStr">
        <is>
          <t>返回</t>
        </is>
      </c>
      <c r="C1" s="16" t="n"/>
      <c r="D1" s="16" t="n"/>
      <c r="E1" s="16" t="n"/>
      <c r="F1" s="16" t="n"/>
      <c r="G1" s="16" t="n"/>
      <c r="H1" s="16" t="n"/>
      <c r="I1" s="16" t="n"/>
      <c r="J1" s="16" t="n"/>
      <c r="K1" s="16" t="n"/>
      <c r="L1" s="16" t="n"/>
      <c r="M1" s="16" t="n"/>
      <c r="N1" s="16" t="n"/>
    </row>
    <row r="2" ht="30" customFormat="1" customHeight="1" s="11">
      <c r="A2" s="17" t="inlineStr">
        <is>
          <t>可供出售金融资产—股票投资评估明细表</t>
        </is>
      </c>
    </row>
    <row r="3" ht="14.15" customHeight="1">
      <c r="A3" s="535">
        <f>CONCATENATE(封面!D9,封面!F9,封面!G9,封面!H9,封面!I9,封面!J9,封面!K9)</f>
      </c>
    </row>
    <row r="4" ht="15.5" customHeight="1">
      <c r="A4" s="536">
        <f>封面!D7&amp;封面!F7</f>
      </c>
      <c r="N4" s="20" t="inlineStr">
        <is>
          <t>金额单位：人民币元</t>
        </is>
      </c>
    </row>
    <row r="5" ht="27" customFormat="1" customHeight="1" s="12">
      <c r="A5" s="21" t="inlineStr">
        <is>
          <t>序号</t>
        </is>
      </c>
      <c r="B5" s="21" t="inlineStr">
        <is>
          <t>被投资单位名称</t>
        </is>
      </c>
      <c r="C5" s="21" t="inlineStr">
        <is>
          <t>股票性质</t>
        </is>
      </c>
      <c r="D5" s="21" t="inlineStr">
        <is>
          <t>投资日期</t>
        </is>
      </c>
      <c r="E5" s="21" t="inlineStr">
        <is>
          <t>持股数量</t>
        </is>
      </c>
      <c r="F5" s="21" t="inlineStr">
        <is>
          <t>持股比例%</t>
        </is>
      </c>
      <c r="G5" s="22" t="inlineStr">
        <is>
          <t>基准日市价</t>
        </is>
      </c>
      <c r="H5" s="22" t="inlineStr">
        <is>
          <t>取得成本</t>
        </is>
      </c>
      <c r="I5" s="22" t="inlineStr">
        <is>
          <t>审计前账面值</t>
        </is>
      </c>
      <c r="J5" s="22" t="inlineStr">
        <is>
          <t>审计调整</t>
        </is>
      </c>
      <c r="K5" s="21" t="inlineStr">
        <is>
          <t>账面价值</t>
        </is>
      </c>
      <c r="L5" s="21" t="inlineStr">
        <is>
          <t>评估价值</t>
        </is>
      </c>
      <c r="M5" s="21" t="inlineStr">
        <is>
          <t>增值率%</t>
        </is>
      </c>
      <c r="N5" s="21" t="inlineStr">
        <is>
          <t>备注</t>
        </is>
      </c>
    </row>
    <row r="6" ht="15.5" customHeight="1">
      <c r="A6" s="23" t="n"/>
      <c r="B6" s="24" t="n"/>
      <c r="C6" s="23" t="n"/>
      <c r="D6" s="25" t="n"/>
      <c r="E6" s="23" t="n"/>
      <c r="F6" s="23" t="n"/>
      <c r="G6" s="539" t="n"/>
      <c r="H6" s="539" t="n"/>
      <c r="I6" s="539" t="n"/>
      <c r="J6" s="539" t="n"/>
      <c r="K6" s="539" t="n"/>
      <c r="L6" s="539" t="n"/>
      <c r="M6" s="539">
        <f>IF(K6=0,"",(L6-K6)/K6*100)</f>
      </c>
      <c r="N6" s="27" t="n"/>
    </row>
    <row r="7" ht="15.5" customHeight="1">
      <c r="A7" s="23" t="n"/>
      <c r="B7" s="24" t="n"/>
      <c r="C7" s="23" t="n"/>
      <c r="D7" s="25" t="n"/>
      <c r="E7" s="23" t="n"/>
      <c r="F7" s="23" t="n"/>
      <c r="G7" s="539" t="n"/>
      <c r="H7" s="539" t="n"/>
      <c r="I7" s="539" t="n"/>
      <c r="J7" s="539" t="n"/>
      <c r="K7" s="539" t="n"/>
      <c r="L7" s="539" t="n"/>
      <c r="M7" s="539">
        <f>IF(K7=0,"",(L7-K7)/K7*100)</f>
      </c>
      <c r="N7" s="27" t="n"/>
    </row>
    <row r="8" ht="15.5" customHeight="1">
      <c r="A8" s="23" t="n"/>
      <c r="B8" s="24" t="n"/>
      <c r="C8" s="23" t="n"/>
      <c r="D8" s="25" t="n"/>
      <c r="E8" s="23" t="n"/>
      <c r="F8" s="23" t="n"/>
      <c r="G8" s="539" t="n"/>
      <c r="H8" s="539" t="n"/>
      <c r="I8" s="539" t="n"/>
      <c r="J8" s="539" t="n"/>
      <c r="K8" s="539" t="n"/>
      <c r="L8" s="539" t="n"/>
      <c r="M8" s="539">
        <f>IF(K8=0,"",(L8-K8)/K8*100)</f>
      </c>
      <c r="N8" s="27" t="n"/>
    </row>
    <row r="9" ht="15.5" customHeight="1">
      <c r="A9" s="23" t="n"/>
      <c r="B9" s="24" t="n"/>
      <c r="C9" s="23" t="n"/>
      <c r="D9" s="25" t="n"/>
      <c r="E9" s="23" t="n"/>
      <c r="F9" s="23" t="n"/>
      <c r="G9" s="539" t="n"/>
      <c r="H9" s="539" t="n"/>
      <c r="I9" s="539" t="n"/>
      <c r="J9" s="539" t="n"/>
      <c r="K9" s="539" t="n"/>
      <c r="L9" s="539" t="n"/>
      <c r="M9" s="539">
        <f>IF(K9=0,"",(L9-K9)/K9*100)</f>
      </c>
      <c r="N9" s="27" t="n"/>
    </row>
    <row r="10" ht="15.5" customHeight="1">
      <c r="A10" s="23" t="n"/>
      <c r="B10" s="24" t="n"/>
      <c r="C10" s="23" t="n"/>
      <c r="D10" s="25" t="n"/>
      <c r="E10" s="23" t="n"/>
      <c r="F10" s="23" t="n"/>
      <c r="G10" s="539" t="n"/>
      <c r="H10" s="539" t="n"/>
      <c r="I10" s="539" t="n"/>
      <c r="J10" s="539" t="n"/>
      <c r="K10" s="539" t="n"/>
      <c r="L10" s="539" t="n"/>
      <c r="M10" s="539">
        <f>IF(K10=0,"",(L10-K10)/K10*100)</f>
      </c>
      <c r="N10" s="27" t="n"/>
    </row>
    <row r="11" ht="15.5" customHeight="1">
      <c r="A11" s="23" t="n"/>
      <c r="B11" s="24" t="n"/>
      <c r="C11" s="23" t="n"/>
      <c r="D11" s="25" t="n"/>
      <c r="E11" s="23" t="n"/>
      <c r="F11" s="23" t="n"/>
      <c r="G11" s="539" t="n"/>
      <c r="H11" s="539" t="n"/>
      <c r="I11" s="539" t="n"/>
      <c r="J11" s="539" t="n"/>
      <c r="K11" s="539" t="n"/>
      <c r="L11" s="539" t="n"/>
      <c r="M11" s="539">
        <f>IF(K11=0,"",(L11-K11)/K11*100)</f>
      </c>
      <c r="N11" s="27" t="n"/>
    </row>
    <row r="12" ht="15.5" customHeight="1">
      <c r="A12" s="23" t="n"/>
      <c r="B12" s="24" t="n"/>
      <c r="C12" s="23" t="n"/>
      <c r="D12" s="25" t="n"/>
      <c r="E12" s="23" t="n"/>
      <c r="F12" s="23" t="n"/>
      <c r="G12" s="539" t="n"/>
      <c r="H12" s="539" t="n"/>
      <c r="I12" s="539" t="n"/>
      <c r="J12" s="539" t="n"/>
      <c r="K12" s="539" t="n"/>
      <c r="L12" s="539" t="n"/>
      <c r="M12" s="539">
        <f>IF(K12=0,"",(L12-K12)/K12*100)</f>
      </c>
      <c r="N12" s="27" t="n"/>
    </row>
    <row r="13" ht="15.5" customHeight="1">
      <c r="A13" s="23" t="n"/>
      <c r="B13" s="24" t="n"/>
      <c r="C13" s="23" t="n"/>
      <c r="D13" s="25" t="n"/>
      <c r="E13" s="23" t="n"/>
      <c r="F13" s="23" t="n"/>
      <c r="G13" s="539" t="n"/>
      <c r="H13" s="539" t="n"/>
      <c r="I13" s="539" t="n"/>
      <c r="J13" s="539" t="n"/>
      <c r="K13" s="539" t="n"/>
      <c r="L13" s="539" t="n"/>
      <c r="M13" s="539">
        <f>IF(K13=0,"",(L13-K13)/K13*100)</f>
      </c>
      <c r="N13" s="27" t="n"/>
    </row>
    <row r="14" ht="15.5" customHeight="1">
      <c r="A14" s="23" t="n"/>
      <c r="B14" s="24" t="n"/>
      <c r="C14" s="23" t="n"/>
      <c r="D14" s="25" t="n"/>
      <c r="E14" s="23" t="n"/>
      <c r="F14" s="23" t="n"/>
      <c r="G14" s="539" t="n"/>
      <c r="H14" s="539" t="n"/>
      <c r="I14" s="539" t="n"/>
      <c r="J14" s="539" t="n"/>
      <c r="K14" s="539" t="n"/>
      <c r="L14" s="539" t="n"/>
      <c r="M14" s="539">
        <f>IF(K14=0,"",(L14-K14)/K14*100)</f>
      </c>
      <c r="N14" s="27" t="n"/>
    </row>
    <row r="15" ht="15.5" customHeight="1">
      <c r="A15" s="23" t="n"/>
      <c r="B15" s="24" t="n"/>
      <c r="C15" s="23" t="n"/>
      <c r="D15" s="25" t="n"/>
      <c r="E15" s="23" t="n"/>
      <c r="F15" s="23" t="n"/>
      <c r="G15" s="539" t="n"/>
      <c r="H15" s="539" t="n"/>
      <c r="I15" s="539" t="n"/>
      <c r="J15" s="539" t="n"/>
      <c r="K15" s="539" t="n"/>
      <c r="L15" s="539" t="n"/>
      <c r="M15" s="539">
        <f>IF(K15=0,"",(L15-K15)/K15*100)</f>
      </c>
      <c r="N15" s="27" t="n"/>
    </row>
    <row r="16" ht="15.5" customHeight="1">
      <c r="A16" s="23" t="n"/>
      <c r="B16" s="24" t="n"/>
      <c r="C16" s="23" t="n"/>
      <c r="D16" s="25" t="n"/>
      <c r="E16" s="23" t="n"/>
      <c r="F16" s="23" t="n"/>
      <c r="G16" s="539" t="n"/>
      <c r="H16" s="539" t="n"/>
      <c r="I16" s="539" t="n"/>
      <c r="J16" s="539" t="n"/>
      <c r="K16" s="539" t="n"/>
      <c r="L16" s="539" t="n"/>
      <c r="M16" s="539">
        <f>IF(K16=0,"",(L16-K16)/K16*100)</f>
      </c>
      <c r="N16" s="27" t="n"/>
    </row>
    <row r="17" ht="15.5" customHeight="1">
      <c r="A17" s="23" t="n"/>
      <c r="B17" s="24" t="n"/>
      <c r="C17" s="23" t="n"/>
      <c r="D17" s="25" t="n"/>
      <c r="E17" s="23" t="n"/>
      <c r="F17" s="23" t="n"/>
      <c r="G17" s="539" t="n"/>
      <c r="H17" s="539" t="n"/>
      <c r="I17" s="539" t="n"/>
      <c r="J17" s="539" t="n"/>
      <c r="K17" s="539" t="n"/>
      <c r="L17" s="539" t="n"/>
      <c r="M17" s="539">
        <f>IF(K17=0,"",(L17-K17)/K17*100)</f>
      </c>
      <c r="N17" s="27" t="n"/>
    </row>
    <row r="18" ht="15.5" customHeight="1">
      <c r="A18" s="23" t="n"/>
      <c r="B18" s="24" t="n"/>
      <c r="C18" s="23" t="n"/>
      <c r="D18" s="25" t="n"/>
      <c r="E18" s="23" t="n"/>
      <c r="F18" s="23" t="n"/>
      <c r="G18" s="539" t="n"/>
      <c r="H18" s="539" t="n"/>
      <c r="I18" s="539" t="n"/>
      <c r="J18" s="539" t="n"/>
      <c r="K18" s="539" t="n"/>
      <c r="L18" s="539" t="n"/>
      <c r="M18" s="539">
        <f>IF(K18=0,"",(L18-K18)/K18*100)</f>
      </c>
      <c r="N18" s="27" t="n"/>
    </row>
    <row r="19" ht="15.5" customHeight="1">
      <c r="A19" s="23" t="n"/>
      <c r="B19" s="24" t="n"/>
      <c r="C19" s="23" t="n"/>
      <c r="D19" s="25" t="n"/>
      <c r="E19" s="23" t="n"/>
      <c r="F19" s="23" t="n"/>
      <c r="G19" s="539" t="n"/>
      <c r="H19" s="539" t="n"/>
      <c r="I19" s="539" t="n"/>
      <c r="J19" s="539" t="n"/>
      <c r="K19" s="539" t="n"/>
      <c r="L19" s="539" t="n"/>
      <c r="M19" s="539">
        <f>IF(K19=0,"",(L19-K19)/K19*100)</f>
      </c>
      <c r="N19" s="27" t="n"/>
    </row>
    <row r="20" ht="15.5" customHeight="1">
      <c r="A20" s="23" t="n"/>
      <c r="B20" s="24" t="n"/>
      <c r="C20" s="23" t="n"/>
      <c r="D20" s="25" t="n"/>
      <c r="E20" s="23" t="n"/>
      <c r="F20" s="23" t="n"/>
      <c r="G20" s="539" t="n"/>
      <c r="H20" s="539" t="n"/>
      <c r="I20" s="539" t="n"/>
      <c r="J20" s="539" t="n"/>
      <c r="K20" s="539" t="n"/>
      <c r="L20" s="539" t="n"/>
      <c r="M20" s="539">
        <f>IF(K20=0,"",(L20-K20)/K20*100)</f>
      </c>
      <c r="N20" s="27" t="n"/>
    </row>
    <row r="21" ht="15.5" customHeight="1">
      <c r="A21" s="23" t="n"/>
      <c r="B21" s="24" t="n"/>
      <c r="C21" s="23" t="n"/>
      <c r="D21" s="25" t="n"/>
      <c r="E21" s="23" t="n"/>
      <c r="F21" s="23" t="n"/>
      <c r="G21" s="539" t="n"/>
      <c r="H21" s="539" t="n"/>
      <c r="I21" s="539" t="n"/>
      <c r="J21" s="539" t="n"/>
      <c r="K21" s="539" t="n"/>
      <c r="L21" s="539" t="n"/>
      <c r="M21" s="539">
        <f>IF(K21=0,"",(L21-K21)/K21*100)</f>
      </c>
      <c r="N21" s="27" t="n"/>
    </row>
    <row r="22" ht="15.5" customHeight="1">
      <c r="A22" s="23" t="n"/>
      <c r="B22" s="24" t="n"/>
      <c r="C22" s="23" t="n"/>
      <c r="D22" s="25" t="n"/>
      <c r="E22" s="23" t="n"/>
      <c r="F22" s="23" t="n"/>
      <c r="G22" s="539" t="n"/>
      <c r="H22" s="539" t="n"/>
      <c r="I22" s="539" t="n"/>
      <c r="J22" s="539" t="n"/>
      <c r="K22" s="539" t="n"/>
      <c r="L22" s="539" t="n"/>
      <c r="M22" s="539">
        <f>IF(K22=0,"",(L22-K22)/K22*100)</f>
      </c>
      <c r="N22" s="27" t="n"/>
    </row>
    <row r="23" ht="15.5" customHeight="1">
      <c r="A23" s="23" t="n"/>
      <c r="B23" s="24" t="n"/>
      <c r="C23" s="23" t="n"/>
      <c r="D23" s="25" t="n"/>
      <c r="E23" s="23" t="n"/>
      <c r="F23" s="23" t="n"/>
      <c r="G23" s="539" t="n"/>
      <c r="H23" s="539" t="n"/>
      <c r="I23" s="539" t="n"/>
      <c r="J23" s="539" t="n"/>
      <c r="K23" s="539" t="n"/>
      <c r="L23" s="539" t="n"/>
      <c r="M23" s="539">
        <f>IF(K23=0,"",(L23-K23)/K23*100)</f>
      </c>
      <c r="N23" s="27" t="n"/>
    </row>
    <row r="24" ht="15.5" customHeight="1">
      <c r="A24" s="23" t="n"/>
      <c r="B24" s="24" t="n"/>
      <c r="C24" s="23" t="n"/>
      <c r="D24" s="25" t="n"/>
      <c r="E24" s="23" t="n"/>
      <c r="F24" s="23" t="n"/>
      <c r="G24" s="539" t="n"/>
      <c r="H24" s="539" t="n"/>
      <c r="I24" s="539" t="n"/>
      <c r="J24" s="539" t="n"/>
      <c r="K24" s="539" t="n"/>
      <c r="L24" s="539" t="n"/>
      <c r="M24" s="539">
        <f>IF(K24=0,"",(L24-K24)/K24*100)</f>
      </c>
      <c r="N24" s="27" t="n"/>
    </row>
    <row r="25" ht="15.5" customHeight="1">
      <c r="A25" s="23" t="n"/>
      <c r="B25" s="24" t="n"/>
      <c r="C25" s="23" t="n"/>
      <c r="D25" s="25" t="n"/>
      <c r="E25" s="23" t="n"/>
      <c r="F25" s="23" t="n"/>
      <c r="G25" s="539" t="n"/>
      <c r="H25" s="539" t="n"/>
      <c r="I25" s="539" t="n"/>
      <c r="J25" s="539" t="n"/>
      <c r="K25" s="539" t="n"/>
      <c r="L25" s="539" t="n"/>
      <c r="M25" s="539">
        <f>IF(K25=0,"",(L25-K25)/K25*100)</f>
      </c>
      <c r="N25" s="27" t="n"/>
    </row>
    <row r="26" ht="15.5" customHeight="1">
      <c r="A26" s="23" t="n"/>
      <c r="B26" s="24" t="n"/>
      <c r="C26" s="23" t="n"/>
      <c r="D26" s="25" t="n"/>
      <c r="E26" s="23" t="n"/>
      <c r="F26" s="23" t="n"/>
      <c r="G26" s="539" t="n"/>
      <c r="H26" s="539" t="n"/>
      <c r="I26" s="539" t="n"/>
      <c r="J26" s="539" t="n"/>
      <c r="K26" s="539" t="n"/>
      <c r="L26" s="539" t="n"/>
      <c r="M26" s="539" t="n"/>
      <c r="N26" s="27" t="n"/>
    </row>
    <row r="27" ht="15.5" customHeight="1">
      <c r="A27" s="21" t="inlineStr">
        <is>
          <t>合            计</t>
        </is>
      </c>
      <c r="B27" s="28" t="n"/>
      <c r="C27" s="23" t="n"/>
      <c r="D27" s="25" t="n"/>
      <c r="E27" s="23" t="n"/>
      <c r="F27" s="23" t="n"/>
      <c r="G27" s="539" t="n"/>
      <c r="H27" s="539" t="n"/>
      <c r="I27" s="539">
        <f>SUM(I6:I26)</f>
      </c>
      <c r="J27" s="539" t="n"/>
      <c r="K27" s="539">
        <f>SUM(K6:K26)</f>
      </c>
      <c r="L27" s="539">
        <f>SUM(L6:L26)</f>
      </c>
      <c r="M27" s="539">
        <f>IF(K27=0,"",(L27-K27)/K27*100)</f>
      </c>
      <c r="N27" s="27" t="n"/>
    </row>
    <row r="28" ht="15.5" customHeight="1">
      <c r="A28" s="29">
        <f>封面!D11&amp;封面!G11</f>
      </c>
      <c r="K28" s="536">
        <f>"评估人员："&amp;封面!G22</f>
      </c>
    </row>
    <row r="29" ht="15.5" customHeight="1">
      <c r="A29" s="29">
        <f>CONCATENATE(封面!D13,封面!F13,封面!G13,封面!H13,封面!I13,封面!J13,封面!K13)</f>
      </c>
    </row>
  </sheetData>
  <mergeCells count="3">
    <mergeCell ref="A27:B27"/>
    <mergeCell ref="A3:N3"/>
    <mergeCell ref="A2:N2"/>
  </mergeCells>
  <hyperlinks>
    <hyperlink ref="A1" location="索引目录!E28" display="返回索引页"/>
    <hyperlink ref="B1" location="可供出售金融资产汇总!B6" display="返回"/>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Roman,常规"&amp;P&amp;"宋体,常规"4-1-1_x000a_页</oddHeader>
    <oddFooter/>
    <evenHeader/>
    <evenFooter/>
    <firstHeader/>
    <firstFooter/>
  </headerFooter>
  <legacyDrawing xmlns:r="http://schemas.openxmlformats.org/officeDocument/2006/relationships" r:id="anysvml"/>
</worksheet>
</file>

<file path=xl/worksheets/sheet36.xml><?xml version="1.0" encoding="utf-8"?>
<worksheet xmlns="http://schemas.openxmlformats.org/spreadsheetml/2006/main">
  <sheetPr codeName="Sheet36">
    <outlinePr summaryBelow="1" summaryRight="1"/>
    <pageSetUpPr fitToPage="1"/>
  </sheetPr>
  <dimension ref="A1:N29"/>
  <sheetViews>
    <sheetView view="pageBreakPreview" zoomScale="60" zoomScaleNormal="100" workbookViewId="0">
      <selection activeCell="G451" sqref="G451"/>
    </sheetView>
  </sheetViews>
  <sheetFormatPr baseColWidth="8" defaultColWidth="9" defaultRowHeight="15.75" customHeight="1"/>
  <cols>
    <col width="4.33333333333333" customWidth="1" style="13" min="1" max="1"/>
    <col width="18.3333333333333" customWidth="1" style="13" min="2" max="2"/>
    <col width="9.5" customWidth="1" style="13" min="3" max="3"/>
    <col width="7.83333333333333" customWidth="1" style="13" min="4" max="4"/>
    <col width="9" customWidth="1" style="13" min="5" max="5"/>
    <col width="9.33333333333333" customWidth="1" style="13" min="6" max="6"/>
    <col width="11.0833333333333" customWidth="1" style="13" min="7" max="7"/>
    <col hidden="1" outlineLevel="1" width="15.3333333333333" customWidth="1" style="13" min="8" max="9"/>
    <col collapsed="1" width="15.3333333333333" customWidth="1" style="13" min="10" max="10"/>
    <col width="15" customWidth="1" style="13" min="11" max="11"/>
    <col width="11.0833333333333" customWidth="1" style="13" min="12" max="12"/>
    <col width="10.5833333333333" customWidth="1" style="13" min="13" max="13"/>
    <col width="9" customWidth="1" style="13" min="14"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row>
    <row r="2" ht="30" customFormat="1" customHeight="1" s="11">
      <c r="A2" s="17" t="inlineStr">
        <is>
          <t>可供出售金融资产—债券投资评估明细表</t>
        </is>
      </c>
    </row>
    <row r="3" ht="14.15" customHeight="1">
      <c r="A3" s="535">
        <f>CONCATENATE(封面!D9,封面!F9,封面!G9,封面!H9,封面!I9,封面!J9,封面!K9)</f>
      </c>
      <c r="N3" s="12" t="n"/>
    </row>
    <row r="4" ht="15.5" customHeight="1">
      <c r="A4" s="536">
        <f>封面!D7&amp;封面!F7</f>
      </c>
      <c r="M4" s="20" t="inlineStr">
        <is>
          <t>金额单位：人民币元</t>
        </is>
      </c>
    </row>
    <row r="5" ht="13" customFormat="1" customHeight="1" s="12">
      <c r="A5" s="21" t="inlineStr">
        <is>
          <t>序号</t>
        </is>
      </c>
      <c r="B5" s="21" t="inlineStr">
        <is>
          <t>被投资单位名称</t>
        </is>
      </c>
      <c r="C5" s="21" t="inlineStr">
        <is>
          <t>债券种类</t>
        </is>
      </c>
      <c r="D5" s="21" t="inlineStr">
        <is>
          <t>发行日期</t>
        </is>
      </c>
      <c r="E5" s="21" t="inlineStr">
        <is>
          <t>到期日</t>
        </is>
      </c>
      <c r="F5" s="21" t="inlineStr">
        <is>
          <t>票面利率%</t>
        </is>
      </c>
      <c r="G5" s="21" t="inlineStr">
        <is>
          <t>成本（面值）</t>
        </is>
      </c>
      <c r="H5" s="22" t="inlineStr">
        <is>
          <t>审计前账面值</t>
        </is>
      </c>
      <c r="I5" s="22" t="inlineStr">
        <is>
          <t>审计调整</t>
        </is>
      </c>
      <c r="J5" s="21" t="inlineStr">
        <is>
          <t>账面价值</t>
        </is>
      </c>
      <c r="K5" s="21" t="inlineStr">
        <is>
          <t>评估价值</t>
        </is>
      </c>
      <c r="L5" s="21" t="inlineStr">
        <is>
          <t>增值率%</t>
        </is>
      </c>
      <c r="M5" s="21" t="inlineStr">
        <is>
          <t>备注</t>
        </is>
      </c>
    </row>
    <row r="6" ht="15.5" customHeight="1">
      <c r="A6" s="23" t="n"/>
      <c r="B6" s="24" t="n"/>
      <c r="C6" s="23" t="n"/>
      <c r="D6" s="25" t="n"/>
      <c r="E6" s="25" t="n"/>
      <c r="F6" s="23" t="n"/>
      <c r="G6" s="23" t="n"/>
      <c r="H6" s="539" t="n"/>
      <c r="I6" s="539" t="n"/>
      <c r="J6" s="539" t="n"/>
      <c r="K6" s="539" t="n"/>
      <c r="L6" s="539">
        <f>IF(J6=0,"",(K6-J6)/J6*100)</f>
      </c>
      <c r="M6" s="27" t="n"/>
    </row>
    <row r="7" ht="15.5" customHeight="1">
      <c r="A7" s="23" t="n"/>
      <c r="B7" s="24" t="n"/>
      <c r="C7" s="23" t="n"/>
      <c r="D7" s="25" t="n"/>
      <c r="E7" s="25" t="n"/>
      <c r="F7" s="23" t="n"/>
      <c r="G7" s="23" t="n"/>
      <c r="H7" s="539" t="n"/>
      <c r="I7" s="539" t="n"/>
      <c r="J7" s="539" t="n"/>
      <c r="K7" s="539" t="n"/>
      <c r="L7" s="539">
        <f>IF(J7=0,"",(K7-J7)/J7*100)</f>
      </c>
      <c r="M7" s="27" t="n"/>
    </row>
    <row r="8" ht="15.5" customHeight="1">
      <c r="A8" s="23" t="n"/>
      <c r="B8" s="24" t="n"/>
      <c r="C8" s="23" t="n"/>
      <c r="D8" s="25" t="n"/>
      <c r="E8" s="25" t="n"/>
      <c r="F8" s="23" t="n"/>
      <c r="G8" s="23" t="n"/>
      <c r="H8" s="539" t="n"/>
      <c r="I8" s="539" t="n"/>
      <c r="J8" s="539" t="n"/>
      <c r="K8" s="539" t="n"/>
      <c r="L8" s="539">
        <f>IF(J8=0,"",(K8-J8)/J8*100)</f>
      </c>
      <c r="M8" s="27" t="n"/>
    </row>
    <row r="9" ht="15.5" customHeight="1">
      <c r="A9" s="23" t="n"/>
      <c r="B9" s="24" t="n"/>
      <c r="C9" s="23" t="n"/>
      <c r="D9" s="25" t="n"/>
      <c r="E9" s="25" t="n"/>
      <c r="F9" s="23" t="n"/>
      <c r="G9" s="23" t="n"/>
      <c r="H9" s="539" t="n"/>
      <c r="I9" s="539" t="n"/>
      <c r="J9" s="539" t="n"/>
      <c r="K9" s="539" t="n"/>
      <c r="L9" s="539">
        <f>IF(J9=0,"",(K9-J9)/J9*100)</f>
      </c>
      <c r="M9" s="27" t="n"/>
    </row>
    <row r="10" ht="15.5" customHeight="1">
      <c r="A10" s="23" t="n"/>
      <c r="B10" s="24" t="n"/>
      <c r="C10" s="23" t="n"/>
      <c r="D10" s="25" t="n"/>
      <c r="E10" s="25" t="n"/>
      <c r="F10" s="23" t="n"/>
      <c r="G10" s="23" t="n"/>
      <c r="H10" s="539" t="n"/>
      <c r="I10" s="539" t="n"/>
      <c r="J10" s="539" t="n"/>
      <c r="K10" s="539" t="n"/>
      <c r="L10" s="539">
        <f>IF(J10=0,"",(K10-J10)/J10*100)</f>
      </c>
      <c r="M10" s="27" t="n"/>
    </row>
    <row r="11" ht="15.5" customHeight="1">
      <c r="A11" s="23" t="n"/>
      <c r="B11" s="24" t="n"/>
      <c r="C11" s="23" t="n"/>
      <c r="D11" s="25" t="n"/>
      <c r="E11" s="25" t="n"/>
      <c r="F11" s="23" t="n"/>
      <c r="G11" s="23" t="n"/>
      <c r="H11" s="539" t="n"/>
      <c r="I11" s="539" t="n"/>
      <c r="J11" s="539" t="n"/>
      <c r="K11" s="539" t="n"/>
      <c r="L11" s="539">
        <f>IF(J11=0,"",(K11-J11)/J11*100)</f>
      </c>
      <c r="M11" s="27" t="n"/>
    </row>
    <row r="12" ht="15.5" customHeight="1">
      <c r="A12" s="23" t="n"/>
      <c r="B12" s="24" t="n"/>
      <c r="C12" s="23" t="n"/>
      <c r="D12" s="25" t="n"/>
      <c r="E12" s="25" t="n"/>
      <c r="F12" s="23" t="n"/>
      <c r="G12" s="23" t="n"/>
      <c r="H12" s="539" t="n"/>
      <c r="I12" s="539" t="n"/>
      <c r="J12" s="539" t="n"/>
      <c r="K12" s="539" t="n"/>
      <c r="L12" s="539">
        <f>IF(J12=0,"",(K12-J12)/J12*100)</f>
      </c>
      <c r="M12" s="27" t="n"/>
    </row>
    <row r="13" ht="15.5" customHeight="1">
      <c r="A13" s="23" t="n"/>
      <c r="B13" s="24" t="n"/>
      <c r="C13" s="23" t="n"/>
      <c r="D13" s="25" t="n"/>
      <c r="E13" s="25" t="n"/>
      <c r="F13" s="23" t="n"/>
      <c r="G13" s="23" t="n"/>
      <c r="H13" s="539" t="n"/>
      <c r="I13" s="539" t="n"/>
      <c r="J13" s="539" t="n"/>
      <c r="K13" s="539" t="n"/>
      <c r="L13" s="539">
        <f>IF(J13=0,"",(K13-J13)/J13*100)</f>
      </c>
      <c r="M13" s="27" t="n"/>
    </row>
    <row r="14" ht="15.5" customHeight="1">
      <c r="A14" s="23" t="n"/>
      <c r="B14" s="24" t="n"/>
      <c r="C14" s="23" t="n"/>
      <c r="D14" s="25" t="n"/>
      <c r="E14" s="25" t="n"/>
      <c r="F14" s="23" t="n"/>
      <c r="G14" s="23" t="n"/>
      <c r="H14" s="539" t="n"/>
      <c r="I14" s="539" t="n"/>
      <c r="J14" s="539" t="n"/>
      <c r="K14" s="539" t="n"/>
      <c r="L14" s="539">
        <f>IF(J14=0,"",(K14-J14)/J14*100)</f>
      </c>
      <c r="M14" s="27" t="n"/>
    </row>
    <row r="15" ht="15.5" customHeight="1">
      <c r="A15" s="23" t="n"/>
      <c r="B15" s="24" t="n"/>
      <c r="C15" s="23" t="n"/>
      <c r="D15" s="25" t="n"/>
      <c r="E15" s="25" t="n"/>
      <c r="F15" s="23" t="n"/>
      <c r="G15" s="23" t="n"/>
      <c r="H15" s="539" t="n"/>
      <c r="I15" s="539" t="n"/>
      <c r="J15" s="539" t="n"/>
      <c r="K15" s="539" t="n"/>
      <c r="L15" s="539">
        <f>IF(J15=0,"",(K15-J15)/J15*100)</f>
      </c>
      <c r="M15" s="27" t="n"/>
    </row>
    <row r="16" ht="15.5" customHeight="1">
      <c r="A16" s="23" t="n"/>
      <c r="B16" s="24" t="n"/>
      <c r="C16" s="23" t="n"/>
      <c r="D16" s="25" t="n"/>
      <c r="E16" s="25" t="n"/>
      <c r="F16" s="23" t="n"/>
      <c r="G16" s="23" t="n"/>
      <c r="H16" s="539" t="n"/>
      <c r="I16" s="539" t="n"/>
      <c r="J16" s="539" t="n"/>
      <c r="K16" s="539" t="n"/>
      <c r="L16" s="539">
        <f>IF(J16=0,"",(K16-J16)/J16*100)</f>
      </c>
      <c r="M16" s="27" t="n"/>
    </row>
    <row r="17" ht="15.5" customHeight="1">
      <c r="A17" s="23" t="n"/>
      <c r="B17" s="24" t="n"/>
      <c r="C17" s="23" t="n"/>
      <c r="D17" s="25" t="n"/>
      <c r="E17" s="25" t="n"/>
      <c r="F17" s="23" t="n"/>
      <c r="G17" s="23" t="n"/>
      <c r="H17" s="539" t="n"/>
      <c r="I17" s="539" t="n"/>
      <c r="J17" s="539" t="n"/>
      <c r="K17" s="539" t="n"/>
      <c r="L17" s="539">
        <f>IF(J17=0,"",(K17-J17)/J17*100)</f>
      </c>
      <c r="M17" s="27" t="n"/>
    </row>
    <row r="18" ht="15.5" customHeight="1">
      <c r="A18" s="23" t="n"/>
      <c r="B18" s="24" t="n"/>
      <c r="C18" s="23" t="n"/>
      <c r="D18" s="25" t="n"/>
      <c r="E18" s="25" t="n"/>
      <c r="F18" s="23" t="n"/>
      <c r="G18" s="23" t="n"/>
      <c r="H18" s="539" t="n"/>
      <c r="I18" s="539" t="n"/>
      <c r="J18" s="539" t="n"/>
      <c r="K18" s="539" t="n"/>
      <c r="L18" s="539">
        <f>IF(J18=0,"",(K18-J18)/J18*100)</f>
      </c>
      <c r="M18" s="27" t="n"/>
    </row>
    <row r="19" ht="15.5" customHeight="1">
      <c r="A19" s="23" t="n"/>
      <c r="B19" s="24" t="n"/>
      <c r="C19" s="23" t="n"/>
      <c r="D19" s="25" t="n"/>
      <c r="E19" s="25" t="n"/>
      <c r="F19" s="23" t="n"/>
      <c r="G19" s="23" t="n"/>
      <c r="H19" s="539" t="n"/>
      <c r="I19" s="539" t="n"/>
      <c r="J19" s="539" t="n"/>
      <c r="K19" s="539" t="n"/>
      <c r="L19" s="539">
        <f>IF(J19=0,"",(K19-J19)/J19*100)</f>
      </c>
      <c r="M19" s="27" t="n"/>
    </row>
    <row r="20" ht="15.5" customHeight="1">
      <c r="A20" s="23" t="n"/>
      <c r="B20" s="24" t="n"/>
      <c r="C20" s="23" t="n"/>
      <c r="D20" s="25" t="n"/>
      <c r="E20" s="25" t="n"/>
      <c r="F20" s="23" t="n"/>
      <c r="G20" s="23" t="n"/>
      <c r="H20" s="539" t="n"/>
      <c r="I20" s="539" t="n"/>
      <c r="J20" s="539" t="n"/>
      <c r="K20" s="539" t="n"/>
      <c r="L20" s="539">
        <f>IF(J20=0,"",(K20-J20)/J20*100)</f>
      </c>
      <c r="M20" s="27" t="n"/>
    </row>
    <row r="21" ht="15.5" customHeight="1">
      <c r="A21" s="23" t="n"/>
      <c r="B21" s="24" t="n"/>
      <c r="C21" s="23" t="n"/>
      <c r="D21" s="25" t="n"/>
      <c r="E21" s="25" t="n"/>
      <c r="F21" s="23" t="n"/>
      <c r="G21" s="23" t="n"/>
      <c r="H21" s="539" t="n"/>
      <c r="I21" s="539" t="n"/>
      <c r="J21" s="539" t="n"/>
      <c r="K21" s="539" t="n"/>
      <c r="L21" s="539">
        <f>IF(J21=0,"",(K21-J21)/J21*100)</f>
      </c>
      <c r="M21" s="27" t="n"/>
    </row>
    <row r="22" ht="15.5" customHeight="1">
      <c r="A22" s="23" t="n"/>
      <c r="B22" s="24" t="n"/>
      <c r="C22" s="23" t="n"/>
      <c r="D22" s="25" t="n"/>
      <c r="E22" s="25" t="n"/>
      <c r="F22" s="23" t="n"/>
      <c r="G22" s="23" t="n"/>
      <c r="H22" s="539" t="n"/>
      <c r="I22" s="539" t="n"/>
      <c r="J22" s="539" t="n"/>
      <c r="K22" s="539" t="n"/>
      <c r="L22" s="539">
        <f>IF(J22=0,"",(K22-J22)/J22*100)</f>
      </c>
      <c r="M22" s="27" t="n"/>
    </row>
    <row r="23" ht="15.5" customHeight="1">
      <c r="A23" s="23" t="n"/>
      <c r="B23" s="24" t="n"/>
      <c r="C23" s="23" t="n"/>
      <c r="D23" s="25" t="n"/>
      <c r="E23" s="25" t="n"/>
      <c r="F23" s="23" t="n"/>
      <c r="G23" s="23" t="n"/>
      <c r="H23" s="539" t="n"/>
      <c r="I23" s="539" t="n"/>
      <c r="J23" s="539" t="n"/>
      <c r="K23" s="539" t="n"/>
      <c r="L23" s="539">
        <f>IF(J23=0,"",(K23-J23)/J23*100)</f>
      </c>
      <c r="M23" s="27" t="n"/>
    </row>
    <row r="24" ht="15.5" customHeight="1">
      <c r="A24" s="23" t="n"/>
      <c r="B24" s="24" t="n"/>
      <c r="C24" s="23" t="n"/>
      <c r="D24" s="25" t="n"/>
      <c r="E24" s="25" t="n"/>
      <c r="F24" s="23" t="n"/>
      <c r="G24" s="23" t="n"/>
      <c r="H24" s="539" t="n"/>
      <c r="I24" s="539" t="n"/>
      <c r="J24" s="539" t="n"/>
      <c r="K24" s="539" t="n"/>
      <c r="L24" s="539">
        <f>IF(J24=0,"",(K24-J24)/J24*100)</f>
      </c>
      <c r="M24" s="27" t="n"/>
    </row>
    <row r="25" ht="15.5" customHeight="1">
      <c r="A25" s="23" t="n"/>
      <c r="B25" s="24" t="n"/>
      <c r="C25" s="23" t="n"/>
      <c r="D25" s="25" t="n"/>
      <c r="E25" s="25" t="n"/>
      <c r="F25" s="23" t="n"/>
      <c r="G25" s="23" t="n"/>
      <c r="H25" s="539" t="n"/>
      <c r="I25" s="539" t="n"/>
      <c r="J25" s="539" t="n"/>
      <c r="K25" s="539" t="n"/>
      <c r="L25" s="539">
        <f>IF(J25=0,"",(K25-J25)/J25*100)</f>
      </c>
      <c r="M25" s="27" t="n"/>
    </row>
    <row r="26" ht="15.5" customHeight="1">
      <c r="A26" s="23" t="n"/>
      <c r="B26" s="24" t="n"/>
      <c r="C26" s="23" t="n"/>
      <c r="D26" s="25" t="n"/>
      <c r="E26" s="25" t="n"/>
      <c r="F26" s="23" t="n"/>
      <c r="G26" s="23" t="n"/>
      <c r="H26" s="539" t="n"/>
      <c r="I26" s="539" t="n"/>
      <c r="J26" s="539" t="n"/>
      <c r="K26" s="539" t="n"/>
      <c r="L26" s="539" t="n"/>
      <c r="M26" s="27" t="n"/>
    </row>
    <row r="27" ht="15.5" customHeight="1">
      <c r="A27" s="21" t="inlineStr">
        <is>
          <t>合            计</t>
        </is>
      </c>
      <c r="B27" s="28" t="n"/>
      <c r="C27" s="23" t="n"/>
      <c r="D27" s="25" t="n"/>
      <c r="E27" s="25" t="n"/>
      <c r="F27" s="23" t="n"/>
      <c r="G27" s="23" t="n"/>
      <c r="H27" s="539">
        <f>SUM(H6:H26)</f>
      </c>
      <c r="I27" s="539" t="n"/>
      <c r="J27" s="539">
        <f>SUM(J6:J26)</f>
      </c>
      <c r="K27" s="539">
        <f>SUM(K6:K26)</f>
      </c>
      <c r="L27" s="539">
        <f>IF(J27=0,"",(K27-J27)/J27*100)</f>
      </c>
      <c r="M27" s="27" t="n"/>
    </row>
    <row r="28" ht="15.5" customHeight="1">
      <c r="A28" s="29">
        <f>封面!D11&amp;封面!G11</f>
      </c>
      <c r="J28" s="536">
        <f>"评估人员："&amp;封面!G22</f>
      </c>
    </row>
    <row r="29" ht="15.5" customHeight="1">
      <c r="A29" s="29">
        <f>CONCATENATE(封面!D13,封面!F13,封面!G13,封面!H13,封面!I13,封面!J13,封面!K13)</f>
      </c>
    </row>
  </sheetData>
  <mergeCells count="3">
    <mergeCell ref="A27:B27"/>
    <mergeCell ref="A3:M3"/>
    <mergeCell ref="A2:M2"/>
  </mergeCells>
  <hyperlinks>
    <hyperlink ref="A1" location="索引目录!E29" display="返回索引页"/>
    <hyperlink ref="B1" location="可供出售金融资产汇总!B7"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Roman,常规"&amp;P&amp;"宋体,常规"4-1-2_x000a_页</oddHeader>
    <oddFooter/>
    <evenHeader/>
    <evenFooter/>
    <firstHeader/>
    <firstFooter/>
  </headerFooter>
</worksheet>
</file>

<file path=xl/worksheets/sheet37.xml><?xml version="1.0" encoding="utf-8"?>
<worksheet xmlns="http://schemas.openxmlformats.org/spreadsheetml/2006/main">
  <sheetPr codeName="Sheet37">
    <outlinePr summaryBelow="1" summaryRight="1"/>
    <pageSetUpPr fitToPage="1"/>
  </sheetPr>
  <dimension ref="A1:M29"/>
  <sheetViews>
    <sheetView view="pageBreakPreview" zoomScale="60" zoomScaleNormal="100" workbookViewId="0">
      <selection activeCell="G451" sqref="G451"/>
    </sheetView>
  </sheetViews>
  <sheetFormatPr baseColWidth="8" defaultColWidth="9" defaultRowHeight="15.75" customHeight="1"/>
  <cols>
    <col width="5.58333333333333" customWidth="1" style="13" min="1" max="1"/>
    <col width="19.8333333333333" customWidth="1" style="13" min="2" max="2"/>
    <col width="14.75" customWidth="1" style="13" min="3" max="3"/>
    <col width="8.33333333333333" customWidth="1" style="13" min="4" max="4"/>
    <col width="7.75" customWidth="1" style="13" min="5" max="5"/>
    <col width="6.58333333333333" customWidth="1" style="13" min="6" max="6"/>
    <col width="11.3333333333333" customWidth="1" style="13" min="7" max="7"/>
    <col hidden="1" outlineLevel="1" width="13.0833333333333" customWidth="1" style="13" min="8" max="9"/>
    <col collapsed="1" width="14.8333333333333" customWidth="1" style="13" min="10" max="10"/>
    <col width="14.3333333333333" customWidth="1" style="13" min="11" max="11"/>
    <col width="9" customWidth="1" style="13" min="12" max="16384"/>
  </cols>
  <sheetData>
    <row r="1" ht="12.75" customHeight="1">
      <c r="A1" s="559" t="inlineStr">
        <is>
          <t>返回索引页</t>
        </is>
      </c>
      <c r="B1" s="15" t="inlineStr">
        <is>
          <t>返回</t>
        </is>
      </c>
      <c r="C1" s="16" t="n"/>
      <c r="D1" s="16" t="n"/>
      <c r="E1" s="16" t="n"/>
      <c r="F1" s="16" t="n"/>
      <c r="G1" s="16" t="n"/>
      <c r="H1" s="16" t="n"/>
      <c r="I1" s="16" t="n"/>
      <c r="J1" s="16" t="n"/>
      <c r="K1" s="16" t="n"/>
      <c r="L1" s="16" t="n"/>
      <c r="M1" s="16" t="n"/>
    </row>
    <row r="2" ht="30" customFormat="1" customHeight="1" s="11">
      <c r="A2" s="17" t="inlineStr">
        <is>
          <t>可供出售金融资产—其他投资评估明细表</t>
        </is>
      </c>
    </row>
    <row r="3" ht="14.15" customHeight="1">
      <c r="A3" s="535">
        <f>CONCATENATE(封面!D9,封面!F9,封面!G9,封面!H9,封面!I9,封面!J9,封面!K9)</f>
      </c>
    </row>
    <row r="4" ht="15.5" customHeight="1">
      <c r="A4" s="536">
        <f>封面!D7&amp;封面!F7</f>
      </c>
      <c r="M4" s="20" t="inlineStr">
        <is>
          <t>金额单位：人民币元</t>
        </is>
      </c>
    </row>
    <row r="5" ht="30.65" customFormat="1" customHeight="1" s="12">
      <c r="A5" s="21" t="inlineStr">
        <is>
          <t>序号</t>
        </is>
      </c>
      <c r="B5" s="21" t="inlineStr">
        <is>
          <t>被投资单位名称</t>
        </is>
      </c>
      <c r="C5" s="21" t="inlineStr">
        <is>
          <t>金融资产名称</t>
        </is>
      </c>
      <c r="D5" s="21" t="inlineStr">
        <is>
          <t>投资日期</t>
        </is>
      </c>
      <c r="E5" s="21" t="inlineStr">
        <is>
          <t>持有数量</t>
        </is>
      </c>
      <c r="F5" s="22" t="inlineStr">
        <is>
          <t>基准日市价</t>
        </is>
      </c>
      <c r="G5" s="22" t="inlineStr">
        <is>
          <t>成本</t>
        </is>
      </c>
      <c r="H5" s="22" t="inlineStr">
        <is>
          <t>审计前账面值</t>
        </is>
      </c>
      <c r="I5" s="22" t="inlineStr">
        <is>
          <t>审计调整</t>
        </is>
      </c>
      <c r="J5" s="21" t="inlineStr">
        <is>
          <t>账面价值</t>
        </is>
      </c>
      <c r="K5" s="21" t="inlineStr">
        <is>
          <t>评估价值</t>
        </is>
      </c>
      <c r="L5" s="21" t="inlineStr">
        <is>
          <t>增值率%</t>
        </is>
      </c>
      <c r="M5" s="21" t="inlineStr">
        <is>
          <t>备注</t>
        </is>
      </c>
    </row>
    <row r="6" ht="15.5" customHeight="1">
      <c r="A6" s="23" t="n"/>
      <c r="B6" s="24" t="n"/>
      <c r="C6" s="23" t="n"/>
      <c r="D6" s="25" t="n"/>
      <c r="E6" s="23" t="n"/>
      <c r="F6" s="539" t="n"/>
      <c r="G6" s="539" t="n"/>
      <c r="H6" s="539" t="n"/>
      <c r="I6" s="539" t="n"/>
      <c r="J6" s="539" t="n"/>
      <c r="K6" s="539" t="n"/>
      <c r="L6" s="539">
        <f>IF(J6=0,"",(K6-J6)/J6*100)</f>
      </c>
      <c r="M6" s="27" t="n"/>
    </row>
    <row r="7" ht="15.5" customHeight="1">
      <c r="A7" s="23" t="n"/>
      <c r="B7" s="24" t="n"/>
      <c r="C7" s="23" t="n"/>
      <c r="D7" s="25" t="n"/>
      <c r="E7" s="23" t="n"/>
      <c r="F7" s="539" t="n"/>
      <c r="G7" s="539" t="n"/>
      <c r="H7" s="539" t="n"/>
      <c r="I7" s="539" t="n"/>
      <c r="J7" s="539" t="n"/>
      <c r="K7" s="539" t="n"/>
      <c r="L7" s="539">
        <f>IF(J7=0,"",(K7-J7)/J7*100)</f>
      </c>
      <c r="M7" s="27" t="n"/>
    </row>
    <row r="8" ht="15.5" customHeight="1">
      <c r="A8" s="23" t="n"/>
      <c r="B8" s="24" t="n"/>
      <c r="C8" s="23" t="n"/>
      <c r="D8" s="25" t="n"/>
      <c r="E8" s="23" t="n"/>
      <c r="F8" s="539" t="n"/>
      <c r="G8" s="539" t="n"/>
      <c r="H8" s="539" t="n"/>
      <c r="I8" s="539" t="n"/>
      <c r="J8" s="539" t="n"/>
      <c r="K8" s="539" t="n"/>
      <c r="L8" s="539">
        <f>IF(J8=0,"",(K8-J8)/J8*100)</f>
      </c>
      <c r="M8" s="27" t="n"/>
    </row>
    <row r="9" ht="15.5" customHeight="1">
      <c r="A9" s="23" t="n"/>
      <c r="B9" s="24" t="n"/>
      <c r="C9" s="23" t="n"/>
      <c r="D9" s="25" t="n"/>
      <c r="E9" s="23" t="n"/>
      <c r="F9" s="539" t="n"/>
      <c r="G9" s="539" t="n"/>
      <c r="H9" s="539" t="n"/>
      <c r="I9" s="539" t="n"/>
      <c r="J9" s="539" t="n"/>
      <c r="K9" s="539" t="n"/>
      <c r="L9" s="539">
        <f>IF(J9=0,"",(K9-J9)/J9*100)</f>
      </c>
      <c r="M9" s="27" t="n"/>
    </row>
    <row r="10" ht="15.5" customHeight="1">
      <c r="A10" s="23" t="n"/>
      <c r="B10" s="24" t="n"/>
      <c r="C10" s="23" t="n"/>
      <c r="D10" s="25" t="n"/>
      <c r="E10" s="23" t="n"/>
      <c r="F10" s="539" t="n"/>
      <c r="G10" s="539" t="n"/>
      <c r="H10" s="539" t="n"/>
      <c r="I10" s="539" t="n"/>
      <c r="J10" s="539" t="n"/>
      <c r="K10" s="539" t="n"/>
      <c r="L10" s="539">
        <f>IF(J10=0,"",(K10-J10)/J10*100)</f>
      </c>
      <c r="M10" s="27" t="n"/>
    </row>
    <row r="11" ht="15.5" customHeight="1">
      <c r="A11" s="23" t="n"/>
      <c r="B11" s="24" t="n"/>
      <c r="C11" s="23" t="n"/>
      <c r="D11" s="25" t="n"/>
      <c r="E11" s="23" t="n"/>
      <c r="F11" s="539" t="n"/>
      <c r="G11" s="539" t="n"/>
      <c r="H11" s="539" t="n"/>
      <c r="I11" s="539" t="n"/>
      <c r="J11" s="539" t="n"/>
      <c r="K11" s="539" t="n"/>
      <c r="L11" s="539">
        <f>IF(J11=0,"",(K11-J11)/J11*100)</f>
      </c>
      <c r="M11" s="27" t="n"/>
    </row>
    <row r="12" ht="15.5" customHeight="1">
      <c r="A12" s="23" t="n"/>
      <c r="B12" s="24" t="n"/>
      <c r="C12" s="23" t="n"/>
      <c r="D12" s="25" t="n"/>
      <c r="E12" s="23" t="n"/>
      <c r="F12" s="539" t="n"/>
      <c r="G12" s="539" t="n"/>
      <c r="H12" s="539" t="n"/>
      <c r="I12" s="539" t="n"/>
      <c r="J12" s="539" t="n"/>
      <c r="K12" s="539" t="n"/>
      <c r="L12" s="539">
        <f>IF(J12=0,"",(K12-J12)/J12*100)</f>
      </c>
      <c r="M12" s="27" t="n"/>
    </row>
    <row r="13" ht="15.5" customHeight="1">
      <c r="A13" s="23" t="n"/>
      <c r="B13" s="24" t="n"/>
      <c r="C13" s="23" t="n"/>
      <c r="D13" s="25" t="n"/>
      <c r="E13" s="23" t="n"/>
      <c r="F13" s="539" t="n"/>
      <c r="G13" s="539" t="n"/>
      <c r="H13" s="539" t="n"/>
      <c r="I13" s="539" t="n"/>
      <c r="J13" s="539" t="n"/>
      <c r="K13" s="539" t="n"/>
      <c r="L13" s="539">
        <f>IF(J13=0,"",(K13-J13)/J13*100)</f>
      </c>
      <c r="M13" s="27" t="n"/>
    </row>
    <row r="14" ht="15.5" customHeight="1">
      <c r="A14" s="23" t="n"/>
      <c r="B14" s="24" t="n"/>
      <c r="C14" s="23" t="n"/>
      <c r="D14" s="25" t="n"/>
      <c r="E14" s="23" t="n"/>
      <c r="F14" s="539" t="n"/>
      <c r="G14" s="539" t="n"/>
      <c r="H14" s="539" t="n"/>
      <c r="I14" s="539" t="n"/>
      <c r="J14" s="539" t="n"/>
      <c r="K14" s="539" t="n"/>
      <c r="L14" s="539">
        <f>IF(J14=0,"",(K14-J14)/J14*100)</f>
      </c>
      <c r="M14" s="27" t="n"/>
    </row>
    <row r="15" ht="15.5" customHeight="1">
      <c r="A15" s="23" t="n"/>
      <c r="B15" s="24" t="n"/>
      <c r="C15" s="23" t="n"/>
      <c r="D15" s="25" t="n"/>
      <c r="E15" s="23" t="n"/>
      <c r="F15" s="539" t="n"/>
      <c r="G15" s="539" t="n"/>
      <c r="H15" s="539" t="n"/>
      <c r="I15" s="539" t="n"/>
      <c r="J15" s="539" t="n"/>
      <c r="K15" s="539" t="n"/>
      <c r="L15" s="539">
        <f>IF(J15=0,"",(K15-J15)/J15*100)</f>
      </c>
      <c r="M15" s="27" t="n"/>
    </row>
    <row r="16" ht="15.5" customHeight="1">
      <c r="A16" s="23" t="n"/>
      <c r="B16" s="24" t="n"/>
      <c r="C16" s="23" t="n"/>
      <c r="D16" s="25" t="n"/>
      <c r="E16" s="23" t="n"/>
      <c r="F16" s="539" t="n"/>
      <c r="G16" s="539" t="n"/>
      <c r="H16" s="539" t="n"/>
      <c r="I16" s="539" t="n"/>
      <c r="J16" s="539" t="n"/>
      <c r="K16" s="539" t="n"/>
      <c r="L16" s="539">
        <f>IF(J16=0,"",(K16-J16)/J16*100)</f>
      </c>
      <c r="M16" s="27" t="n"/>
    </row>
    <row r="17" ht="15.5" customHeight="1">
      <c r="A17" s="23" t="n"/>
      <c r="B17" s="24" t="n"/>
      <c r="C17" s="23" t="n"/>
      <c r="D17" s="25" t="n"/>
      <c r="E17" s="23" t="n"/>
      <c r="F17" s="539" t="n"/>
      <c r="G17" s="539" t="n"/>
      <c r="H17" s="539" t="n"/>
      <c r="I17" s="539" t="n"/>
      <c r="J17" s="539" t="n"/>
      <c r="K17" s="539" t="n"/>
      <c r="L17" s="539">
        <f>IF(J17=0,"",(K17-J17)/J17*100)</f>
      </c>
      <c r="M17" s="27" t="n"/>
    </row>
    <row r="18" ht="15.5" customHeight="1">
      <c r="A18" s="23" t="n"/>
      <c r="B18" s="24" t="n"/>
      <c r="C18" s="23" t="n"/>
      <c r="D18" s="25" t="n"/>
      <c r="E18" s="23" t="n"/>
      <c r="F18" s="539" t="n"/>
      <c r="G18" s="539" t="n"/>
      <c r="H18" s="539" t="n"/>
      <c r="I18" s="539" t="n"/>
      <c r="J18" s="539" t="n"/>
      <c r="K18" s="539" t="n"/>
      <c r="L18" s="539">
        <f>IF(J18=0,"",(K18-J18)/J18*100)</f>
      </c>
      <c r="M18" s="27" t="n"/>
    </row>
    <row r="19" ht="15.5" customHeight="1">
      <c r="A19" s="23" t="n"/>
      <c r="B19" s="24" t="n"/>
      <c r="C19" s="23" t="n"/>
      <c r="D19" s="25" t="n"/>
      <c r="E19" s="23" t="n"/>
      <c r="F19" s="539" t="n"/>
      <c r="G19" s="539" t="n"/>
      <c r="H19" s="539" t="n"/>
      <c r="I19" s="539" t="n"/>
      <c r="J19" s="539" t="n"/>
      <c r="K19" s="539" t="n"/>
      <c r="L19" s="539">
        <f>IF(J19=0,"",(K19-J19)/J19*100)</f>
      </c>
      <c r="M19" s="27" t="n"/>
    </row>
    <row r="20" ht="15.5" customHeight="1">
      <c r="A20" s="23" t="n"/>
      <c r="B20" s="24" t="n"/>
      <c r="C20" s="23" t="n"/>
      <c r="D20" s="25" t="n"/>
      <c r="E20" s="23" t="n"/>
      <c r="F20" s="539" t="n"/>
      <c r="G20" s="539" t="n"/>
      <c r="H20" s="539" t="n"/>
      <c r="I20" s="539" t="n"/>
      <c r="J20" s="539" t="n"/>
      <c r="K20" s="539" t="n"/>
      <c r="L20" s="539">
        <f>IF(J20=0,"",(K20-J20)/J20*100)</f>
      </c>
      <c r="M20" s="27" t="n"/>
    </row>
    <row r="21" ht="15.5" customHeight="1">
      <c r="A21" s="23" t="n"/>
      <c r="B21" s="24" t="n"/>
      <c r="C21" s="23" t="n"/>
      <c r="D21" s="25" t="n"/>
      <c r="E21" s="23" t="n"/>
      <c r="F21" s="539" t="n"/>
      <c r="G21" s="539" t="n"/>
      <c r="H21" s="539" t="n"/>
      <c r="I21" s="539" t="n"/>
      <c r="J21" s="539" t="n"/>
      <c r="K21" s="539" t="n"/>
      <c r="L21" s="539">
        <f>IF(J21=0,"",(K21-J21)/J21*100)</f>
      </c>
      <c r="M21" s="27" t="n"/>
    </row>
    <row r="22" ht="15.5" customHeight="1">
      <c r="A22" s="23" t="n"/>
      <c r="B22" s="24" t="n"/>
      <c r="C22" s="23" t="n"/>
      <c r="D22" s="25" t="n"/>
      <c r="E22" s="23" t="n"/>
      <c r="F22" s="539" t="n"/>
      <c r="G22" s="539" t="n"/>
      <c r="H22" s="539" t="n"/>
      <c r="I22" s="539" t="n"/>
      <c r="J22" s="539" t="n"/>
      <c r="K22" s="539" t="n"/>
      <c r="L22" s="539">
        <f>IF(J22=0,"",(K22-J22)/J22*100)</f>
      </c>
      <c r="M22" s="27" t="n"/>
    </row>
    <row r="23" ht="15.5" customHeight="1">
      <c r="A23" s="23" t="n"/>
      <c r="B23" s="24" t="n"/>
      <c r="C23" s="23" t="n"/>
      <c r="D23" s="25" t="n"/>
      <c r="E23" s="23" t="n"/>
      <c r="F23" s="539" t="n"/>
      <c r="G23" s="539" t="n"/>
      <c r="H23" s="539" t="n"/>
      <c r="I23" s="539" t="n"/>
      <c r="J23" s="539" t="n"/>
      <c r="K23" s="539" t="n"/>
      <c r="L23" s="539">
        <f>IF(J23=0,"",(K23-J23)/J23*100)</f>
      </c>
      <c r="M23" s="27" t="n"/>
    </row>
    <row r="24" ht="15.5" customHeight="1">
      <c r="A24" s="23" t="n"/>
      <c r="B24" s="24" t="n"/>
      <c r="C24" s="23" t="n"/>
      <c r="D24" s="25" t="n"/>
      <c r="E24" s="23" t="n"/>
      <c r="F24" s="539" t="n"/>
      <c r="G24" s="539" t="n"/>
      <c r="H24" s="539" t="n"/>
      <c r="I24" s="539" t="n"/>
      <c r="J24" s="539" t="n"/>
      <c r="K24" s="539" t="n"/>
      <c r="L24" s="539">
        <f>IF(J24=0,"",(K24-J24)/J24*100)</f>
      </c>
      <c r="M24" s="27" t="n"/>
    </row>
    <row r="25" ht="15.5" customHeight="1">
      <c r="A25" s="23" t="n"/>
      <c r="B25" s="24" t="n"/>
      <c r="C25" s="23" t="n"/>
      <c r="D25" s="25" t="n"/>
      <c r="E25" s="23" t="n"/>
      <c r="F25" s="539" t="n"/>
      <c r="G25" s="539" t="n"/>
      <c r="H25" s="539" t="n"/>
      <c r="I25" s="539" t="n"/>
      <c r="J25" s="539" t="n"/>
      <c r="K25" s="539" t="n"/>
      <c r="L25" s="539">
        <f>IF(J25=0,"",(K25-J25)/J25*100)</f>
      </c>
      <c r="M25" s="27" t="n"/>
    </row>
    <row r="26" ht="15.5" customHeight="1">
      <c r="A26" s="23" t="n"/>
      <c r="B26" s="24" t="n"/>
      <c r="C26" s="23" t="n"/>
      <c r="D26" s="25" t="n"/>
      <c r="E26" s="23" t="n"/>
      <c r="F26" s="539" t="n"/>
      <c r="G26" s="539" t="n"/>
      <c r="H26" s="539" t="n"/>
      <c r="I26" s="539" t="n"/>
      <c r="J26" s="539" t="n"/>
      <c r="K26" s="539" t="n"/>
      <c r="L26" s="539" t="n"/>
      <c r="M26" s="27" t="n"/>
    </row>
    <row r="27" ht="15.5" customHeight="1">
      <c r="A27" s="21" t="inlineStr">
        <is>
          <t>合            计</t>
        </is>
      </c>
      <c r="B27" s="28" t="n"/>
      <c r="C27" s="23" t="n"/>
      <c r="D27" s="25" t="n"/>
      <c r="E27" s="23" t="n"/>
      <c r="F27" s="539" t="n"/>
      <c r="G27" s="539" t="n"/>
      <c r="H27" s="539">
        <f>SUM(H6:H26)</f>
      </c>
      <c r="I27" s="539" t="n"/>
      <c r="J27" s="539">
        <f>SUM(J6:J26)</f>
      </c>
      <c r="K27" s="539">
        <f>SUM(K6:K26)</f>
      </c>
      <c r="L27" s="539">
        <f>IF(J27=0,"",(K27-J27)/J27*100)</f>
      </c>
      <c r="M27" s="27" t="n"/>
    </row>
    <row r="28" ht="15.5" customHeight="1">
      <c r="A28" s="29">
        <f>封面!D11&amp;封面!G11</f>
      </c>
      <c r="J28" s="536">
        <f>"评估人员："&amp;封面!G22</f>
      </c>
    </row>
    <row r="29" ht="15.5" customHeight="1">
      <c r="A29" s="29">
        <f>CONCATENATE(封面!D13,封面!F13,封面!G13,封面!H13,封面!I13,封面!J13,封面!K13)</f>
      </c>
    </row>
  </sheetData>
  <mergeCells count="3">
    <mergeCell ref="A27:B27"/>
    <mergeCell ref="A3:M3"/>
    <mergeCell ref="A2:M2"/>
  </mergeCells>
  <hyperlinks>
    <hyperlink ref="A1" location="索引目录!E30" display="返回索引页"/>
    <hyperlink ref="B1" location="可供出售金融资产汇总!B8" display="返回"/>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Roman,常规"&amp;P&amp;"宋体,常规"4-1-3_x000a_页</oddHeader>
    <oddFooter/>
    <evenHeader/>
    <evenFooter/>
    <firstHeader/>
    <firstFooter/>
  </headerFooter>
  <legacyDrawing xmlns:r="http://schemas.openxmlformats.org/officeDocument/2006/relationships" r:id="anysvml"/>
</worksheet>
</file>

<file path=xl/worksheets/sheet38.xml><?xml version="1.0" encoding="utf-8"?>
<worksheet xmlns="http://schemas.openxmlformats.org/spreadsheetml/2006/main">
  <sheetPr codeName="Sheet38">
    <outlinePr summaryBelow="1" summaryRight="1"/>
    <pageSetUpPr fitToPage="1"/>
  </sheetPr>
  <dimension ref="A1:N29"/>
  <sheetViews>
    <sheetView view="pageBreakPreview" zoomScale="60" zoomScaleNormal="100" workbookViewId="0">
      <selection activeCell="G451" sqref="G451"/>
    </sheetView>
  </sheetViews>
  <sheetFormatPr baseColWidth="8" defaultColWidth="9" defaultRowHeight="15.75" customHeight="1"/>
  <cols>
    <col width="4.33333333333333" customWidth="1" style="13" min="1" max="1"/>
    <col width="20.5833333333333" customWidth="1" style="13" min="2" max="2"/>
    <col width="8.5" customWidth="1" style="13" min="3" max="3"/>
    <col width="7.83333333333333" customWidth="1" style="13" min="4" max="4"/>
    <col width="9" customWidth="1" style="13" min="5" max="5"/>
    <col width="9.33333333333333" customWidth="1" style="13" min="6" max="7"/>
    <col hidden="1" outlineLevel="1" width="13.0833333333333" customWidth="1" style="13" min="8" max="9"/>
    <col collapsed="1" width="15" customWidth="1" style="13" min="10" max="10"/>
    <col width="15" customWidth="1" style="13" min="11" max="11"/>
    <col width="11.0833333333333" customWidth="1" style="13" min="12" max="12"/>
    <col width="10.5833333333333" customWidth="1" style="13" min="13" max="13"/>
    <col width="9" customWidth="1" style="13" min="14"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row>
    <row r="2" ht="30" customFormat="1" customHeight="1" s="11">
      <c r="A2" s="17" t="inlineStr">
        <is>
          <t>持有至到期投资评估明细表</t>
        </is>
      </c>
    </row>
    <row r="3" ht="14.15" customHeight="1">
      <c r="A3" s="535">
        <f>CONCATENATE(封面!D9,封面!F9,封面!G9,封面!H9,封面!I9,封面!J9,封面!K9)</f>
      </c>
      <c r="N3" s="12" t="n"/>
    </row>
    <row r="4" ht="15.5" customHeight="1">
      <c r="A4" s="536">
        <f>封面!D7&amp;封面!F7</f>
      </c>
      <c r="M4" s="20" t="inlineStr">
        <is>
          <t>金额单位：人民币元</t>
        </is>
      </c>
    </row>
    <row r="5" ht="13" customFormat="1" customHeight="1" s="12">
      <c r="A5" s="21" t="inlineStr">
        <is>
          <t>序号</t>
        </is>
      </c>
      <c r="B5" s="21" t="inlineStr">
        <is>
          <t>被投资单位名称</t>
        </is>
      </c>
      <c r="C5" s="21" t="inlineStr">
        <is>
          <t>投资类别</t>
        </is>
      </c>
      <c r="D5" s="21" t="inlineStr">
        <is>
          <t>投资日期</t>
        </is>
      </c>
      <c r="E5" s="21" t="inlineStr">
        <is>
          <t>到期日</t>
        </is>
      </c>
      <c r="F5" s="21" t="inlineStr">
        <is>
          <t>票面利率%</t>
        </is>
      </c>
      <c r="G5" s="21" t="inlineStr">
        <is>
          <t>投资成本</t>
        </is>
      </c>
      <c r="H5" s="22" t="inlineStr">
        <is>
          <t>审计前账面值</t>
        </is>
      </c>
      <c r="I5" s="22" t="inlineStr">
        <is>
          <t>审计调整</t>
        </is>
      </c>
      <c r="J5" s="21" t="inlineStr">
        <is>
          <t>账面价值</t>
        </is>
      </c>
      <c r="K5" s="21" t="inlineStr">
        <is>
          <t>评估价值</t>
        </is>
      </c>
      <c r="L5" s="21" t="inlineStr">
        <is>
          <t>增值率%</t>
        </is>
      </c>
      <c r="M5" s="21" t="inlineStr">
        <is>
          <t>备注</t>
        </is>
      </c>
    </row>
    <row r="6" ht="15.5" customHeight="1">
      <c r="A6" s="23" t="n"/>
      <c r="B6" s="24" t="n"/>
      <c r="C6" s="23" t="n"/>
      <c r="D6" s="25" t="n"/>
      <c r="E6" s="25" t="n"/>
      <c r="F6" s="23" t="n"/>
      <c r="G6" s="23" t="n"/>
      <c r="H6" s="539" t="n"/>
      <c r="I6" s="539" t="n"/>
      <c r="J6" s="539" t="n"/>
      <c r="K6" s="539" t="n"/>
      <c r="L6" s="539">
        <f>IF(J6=0,"",(K6-J6)/J6*100)</f>
      </c>
      <c r="M6" s="27" t="n"/>
    </row>
    <row r="7" ht="15.5" customHeight="1">
      <c r="A7" s="23" t="n"/>
      <c r="B7" s="24" t="n"/>
      <c r="C7" s="23" t="n"/>
      <c r="D7" s="25" t="n"/>
      <c r="E7" s="25" t="n"/>
      <c r="F7" s="23" t="n"/>
      <c r="G7" s="23" t="n"/>
      <c r="H7" s="539" t="n"/>
      <c r="I7" s="539" t="n"/>
      <c r="J7" s="539" t="n"/>
      <c r="K7" s="539" t="n"/>
      <c r="L7" s="539">
        <f>IF(J7=0,"",(K7-J7)/J7*100)</f>
      </c>
      <c r="M7" s="27" t="n"/>
    </row>
    <row r="8" ht="15.5" customHeight="1">
      <c r="A8" s="23" t="n"/>
      <c r="B8" s="24" t="n"/>
      <c r="C8" s="23" t="n"/>
      <c r="D8" s="25" t="n"/>
      <c r="E8" s="25" t="n"/>
      <c r="F8" s="23" t="n"/>
      <c r="G8" s="23" t="n"/>
      <c r="H8" s="539" t="n"/>
      <c r="I8" s="539" t="n"/>
      <c r="J8" s="539" t="n"/>
      <c r="K8" s="539" t="n"/>
      <c r="L8" s="539">
        <f>IF(J8=0,"",(K8-J8)/J8*100)</f>
      </c>
      <c r="M8" s="27" t="n"/>
    </row>
    <row r="9" ht="15.5" customHeight="1">
      <c r="A9" s="23" t="n"/>
      <c r="B9" s="24" t="n"/>
      <c r="C9" s="23" t="n"/>
      <c r="D9" s="25" t="n"/>
      <c r="E9" s="25" t="n"/>
      <c r="F9" s="23" t="n"/>
      <c r="G9" s="23" t="n"/>
      <c r="H9" s="539" t="n"/>
      <c r="I9" s="539" t="n"/>
      <c r="J9" s="539" t="n"/>
      <c r="K9" s="539" t="n"/>
      <c r="L9" s="539">
        <f>IF(J9=0,"",(K9-J9)/J9*100)</f>
      </c>
      <c r="M9" s="27" t="n"/>
    </row>
    <row r="10" ht="15.5" customHeight="1">
      <c r="A10" s="23" t="n"/>
      <c r="B10" s="24" t="n"/>
      <c r="C10" s="23" t="n"/>
      <c r="D10" s="25" t="n"/>
      <c r="E10" s="25" t="n"/>
      <c r="F10" s="23" t="n"/>
      <c r="G10" s="23" t="n"/>
      <c r="H10" s="539" t="n"/>
      <c r="I10" s="539" t="n"/>
      <c r="J10" s="539" t="n"/>
      <c r="K10" s="539" t="n"/>
      <c r="L10" s="539">
        <f>IF(J10=0,"",(K10-J10)/J10*100)</f>
      </c>
      <c r="M10" s="27" t="n"/>
    </row>
    <row r="11" ht="15.5" customHeight="1">
      <c r="A11" s="23" t="n"/>
      <c r="B11" s="24" t="n"/>
      <c r="C11" s="23" t="n"/>
      <c r="D11" s="25" t="n"/>
      <c r="E11" s="25" t="n"/>
      <c r="F11" s="23" t="n"/>
      <c r="G11" s="23" t="n"/>
      <c r="H11" s="539" t="n"/>
      <c r="I11" s="539" t="n"/>
      <c r="J11" s="539" t="n"/>
      <c r="K11" s="539" t="n"/>
      <c r="L11" s="539">
        <f>IF(J11=0,"",(K11-J11)/J11*100)</f>
      </c>
      <c r="M11" s="27" t="n"/>
    </row>
    <row r="12" ht="15.5" customHeight="1">
      <c r="A12" s="23" t="n"/>
      <c r="B12" s="24" t="n"/>
      <c r="C12" s="23" t="n"/>
      <c r="D12" s="25" t="n"/>
      <c r="E12" s="25" t="n"/>
      <c r="F12" s="23" t="n"/>
      <c r="G12" s="23" t="n"/>
      <c r="H12" s="539" t="n"/>
      <c r="I12" s="539" t="n"/>
      <c r="J12" s="539" t="n"/>
      <c r="K12" s="539" t="n"/>
      <c r="L12" s="539">
        <f>IF(J12=0,"",(K12-J12)/J12*100)</f>
      </c>
      <c r="M12" s="27" t="n"/>
    </row>
    <row r="13" ht="15.5" customHeight="1">
      <c r="A13" s="23" t="n"/>
      <c r="B13" s="24" t="n"/>
      <c r="C13" s="23" t="n"/>
      <c r="D13" s="25" t="n"/>
      <c r="E13" s="25" t="n"/>
      <c r="F13" s="23" t="n"/>
      <c r="G13" s="23" t="n"/>
      <c r="H13" s="539" t="n"/>
      <c r="I13" s="539" t="n"/>
      <c r="J13" s="539" t="n"/>
      <c r="K13" s="539" t="n"/>
      <c r="L13" s="539">
        <f>IF(J13=0,"",(K13-J13)/J13*100)</f>
      </c>
      <c r="M13" s="27" t="n"/>
    </row>
    <row r="14" ht="15.5" customHeight="1">
      <c r="A14" s="23" t="n"/>
      <c r="B14" s="24" t="n"/>
      <c r="C14" s="23" t="n"/>
      <c r="D14" s="25" t="n"/>
      <c r="E14" s="25" t="n"/>
      <c r="F14" s="23" t="n"/>
      <c r="G14" s="23" t="n"/>
      <c r="H14" s="539" t="n"/>
      <c r="I14" s="539" t="n"/>
      <c r="J14" s="539" t="n"/>
      <c r="K14" s="539" t="n"/>
      <c r="L14" s="539">
        <f>IF(J14=0,"",(K14-J14)/J14*100)</f>
      </c>
      <c r="M14" s="27" t="n"/>
    </row>
    <row r="15" ht="15.5" customHeight="1">
      <c r="A15" s="23" t="n"/>
      <c r="B15" s="24" t="n"/>
      <c r="C15" s="23" t="n"/>
      <c r="D15" s="25" t="n"/>
      <c r="E15" s="25" t="n"/>
      <c r="F15" s="23" t="n"/>
      <c r="G15" s="23" t="n"/>
      <c r="H15" s="539" t="n"/>
      <c r="I15" s="539" t="n"/>
      <c r="J15" s="539" t="n"/>
      <c r="K15" s="539" t="n"/>
      <c r="L15" s="539">
        <f>IF(J15=0,"",(K15-J15)/J15*100)</f>
      </c>
      <c r="M15" s="27" t="n"/>
    </row>
    <row r="16" ht="15.5" customHeight="1">
      <c r="A16" s="23" t="n"/>
      <c r="B16" s="24" t="n"/>
      <c r="C16" s="23" t="n"/>
      <c r="D16" s="25" t="n"/>
      <c r="E16" s="25" t="n"/>
      <c r="F16" s="23" t="n"/>
      <c r="G16" s="23" t="n"/>
      <c r="H16" s="539" t="n"/>
      <c r="I16" s="539" t="n"/>
      <c r="J16" s="539" t="n"/>
      <c r="K16" s="539" t="n"/>
      <c r="L16" s="539">
        <f>IF(J16=0,"",(K16-J16)/J16*100)</f>
      </c>
      <c r="M16" s="27" t="n"/>
    </row>
    <row r="17" ht="15.5" customHeight="1">
      <c r="A17" s="23" t="n"/>
      <c r="B17" s="24" t="n"/>
      <c r="C17" s="23" t="n"/>
      <c r="D17" s="25" t="n"/>
      <c r="E17" s="25" t="n"/>
      <c r="F17" s="23" t="n"/>
      <c r="G17" s="23" t="n"/>
      <c r="H17" s="539" t="n"/>
      <c r="I17" s="539" t="n"/>
      <c r="J17" s="539" t="n"/>
      <c r="K17" s="539" t="n"/>
      <c r="L17" s="539">
        <f>IF(J17=0,"",(K17-J17)/J17*100)</f>
      </c>
      <c r="M17" s="27" t="n"/>
    </row>
    <row r="18" ht="15.5" customHeight="1">
      <c r="A18" s="23" t="n"/>
      <c r="B18" s="24" t="n"/>
      <c r="C18" s="23" t="n"/>
      <c r="D18" s="25" t="n"/>
      <c r="E18" s="25" t="n"/>
      <c r="F18" s="23" t="n"/>
      <c r="G18" s="23" t="n"/>
      <c r="H18" s="539" t="n"/>
      <c r="I18" s="539" t="n"/>
      <c r="J18" s="539" t="n"/>
      <c r="K18" s="539" t="n"/>
      <c r="L18" s="539">
        <f>IF(J18=0,"",(K18-J18)/J18*100)</f>
      </c>
      <c r="M18" s="27" t="n"/>
    </row>
    <row r="19" ht="15.5" customHeight="1">
      <c r="A19" s="23" t="n"/>
      <c r="B19" s="24" t="n"/>
      <c r="C19" s="23" t="n"/>
      <c r="D19" s="25" t="n"/>
      <c r="E19" s="25" t="n"/>
      <c r="F19" s="23" t="n"/>
      <c r="G19" s="23" t="n"/>
      <c r="H19" s="539" t="n"/>
      <c r="I19" s="539" t="n"/>
      <c r="J19" s="539" t="n"/>
      <c r="K19" s="539" t="n"/>
      <c r="L19" s="539">
        <f>IF(J19=0,"",(K19-J19)/J19*100)</f>
      </c>
      <c r="M19" s="27" t="n"/>
    </row>
    <row r="20" ht="15.5" customHeight="1">
      <c r="A20" s="23" t="n"/>
      <c r="B20" s="24" t="n"/>
      <c r="C20" s="23" t="n"/>
      <c r="D20" s="25" t="n"/>
      <c r="E20" s="25" t="n"/>
      <c r="F20" s="23" t="n"/>
      <c r="G20" s="23" t="n"/>
      <c r="H20" s="539" t="n"/>
      <c r="I20" s="539" t="n"/>
      <c r="J20" s="539" t="n"/>
      <c r="K20" s="539" t="n"/>
      <c r="L20" s="539">
        <f>IF(J20=0,"",(K20-J20)/J20*100)</f>
      </c>
      <c r="M20" s="27" t="n"/>
    </row>
    <row r="21" ht="15.5" customHeight="1">
      <c r="A21" s="23" t="n"/>
      <c r="B21" s="24" t="n"/>
      <c r="C21" s="23" t="n"/>
      <c r="D21" s="25" t="n"/>
      <c r="E21" s="25" t="n"/>
      <c r="F21" s="23" t="n"/>
      <c r="G21" s="23" t="n"/>
      <c r="H21" s="539" t="n"/>
      <c r="I21" s="539" t="n"/>
      <c r="J21" s="539" t="n"/>
      <c r="K21" s="539" t="n"/>
      <c r="L21" s="539">
        <f>IF(J21=0,"",(K21-J21)/J21*100)</f>
      </c>
      <c r="M21" s="27" t="n"/>
    </row>
    <row r="22" ht="15.5" customHeight="1">
      <c r="A22" s="23" t="n"/>
      <c r="B22" s="24" t="n"/>
      <c r="C22" s="23" t="n"/>
      <c r="D22" s="25" t="n"/>
      <c r="E22" s="25" t="n"/>
      <c r="F22" s="23" t="n"/>
      <c r="G22" s="23" t="n"/>
      <c r="H22" s="539" t="n"/>
      <c r="I22" s="539" t="n"/>
      <c r="J22" s="539" t="n"/>
      <c r="K22" s="539" t="n"/>
      <c r="L22" s="539">
        <f>IF(J22=0,"",(K22-J22)/J22*100)</f>
      </c>
      <c r="M22" s="27" t="n"/>
    </row>
    <row r="23" ht="15.5" customHeight="1">
      <c r="A23" s="23" t="n"/>
      <c r="B23" s="24" t="n"/>
      <c r="C23" s="23" t="n"/>
      <c r="D23" s="25" t="n"/>
      <c r="E23" s="25" t="n"/>
      <c r="F23" s="23" t="n"/>
      <c r="G23" s="23" t="n"/>
      <c r="H23" s="539" t="n"/>
      <c r="I23" s="539" t="n"/>
      <c r="J23" s="539" t="n"/>
      <c r="K23" s="539" t="n"/>
      <c r="L23" s="539">
        <f>IF(J23=0,"",(K23-J23)/J23*100)</f>
      </c>
      <c r="M23" s="27" t="n"/>
    </row>
    <row r="24" ht="15.5" customHeight="1">
      <c r="A24" s="23" t="n"/>
      <c r="B24" s="24" t="n"/>
      <c r="C24" s="23" t="n"/>
      <c r="D24" s="25" t="n"/>
      <c r="E24" s="25" t="n"/>
      <c r="F24" s="23" t="n"/>
      <c r="G24" s="23" t="n"/>
      <c r="H24" s="539" t="n"/>
      <c r="I24" s="539" t="n"/>
      <c r="J24" s="539" t="n"/>
      <c r="K24" s="539" t="n"/>
      <c r="L24" s="539">
        <f>IF(J24=0,"",(K24-J24)/J24*100)</f>
      </c>
      <c r="M24" s="27" t="n"/>
    </row>
    <row r="25" ht="15.5" customHeight="1">
      <c r="A25" s="21" t="inlineStr">
        <is>
          <t>合            计</t>
        </is>
      </c>
      <c r="B25" s="28" t="n"/>
      <c r="C25" s="23" t="n"/>
      <c r="D25" s="25" t="n"/>
      <c r="E25" s="25" t="n"/>
      <c r="F25" s="23" t="n"/>
      <c r="G25" s="23" t="n"/>
      <c r="H25" s="539">
        <f>SUM(H6:H24)</f>
      </c>
      <c r="I25" s="539" t="n"/>
      <c r="J25" s="539">
        <f>SUM(J6:J24)</f>
      </c>
      <c r="K25" s="539">
        <f>SUM(K6:K24)</f>
      </c>
      <c r="L25" s="539">
        <f>IF(J25=0,"",(K25-J25)/J25*100)</f>
      </c>
      <c r="M25" s="27" t="n"/>
    </row>
    <row r="26" ht="15.5" customHeight="1">
      <c r="A26" s="21" t="inlineStr">
        <is>
          <t>减：持有至到期投资减值准备</t>
        </is>
      </c>
      <c r="B26" s="28" t="n"/>
      <c r="C26" s="23" t="n"/>
      <c r="D26" s="25" t="n"/>
      <c r="E26" s="25" t="n"/>
      <c r="F26" s="23" t="n"/>
      <c r="G26" s="23" t="n"/>
      <c r="H26" s="539" t="n"/>
      <c r="I26" s="539" t="n"/>
      <c r="J26" s="539">
        <f>H26</f>
      </c>
      <c r="K26" s="539"/>
      <c r="L26" s="539">
        <f>IF(J26=0,"",(K26-J26)/J26*100)</f>
      </c>
      <c r="M26" s="27" t="n"/>
    </row>
    <row r="27" ht="15.5" customHeight="1">
      <c r="A27" s="21" t="inlineStr">
        <is>
          <t>净            额</t>
        </is>
      </c>
      <c r="B27" s="28" t="n"/>
      <c r="C27" s="23" t="n"/>
      <c r="D27" s="25" t="n"/>
      <c r="E27" s="25" t="n"/>
      <c r="F27" s="23" t="n"/>
      <c r="G27" s="23" t="n"/>
      <c r="H27" s="539">
        <f>H25-H26</f>
      </c>
      <c r="I27" s="539" t="n"/>
      <c r="J27" s="539">
        <f>J25-J26</f>
      </c>
      <c r="K27" s="539">
        <f>K25-K26</f>
      </c>
      <c r="L27" s="539">
        <f>IF(J27=0,"",(K27-J27)/J27*100)</f>
      </c>
      <c r="M27" s="27" t="n"/>
    </row>
    <row r="28" ht="15.5" customHeight="1">
      <c r="A28" s="29">
        <f>封面!D11&amp;封面!G11</f>
      </c>
      <c r="J28" s="536">
        <f>"评估人员："&amp;封面!G22</f>
      </c>
    </row>
    <row r="29" ht="15.5" customHeight="1">
      <c r="A29" s="29">
        <f>CONCATENATE(封面!D13,封面!F13,封面!G13,封面!H13,封面!I13,封面!J13,封面!K13)</f>
      </c>
    </row>
  </sheetData>
  <mergeCells count="5">
    <mergeCell ref="A26:B26"/>
    <mergeCell ref="A25:B25"/>
    <mergeCell ref="A3:M3"/>
    <mergeCell ref="A27:B27"/>
    <mergeCell ref="A2:M2"/>
  </mergeCells>
  <hyperlinks>
    <hyperlink ref="A1" location="索引目录!D31" display="返回索引页"/>
    <hyperlink ref="B1" location="长期投资汇总!B7"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Roman,常规"&amp;P&amp;"宋体,常规"4-2_x000a_页</oddHeader>
    <oddFooter/>
    <evenHeader/>
    <evenFooter/>
    <firstHeader/>
    <firstFooter/>
  </headerFooter>
</worksheet>
</file>

<file path=xl/worksheets/sheet39.xml><?xml version="1.0" encoding="utf-8"?>
<worksheet xmlns="http://schemas.openxmlformats.org/spreadsheetml/2006/main">
  <sheetPr codeName="Sheet39">
    <outlinePr summaryBelow="1" summaryRight="1"/>
    <pageSetUpPr fitToPage="1"/>
  </sheetPr>
  <dimension ref="A1:J34"/>
  <sheetViews>
    <sheetView view="pageBreakPreview" zoomScale="60" zoomScaleNormal="100" workbookViewId="0">
      <selection activeCell="G451" sqref="G451"/>
    </sheetView>
  </sheetViews>
  <sheetFormatPr baseColWidth="8" defaultColWidth="9" defaultRowHeight="15.75" customHeight="1"/>
  <cols>
    <col width="5.25" customWidth="1" style="13" min="1" max="1"/>
    <col width="26.25" customWidth="1" style="13" min="2" max="2"/>
    <col width="20" customWidth="1" style="13" min="3" max="3"/>
    <col width="8.25" customWidth="1" style="13" min="4" max="4"/>
    <col hidden="1" outlineLevel="1" width="14.75" customWidth="1" style="13" min="5" max="6"/>
    <col collapsed="1" width="18.8333333333333" customWidth="1" style="13" min="7" max="7"/>
    <col width="18.8333333333333" customWidth="1" style="13" min="8" max="8"/>
    <col width="9.58333333333333" customWidth="1" style="13" min="9" max="9"/>
    <col width="14.75" customWidth="1" style="13" min="10" max="10"/>
    <col width="9" customWidth="1" style="13" min="11" max="16384"/>
  </cols>
  <sheetData>
    <row r="1" ht="15.5" customHeight="1">
      <c r="A1" s="559" t="inlineStr">
        <is>
          <t>返回索引页</t>
        </is>
      </c>
      <c r="B1" s="15" t="inlineStr">
        <is>
          <t xml:space="preserve">返回 </t>
        </is>
      </c>
      <c r="C1" s="16" t="n"/>
      <c r="D1" s="16" t="n"/>
      <c r="E1" s="16" t="n"/>
      <c r="F1" s="16" t="n"/>
      <c r="G1" s="16" t="n"/>
      <c r="H1" s="16" t="n"/>
      <c r="I1" s="16" t="n"/>
      <c r="J1" s="16" t="n"/>
    </row>
    <row r="2" ht="30" customFormat="1" customHeight="1" s="11">
      <c r="A2" s="17" t="inlineStr">
        <is>
          <t>长期应收款评估明细表</t>
        </is>
      </c>
    </row>
    <row r="3" ht="14.15" customHeight="1">
      <c r="A3" s="535">
        <f>CONCATENATE(封面!D9,封面!F9,封面!G9,封面!H9,封面!I9,封面!J9,封面!K9)</f>
      </c>
    </row>
    <row r="4" ht="15.5" customHeight="1">
      <c r="A4" s="536">
        <f>封面!D7&amp;封面!F7</f>
      </c>
      <c r="E4" s="574" t="n"/>
      <c r="F4" s="574" t="n"/>
      <c r="J4" s="20" t="inlineStr">
        <is>
          <t>金额单位：人民币元</t>
        </is>
      </c>
    </row>
    <row r="5" ht="13" customFormat="1" customHeight="1" s="12">
      <c r="A5" s="21" t="inlineStr">
        <is>
          <t>序号</t>
        </is>
      </c>
      <c r="B5" s="21" t="inlineStr">
        <is>
          <t>欠款单位名称（结算对象）</t>
        </is>
      </c>
      <c r="C5" s="21" t="inlineStr">
        <is>
          <t>业务内容</t>
        </is>
      </c>
      <c r="D5" s="21" t="inlineStr">
        <is>
          <t>发生日期</t>
        </is>
      </c>
      <c r="E5" s="77" t="inlineStr">
        <is>
          <t>审计前账面值</t>
        </is>
      </c>
      <c r="F5" s="77" t="inlineStr">
        <is>
          <t>审计调整</t>
        </is>
      </c>
      <c r="G5" s="21" t="inlineStr">
        <is>
          <t>账面价值</t>
        </is>
      </c>
      <c r="H5" s="21" t="inlineStr">
        <is>
          <t>评估价值</t>
        </is>
      </c>
      <c r="I5" s="21" t="inlineStr">
        <is>
          <t>增值率%</t>
        </is>
      </c>
      <c r="J5" s="21" t="inlineStr">
        <is>
          <t>备注</t>
        </is>
      </c>
    </row>
    <row r="6" ht="15.5" customHeight="1">
      <c r="A6" s="23" t="n"/>
      <c r="B6" s="24" t="n"/>
      <c r="C6" s="23" t="n"/>
      <c r="D6" s="25" t="n"/>
      <c r="E6" s="543" t="n"/>
      <c r="F6" s="543" t="n"/>
      <c r="G6" s="539" t="n"/>
      <c r="H6" s="539">
        <f>G6</f>
      </c>
      <c r="I6" s="539">
        <f>IF(G6=0,"",(H6-G6)/G6*100)</f>
      </c>
      <c r="J6" s="27" t="n"/>
    </row>
    <row r="7" ht="15.5" customHeight="1">
      <c r="A7" s="23" t="n"/>
      <c r="B7" s="24" t="n"/>
      <c r="C7" s="23" t="n"/>
      <c r="D7" s="25" t="n"/>
      <c r="E7" s="543" t="n"/>
      <c r="F7" s="543" t="n"/>
      <c r="G7" s="539" t="n"/>
      <c r="H7" s="539" t="n"/>
      <c r="I7" s="539">
        <f>IF(G7=0,"",(H7-G7)/G7*100)</f>
      </c>
      <c r="J7" s="27" t="n"/>
    </row>
    <row r="8" ht="15.5" customHeight="1">
      <c r="A8" s="23" t="n"/>
      <c r="B8" s="24" t="n"/>
      <c r="C8" s="23" t="n"/>
      <c r="D8" s="25" t="n"/>
      <c r="E8" s="543" t="n"/>
      <c r="F8" s="543" t="n"/>
      <c r="G8" s="539" t="n"/>
      <c r="H8" s="539" t="n"/>
      <c r="I8" s="539">
        <f>IF(G8=0,"",(H8-G8)/G8*100)</f>
      </c>
      <c r="J8" s="27" t="n"/>
    </row>
    <row r="9" ht="15.5" customHeight="1">
      <c r="A9" s="23" t="n"/>
      <c r="B9" s="24" t="n"/>
      <c r="C9" s="23" t="n"/>
      <c r="D9" s="25" t="n"/>
      <c r="E9" s="543" t="n"/>
      <c r="F9" s="543" t="n"/>
      <c r="G9" s="539" t="n"/>
      <c r="H9" s="539" t="n"/>
      <c r="I9" s="539">
        <f>IF(G9=0,"",(H9-G9)/G9*100)</f>
      </c>
      <c r="J9" s="27" t="n"/>
    </row>
    <row r="10" ht="15.5" customHeight="1">
      <c r="A10" s="23" t="n"/>
      <c r="B10" s="24" t="n"/>
      <c r="C10" s="23" t="n"/>
      <c r="D10" s="25" t="n"/>
      <c r="E10" s="543" t="n"/>
      <c r="F10" s="543" t="n"/>
      <c r="G10" s="539" t="n"/>
      <c r="H10" s="539" t="n"/>
      <c r="I10" s="539">
        <f>IF(G10=0,"",(H10-G10)/G10*100)</f>
      </c>
      <c r="J10" s="27" t="n"/>
    </row>
    <row r="11" ht="15.5" customHeight="1">
      <c r="A11" s="23" t="n"/>
      <c r="B11" s="24" t="n"/>
      <c r="C11" s="23" t="n"/>
      <c r="D11" s="25" t="n"/>
      <c r="E11" s="543" t="n"/>
      <c r="F11" s="543" t="n"/>
      <c r="G11" s="539" t="n"/>
      <c r="H11" s="539" t="n"/>
      <c r="I11" s="539">
        <f>IF(G11=0,"",(H11-G11)/G11*100)</f>
      </c>
      <c r="J11" s="27" t="n"/>
    </row>
    <row r="12" ht="15.5" customHeight="1">
      <c r="A12" s="23" t="n"/>
      <c r="B12" s="24" t="n"/>
      <c r="C12" s="23" t="n"/>
      <c r="D12" s="25" t="n"/>
      <c r="E12" s="543" t="n"/>
      <c r="F12" s="543" t="n"/>
      <c r="G12" s="539" t="n"/>
      <c r="H12" s="539" t="n"/>
      <c r="I12" s="539">
        <f>IF(G12=0,"",(H12-G12)/G12*100)</f>
      </c>
      <c r="J12" s="27" t="n"/>
    </row>
    <row r="13" ht="15.5" customHeight="1">
      <c r="A13" s="23" t="n"/>
      <c r="B13" s="24" t="n"/>
      <c r="C13" s="23" t="n"/>
      <c r="D13" s="25" t="n"/>
      <c r="E13" s="543" t="n"/>
      <c r="F13" s="543" t="n"/>
      <c r="G13" s="539" t="n"/>
      <c r="H13" s="539" t="n"/>
      <c r="I13" s="539">
        <f>IF(G13=0,"",(H13-G13)/G13*100)</f>
      </c>
      <c r="J13" s="27" t="n"/>
    </row>
    <row r="14" ht="15.5" customHeight="1">
      <c r="A14" s="23" t="n"/>
      <c r="B14" s="24" t="n"/>
      <c r="C14" s="23" t="n"/>
      <c r="D14" s="25" t="n"/>
      <c r="E14" s="543" t="n"/>
      <c r="F14" s="543" t="n"/>
      <c r="G14" s="539" t="n"/>
      <c r="H14" s="539" t="n"/>
      <c r="I14" s="539">
        <f>IF(G14=0,"",(H14-G14)/G14*100)</f>
      </c>
      <c r="J14" s="27" t="n"/>
    </row>
    <row r="15" ht="15.5" customHeight="1">
      <c r="A15" s="23" t="n"/>
      <c r="B15" s="24" t="n"/>
      <c r="C15" s="23" t="n"/>
      <c r="D15" s="25" t="n"/>
      <c r="E15" s="543" t="n"/>
      <c r="F15" s="543" t="n"/>
      <c r="G15" s="539" t="n"/>
      <c r="H15" s="539" t="n"/>
      <c r="I15" s="539">
        <f>IF(G15=0,"",(H15-G15)/G15*100)</f>
      </c>
      <c r="J15" s="27" t="n"/>
    </row>
    <row r="16" ht="15.5" customHeight="1">
      <c r="A16" s="23" t="n"/>
      <c r="B16" s="24" t="n"/>
      <c r="C16" s="23" t="n"/>
      <c r="D16" s="25" t="n"/>
      <c r="E16" s="543" t="n"/>
      <c r="F16" s="543" t="n"/>
      <c r="G16" s="539" t="n"/>
      <c r="H16" s="539" t="n"/>
      <c r="I16" s="539">
        <f>IF(G16=0,"",(H16-G16)/G16*100)</f>
      </c>
      <c r="J16" s="27" t="n"/>
    </row>
    <row r="17" ht="15.5" customHeight="1">
      <c r="A17" s="23" t="n"/>
      <c r="B17" s="24" t="n"/>
      <c r="C17" s="23" t="n"/>
      <c r="D17" s="25" t="n"/>
      <c r="E17" s="543" t="n"/>
      <c r="F17" s="543" t="n"/>
      <c r="G17" s="539" t="n"/>
      <c r="H17" s="539" t="n"/>
      <c r="I17" s="539">
        <f>IF(G17=0,"",(H17-G17)/G17*100)</f>
      </c>
      <c r="J17" s="27" t="n"/>
    </row>
    <row r="18" ht="15.5" customHeight="1">
      <c r="A18" s="23" t="n"/>
      <c r="B18" s="24" t="n"/>
      <c r="C18" s="23" t="n"/>
      <c r="D18" s="25" t="n"/>
      <c r="E18" s="543" t="n"/>
      <c r="F18" s="543" t="n"/>
      <c r="G18" s="539" t="n"/>
      <c r="H18" s="539" t="n"/>
      <c r="I18" s="539">
        <f>IF(G18=0,"",(H18-G18)/G18*100)</f>
      </c>
      <c r="J18" s="27" t="n"/>
    </row>
    <row r="19" ht="15.5" customHeight="1">
      <c r="A19" s="23" t="n"/>
      <c r="B19" s="24" t="n"/>
      <c r="C19" s="23" t="n"/>
      <c r="D19" s="25" t="n"/>
      <c r="E19" s="543" t="n"/>
      <c r="F19" s="543" t="n"/>
      <c r="G19" s="539" t="n"/>
      <c r="H19" s="539" t="n"/>
      <c r="I19" s="539">
        <f>IF(G19=0,"",(H19-G19)/G19*100)</f>
      </c>
      <c r="J19" s="27" t="n"/>
    </row>
    <row r="20" ht="15.5" customHeight="1">
      <c r="A20" s="23" t="n"/>
      <c r="B20" s="24" t="n"/>
      <c r="C20" s="23" t="n"/>
      <c r="D20" s="25" t="n"/>
      <c r="E20" s="543" t="n"/>
      <c r="F20" s="543" t="n"/>
      <c r="G20" s="539" t="n"/>
      <c r="H20" s="539" t="n"/>
      <c r="I20" s="539">
        <f>IF(G20=0,"",(H20-G20)/G20*100)</f>
      </c>
      <c r="J20" s="27" t="n"/>
    </row>
    <row r="21" ht="15.5" customHeight="1">
      <c r="A21" s="23" t="n"/>
      <c r="B21" s="24" t="n"/>
      <c r="C21" s="23" t="n"/>
      <c r="D21" s="25" t="n"/>
      <c r="E21" s="543" t="n"/>
      <c r="F21" s="543" t="n"/>
      <c r="G21" s="539" t="n"/>
      <c r="H21" s="539" t="n"/>
      <c r="I21" s="539">
        <f>IF(G21=0,"",(H21-G21)/G21*100)</f>
      </c>
      <c r="J21" s="27" t="n"/>
    </row>
    <row r="22" ht="15.5" customHeight="1">
      <c r="A22" s="23" t="n"/>
      <c r="B22" s="24" t="n"/>
      <c r="C22" s="23" t="n"/>
      <c r="D22" s="25" t="n"/>
      <c r="E22" s="543" t="n"/>
      <c r="F22" s="543" t="n"/>
      <c r="G22" s="539" t="n"/>
      <c r="H22" s="539" t="n"/>
      <c r="I22" s="539">
        <f>IF(G22=0,"",(H22-G22)/G22*100)</f>
      </c>
      <c r="J22" s="27" t="n"/>
    </row>
    <row r="23" ht="15.5" customHeight="1">
      <c r="A23" s="23" t="n"/>
      <c r="B23" s="24" t="n"/>
      <c r="C23" s="23" t="n"/>
      <c r="D23" s="25" t="n"/>
      <c r="E23" s="543" t="n"/>
      <c r="F23" s="543" t="n"/>
      <c r="G23" s="539" t="n"/>
      <c r="H23" s="539" t="n"/>
      <c r="I23" s="539">
        <f>IF(G23=0,"",(H23-G23)/G23*100)</f>
      </c>
      <c r="J23" s="27" t="n"/>
    </row>
    <row r="24" ht="15.5" customHeight="1">
      <c r="A24" s="21" t="inlineStr">
        <is>
          <t>合            计</t>
        </is>
      </c>
      <c r="B24" s="28" t="n"/>
      <c r="C24" s="23" t="n"/>
      <c r="D24" s="25" t="n"/>
      <c r="E24" s="543">
        <f>SUM(E6:E23)</f>
      </c>
      <c r="F24" s="543" t="n"/>
      <c r="G24" s="539">
        <f>SUM(G6:G23)</f>
      </c>
      <c r="H24" s="539">
        <f>SUM(H6:H23)</f>
      </c>
      <c r="I24" s="539">
        <f>IF(G24=0,"",(H24-G24)/G24*100)</f>
      </c>
      <c r="J24" s="27" t="n"/>
    </row>
    <row r="25" ht="15.5" customHeight="1">
      <c r="A25" s="21" t="inlineStr">
        <is>
          <t>减：坏账准备</t>
        </is>
      </c>
      <c r="B25" s="28" t="n"/>
      <c r="C25" s="23" t="n"/>
      <c r="D25" s="25" t="n"/>
      <c r="E25" s="543" t="n"/>
      <c r="F25" s="543" t="n"/>
      <c r="G25" s="539">
        <f>E25</f>
      </c>
      <c r="H25" s="539"/>
      <c r="I25" s="539">
        <f>IF(G25=0,"",(H25-G25)/G25*100)</f>
      </c>
      <c r="J25" s="27" t="n"/>
    </row>
    <row r="26" ht="15.5" customHeight="1">
      <c r="A26" s="21" t="inlineStr">
        <is>
          <t>减：评估风险损失</t>
        </is>
      </c>
      <c r="B26" s="28" t="n"/>
      <c r="C26" s="23" t="n"/>
      <c r="D26" s="25" t="n"/>
      <c r="E26" s="543" t="n"/>
      <c r="F26" s="543" t="n"/>
      <c r="G26" s="539" t="n"/>
      <c r="H26" s="539" t="n"/>
      <c r="I26" s="539">
        <f>IF(G26=0,"",(H26-G26)/G26*100)</f>
      </c>
      <c r="J26" s="27" t="n"/>
    </row>
    <row r="27" ht="15.5" customHeight="1">
      <c r="A27" s="21" t="inlineStr">
        <is>
          <t>净            额</t>
        </is>
      </c>
      <c r="B27" s="28" t="n"/>
      <c r="C27" s="27" t="n"/>
      <c r="D27" s="25" t="n"/>
      <c r="E27" s="543">
        <f>E24-E25-E26</f>
      </c>
      <c r="F27" s="543" t="n"/>
      <c r="G27" s="539">
        <f>G24-G25-G26</f>
      </c>
      <c r="H27" s="539">
        <f>H24-H25-H26</f>
      </c>
      <c r="I27" s="539">
        <f>IF(G27=0,"",(H27-G27)/G27*100)</f>
      </c>
      <c r="J27" s="27" t="n"/>
    </row>
    <row r="28" ht="15.5" customHeight="1">
      <c r="A28" s="29">
        <f>封面!D11&amp;封面!G11</f>
      </c>
      <c r="G28" s="536">
        <f>"评估人员："&amp;封面!G22</f>
      </c>
    </row>
    <row r="29" ht="15.5" customHeight="1">
      <c r="A29" s="29">
        <f>CONCATENATE(封面!D13,封面!F13,封面!G13,封面!H13,封面!I13,封面!J13,封面!K13)</f>
      </c>
    </row>
    <row r="30" ht="15.5" customHeight="1">
      <c r="B30" s="20" t="inlineStr">
        <is>
          <t>注1：</t>
        </is>
      </c>
      <c r="C30" s="74" t="inlineStr">
        <is>
          <t>注明账齡在一年以上的账款的可收回性，若有部分可能不能收回，请估计不能收回的金額，以供评估时作參考。</t>
        </is>
      </c>
    </row>
    <row r="31" ht="15.5" customHeight="1">
      <c r="B31" s="20" t="inlineStr">
        <is>
          <t>注2：“备注”栏填写方法：</t>
        </is>
      </c>
      <c r="C31" s="13" t="inlineStr">
        <is>
          <t>1）欠款单位为关联方、总公司内部或本公司内部单位的，应在备注栏注明“关联方”、“总公司内部”、“内部单位”；</t>
        </is>
      </c>
    </row>
    <row r="32" ht="15.5" customHeight="1">
      <c r="C32" s="13" t="inlineStr">
        <is>
          <t>2） 涉诉款项应在备注中标明“涉诉”；</t>
        </is>
      </c>
    </row>
    <row r="33" ht="15.5" customHeight="1">
      <c r="C33" s="13" t="inlineStr">
        <is>
          <t>3）评估基准日后已部分或全部收回款项的，应注明日期及金额，如“2003年2月4日收回8,530.00元”；</t>
        </is>
      </c>
    </row>
    <row r="34" ht="15.5" customHeight="1">
      <c r="C34" s="13" t="inlineStr">
        <is>
          <t>4）填表单位认为其他应说明的事项</t>
        </is>
      </c>
    </row>
  </sheetData>
  <mergeCells count="6">
    <mergeCell ref="A26:B26"/>
    <mergeCell ref="A24:B24"/>
    <mergeCell ref="A25:B25"/>
    <mergeCell ref="A3:J3"/>
    <mergeCell ref="A2:J2"/>
    <mergeCell ref="A27:B27"/>
  </mergeCells>
  <hyperlinks>
    <hyperlink ref="A1" location="索引目录!D32" display="返回索引页"/>
    <hyperlink ref="B1" location="长期投资汇总!B8" display="返回 "/>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Roman,常规"&amp;P&amp;"宋体,常规"3-4_x000a_页</oddHeader>
    <oddFooter/>
    <evenHeader/>
    <evenFooter/>
    <firstHeader/>
    <firstFooter/>
  </headerFooter>
  <legacyDrawing xmlns:r="http://schemas.openxmlformats.org/officeDocument/2006/relationships" r:id="anysvml"/>
</worksheet>
</file>

<file path=xl/worksheets/sheet40.xml><?xml version="1.0" encoding="utf-8"?>
<worksheet xmlns="http://schemas.openxmlformats.org/spreadsheetml/2006/main">
  <sheetPr codeName="Sheet40">
    <outlinePr summaryBelow="1" summaryRight="1"/>
    <pageSetUpPr fitToPage="1"/>
  </sheetPr>
  <dimension ref="A1:S29"/>
  <sheetViews>
    <sheetView view="pageBreakPreview" zoomScaleNormal="100" workbookViewId="0">
      <selection activeCell="G451" sqref="G451"/>
    </sheetView>
  </sheetViews>
  <sheetFormatPr baseColWidth="8" defaultColWidth="9" defaultRowHeight="15.75" customHeight="1"/>
  <cols>
    <col width="4.75" customWidth="1" style="13" min="1" max="1"/>
    <col width="38.4166666666667" customWidth="1" style="13" min="2" max="2"/>
    <col width="8.25" customWidth="1" style="13" min="3" max="3"/>
    <col width="14.1666666666667" customWidth="1" style="13" min="4" max="4"/>
    <col width="9.58333333333333" customWidth="1" style="13" min="5" max="5"/>
    <col width="9.33333333333333" customWidth="1" style="13" min="6" max="6"/>
    <col hidden="1" outlineLevel="1" width="13.0833333333333" customWidth="1" style="13" min="7" max="8"/>
    <col collapsed="1" width="16.8333333333333" customWidth="1" style="13" min="9" max="9"/>
    <col width="16.8333333333333" customWidth="1" style="13" min="10" max="10"/>
    <col width="11.75" customWidth="1" style="13" min="11" max="11"/>
    <col width="14.5" customWidth="1" style="13" min="12" max="12"/>
    <col width="11.9166666666667" customWidth="1" style="13" min="13" max="13"/>
    <col width="11.4166666666667" customWidth="1" style="13" min="14" max="14"/>
    <col width="14.9166666666667" customWidth="1" style="13" min="15" max="15"/>
    <col width="12.4166666666667" customWidth="1" style="13" min="16" max="16"/>
    <col width="9" customWidth="1" style="13" min="17" max="17"/>
    <col width="11.5" customWidth="1" style="13" min="18" max="19"/>
    <col width="9" customWidth="1" style="13" min="20" max="16384"/>
  </cols>
  <sheetData>
    <row r="1" ht="15.5" customHeight="1">
      <c r="A1" s="559" t="inlineStr">
        <is>
          <t>返回索引页</t>
        </is>
      </c>
      <c r="B1" s="15" t="inlineStr">
        <is>
          <t>返回</t>
        </is>
      </c>
      <c r="C1" s="16" t="n"/>
      <c r="D1" s="16" t="n"/>
      <c r="E1" s="16" t="n"/>
      <c r="F1" s="70" t="n"/>
      <c r="G1" s="16" t="n"/>
      <c r="H1" s="16" t="n"/>
      <c r="I1" s="16" t="n"/>
      <c r="J1" s="16" t="n"/>
      <c r="K1" s="16" t="n"/>
      <c r="L1" s="16" t="n"/>
    </row>
    <row r="2" ht="30" customFormat="1" customHeight="1" s="11">
      <c r="A2" s="17" t="inlineStr">
        <is>
          <t>长期股权投资评估明细表</t>
        </is>
      </c>
    </row>
    <row r="3" ht="14.15" customHeight="1">
      <c r="A3" s="535">
        <f>CONCATENATE(封面!D9,封面!F9,封面!G9,封面!H9,封面!I9,封面!J9,封面!K9)</f>
      </c>
      <c r="M3" s="12" t="n"/>
      <c r="N3" s="12" t="n"/>
    </row>
    <row r="4" ht="15.5" customHeight="1">
      <c r="A4" s="536">
        <f>封面!D7&amp;封面!F7</f>
      </c>
      <c r="L4" s="20" t="inlineStr">
        <is>
          <t>金额单位：人民币元</t>
        </is>
      </c>
      <c r="O4" s="43" t="n"/>
      <c r="P4" s="575" t="n"/>
    </row>
    <row r="5" ht="13" customFormat="1" customHeight="1" s="12">
      <c r="A5" s="21" t="inlineStr">
        <is>
          <t>序号</t>
        </is>
      </c>
      <c r="B5" s="21" t="inlineStr">
        <is>
          <t>被投资单位名称</t>
        </is>
      </c>
      <c r="C5" s="21" t="inlineStr">
        <is>
          <t>投资日期</t>
        </is>
      </c>
      <c r="D5" s="21" t="inlineStr">
        <is>
          <t>协议投资期限</t>
        </is>
      </c>
      <c r="E5" s="21" t="inlineStr">
        <is>
          <t>持股比例%</t>
        </is>
      </c>
      <c r="F5" s="21" t="inlineStr">
        <is>
          <t>投资成本</t>
        </is>
      </c>
      <c r="G5" s="22" t="inlineStr">
        <is>
          <t>审计前账面值</t>
        </is>
      </c>
      <c r="H5" s="22" t="inlineStr">
        <is>
          <t>审计调整</t>
        </is>
      </c>
      <c r="I5" s="21" t="inlineStr">
        <is>
          <t>账面价值</t>
        </is>
      </c>
      <c r="J5" s="21" t="inlineStr">
        <is>
          <t>评估价值</t>
        </is>
      </c>
      <c r="K5" s="21" t="inlineStr">
        <is>
          <t>增值率%</t>
        </is>
      </c>
      <c r="L5" s="21" t="inlineStr">
        <is>
          <t>备注</t>
        </is>
      </c>
      <c r="O5" s="43" t="n"/>
      <c r="P5" s="575" t="n"/>
    </row>
    <row r="6" ht="15.5" customHeight="1">
      <c r="A6" s="23" t="n"/>
      <c r="B6" s="67" t="n"/>
      <c r="C6" s="25" t="n"/>
      <c r="D6" s="21" t="n"/>
      <c r="E6" s="222" t="n"/>
      <c r="F6" s="223" t="n"/>
      <c r="G6" s="539" t="n"/>
      <c r="H6" s="539" t="n"/>
      <c r="I6" s="539" t="n"/>
      <c r="J6" s="539" t="n"/>
      <c r="K6" s="539">
        <f>IF(I6=0,"",(J6-I6)/I6*100)</f>
      </c>
      <c r="L6" s="27" t="n"/>
      <c r="M6" s="224" t="n"/>
      <c r="O6" s="74" t="n"/>
      <c r="P6" s="547" t="n"/>
    </row>
    <row r="7" ht="15.5" customHeight="1">
      <c r="A7" s="23" t="n"/>
      <c r="B7" s="24" t="n"/>
      <c r="C7" s="25" t="n"/>
      <c r="D7" s="23" t="n"/>
      <c r="E7" s="23" t="n"/>
      <c r="F7" s="23" t="n"/>
      <c r="G7" s="539" t="n"/>
      <c r="H7" s="539" t="n"/>
      <c r="I7" s="539" t="n"/>
      <c r="J7" s="539" t="n"/>
      <c r="K7" s="539">
        <f>IF(I7=0,"",(J7-I7)/I7*100)</f>
      </c>
      <c r="L7" s="27" t="n"/>
      <c r="M7" s="74" t="n"/>
    </row>
    <row r="8" ht="15.5" customHeight="1">
      <c r="A8" s="23" t="n"/>
      <c r="B8" s="24" t="n"/>
      <c r="C8" s="25" t="n"/>
      <c r="D8" s="23" t="n"/>
      <c r="E8" s="23" t="n"/>
      <c r="F8" s="23" t="n"/>
      <c r="G8" s="539" t="n"/>
      <c r="H8" s="539" t="n"/>
      <c r="I8" s="539" t="n"/>
      <c r="J8" s="539" t="n"/>
      <c r="K8" s="539">
        <f>IF(I8=0,"",(J8-I8)/I8*100)</f>
      </c>
      <c r="L8" s="27" t="n"/>
      <c r="M8" s="547" t="n"/>
      <c r="O8" s="547" t="n"/>
      <c r="P8" s="547" t="n"/>
      <c r="S8" s="72" t="n"/>
    </row>
    <row r="9" ht="15.5" customHeight="1">
      <c r="A9" s="23" t="n"/>
      <c r="B9" s="24" t="n"/>
      <c r="C9" s="25" t="n"/>
      <c r="D9" s="23" t="n"/>
      <c r="E9" s="23" t="n"/>
      <c r="F9" s="23" t="n"/>
      <c r="G9" s="539" t="n"/>
      <c r="H9" s="539" t="n"/>
      <c r="I9" s="539" t="n"/>
      <c r="J9" s="539" t="n"/>
      <c r="K9" s="539">
        <f>IF(I9=0,"",(J9-I9)/I9*100)</f>
      </c>
      <c r="L9" s="27" t="n"/>
    </row>
    <row r="10" ht="15.5" customHeight="1">
      <c r="A10" s="23" t="n"/>
      <c r="B10" s="24" t="n"/>
      <c r="C10" s="25" t="n"/>
      <c r="D10" s="23" t="n"/>
      <c r="E10" s="23" t="n"/>
      <c r="F10" s="23" t="n"/>
      <c r="G10" s="539" t="n"/>
      <c r="H10" s="539" t="n"/>
      <c r="I10" s="539" t="n"/>
      <c r="J10" s="539" t="n"/>
      <c r="K10" s="539">
        <f>IF(I10=0,"",(J10-I10)/I10*100)</f>
      </c>
      <c r="L10" s="27" t="n"/>
    </row>
    <row r="11" ht="15.5" customHeight="1">
      <c r="A11" s="23" t="n"/>
      <c r="B11" s="24" t="n"/>
      <c r="C11" s="25" t="n"/>
      <c r="D11" s="23" t="n"/>
      <c r="E11" s="23" t="n"/>
      <c r="F11" s="23" t="n"/>
      <c r="G11" s="539" t="n"/>
      <c r="H11" s="539" t="n"/>
      <c r="I11" s="539" t="n"/>
      <c r="J11" s="539" t="n"/>
      <c r="K11" s="539">
        <f>IF(I11=0,"",(J11-I11)/I11*100)</f>
      </c>
      <c r="L11" s="27" t="n"/>
    </row>
    <row r="12" ht="15.5" customHeight="1">
      <c r="A12" s="23" t="n"/>
      <c r="B12" s="24" t="n"/>
      <c r="C12" s="25" t="n"/>
      <c r="D12" s="23" t="n"/>
      <c r="E12" s="23" t="n"/>
      <c r="F12" s="23" t="n"/>
      <c r="G12" s="539" t="n"/>
      <c r="H12" s="539" t="n"/>
      <c r="I12" s="539" t="n"/>
      <c r="J12" s="539" t="n"/>
      <c r="K12" s="539">
        <f>IF(I12=0,"",(J12-I12)/I12*100)</f>
      </c>
      <c r="L12" s="27" t="n"/>
    </row>
    <row r="13" ht="15.5" customHeight="1">
      <c r="A13" s="23" t="n"/>
      <c r="B13" s="24" t="n"/>
      <c r="C13" s="25" t="n"/>
      <c r="D13" s="23" t="n"/>
      <c r="E13" s="23" t="n"/>
      <c r="F13" s="23" t="n"/>
      <c r="G13" s="539" t="n"/>
      <c r="H13" s="539" t="n"/>
      <c r="I13" s="539" t="n"/>
      <c r="J13" s="539" t="n"/>
      <c r="K13" s="539">
        <f>IF(I13=0,"",(J13-I13)/I13*100)</f>
      </c>
      <c r="L13" s="27" t="n"/>
    </row>
    <row r="14" ht="15.5" customHeight="1">
      <c r="A14" s="23" t="n"/>
      <c r="B14" s="24" t="n"/>
      <c r="C14" s="25" t="n"/>
      <c r="D14" s="23" t="n"/>
      <c r="E14" s="23" t="n"/>
      <c r="F14" s="23" t="n"/>
      <c r="G14" s="539" t="n"/>
      <c r="H14" s="539" t="n"/>
      <c r="I14" s="539" t="n"/>
      <c r="J14" s="539" t="n"/>
      <c r="K14" s="539">
        <f>IF(I14=0,"",(J14-I14)/I14*100)</f>
      </c>
      <c r="L14" s="27" t="n"/>
    </row>
    <row r="15" ht="15.5" customHeight="1">
      <c r="A15" s="23" t="n"/>
      <c r="B15" s="24" t="n"/>
      <c r="C15" s="25" t="n"/>
      <c r="D15" s="23" t="n"/>
      <c r="E15" s="23" t="n"/>
      <c r="F15" s="23" t="n"/>
      <c r="G15" s="539" t="n"/>
      <c r="H15" s="539" t="n"/>
      <c r="I15" s="539" t="n"/>
      <c r="J15" s="539" t="n"/>
      <c r="K15" s="539">
        <f>IF(I15=0,"",(J15-I15)/I15*100)</f>
      </c>
      <c r="L15" s="27" t="n"/>
    </row>
    <row r="16" ht="15.5" customHeight="1">
      <c r="A16" s="23" t="n"/>
      <c r="B16" s="24" t="n"/>
      <c r="C16" s="25" t="n"/>
      <c r="D16" s="23" t="n"/>
      <c r="E16" s="23" t="n"/>
      <c r="F16" s="23" t="n"/>
      <c r="G16" s="539" t="n"/>
      <c r="H16" s="539" t="n"/>
      <c r="I16" s="539" t="n"/>
      <c r="J16" s="539" t="n"/>
      <c r="K16" s="539">
        <f>IF(I16=0,"",(J16-I16)/I16*100)</f>
      </c>
      <c r="L16" s="27" t="n"/>
    </row>
    <row r="17" ht="15.5" customHeight="1">
      <c r="A17" s="23" t="n"/>
      <c r="B17" s="24" t="n"/>
      <c r="C17" s="25" t="n"/>
      <c r="D17" s="23" t="n"/>
      <c r="E17" s="23" t="n"/>
      <c r="F17" s="23" t="n"/>
      <c r="G17" s="539" t="n"/>
      <c r="H17" s="539" t="n"/>
      <c r="I17" s="539" t="n"/>
      <c r="J17" s="539" t="n"/>
      <c r="K17" s="539">
        <f>IF(I17=0,"",(J17-I17)/I17*100)</f>
      </c>
      <c r="L17" s="27" t="n"/>
    </row>
    <row r="18" ht="15.5" customHeight="1">
      <c r="A18" s="23" t="n"/>
      <c r="B18" s="24" t="n"/>
      <c r="C18" s="25" t="n"/>
      <c r="D18" s="23" t="n"/>
      <c r="E18" s="23" t="n"/>
      <c r="F18" s="23" t="n"/>
      <c r="G18" s="539" t="n"/>
      <c r="H18" s="539" t="n"/>
      <c r="I18" s="539" t="n"/>
      <c r="J18" s="539" t="n"/>
      <c r="K18" s="539">
        <f>IF(I18=0,"",(J18-I18)/I18*100)</f>
      </c>
      <c r="L18" s="27" t="n"/>
    </row>
    <row r="19" ht="15.5" customHeight="1">
      <c r="A19" s="23" t="n"/>
      <c r="B19" s="24" t="n"/>
      <c r="C19" s="25" t="n"/>
      <c r="D19" s="23" t="n"/>
      <c r="E19" s="23" t="n"/>
      <c r="F19" s="23" t="n"/>
      <c r="G19" s="539" t="n"/>
      <c r="H19" s="539" t="n"/>
      <c r="I19" s="539" t="n"/>
      <c r="J19" s="539" t="n"/>
      <c r="K19" s="539">
        <f>IF(I19=0,"",(J19-I19)/I19*100)</f>
      </c>
      <c r="L19" s="27" t="n"/>
    </row>
    <row r="20" ht="15.5" customHeight="1">
      <c r="A20" s="23" t="n"/>
      <c r="B20" s="24" t="n"/>
      <c r="C20" s="25" t="n"/>
      <c r="D20" s="23" t="n"/>
      <c r="E20" s="23" t="n"/>
      <c r="F20" s="23" t="n"/>
      <c r="G20" s="539" t="n"/>
      <c r="H20" s="539" t="n"/>
      <c r="I20" s="539" t="n"/>
      <c r="J20" s="539" t="n"/>
      <c r="K20" s="539">
        <f>IF(I20=0,"",(J20-I20)/I20*100)</f>
      </c>
      <c r="L20" s="27" t="n"/>
    </row>
    <row r="21" ht="15.5" customHeight="1">
      <c r="A21" s="23" t="n"/>
      <c r="B21" s="24" t="n"/>
      <c r="C21" s="25" t="n"/>
      <c r="D21" s="23" t="n"/>
      <c r="E21" s="23" t="n"/>
      <c r="F21" s="23" t="n"/>
      <c r="G21" s="539" t="n"/>
      <c r="H21" s="539" t="n"/>
      <c r="I21" s="539" t="n"/>
      <c r="J21" s="539" t="n"/>
      <c r="K21" s="539">
        <f>IF(I21=0,"",(J21-I21)/I21*100)</f>
      </c>
      <c r="L21" s="27" t="n"/>
    </row>
    <row r="22" ht="15.5" customHeight="1">
      <c r="A22" s="23" t="n"/>
      <c r="B22" s="24" t="n"/>
      <c r="C22" s="25" t="n"/>
      <c r="D22" s="23" t="n"/>
      <c r="E22" s="23" t="n"/>
      <c r="F22" s="23" t="n"/>
      <c r="G22" s="539" t="n"/>
      <c r="H22" s="539" t="n"/>
      <c r="I22" s="539" t="n"/>
      <c r="J22" s="539" t="n"/>
      <c r="K22" s="539">
        <f>IF(I22=0,"",(J22-I22)/I22*100)</f>
      </c>
      <c r="L22" s="27" t="n"/>
    </row>
    <row r="23" ht="15.5" customHeight="1">
      <c r="A23" s="23" t="n"/>
      <c r="B23" s="24" t="n"/>
      <c r="C23" s="25" t="n"/>
      <c r="D23" s="23" t="n"/>
      <c r="E23" s="23" t="n"/>
      <c r="F23" s="23" t="n"/>
      <c r="G23" s="539" t="n"/>
      <c r="H23" s="539" t="n"/>
      <c r="I23" s="539" t="n"/>
      <c r="J23" s="539" t="n"/>
      <c r="K23" s="539">
        <f>IF(I23=0,"",(J23-I23)/I23*100)</f>
      </c>
      <c r="L23" s="27" t="n"/>
    </row>
    <row r="24" ht="15.5" customHeight="1">
      <c r="A24" s="23" t="n"/>
      <c r="B24" s="24" t="n"/>
      <c r="C24" s="25" t="n"/>
      <c r="D24" s="23" t="n"/>
      <c r="E24" s="23" t="n"/>
      <c r="F24" s="23" t="n"/>
      <c r="G24" s="539" t="n"/>
      <c r="H24" s="539" t="n"/>
      <c r="I24" s="539" t="n"/>
      <c r="J24" s="539" t="n"/>
      <c r="K24" s="539">
        <f>IF(I24=0,"",(J24-I24)/I24*100)</f>
      </c>
      <c r="L24" s="27" t="n"/>
    </row>
    <row r="25" ht="15.5" customHeight="1">
      <c r="A25" s="21" t="inlineStr">
        <is>
          <t>合            计</t>
        </is>
      </c>
      <c r="B25" s="28" t="n"/>
      <c r="C25" s="23" t="n"/>
      <c r="D25" s="25" t="n"/>
      <c r="E25" s="25" t="n"/>
      <c r="F25" s="25" t="n"/>
      <c r="G25" s="539">
        <f>SUM(G6:G24)</f>
      </c>
      <c r="H25" s="539" t="n"/>
      <c r="I25" s="539">
        <f>SUM(I6:I24)</f>
      </c>
      <c r="J25" s="539">
        <f>SUM(J6:J24)</f>
      </c>
      <c r="K25" s="539">
        <f>IF(I25=0,"",(J25-I25)/I25*100)</f>
      </c>
      <c r="L25" s="27" t="n"/>
    </row>
    <row r="26" ht="15.5" customHeight="1">
      <c r="A26" s="21" t="inlineStr">
        <is>
          <t>减：长期股权投资减值准备</t>
        </is>
      </c>
      <c r="B26" s="28" t="n"/>
      <c r="C26" s="23" t="n"/>
      <c r="D26" s="25" t="n"/>
      <c r="E26" s="25" t="n"/>
      <c r="F26" s="25" t="n"/>
      <c r="G26" s="539" t="n"/>
      <c r="H26" s="539" t="n"/>
      <c r="I26" s="539">
        <f>G26</f>
      </c>
      <c r="J26" s="539"/>
      <c r="K26" s="539">
        <f>IF(I26=0,"",(J26-I26)/I26*100)</f>
      </c>
      <c r="L26" s="27" t="n"/>
    </row>
    <row r="27" ht="15.5" customHeight="1">
      <c r="A27" s="21" t="inlineStr">
        <is>
          <t>净            额</t>
        </is>
      </c>
      <c r="B27" s="28" t="n"/>
      <c r="C27" s="23" t="n"/>
      <c r="D27" s="25" t="n"/>
      <c r="E27" s="25" t="n"/>
      <c r="F27" s="25" t="n"/>
      <c r="G27" s="539">
        <f>G25-G26</f>
      </c>
      <c r="H27" s="539" t="n"/>
      <c r="I27" s="539">
        <f>I25-I26</f>
      </c>
      <c r="J27" s="539">
        <f>J25-J26</f>
      </c>
      <c r="K27" s="539">
        <f>IF(I27=0,"",(J27-I27)/I27*100)</f>
      </c>
      <c r="L27" s="27" t="n"/>
    </row>
    <row r="28" ht="15.5" customHeight="1">
      <c r="A28" s="29">
        <f>封面!D11&amp;封面!G11</f>
      </c>
      <c r="C28" s="225" t="n"/>
      <c r="I28" s="13">
        <f>"评估人员："&amp;封面!G22</f>
      </c>
    </row>
    <row r="29" ht="15.5" customHeight="1">
      <c r="A29" s="29">
        <f>CONCATENATE(封面!D13,封面!F13,封面!G13,封面!H13,封面!I13,封面!J13,封面!K13)</f>
      </c>
    </row>
  </sheetData>
  <mergeCells count="5">
    <mergeCell ref="A26:B26"/>
    <mergeCell ref="A2:L2"/>
    <mergeCell ref="A25:B25"/>
    <mergeCell ref="A27:B27"/>
    <mergeCell ref="A3:L3"/>
  </mergeCells>
  <hyperlinks>
    <hyperlink ref="A1" location="索引目录!D33" display="返回索引页"/>
    <hyperlink ref="B1" location="长期投资汇总!B9" display="返回"/>
  </hyperlinks>
  <printOptions horizontalCentered="1"/>
  <pageMargins left="0.354330708661417" right="0.354330708661417" top="0.78740157480315" bottom="0.78740157480315" header="1.05" footer="0.511811023622047"/>
  <pageSetup orientation="landscape" paperSize="9" scale="91" fitToHeight="0"/>
  <headerFooter alignWithMargins="0">
    <oddHeader>&amp;R&amp;"宋体,常规"共&amp;"Times New Roman,常规"&amp;N&amp;"宋体,常规"页第&amp;"Times New Roman,常规"&amp;P&amp;"宋体,常规"4-4_x000a_页</oddHeader>
    <oddFooter/>
    <evenHeader/>
    <evenFooter/>
    <firstHeader/>
    <firstFooter/>
  </headerFooter>
</worksheet>
</file>

<file path=xl/worksheets/sheet41.xml><?xml version="1.0" encoding="utf-8"?>
<worksheet xmlns="http://schemas.openxmlformats.org/spreadsheetml/2006/main">
  <sheetPr codeName="Sheet41">
    <tabColor indexed="14"/>
    <outlinePr summaryBelow="1" summaryRight="1"/>
    <pageSetUpPr fitToPage="1"/>
  </sheetPr>
  <dimension ref="A1:U29"/>
  <sheetViews>
    <sheetView view="pageBreakPreview" zoomScale="60" zoomScaleNormal="100" workbookViewId="0">
      <selection activeCell="G451" sqref="G451"/>
    </sheetView>
  </sheetViews>
  <sheetFormatPr baseColWidth="8" defaultColWidth="9" defaultRowHeight="15.75" customHeight="1"/>
  <cols>
    <col width="5.5" customWidth="1" style="85" min="1" max="1"/>
    <col width="7.25" customWidth="1" style="85" min="2" max="2"/>
    <col width="9.08333333333333" customWidth="1" style="85" min="3" max="3"/>
    <col width="13.8333333333333" customWidth="1" style="85" min="4" max="4"/>
    <col width="5.33333333333333" customWidth="1" style="85" min="5" max="5"/>
    <col width="6.33333333333333" customWidth="1" style="85" min="6" max="6"/>
    <col width="4.5" customWidth="1" style="85" min="7" max="7"/>
    <col width="7.75" customWidth="1" style="85" min="8" max="8"/>
    <col width="8.58333333333333" customWidth="1" style="85" min="9" max="9"/>
    <col hidden="1" outlineLevel="1" width="8.5" customWidth="1" style="85" min="10" max="10"/>
    <col hidden="1" outlineLevel="1" width="8" customWidth="1" style="85" min="11" max="13"/>
    <col collapsed="1" width="8" customWidth="1" style="85" min="14" max="14"/>
    <col width="8" customWidth="1" style="85" min="15" max="15"/>
    <col width="6.5" customWidth="1" style="85" min="16" max="16"/>
    <col width="7.58333333333333" customWidth="1" style="85" min="17" max="17"/>
    <col width="7.83333333333333" customWidth="1" style="85" min="18" max="18"/>
    <col width="7.75" customWidth="1" style="85" min="19" max="19"/>
    <col width="7.25" customWidth="1" style="85" min="20" max="20"/>
    <col width="6" customWidth="1" style="85" min="21" max="21"/>
    <col width="9" customWidth="1" style="85" min="22" max="16384"/>
  </cols>
  <sheetData>
    <row r="1" ht="15" customFormat="1" customHeight="1" s="13">
      <c r="A1" s="559" t="inlineStr">
        <is>
          <t>返回索引页</t>
        </is>
      </c>
      <c r="B1" s="15" t="inlineStr">
        <is>
          <t>返回</t>
        </is>
      </c>
      <c r="C1" s="16" t="n"/>
      <c r="D1" s="16" t="n"/>
      <c r="E1" s="16" t="n"/>
      <c r="F1" s="70" t="n"/>
      <c r="G1" s="16" t="n"/>
      <c r="H1" s="16" t="n"/>
      <c r="I1" s="16" t="n"/>
      <c r="J1" s="16" t="n"/>
      <c r="K1" s="16" t="n"/>
      <c r="L1" s="16" t="n"/>
    </row>
    <row r="2" ht="30" customFormat="1" customHeight="1" s="203">
      <c r="A2" s="83" t="inlineStr">
        <is>
          <t>投资性房地产——房屋评估明细表</t>
        </is>
      </c>
    </row>
    <row r="3" ht="23" customFormat="1" customHeight="1" s="203">
      <c r="A3" s="205" t="inlineStr">
        <is>
          <t>（采用成本模式计量）</t>
        </is>
      </c>
    </row>
    <row r="4" ht="14.15" customHeight="1">
      <c r="A4" s="576">
        <f>股权投资!A3</f>
      </c>
    </row>
    <row r="5" ht="15.5" customHeight="1">
      <c r="A5" s="577" t="inlineStr">
        <is>
          <t>被评估单位（或者产权持有单位）：</t>
        </is>
      </c>
      <c r="S5" s="220" t="inlineStr">
        <is>
          <t>金额单位：人民币元</t>
        </is>
      </c>
      <c r="T5" s="175" t="n"/>
      <c r="U5" s="175" t="n"/>
    </row>
    <row r="6" ht="13" customFormat="1" customHeight="1" s="81">
      <c r="A6" s="208" t="inlineStr">
        <is>
          <t>序号</t>
        </is>
      </c>
      <c r="B6" s="208"/>
      <c r="C6" s="87"/>
      <c r="D6" s="87"/>
      <c r="E6" s="208"/>
      <c r="F6" s="87"/>
      <c r="G6" s="198"/>
      <c r="H6" s="198"/>
      <c r="I6" s="87"/>
      <c r="J6" s="208"/>
      <c r="K6" s="28" t="n"/>
      <c r="L6" s="208"/>
      <c r="M6" s="28" t="n"/>
      <c r="N6" s="208"/>
      <c r="O6" s="28" t="n"/>
      <c r="P6" s="208"/>
      <c r="Q6" s="138" t="n"/>
      <c r="R6" s="28" t="n"/>
      <c r="S6" s="87"/>
      <c r="T6" s="87"/>
      <c r="U6" s="87"/>
    </row>
    <row r="7" ht="29.15" customFormat="1" customHeight="1" s="81">
      <c r="A7" s="36" t="n"/>
      <c r="B7" s="36" t="n"/>
      <c r="C7" s="36" t="n"/>
      <c r="D7" s="36" t="n"/>
      <c r="E7" s="36" t="n"/>
      <c r="F7" s="36" t="n"/>
      <c r="G7" s="36" t="n"/>
      <c r="H7" s="36" t="n"/>
      <c r="I7" s="36" t="n"/>
      <c r="J7" s="212"/>
      <c r="K7" s="208"/>
      <c r="L7" s="208"/>
      <c r="M7" s="208"/>
      <c r="N7" s="212"/>
      <c r="O7" s="208"/>
      <c r="P7" s="208"/>
      <c r="Q7" s="208"/>
      <c r="R7" s="208"/>
      <c r="S7" s="36" t="n"/>
      <c r="T7" s="36" t="n"/>
      <c r="U7" s="36" t="n"/>
    </row>
    <row r="8" ht="15.5" customHeight="1">
      <c r="A8" s="89" t="n"/>
      <c r="B8" s="207" t="n"/>
      <c r="C8" s="207" t="n"/>
      <c r="D8" s="207" t="n"/>
      <c r="E8" s="89" t="n"/>
      <c r="F8" s="90" t="n"/>
      <c r="G8" s="90" t="n"/>
      <c r="H8" s="210" t="n"/>
      <c r="I8" s="578" t="inlineStr"/>
      <c r="J8" s="579" t="n"/>
      <c r="K8" s="578" t="n"/>
      <c r="L8" s="578" t="n"/>
      <c r="M8" s="578" t="n"/>
      <c r="N8" s="578" t="n"/>
      <c r="O8" s="578" t="n"/>
      <c r="P8" s="578" t="n"/>
      <c r="Q8" s="89" t="n"/>
      <c r="R8" s="578" t="n"/>
      <c r="S8" s="539">
        <f>IF(Q8=0,"",(R8-O8)/O8*100)</f>
      </c>
      <c r="T8" s="578" t="n"/>
      <c r="U8" s="207" t="n"/>
    </row>
    <row r="9" ht="15.5" customHeight="1">
      <c r="A9" s="89" t="n"/>
      <c r="B9" s="207" t="n"/>
      <c r="C9" s="207" t="n"/>
      <c r="D9" s="207" t="n"/>
      <c r="E9" s="89" t="n"/>
      <c r="F9" s="90" t="n"/>
      <c r="G9" s="90" t="n"/>
      <c r="H9" s="210" t="n"/>
      <c r="I9" s="578" t="inlineStr"/>
      <c r="J9" s="579" t="n"/>
      <c r="K9" s="578" t="n"/>
      <c r="L9" s="578" t="n"/>
      <c r="M9" s="578" t="n"/>
      <c r="N9" s="578" t="n"/>
      <c r="O9" s="578" t="n"/>
      <c r="P9" s="578" t="n"/>
      <c r="Q9" s="89" t="n"/>
      <c r="R9" s="578" t="n"/>
      <c r="S9" s="539">
        <f>IF(Q9=0,"",(R9-O9)/O9*100)</f>
      </c>
      <c r="T9" s="578" t="n"/>
      <c r="U9" s="207" t="n"/>
    </row>
    <row r="10" ht="15.5" customHeight="1">
      <c r="A10" s="89" t="n"/>
      <c r="B10" s="207" t="n"/>
      <c r="C10" s="207" t="n"/>
      <c r="D10" s="207" t="n"/>
      <c r="E10" s="89" t="n"/>
      <c r="F10" s="90" t="n"/>
      <c r="G10" s="90" t="n"/>
      <c r="H10" s="210" t="n"/>
      <c r="I10" s="578" t="n"/>
      <c r="J10" s="579" t="n"/>
      <c r="K10" s="578" t="n"/>
      <c r="L10" s="578" t="n"/>
      <c r="M10" s="578" t="n"/>
      <c r="N10" s="578" t="n"/>
      <c r="O10" s="578" t="n"/>
      <c r="P10" s="578" t="n"/>
      <c r="Q10" s="89" t="n"/>
      <c r="R10" s="578" t="n"/>
      <c r="S10" s="539">
        <f>IF(Q10=0,"",(R10-O10)/O10*100)</f>
      </c>
      <c r="T10" s="578" t="n"/>
      <c r="U10" s="207" t="n"/>
    </row>
    <row r="11" ht="15.5" customHeight="1">
      <c r="A11" s="89" t="n"/>
      <c r="B11" s="207" t="n"/>
      <c r="C11" s="207" t="n"/>
      <c r="D11" s="207" t="n"/>
      <c r="E11" s="89" t="n"/>
      <c r="F11" s="90" t="n"/>
      <c r="G11" s="90" t="n"/>
      <c r="H11" s="210" t="n"/>
      <c r="I11" s="578" t="n"/>
      <c r="J11" s="579" t="n"/>
      <c r="K11" s="578" t="n"/>
      <c r="L11" s="578" t="n"/>
      <c r="M11" s="578" t="n"/>
      <c r="N11" s="578" t="n"/>
      <c r="O11" s="578" t="n"/>
      <c r="P11" s="578" t="n"/>
      <c r="Q11" s="89" t="n"/>
      <c r="R11" s="578" t="n"/>
      <c r="S11" s="539">
        <f>IF(Q11=0,"",(R11-O11)/O11*100)</f>
      </c>
      <c r="T11" s="578" t="n"/>
      <c r="U11" s="207" t="n"/>
    </row>
    <row r="12" ht="15.5" customHeight="1">
      <c r="A12" s="89" t="n"/>
      <c r="B12" s="207" t="n"/>
      <c r="C12" s="207" t="n"/>
      <c r="D12" s="207" t="n"/>
      <c r="E12" s="89" t="n"/>
      <c r="F12" s="90" t="n"/>
      <c r="G12" s="90" t="n"/>
      <c r="H12" s="210" t="n"/>
      <c r="I12" s="578" t="n"/>
      <c r="J12" s="579" t="n"/>
      <c r="K12" s="578" t="n"/>
      <c r="L12" s="578" t="n"/>
      <c r="M12" s="578" t="n"/>
      <c r="N12" s="578" t="n"/>
      <c r="O12" s="578" t="n"/>
      <c r="P12" s="578" t="n"/>
      <c r="Q12" s="89" t="n"/>
      <c r="R12" s="578" t="n"/>
      <c r="S12" s="539">
        <f>IF(Q12=0,"",(R12-O12)/O12*100)</f>
      </c>
      <c r="T12" s="578" t="n"/>
      <c r="U12" s="207" t="n"/>
    </row>
    <row r="13" ht="15.5" customHeight="1">
      <c r="A13" s="89" t="n"/>
      <c r="B13" s="207" t="n"/>
      <c r="C13" s="207" t="n"/>
      <c r="D13" s="207" t="n"/>
      <c r="E13" s="89" t="n"/>
      <c r="F13" s="90" t="n"/>
      <c r="G13" s="90" t="n"/>
      <c r="H13" s="210" t="n"/>
      <c r="I13" s="578" t="n"/>
      <c r="J13" s="579" t="n"/>
      <c r="K13" s="578" t="n"/>
      <c r="L13" s="578" t="n"/>
      <c r="M13" s="578" t="n"/>
      <c r="N13" s="578" t="n"/>
      <c r="O13" s="578" t="n"/>
      <c r="P13" s="578" t="n"/>
      <c r="Q13" s="89" t="n"/>
      <c r="R13" s="578" t="n"/>
      <c r="S13" s="539">
        <f>IF(Q13=0,"",(R13-O13)/O13*100)</f>
      </c>
      <c r="T13" s="578" t="n"/>
      <c r="U13" s="207" t="n"/>
    </row>
    <row r="14" ht="15.5" customHeight="1">
      <c r="A14" s="89" t="n"/>
      <c r="B14" s="207" t="n"/>
      <c r="C14" s="207" t="n"/>
      <c r="D14" s="207" t="n"/>
      <c r="E14" s="89" t="n"/>
      <c r="F14" s="90" t="n"/>
      <c r="G14" s="90" t="n"/>
      <c r="H14" s="210" t="n"/>
      <c r="I14" s="578" t="n"/>
      <c r="J14" s="579" t="n"/>
      <c r="K14" s="578" t="n"/>
      <c r="L14" s="578" t="n"/>
      <c r="M14" s="578" t="n"/>
      <c r="N14" s="578" t="n"/>
      <c r="O14" s="578" t="n"/>
      <c r="P14" s="578" t="n"/>
      <c r="Q14" s="89" t="n"/>
      <c r="R14" s="578" t="n"/>
      <c r="S14" s="539">
        <f>IF(Q14=0,"",(R14-O14)/O14*100)</f>
      </c>
      <c r="T14" s="578" t="n"/>
      <c r="U14" s="207" t="n"/>
    </row>
    <row r="15" ht="15.5" customHeight="1">
      <c r="A15" s="89" t="n"/>
      <c r="B15" s="207" t="n"/>
      <c r="C15" s="207" t="n"/>
      <c r="D15" s="207" t="n"/>
      <c r="E15" s="89" t="n"/>
      <c r="F15" s="90" t="n"/>
      <c r="G15" s="90" t="n"/>
      <c r="H15" s="210" t="n"/>
      <c r="I15" s="578" t="inlineStr"/>
      <c r="J15" s="579" t="n"/>
      <c r="K15" s="578" t="n"/>
      <c r="L15" s="578" t="n"/>
      <c r="M15" s="578" t="n"/>
      <c r="N15" s="578" t="n"/>
      <c r="O15" s="578" t="n"/>
      <c r="P15" s="578" t="n"/>
      <c r="Q15" s="89" t="n"/>
      <c r="R15" s="578" t="n"/>
      <c r="S15" s="539">
        <f>IF(Q15=0,"",(R15-O15)/O15*100)</f>
      </c>
      <c r="T15" s="578" t="n"/>
      <c r="U15" s="207" t="n"/>
    </row>
    <row r="16" ht="15.5" customHeight="1">
      <c r="A16" s="89" t="n"/>
      <c r="B16" s="207" t="n"/>
      <c r="C16" s="207" t="n"/>
      <c r="D16" s="207" t="n"/>
      <c r="E16" s="89" t="n"/>
      <c r="F16" s="90" t="n"/>
      <c r="G16" s="90" t="n"/>
      <c r="H16" s="210" t="n"/>
      <c r="I16" s="578" t="inlineStr"/>
      <c r="J16" s="579" t="n"/>
      <c r="K16" s="578" t="n"/>
      <c r="L16" s="578" t="n"/>
      <c r="M16" s="578" t="n"/>
      <c r="N16" s="578" t="n"/>
      <c r="O16" s="578" t="n"/>
      <c r="P16" s="578" t="n"/>
      <c r="Q16" s="89" t="n"/>
      <c r="R16" s="578" t="n"/>
      <c r="S16" s="539">
        <f>IF(Q16=0,"",(R16-O16)/O16*100)</f>
      </c>
      <c r="T16" s="578" t="n"/>
      <c r="U16" s="207" t="n"/>
    </row>
    <row r="17" ht="15.5" customHeight="1">
      <c r="A17" s="89" t="n"/>
      <c r="B17" s="207" t="n"/>
      <c r="C17" s="207" t="n"/>
      <c r="D17" s="207" t="n"/>
      <c r="E17" s="89" t="n"/>
      <c r="F17" s="90" t="n"/>
      <c r="G17" s="90" t="n"/>
      <c r="H17" s="210" t="n"/>
      <c r="I17" s="578" t="inlineStr"/>
      <c r="J17" s="579" t="n"/>
      <c r="K17" s="578" t="n"/>
      <c r="L17" s="578" t="n"/>
      <c r="M17" s="578" t="n"/>
      <c r="N17" s="578" t="n"/>
      <c r="O17" s="578" t="n"/>
      <c r="P17" s="578" t="n"/>
      <c r="Q17" s="89" t="n"/>
      <c r="R17" s="578" t="n"/>
      <c r="S17" s="539">
        <f>IF(Q17=0,"",(R17-O17)/O17*100)</f>
      </c>
      <c r="T17" s="578" t="n"/>
      <c r="U17" s="207" t="n"/>
    </row>
    <row r="18" ht="15.5" customHeight="1">
      <c r="A18" s="89" t="n"/>
      <c r="B18" s="207" t="n"/>
      <c r="C18" s="207" t="n"/>
      <c r="D18" s="207" t="n"/>
      <c r="E18" s="89" t="n"/>
      <c r="F18" s="90" t="n"/>
      <c r="G18" s="90" t="n"/>
      <c r="H18" s="210" t="n"/>
      <c r="I18" s="578" t="inlineStr"/>
      <c r="J18" s="579" t="n"/>
      <c r="K18" s="578" t="n"/>
      <c r="L18" s="578" t="n"/>
      <c r="M18" s="578" t="n"/>
      <c r="N18" s="578" t="n"/>
      <c r="O18" s="578" t="n"/>
      <c r="P18" s="578" t="n"/>
      <c r="Q18" s="89" t="n"/>
      <c r="R18" s="578" t="n"/>
      <c r="S18" s="539">
        <f>IF(Q18=0,"",(R18-O18)/O18*100)</f>
      </c>
      <c r="T18" s="578" t="n"/>
      <c r="U18" s="207" t="n"/>
    </row>
    <row r="19" ht="15.5" customHeight="1">
      <c r="A19" s="89" t="n"/>
      <c r="B19" s="207" t="n"/>
      <c r="C19" s="207" t="n"/>
      <c r="D19" s="207" t="n"/>
      <c r="E19" s="89" t="n"/>
      <c r="F19" s="90" t="n"/>
      <c r="G19" s="90" t="n"/>
      <c r="H19" s="210" t="n"/>
      <c r="I19" s="578" t="inlineStr"/>
      <c r="J19" s="579" t="n"/>
      <c r="K19" s="578" t="n"/>
      <c r="L19" s="578" t="n"/>
      <c r="M19" s="578" t="n"/>
      <c r="N19" s="578" t="n"/>
      <c r="O19" s="578" t="n"/>
      <c r="P19" s="578" t="n"/>
      <c r="Q19" s="89" t="n"/>
      <c r="R19" s="578" t="n"/>
      <c r="S19" s="539">
        <f>IF(Q19=0,"",(R19-O19)/O19*100)</f>
      </c>
      <c r="T19" s="578" t="n"/>
      <c r="U19" s="207" t="n"/>
    </row>
    <row r="20" ht="15.5" customHeight="1">
      <c r="A20" s="89" t="n"/>
      <c r="B20" s="207" t="n"/>
      <c r="C20" s="207" t="n"/>
      <c r="D20" s="207" t="n"/>
      <c r="E20" s="89" t="n"/>
      <c r="F20" s="90" t="n"/>
      <c r="G20" s="90" t="n"/>
      <c r="H20" s="210" t="n"/>
      <c r="I20" s="578" t="inlineStr"/>
      <c r="J20" s="579" t="n"/>
      <c r="K20" s="578" t="n"/>
      <c r="L20" s="578" t="n"/>
      <c r="M20" s="578" t="n"/>
      <c r="N20" s="578" t="n"/>
      <c r="O20" s="578" t="n"/>
      <c r="P20" s="578" t="n"/>
      <c r="Q20" s="89" t="n"/>
      <c r="R20" s="578" t="n"/>
      <c r="S20" s="539">
        <f>IF(Q20=0,"",(R20-O20)/O20*100)</f>
      </c>
      <c r="T20" s="578" t="n"/>
      <c r="U20" s="207" t="n"/>
    </row>
    <row r="21" ht="15.5" customHeight="1">
      <c r="A21" s="89" t="n"/>
      <c r="B21" s="207" t="n"/>
      <c r="C21" s="207" t="n"/>
      <c r="D21" s="207" t="n"/>
      <c r="E21" s="89" t="n"/>
      <c r="F21" s="90" t="n"/>
      <c r="G21" s="90" t="n"/>
      <c r="H21" s="210" t="n"/>
      <c r="I21" s="578" t="inlineStr"/>
      <c r="J21" s="579" t="n"/>
      <c r="K21" s="578" t="n"/>
      <c r="L21" s="578" t="n"/>
      <c r="M21" s="578" t="n"/>
      <c r="N21" s="578" t="n"/>
      <c r="O21" s="578" t="n"/>
      <c r="P21" s="578" t="n"/>
      <c r="Q21" s="89" t="n"/>
      <c r="R21" s="578" t="n"/>
      <c r="S21" s="539">
        <f>IF(Q21=0,"",(R21-O21)/O21*100)</f>
      </c>
      <c r="T21" s="578" t="n"/>
      <c r="U21" s="207" t="n"/>
    </row>
    <row r="22" ht="15.5" customHeight="1">
      <c r="A22" s="89" t="n"/>
      <c r="B22" s="207" t="n"/>
      <c r="C22" s="207" t="n"/>
      <c r="D22" s="207" t="n"/>
      <c r="E22" s="89" t="n"/>
      <c r="F22" s="90" t="n"/>
      <c r="G22" s="90" t="n"/>
      <c r="H22" s="210" t="n"/>
      <c r="I22" s="578" t="inlineStr"/>
      <c r="J22" s="579" t="n"/>
      <c r="K22" s="578" t="n"/>
      <c r="L22" s="578" t="n"/>
      <c r="M22" s="578" t="n"/>
      <c r="N22" s="578" t="n"/>
      <c r="O22" s="578" t="n"/>
      <c r="P22" s="578" t="n"/>
      <c r="Q22" s="89" t="n"/>
      <c r="R22" s="578" t="n"/>
      <c r="S22" s="539">
        <f>IF(Q22=0,"",(R22-O22)/O22*100)</f>
      </c>
      <c r="T22" s="578" t="n"/>
      <c r="U22" s="207" t="n"/>
    </row>
    <row r="23" ht="15.5" customHeight="1">
      <c r="A23" s="89" t="n"/>
      <c r="B23" s="207" t="n"/>
      <c r="C23" s="207" t="n"/>
      <c r="D23" s="207" t="n"/>
      <c r="E23" s="89" t="n"/>
      <c r="F23" s="90" t="n"/>
      <c r="G23" s="90" t="n"/>
      <c r="H23" s="210" t="n"/>
      <c r="I23" s="578" t="inlineStr"/>
      <c r="J23" s="579" t="n"/>
      <c r="K23" s="578" t="n"/>
      <c r="L23" s="578" t="n"/>
      <c r="M23" s="578" t="n"/>
      <c r="N23" s="578" t="n"/>
      <c r="O23" s="578" t="n"/>
      <c r="P23" s="578" t="n"/>
      <c r="Q23" s="89" t="n"/>
      <c r="R23" s="578" t="n"/>
      <c r="S23" s="539">
        <f>IF(Q23=0,"",(R23-O23)/O23*100)</f>
      </c>
      <c r="T23" s="578" t="n"/>
      <c r="U23" s="207" t="n"/>
    </row>
    <row r="24" ht="15.5" customHeight="1">
      <c r="A24" s="89" t="n"/>
      <c r="B24" s="207" t="n"/>
      <c r="C24" s="207" t="n"/>
      <c r="D24" s="207" t="n"/>
      <c r="E24" s="89" t="n"/>
      <c r="F24" s="90" t="n"/>
      <c r="G24" s="90" t="n"/>
      <c r="H24" s="210" t="n"/>
      <c r="I24" s="578" t="n"/>
      <c r="J24" s="579" t="n"/>
      <c r="K24" s="578" t="n"/>
      <c r="L24" s="578" t="n"/>
      <c r="M24" s="578" t="n"/>
      <c r="N24" s="578" t="n"/>
      <c r="O24" s="578" t="n"/>
      <c r="P24" s="578" t="n"/>
      <c r="Q24" s="89" t="n"/>
      <c r="R24" s="578" t="n"/>
      <c r="S24" s="539">
        <f>IF(Q24=0,"",(R24-O24)/O24*100)</f>
      </c>
      <c r="T24" s="578" t="n"/>
      <c r="U24" s="207" t="n"/>
    </row>
    <row r="25" ht="15.5" customHeight="1">
      <c r="A25" s="208" t="inlineStr">
        <is>
          <t>合            计</t>
        </is>
      </c>
      <c r="B25" s="138" t="n"/>
      <c r="C25" s="28" t="n"/>
      <c r="D25" s="209" t="n"/>
      <c r="E25" s="89" t="n"/>
      <c r="F25" s="90" t="n"/>
      <c r="G25" s="90" t="n"/>
      <c r="H25" s="210" t="n"/>
      <c r="I25" s="578" t="inlineStr"/>
      <c r="J25" s="579">
        <f>SUM(J8:J24)</f>
      </c>
      <c r="K25" s="579">
        <f>SUM(K8:K24)</f>
      </c>
      <c r="L25" s="579">
        <f>SUM(L8:L24)</f>
      </c>
      <c r="M25" s="579">
        <f>SUM(M8:M24)</f>
      </c>
      <c r="N25" s="579">
        <f>SUM(N8:N24)</f>
      </c>
      <c r="O25" s="579">
        <f>SUM(O8:O24)</f>
      </c>
      <c r="P25" s="579">
        <f>SUM(P8:P24)</f>
      </c>
      <c r="Q25" s="579" t="n"/>
      <c r="R25" s="579">
        <f>SUM(R8:R24)</f>
      </c>
      <c r="S25" s="539">
        <f>IF(Q25=0,"",(R25-O25)/O25*100)</f>
      </c>
      <c r="T25" s="578" t="n"/>
      <c r="U25" s="207" t="n"/>
    </row>
    <row r="26" ht="15.5" customHeight="1">
      <c r="A26" s="208" t="inlineStr">
        <is>
          <t>减：投资性房地产减值准备</t>
        </is>
      </c>
      <c r="B26" s="138" t="n"/>
      <c r="C26" s="28" t="n"/>
      <c r="D26" s="212" t="n"/>
      <c r="E26" s="89" t="n"/>
      <c r="F26" s="90" t="n"/>
      <c r="G26" s="90" t="n"/>
      <c r="H26" s="210" t="n"/>
      <c r="I26" s="578" t="n"/>
      <c r="J26" s="579" t="n"/>
      <c r="K26" s="578" t="n"/>
      <c r="L26" s="578" t="n"/>
      <c r="M26" s="578" t="n"/>
      <c r="N26" s="578" t="n"/>
      <c r="O26" s="578" t="n"/>
      <c r="P26" s="578" t="n"/>
      <c r="Q26" s="89" t="n"/>
      <c r="R26" s="578" t="n"/>
      <c r="S26" s="578" t="inlineStr"/>
      <c r="T26" s="578" t="n"/>
      <c r="U26" s="207" t="n"/>
    </row>
    <row r="27" ht="15.5" customHeight="1">
      <c r="A27" s="208" t="inlineStr">
        <is>
          <t>合      计</t>
        </is>
      </c>
      <c r="B27" s="138" t="n"/>
      <c r="C27" s="28" t="n"/>
      <c r="D27" s="212" t="n"/>
      <c r="E27" s="89" t="n"/>
      <c r="F27" s="90" t="n"/>
      <c r="G27" s="90" t="n"/>
      <c r="H27" s="93" t="n"/>
      <c r="I27" s="578" t="n"/>
      <c r="J27" s="579">
        <f>J25-J26</f>
      </c>
      <c r="K27" s="579">
        <f>K25-K26</f>
      </c>
      <c r="L27" s="579">
        <f>L25-L26</f>
      </c>
      <c r="M27" s="579">
        <f>M25-M26</f>
      </c>
      <c r="N27" s="579">
        <f>N25-N26</f>
      </c>
      <c r="O27" s="579">
        <f>O25-O26</f>
      </c>
      <c r="P27" s="579">
        <f>P25-P26</f>
      </c>
      <c r="Q27" s="579" t="n"/>
      <c r="R27" s="579">
        <f>R25-R26</f>
      </c>
      <c r="S27" s="539">
        <f>IF(Q27=0,"",(R27-O27)/O27*100)</f>
      </c>
      <c r="T27" s="578" t="n"/>
      <c r="U27" s="207" t="n"/>
    </row>
    <row r="28" ht="15.5" customHeight="1">
      <c r="A28" s="29">
        <f>封面!D11&amp;封面!G11</f>
      </c>
      <c r="B28" s="13" t="n"/>
      <c r="C28" s="13" t="n"/>
      <c r="D28" s="13" t="n"/>
      <c r="N28" s="13">
        <f>"评估人员："&amp;封面!L22</f>
      </c>
    </row>
    <row r="29" ht="15.5" customHeight="1">
      <c r="A29" s="29">
        <f>CONCATENATE(封面!D13,封面!F13,封面!G13,封面!H13,封面!I13,封面!J13,封面!K13)</f>
      </c>
    </row>
  </sheetData>
  <mergeCells count="24">
    <mergeCell ref="A25:C25"/>
    <mergeCell ref="H6:H7"/>
    <mergeCell ref="A27:C27"/>
    <mergeCell ref="A6:A7"/>
    <mergeCell ref="F6:F7"/>
    <mergeCell ref="A26:C26"/>
    <mergeCell ref="A3:U3"/>
    <mergeCell ref="A2:U2"/>
    <mergeCell ref="J6:K6"/>
    <mergeCell ref="A5:F5"/>
    <mergeCell ref="G6:G7"/>
    <mergeCell ref="E6:E7"/>
    <mergeCell ref="B6:B7"/>
    <mergeCell ref="S6:S7"/>
    <mergeCell ref="A4:U4"/>
    <mergeCell ref="S5:U5"/>
    <mergeCell ref="D6:D7"/>
    <mergeCell ref="T6:T7"/>
    <mergeCell ref="L6:M6"/>
    <mergeCell ref="N6:O6"/>
    <mergeCell ref="I6:I7"/>
    <mergeCell ref="C6:C7"/>
    <mergeCell ref="U6:U7"/>
    <mergeCell ref="P6:R6"/>
  </mergeCells>
  <hyperlinks>
    <hyperlink ref="A1" location="索引目录!D33" display="返回索引页"/>
    <hyperlink ref="B1" location="长期投资汇总!B9" display="返回"/>
  </hyperlinks>
  <printOptions horizontalCentered="1"/>
  <pageMargins left="0.354330708661417" right="0.354330708661417" top="0.78740157480315" bottom="0.78740157480315" header="1.06299212598425" footer="0.511811023622047"/>
  <pageSetup orientation="landscape" paperSize="9" fitToHeight="0"/>
  <headerFooter alignWithMargins="0">
    <oddHeader>&amp;R&amp;"宋体,常规"共&amp;"Times New Roman,常规"&amp;N&amp;"宋体,常规"页第&amp;"Times New Roman,常规"&amp;P&amp;"宋体,常规"4-5-1_x000a_页</oddHeader>
    <oddFooter/>
    <evenHeader/>
    <evenFooter/>
    <firstHeader/>
    <firstFooter/>
  </headerFooter>
  <legacyDrawing xmlns:r="http://schemas.openxmlformats.org/officeDocument/2006/relationships" r:id="anysvml"/>
</worksheet>
</file>

<file path=xl/worksheets/sheet42.xml><?xml version="1.0" encoding="utf-8"?>
<worksheet xmlns="http://schemas.openxmlformats.org/spreadsheetml/2006/main">
  <sheetPr codeName="Sheet42">
    <tabColor indexed="14"/>
    <outlinePr summaryBelow="1" summaryRight="1"/>
    <pageSetUpPr fitToPage="1"/>
  </sheetPr>
  <dimension ref="A1:T29"/>
  <sheetViews>
    <sheetView view="pageBreakPreview" zoomScale="60" zoomScaleNormal="100" workbookViewId="0">
      <selection activeCell="G451" sqref="G451"/>
    </sheetView>
  </sheetViews>
  <sheetFormatPr baseColWidth="8" defaultColWidth="9" defaultRowHeight="13"/>
  <cols>
    <col width="5" customWidth="1" style="85" min="1" max="1"/>
    <col width="8.08333333333333" customWidth="1" style="85" min="2" max="2"/>
    <col width="9.5" customWidth="1" style="85" min="3" max="3"/>
    <col width="13.3333333333333" customWidth="1" style="85" min="4" max="4"/>
    <col width="5.33333333333333" customWidth="1" style="85" min="5" max="6"/>
    <col width="4.5" customWidth="1" style="85" min="7" max="7"/>
    <col width="6.83333333333333" customWidth="1" style="85" min="8" max="8"/>
    <col width="7.58333333333333" customWidth="1" style="85" min="9" max="10"/>
    <col width="7.75" customWidth="1" style="85" min="11" max="11"/>
    <col hidden="1" outlineLevel="1" width="11.0833333333333" customWidth="1" style="85" min="12" max="13"/>
    <col collapsed="1" width="12" customWidth="1" style="85" min="14" max="14"/>
    <col width="12" customWidth="1" style="85" min="15" max="16"/>
    <col width="7.25" customWidth="1" style="85" min="17" max="17"/>
    <col width="7.5" customWidth="1" style="85" min="18" max="18"/>
    <col hidden="1" outlineLevel="1" width="15.25" customWidth="1" style="85" min="19" max="19"/>
    <col hidden="1" outlineLevel="1" width="13.0833333333333" customWidth="1" style="85" min="20" max="20"/>
    <col collapsed="1" width="9" customWidth="1" style="85" min="21" max="21"/>
    <col width="9" customWidth="1" style="85" min="22" max="16384"/>
  </cols>
  <sheetData>
    <row r="1" ht="15" customFormat="1" customHeight="1" s="13">
      <c r="A1" s="559" t="inlineStr">
        <is>
          <t>返回索引页</t>
        </is>
      </c>
      <c r="B1" s="15" t="inlineStr">
        <is>
          <t>返回</t>
        </is>
      </c>
      <c r="C1" s="16" t="n"/>
      <c r="D1" s="16" t="n"/>
      <c r="E1" s="16" t="n"/>
      <c r="F1" s="16" t="n"/>
      <c r="G1" s="16" t="n"/>
      <c r="H1" s="16" t="n"/>
      <c r="I1" s="16" t="n"/>
      <c r="J1" s="16" t="n"/>
      <c r="K1" s="16" t="n"/>
      <c r="L1" s="16" t="n"/>
    </row>
    <row r="2" ht="30" customFormat="1" customHeight="1" s="203">
      <c r="A2" s="83" t="inlineStr">
        <is>
          <t>投资性房地产——房屋评估明细表</t>
        </is>
      </c>
      <c r="S2" s="213" t="n"/>
    </row>
    <row r="3" ht="15.75" customFormat="1" customHeight="1" s="203">
      <c r="A3" s="205" t="inlineStr">
        <is>
          <t>（采用公允价值模式计量）</t>
        </is>
      </c>
      <c r="S3" s="213" t="n"/>
    </row>
    <row r="4" ht="14.15" customHeight="1">
      <c r="A4" s="576">
        <f>'4-5-1投资性房地产'!A4:U4</f>
      </c>
    </row>
    <row r="5" ht="15.75" customHeight="1">
      <c r="A5" s="580" t="inlineStr">
        <is>
          <t>被评估单位（或者产权持有单位）：</t>
        </is>
      </c>
      <c r="B5" s="175" t="n"/>
      <c r="C5" s="175" t="n"/>
      <c r="D5" s="175" t="n"/>
      <c r="E5" s="175" t="n"/>
      <c r="F5" s="175" t="n"/>
      <c r="G5" s="175" t="n"/>
      <c r="R5" s="86" t="inlineStr">
        <is>
          <t>金额单位：人民币元</t>
        </is>
      </c>
    </row>
    <row r="6" ht="15.75" customFormat="1" customHeight="1" s="81">
      <c r="A6" s="208" t="inlineStr">
        <is>
          <t>序号</t>
        </is>
      </c>
      <c r="B6" s="208"/>
      <c r="C6" s="87"/>
      <c r="D6" s="87"/>
      <c r="E6" s="208"/>
      <c r="F6" s="87"/>
      <c r="G6" s="198"/>
      <c r="H6" s="198"/>
      <c r="I6" s="87"/>
      <c r="J6" s="87"/>
      <c r="K6" s="35" t="n"/>
      <c r="L6" s="87"/>
      <c r="M6" s="87"/>
      <c r="N6" s="87"/>
      <c r="O6" s="208"/>
      <c r="P6" s="208"/>
      <c r="Q6" s="87"/>
      <c r="R6" s="87"/>
      <c r="S6" s="214"/>
      <c r="T6" s="208"/>
    </row>
    <row r="7" ht="30.65" customFormat="1" customHeight="1" s="81">
      <c r="A7" s="36" t="n"/>
      <c r="B7" s="36" t="n"/>
      <c r="C7" s="36" t="n"/>
      <c r="D7" s="36" t="n"/>
      <c r="E7" s="36" t="n"/>
      <c r="F7" s="36" t="n"/>
      <c r="G7" s="36" t="n"/>
      <c r="H7" s="36" t="n"/>
      <c r="I7" s="36" t="n"/>
      <c r="J7" s="215" t="n"/>
      <c r="K7" s="176" t="n"/>
      <c r="L7" s="36" t="n"/>
      <c r="M7" s="36" t="n"/>
      <c r="N7" s="36" t="n"/>
      <c r="O7" s="36" t="n"/>
      <c r="P7" s="36" t="n"/>
      <c r="Q7" s="36" t="n"/>
      <c r="R7" s="36" t="n"/>
      <c r="S7" s="36" t="n"/>
      <c r="T7" s="36" t="n"/>
    </row>
    <row r="8" ht="15.75" customHeight="1">
      <c r="A8" s="89" t="n"/>
      <c r="B8" s="207" t="n"/>
      <c r="C8" s="207" t="n"/>
      <c r="D8" s="207" t="n"/>
      <c r="E8" s="89" t="n"/>
      <c r="F8" s="90" t="n"/>
      <c r="G8" s="90" t="n"/>
      <c r="H8" s="210" t="n"/>
      <c r="I8" s="578" t="inlineStr"/>
      <c r="J8" s="581" t="n"/>
      <c r="K8" s="28" t="n"/>
      <c r="L8" s="582" t="n"/>
      <c r="M8" s="582" t="n"/>
      <c r="N8" s="578" t="n"/>
      <c r="O8" s="578" t="n"/>
      <c r="P8" s="578" t="n"/>
      <c r="Q8" s="578" t="inlineStr"/>
      <c r="R8" s="207" t="n"/>
      <c r="S8" s="218" t="n"/>
      <c r="T8" s="93" t="n"/>
    </row>
    <row r="9" ht="15.75" customHeight="1">
      <c r="A9" s="89" t="n"/>
      <c r="B9" s="207" t="n"/>
      <c r="C9" s="207" t="n"/>
      <c r="D9" s="207" t="n"/>
      <c r="E9" s="89" t="n"/>
      <c r="F9" s="90" t="n"/>
      <c r="G9" s="90" t="n"/>
      <c r="H9" s="210" t="n"/>
      <c r="I9" s="578" t="inlineStr"/>
      <c r="J9" s="581" t="n"/>
      <c r="K9" s="28" t="n"/>
      <c r="L9" s="582" t="n"/>
      <c r="M9" s="582" t="n"/>
      <c r="N9" s="578" t="n"/>
      <c r="O9" s="578" t="n"/>
      <c r="P9" s="578" t="n"/>
      <c r="Q9" s="578" t="inlineStr"/>
      <c r="R9" s="207" t="n"/>
      <c r="S9" s="218" t="n"/>
      <c r="T9" s="93" t="n"/>
    </row>
    <row r="10" ht="15.75" customHeight="1">
      <c r="A10" s="89" t="n"/>
      <c r="B10" s="207" t="n"/>
      <c r="C10" s="207" t="n"/>
      <c r="D10" s="207" t="n"/>
      <c r="E10" s="89" t="n"/>
      <c r="F10" s="90" t="n"/>
      <c r="G10" s="90" t="n"/>
      <c r="H10" s="210" t="n"/>
      <c r="I10" s="578" t="inlineStr"/>
      <c r="J10" s="581" t="n"/>
      <c r="K10" s="28" t="n"/>
      <c r="L10" s="582" t="n"/>
      <c r="M10" s="582" t="n"/>
      <c r="N10" s="578" t="n"/>
      <c r="O10" s="578" t="n"/>
      <c r="P10" s="578" t="n"/>
      <c r="Q10" s="578" t="inlineStr"/>
      <c r="R10" s="207" t="n"/>
      <c r="S10" s="218" t="n"/>
      <c r="T10" s="93" t="n"/>
    </row>
    <row r="11" ht="15.75" customHeight="1">
      <c r="A11" s="89" t="n"/>
      <c r="B11" s="207" t="n"/>
      <c r="C11" s="207" t="n"/>
      <c r="D11" s="207" t="n"/>
      <c r="E11" s="89" t="n"/>
      <c r="F11" s="90" t="n"/>
      <c r="G11" s="90" t="n"/>
      <c r="H11" s="210" t="n"/>
      <c r="I11" s="578" t="inlineStr"/>
      <c r="J11" s="581" t="n"/>
      <c r="K11" s="28" t="n"/>
      <c r="L11" s="582" t="n"/>
      <c r="M11" s="582" t="n"/>
      <c r="N11" s="578" t="n"/>
      <c r="O11" s="578" t="n"/>
      <c r="P11" s="578" t="n"/>
      <c r="Q11" s="578" t="inlineStr"/>
      <c r="R11" s="207" t="n"/>
      <c r="S11" s="218" t="n"/>
      <c r="T11" s="93" t="n"/>
    </row>
    <row r="12" ht="15.75" customHeight="1">
      <c r="A12" s="89" t="n"/>
      <c r="B12" s="207" t="n"/>
      <c r="C12" s="207" t="n"/>
      <c r="D12" s="207" t="n"/>
      <c r="E12" s="89" t="n"/>
      <c r="F12" s="90" t="n"/>
      <c r="G12" s="90" t="n"/>
      <c r="H12" s="210" t="n"/>
      <c r="I12" s="578" t="inlineStr"/>
      <c r="J12" s="581" t="n"/>
      <c r="K12" s="28" t="n"/>
      <c r="L12" s="582" t="n"/>
      <c r="M12" s="582" t="n"/>
      <c r="N12" s="578" t="n"/>
      <c r="O12" s="578" t="n"/>
      <c r="P12" s="578" t="n"/>
      <c r="Q12" s="578" t="inlineStr"/>
      <c r="R12" s="207" t="n"/>
      <c r="S12" s="218" t="n"/>
      <c r="T12" s="93" t="n"/>
    </row>
    <row r="13" ht="15.75" customHeight="1">
      <c r="A13" s="89" t="n"/>
      <c r="B13" s="207" t="n"/>
      <c r="C13" s="207" t="n"/>
      <c r="D13" s="207" t="n"/>
      <c r="E13" s="89" t="n"/>
      <c r="F13" s="90" t="n"/>
      <c r="G13" s="90" t="n"/>
      <c r="H13" s="210" t="n"/>
      <c r="I13" s="578" t="inlineStr"/>
      <c r="J13" s="581" t="n"/>
      <c r="K13" s="28" t="n"/>
      <c r="L13" s="582" t="n"/>
      <c r="M13" s="582" t="n"/>
      <c r="N13" s="578" t="n"/>
      <c r="O13" s="578" t="n"/>
      <c r="P13" s="578" t="n"/>
      <c r="Q13" s="578" t="inlineStr"/>
      <c r="R13" s="207" t="n"/>
      <c r="S13" s="218" t="n"/>
      <c r="T13" s="93" t="n"/>
    </row>
    <row r="14" ht="15.75" customHeight="1">
      <c r="A14" s="89" t="n"/>
      <c r="B14" s="207" t="n"/>
      <c r="C14" s="207" t="n"/>
      <c r="D14" s="207" t="n"/>
      <c r="E14" s="89" t="n"/>
      <c r="F14" s="90" t="n"/>
      <c r="G14" s="90" t="n"/>
      <c r="H14" s="210" t="n"/>
      <c r="I14" s="578" t="inlineStr"/>
      <c r="J14" s="581" t="n"/>
      <c r="K14" s="28" t="n"/>
      <c r="L14" s="582" t="n"/>
      <c r="M14" s="582" t="n"/>
      <c r="N14" s="578" t="n"/>
      <c r="O14" s="578" t="n"/>
      <c r="P14" s="578" t="n"/>
      <c r="Q14" s="578" t="inlineStr"/>
      <c r="R14" s="207" t="n"/>
      <c r="S14" s="218" t="n"/>
      <c r="T14" s="93" t="n"/>
    </row>
    <row r="15" ht="15.75" customHeight="1">
      <c r="A15" s="89" t="n"/>
      <c r="B15" s="207" t="n"/>
      <c r="C15" s="207" t="n"/>
      <c r="D15" s="207" t="n"/>
      <c r="E15" s="89" t="n"/>
      <c r="F15" s="90" t="n"/>
      <c r="G15" s="90" t="n"/>
      <c r="H15" s="210" t="n"/>
      <c r="I15" s="578" t="n"/>
      <c r="J15" s="581" t="n"/>
      <c r="K15" s="28" t="n"/>
      <c r="L15" s="582" t="n"/>
      <c r="M15" s="582" t="n"/>
      <c r="N15" s="578" t="n"/>
      <c r="O15" s="578" t="n"/>
      <c r="P15" s="578" t="n"/>
      <c r="Q15" s="578" t="n"/>
      <c r="R15" s="207" t="n"/>
      <c r="S15" s="218" t="n"/>
      <c r="T15" s="93" t="n"/>
    </row>
    <row r="16" ht="15.75" customHeight="1">
      <c r="A16" s="89" t="n"/>
      <c r="B16" s="207" t="n"/>
      <c r="C16" s="207" t="n"/>
      <c r="D16" s="207" t="n"/>
      <c r="E16" s="89" t="n"/>
      <c r="F16" s="90" t="n"/>
      <c r="G16" s="90" t="n"/>
      <c r="H16" s="210" t="n"/>
      <c r="I16" s="578" t="n"/>
      <c r="J16" s="581" t="n"/>
      <c r="K16" s="28" t="n"/>
      <c r="L16" s="582" t="n"/>
      <c r="M16" s="582" t="n"/>
      <c r="N16" s="578" t="n"/>
      <c r="O16" s="578" t="n"/>
      <c r="P16" s="578" t="n"/>
      <c r="Q16" s="578" t="n"/>
      <c r="R16" s="207" t="n"/>
      <c r="S16" s="218" t="n"/>
      <c r="T16" s="93" t="n"/>
    </row>
    <row r="17" ht="15.75" customHeight="1">
      <c r="A17" s="89" t="n"/>
      <c r="B17" s="207" t="n"/>
      <c r="C17" s="207" t="n"/>
      <c r="D17" s="207" t="n"/>
      <c r="E17" s="89" t="n"/>
      <c r="F17" s="90" t="n"/>
      <c r="G17" s="90" t="n"/>
      <c r="H17" s="210" t="n"/>
      <c r="I17" s="578" t="inlineStr"/>
      <c r="J17" s="581" t="n"/>
      <c r="K17" s="28" t="n"/>
      <c r="L17" s="582" t="n"/>
      <c r="M17" s="582" t="n"/>
      <c r="N17" s="578" t="n"/>
      <c r="O17" s="578" t="n"/>
      <c r="P17" s="578" t="n"/>
      <c r="Q17" s="578" t="inlineStr"/>
      <c r="R17" s="207" t="n"/>
      <c r="S17" s="218" t="n"/>
      <c r="T17" s="93" t="n"/>
    </row>
    <row r="18" ht="15.75" customHeight="1">
      <c r="A18" s="89" t="n"/>
      <c r="B18" s="207" t="n"/>
      <c r="C18" s="207" t="n"/>
      <c r="D18" s="207" t="n"/>
      <c r="E18" s="89" t="n"/>
      <c r="F18" s="90" t="n"/>
      <c r="G18" s="90" t="n"/>
      <c r="H18" s="210" t="n"/>
      <c r="I18" s="578" t="n"/>
      <c r="J18" s="581" t="n"/>
      <c r="K18" s="28" t="n"/>
      <c r="L18" s="582" t="n"/>
      <c r="M18" s="582" t="n"/>
      <c r="N18" s="578" t="n"/>
      <c r="O18" s="578" t="n"/>
      <c r="P18" s="578" t="n"/>
      <c r="Q18" s="578" t="n"/>
      <c r="R18" s="207" t="n"/>
      <c r="S18" s="218" t="n"/>
      <c r="T18" s="93" t="n"/>
    </row>
    <row r="19" ht="15.75" customHeight="1">
      <c r="A19" s="89" t="n"/>
      <c r="B19" s="207" t="n"/>
      <c r="C19" s="207" t="n"/>
      <c r="D19" s="207" t="n"/>
      <c r="E19" s="89" t="n"/>
      <c r="F19" s="90" t="n"/>
      <c r="G19" s="90" t="n"/>
      <c r="H19" s="210" t="n"/>
      <c r="I19" s="578" t="n"/>
      <c r="J19" s="581" t="n"/>
      <c r="K19" s="28" t="n"/>
      <c r="L19" s="582" t="n"/>
      <c r="M19" s="582" t="n"/>
      <c r="N19" s="578" t="n"/>
      <c r="O19" s="578" t="n"/>
      <c r="P19" s="578" t="n"/>
      <c r="Q19" s="578" t="n"/>
      <c r="R19" s="207" t="n"/>
      <c r="S19" s="218" t="n"/>
      <c r="T19" s="93" t="n"/>
    </row>
    <row r="20" ht="15.75" customHeight="1">
      <c r="A20" s="89" t="n"/>
      <c r="B20" s="207" t="n"/>
      <c r="C20" s="207" t="n"/>
      <c r="D20" s="207" t="n"/>
      <c r="E20" s="89" t="n"/>
      <c r="F20" s="90" t="n"/>
      <c r="G20" s="90" t="n"/>
      <c r="H20" s="210" t="n"/>
      <c r="I20" s="578" t="n"/>
      <c r="J20" s="581" t="n"/>
      <c r="K20" s="28" t="n"/>
      <c r="L20" s="582" t="n"/>
      <c r="M20" s="582" t="n"/>
      <c r="N20" s="578" t="n"/>
      <c r="O20" s="578" t="n"/>
      <c r="P20" s="578" t="n"/>
      <c r="Q20" s="578" t="n"/>
      <c r="R20" s="207" t="n"/>
      <c r="S20" s="218" t="n"/>
      <c r="T20" s="93" t="n"/>
    </row>
    <row r="21" ht="15.75" customHeight="1">
      <c r="A21" s="89" t="n"/>
      <c r="B21" s="207" t="n"/>
      <c r="C21" s="207" t="n"/>
      <c r="D21" s="207" t="n"/>
      <c r="E21" s="89" t="n"/>
      <c r="F21" s="90" t="n"/>
      <c r="G21" s="90" t="n"/>
      <c r="H21" s="210" t="n"/>
      <c r="I21" s="578" t="inlineStr"/>
      <c r="J21" s="581" t="n"/>
      <c r="K21" s="28" t="n"/>
      <c r="L21" s="582" t="n"/>
      <c r="M21" s="582" t="n"/>
      <c r="N21" s="578" t="n"/>
      <c r="O21" s="578" t="n"/>
      <c r="P21" s="578" t="n"/>
      <c r="Q21" s="578" t="inlineStr"/>
      <c r="R21" s="207" t="n"/>
      <c r="S21" s="218" t="n"/>
      <c r="T21" s="93" t="n"/>
    </row>
    <row r="22" ht="15.75" customHeight="1">
      <c r="A22" s="89" t="n"/>
      <c r="B22" s="207" t="n"/>
      <c r="C22" s="207" t="n"/>
      <c r="D22" s="207" t="n"/>
      <c r="E22" s="89" t="n"/>
      <c r="F22" s="90" t="n"/>
      <c r="G22" s="90" t="n"/>
      <c r="H22" s="210" t="n"/>
      <c r="I22" s="578" t="inlineStr"/>
      <c r="J22" s="581" t="n"/>
      <c r="K22" s="28" t="n"/>
      <c r="L22" s="582" t="n"/>
      <c r="M22" s="582" t="n"/>
      <c r="N22" s="578" t="n"/>
      <c r="O22" s="578" t="n"/>
      <c r="P22" s="578" t="n"/>
      <c r="Q22" s="578" t="inlineStr"/>
      <c r="R22" s="207" t="n"/>
      <c r="S22" s="218" t="n"/>
      <c r="T22" s="93" t="n"/>
    </row>
    <row r="23" ht="15.75" customHeight="1">
      <c r="A23" s="89" t="n"/>
      <c r="B23" s="207" t="n"/>
      <c r="C23" s="207" t="n"/>
      <c r="D23" s="207" t="n"/>
      <c r="E23" s="89" t="n"/>
      <c r="F23" s="90" t="n"/>
      <c r="G23" s="90" t="n"/>
      <c r="H23" s="210" t="n"/>
      <c r="I23" s="578" t="inlineStr"/>
      <c r="J23" s="581" t="n"/>
      <c r="K23" s="28" t="n"/>
      <c r="L23" s="582" t="n"/>
      <c r="M23" s="582" t="n"/>
      <c r="N23" s="578" t="n"/>
      <c r="O23" s="578" t="n"/>
      <c r="P23" s="578" t="n"/>
      <c r="Q23" s="578" t="inlineStr"/>
      <c r="R23" s="207" t="n"/>
      <c r="S23" s="218" t="n"/>
      <c r="T23" s="93" t="n"/>
    </row>
    <row r="24" ht="15.75" customHeight="1">
      <c r="A24" s="89" t="n"/>
      <c r="B24" s="207" t="n"/>
      <c r="C24" s="207" t="n"/>
      <c r="D24" s="207" t="n"/>
      <c r="E24" s="89" t="n"/>
      <c r="F24" s="90" t="n"/>
      <c r="G24" s="90" t="n"/>
      <c r="H24" s="210" t="n"/>
      <c r="I24" s="578" t="inlineStr"/>
      <c r="J24" s="581" t="n"/>
      <c r="K24" s="28" t="n"/>
      <c r="L24" s="582" t="n"/>
      <c r="M24" s="582" t="n"/>
      <c r="N24" s="578" t="n"/>
      <c r="O24" s="578" t="n"/>
      <c r="P24" s="578" t="n"/>
      <c r="Q24" s="578" t="inlineStr"/>
      <c r="R24" s="207" t="n"/>
      <c r="S24" s="218" t="n"/>
      <c r="T24" s="93" t="n"/>
    </row>
    <row r="25" ht="15.75" customHeight="1">
      <c r="A25" s="89" t="n"/>
      <c r="B25" s="207" t="n"/>
      <c r="C25" s="207" t="n"/>
      <c r="D25" s="207" t="n"/>
      <c r="E25" s="89" t="n"/>
      <c r="F25" s="90" t="n"/>
      <c r="G25" s="90" t="n"/>
      <c r="H25" s="210" t="n"/>
      <c r="I25" s="578" t="inlineStr"/>
      <c r="J25" s="581" t="n"/>
      <c r="K25" s="28" t="n"/>
      <c r="L25" s="582" t="n"/>
      <c r="M25" s="582" t="n"/>
      <c r="N25" s="578" t="n"/>
      <c r="O25" s="578" t="n"/>
      <c r="P25" s="578" t="n"/>
      <c r="Q25" s="578" t="inlineStr"/>
      <c r="R25" s="207" t="n"/>
      <c r="S25" s="218" t="n"/>
      <c r="T25" s="93" t="n"/>
    </row>
    <row r="26" ht="15.75" customHeight="1">
      <c r="A26" s="89" t="n"/>
      <c r="B26" s="207" t="n"/>
      <c r="C26" s="207" t="n"/>
      <c r="D26" s="207" t="n"/>
      <c r="E26" s="89" t="n"/>
      <c r="F26" s="90" t="n"/>
      <c r="G26" s="90" t="n"/>
      <c r="H26" s="210" t="n"/>
      <c r="I26" s="578" t="n"/>
      <c r="J26" s="581" t="n"/>
      <c r="K26" s="28" t="n"/>
      <c r="L26" s="582" t="n"/>
      <c r="M26" s="582" t="n"/>
      <c r="N26" s="578" t="n"/>
      <c r="O26" s="578" t="n"/>
      <c r="P26" s="578" t="n"/>
      <c r="Q26" s="578" t="inlineStr"/>
      <c r="R26" s="207" t="n"/>
      <c r="S26" s="218" t="n"/>
      <c r="T26" s="93" t="n"/>
    </row>
    <row r="27" ht="15.75" customHeight="1">
      <c r="A27" s="208" t="inlineStr">
        <is>
          <t>合            计</t>
        </is>
      </c>
      <c r="B27" s="138" t="n"/>
      <c r="C27" s="28" t="n"/>
      <c r="D27" s="209" t="n"/>
      <c r="E27" s="89" t="n"/>
      <c r="F27" s="90" t="n"/>
      <c r="G27" s="90" t="n"/>
      <c r="H27" s="210" t="n"/>
      <c r="I27" s="578" t="inlineStr"/>
      <c r="J27" s="581" t="n"/>
      <c r="K27" s="28" t="n"/>
      <c r="L27" s="582">
        <f>SUM(L8:L26)</f>
      </c>
      <c r="M27" s="582" t="n"/>
      <c r="N27" s="582">
        <f>SUM(N8:N26)</f>
      </c>
      <c r="O27" s="582">
        <f>SUM(O8:O26)</f>
      </c>
      <c r="P27" s="578" t="n"/>
      <c r="Q27" s="578" t="inlineStr"/>
      <c r="R27" s="207" t="n"/>
      <c r="S27" s="218" t="n"/>
      <c r="T27" s="93" t="n"/>
    </row>
    <row r="28" ht="15.75" customHeight="1">
      <c r="A28" s="29">
        <f>封面!D11&amp;封面!G11</f>
      </c>
      <c r="B28" s="13" t="n"/>
      <c r="C28" s="13" t="n"/>
      <c r="D28" s="13" t="n"/>
      <c r="N28" s="13">
        <f>"评估人员："&amp;封面!L22</f>
      </c>
    </row>
    <row r="29" ht="15.75" customHeight="1">
      <c r="A29" s="29">
        <f>CONCATENATE(封面!D13,封面!F13,封面!G13,封面!H13,封面!I13,封面!J13,封面!K13)</f>
      </c>
    </row>
  </sheetData>
  <mergeCells count="44">
    <mergeCell ref="J14:K14"/>
    <mergeCell ref="J10:K10"/>
    <mergeCell ref="H6:H7"/>
    <mergeCell ref="J19:K19"/>
    <mergeCell ref="A27:C27"/>
    <mergeCell ref="P6:P7"/>
    <mergeCell ref="R6:R7"/>
    <mergeCell ref="A6:A7"/>
    <mergeCell ref="J13:K13"/>
    <mergeCell ref="J9:K9"/>
    <mergeCell ref="A3:R3"/>
    <mergeCell ref="J17:K17"/>
    <mergeCell ref="A2:R2"/>
    <mergeCell ref="J24:K24"/>
    <mergeCell ref="J15:K15"/>
    <mergeCell ref="G6:G7"/>
    <mergeCell ref="M6:M7"/>
    <mergeCell ref="J27:K27"/>
    <mergeCell ref="E6:E7"/>
    <mergeCell ref="Q6:Q7"/>
    <mergeCell ref="B6:B7"/>
    <mergeCell ref="S6:S7"/>
    <mergeCell ref="J26:K26"/>
    <mergeCell ref="A4:R4"/>
    <mergeCell ref="J11:K11"/>
    <mergeCell ref="J20:K20"/>
    <mergeCell ref="J16:K16"/>
    <mergeCell ref="J25:K25"/>
    <mergeCell ref="L6:L7"/>
    <mergeCell ref="N6:N7"/>
    <mergeCell ref="T6:T7"/>
    <mergeCell ref="J22:K22"/>
    <mergeCell ref="J21:K21"/>
    <mergeCell ref="J12:K12"/>
    <mergeCell ref="J6:K7"/>
    <mergeCell ref="I6:I7"/>
    <mergeCell ref="J18:K18"/>
    <mergeCell ref="C6:C7"/>
    <mergeCell ref="J23:K23"/>
    <mergeCell ref="O6:O7"/>
    <mergeCell ref="D6:D7"/>
    <mergeCell ref="J8:K8"/>
    <mergeCell ref="F6:F7"/>
    <mergeCell ref="A5:G5"/>
  </mergeCells>
  <hyperlinks>
    <hyperlink ref="A1" location="索引目录!C35" display="返回索引页"/>
    <hyperlink ref="B1" location="分类汇总!B25" display="返回"/>
  </hyperlinks>
  <printOptions horizontalCentered="1"/>
  <pageMargins left="0.354330708661417" right="0.354330708661417" top="0.78740157480315" bottom="0.78740157480315" header="1.06299212598425" footer="0.511811023622047"/>
  <pageSetup orientation="landscape" paperSize="9"/>
  <headerFooter alignWithMargins="0">
    <oddHeader>&amp;R&amp;"宋体,常规"共&amp;"Times New Roman,常规"&amp;N&amp;"宋体,常规"页第&amp;"Times New Roman,常规"&amp;P&amp;"宋体,常规"4-5-2_x000a_页</oddHeader>
    <oddFooter/>
    <evenHeader/>
    <evenFooter/>
    <firstHeader/>
    <firstFooter/>
  </headerFooter>
  <legacyDrawing xmlns:r="http://schemas.openxmlformats.org/officeDocument/2006/relationships" r:id="anysvml"/>
</worksheet>
</file>

<file path=xl/worksheets/sheet43.xml><?xml version="1.0" encoding="utf-8"?>
<worksheet xmlns="http://schemas.openxmlformats.org/spreadsheetml/2006/main">
  <sheetPr codeName="Sheet43">
    <tabColor indexed="14"/>
    <outlinePr summaryBelow="1" summaryRight="1"/>
    <pageSetUpPr fitToPage="1"/>
  </sheetPr>
  <dimension ref="A1:S29"/>
  <sheetViews>
    <sheetView view="pageBreakPreview" zoomScale="60" zoomScaleNormal="100" workbookViewId="0">
      <selection activeCell="G451" sqref="G451"/>
    </sheetView>
  </sheetViews>
  <sheetFormatPr baseColWidth="8" defaultColWidth="9" defaultRowHeight="13"/>
  <cols>
    <col width="4.33333333333333" customWidth="1" style="85" min="1" max="1"/>
    <col width="6.25" customWidth="1" style="85" min="2" max="2"/>
    <col width="11.3333333333333" customWidth="1" style="85" min="3" max="3"/>
    <col width="13.75" customWidth="1" style="85" min="4" max="4"/>
    <col width="8.58333333333333" customWidth="1" style="85" min="5" max="5"/>
    <col width="4.83333333333333" customWidth="1" style="85" min="6" max="7"/>
    <col width="4.58333333333333" customWidth="1" style="85" min="8" max="8"/>
    <col width="4.5" customWidth="1" style="85" min="9" max="9"/>
    <col width="4.83333333333333" customWidth="1" style="85" min="10" max="10"/>
    <col width="7.5" customWidth="1" style="85" min="11" max="11"/>
    <col width="8.25" customWidth="1" style="85" min="12" max="12"/>
    <col hidden="1" outlineLevel="1" width="12.25" customWidth="1" style="85" min="13" max="13"/>
    <col hidden="1" outlineLevel="1" width="10.25" customWidth="1" style="85" min="14" max="14"/>
    <col collapsed="1" width="10.25" customWidth="1" style="85" min="15" max="15"/>
    <col width="10.25" customWidth="1" style="85" min="16" max="16"/>
    <col width="8.75" customWidth="1" style="85" min="17" max="17"/>
    <col width="7.33333333333333" customWidth="1" style="85" min="18" max="18"/>
    <col width="8.33333333333333" customWidth="1" style="85" min="19" max="19"/>
    <col width="9" customWidth="1" style="85" min="20" max="16384"/>
  </cols>
  <sheetData>
    <row r="1" ht="15" customFormat="1" customHeight="1" s="13">
      <c r="A1" s="559" t="inlineStr">
        <is>
          <t>返回索引页</t>
        </is>
      </c>
      <c r="B1" s="15" t="inlineStr">
        <is>
          <t>返回</t>
        </is>
      </c>
      <c r="C1" s="16" t="n"/>
      <c r="D1" s="16" t="n"/>
      <c r="E1" s="16" t="n"/>
      <c r="F1" s="16" t="n"/>
      <c r="G1" s="16" t="n"/>
      <c r="H1" s="16" t="n"/>
      <c r="I1" s="16" t="n"/>
      <c r="J1" s="16" t="n"/>
      <c r="K1" s="16" t="n"/>
      <c r="L1" s="16" t="n"/>
    </row>
    <row r="2" ht="30" customFormat="1" customHeight="1" s="203">
      <c r="A2" s="83" t="inlineStr">
        <is>
          <t>投资性房地产——土地使用权评估明细表</t>
        </is>
      </c>
    </row>
    <row r="3" ht="15.75" customFormat="1" customHeight="1" s="203">
      <c r="A3" s="205" t="inlineStr">
        <is>
          <t>（采用成本模式计量）</t>
        </is>
      </c>
    </row>
    <row r="4" ht="13.5" customHeight="1">
      <c r="A4" s="576">
        <f>'4-5-2投资性房地产'!A4:R4</f>
      </c>
    </row>
    <row r="5" ht="12.75" customHeight="1">
      <c r="A5" s="580" t="inlineStr">
        <is>
          <t>被评估单位（或者产权持有单位）：</t>
        </is>
      </c>
      <c r="B5" s="175" t="n"/>
      <c r="C5" s="175" t="n"/>
      <c r="D5" s="175" t="n"/>
      <c r="E5" s="175" t="n"/>
      <c r="S5" s="86" t="inlineStr">
        <is>
          <t>金额单位：人民币元</t>
        </is>
      </c>
    </row>
    <row r="6" ht="47.15" customFormat="1" customHeight="1" s="204">
      <c r="A6" s="87" t="inlineStr">
        <is>
          <t>序号</t>
        </is>
      </c>
      <c r="B6" s="87"/>
      <c r="C6" s="87"/>
      <c r="D6" s="87"/>
      <c r="E6" s="87"/>
      <c r="F6" s="87"/>
      <c r="G6" s="87"/>
      <c r="H6" s="87"/>
      <c r="I6" s="87"/>
      <c r="J6" s="87"/>
      <c r="K6" s="87"/>
      <c r="L6" s="87"/>
      <c r="M6" s="88"/>
      <c r="N6" s="88"/>
      <c r="O6" s="88"/>
      <c r="P6" s="87"/>
      <c r="Q6" s="87"/>
      <c r="R6" s="87"/>
      <c r="S6" s="87"/>
    </row>
    <row r="7" ht="15.75" customHeight="1">
      <c r="A7" s="89" t="n"/>
      <c r="B7" s="89" t="n"/>
      <c r="C7" s="207" t="n"/>
      <c r="D7" s="207" t="n"/>
      <c r="E7" s="207" t="n"/>
      <c r="F7" s="90" t="n"/>
      <c r="G7" s="89" t="n"/>
      <c r="H7" s="89" t="n"/>
      <c r="I7" s="89" t="n"/>
      <c r="J7" s="89" t="n"/>
      <c r="K7" s="578" t="n"/>
      <c r="L7" s="578" t="n"/>
      <c r="M7" s="579" t="n"/>
      <c r="N7" s="579" t="n"/>
      <c r="O7" s="579" t="n"/>
      <c r="P7" s="578" t="n"/>
      <c r="Q7" s="578" t="n"/>
      <c r="R7" s="578" t="n"/>
      <c r="S7" s="93" t="n"/>
    </row>
    <row r="8" ht="15.75" customHeight="1">
      <c r="A8" s="89" t="n"/>
      <c r="B8" s="89" t="n"/>
      <c r="C8" s="207" t="n"/>
      <c r="D8" s="207" t="n"/>
      <c r="E8" s="207" t="n"/>
      <c r="F8" s="90" t="n"/>
      <c r="G8" s="89" t="n"/>
      <c r="H8" s="89" t="n"/>
      <c r="I8" s="89" t="n"/>
      <c r="J8" s="89" t="n"/>
      <c r="K8" s="578" t="n"/>
      <c r="L8" s="578" t="n"/>
      <c r="M8" s="578" t="n"/>
      <c r="N8" s="578" t="n"/>
      <c r="O8" s="578" t="n"/>
      <c r="P8" s="578" t="n"/>
      <c r="Q8" s="578" t="n"/>
      <c r="R8" s="578" t="n"/>
      <c r="S8" s="93" t="n"/>
    </row>
    <row r="9" ht="15.75" customHeight="1">
      <c r="A9" s="89" t="n"/>
      <c r="B9" s="89" t="n"/>
      <c r="C9" s="207" t="n"/>
      <c r="D9" s="207" t="n"/>
      <c r="E9" s="207" t="n"/>
      <c r="F9" s="90" t="n"/>
      <c r="G9" s="89" t="n"/>
      <c r="H9" s="89" t="n"/>
      <c r="I9" s="89" t="n"/>
      <c r="J9" s="89" t="n"/>
      <c r="K9" s="578" t="n"/>
      <c r="L9" s="578" t="n"/>
      <c r="M9" s="578" t="n"/>
      <c r="N9" s="578" t="n"/>
      <c r="O9" s="578" t="n"/>
      <c r="P9" s="578" t="n"/>
      <c r="Q9" s="578" t="n"/>
      <c r="R9" s="578" t="n"/>
      <c r="S9" s="93" t="n"/>
    </row>
    <row r="10" ht="15.75" customHeight="1">
      <c r="A10" s="89" t="n"/>
      <c r="B10" s="89" t="n"/>
      <c r="C10" s="207" t="n"/>
      <c r="D10" s="207" t="n"/>
      <c r="E10" s="207" t="n"/>
      <c r="F10" s="90" t="n"/>
      <c r="G10" s="89" t="n"/>
      <c r="H10" s="89" t="n"/>
      <c r="I10" s="89" t="n"/>
      <c r="J10" s="89" t="n"/>
      <c r="K10" s="578" t="n"/>
      <c r="L10" s="578" t="n"/>
      <c r="M10" s="578" t="n"/>
      <c r="N10" s="578" t="n"/>
      <c r="O10" s="578" t="n"/>
      <c r="P10" s="578" t="n"/>
      <c r="Q10" s="578" t="n"/>
      <c r="R10" s="578" t="n"/>
      <c r="S10" s="93" t="n"/>
    </row>
    <row r="11" ht="15.75" customHeight="1">
      <c r="A11" s="89" t="n"/>
      <c r="B11" s="89" t="n"/>
      <c r="C11" s="207" t="n"/>
      <c r="D11" s="207" t="n"/>
      <c r="E11" s="207" t="n"/>
      <c r="F11" s="90" t="n"/>
      <c r="G11" s="89" t="n"/>
      <c r="H11" s="89" t="n"/>
      <c r="I11" s="89" t="n"/>
      <c r="J11" s="89" t="n"/>
      <c r="K11" s="578" t="n"/>
      <c r="L11" s="578" t="n"/>
      <c r="M11" s="578" t="n"/>
      <c r="N11" s="578" t="n"/>
      <c r="O11" s="578" t="n"/>
      <c r="P11" s="578" t="n"/>
      <c r="Q11" s="578" t="n"/>
      <c r="R11" s="578" t="n"/>
      <c r="S11" s="93" t="n"/>
    </row>
    <row r="12" ht="15.75" customHeight="1">
      <c r="A12" s="89" t="n"/>
      <c r="B12" s="89" t="n"/>
      <c r="C12" s="207" t="n"/>
      <c r="D12" s="207" t="n"/>
      <c r="E12" s="207" t="n"/>
      <c r="F12" s="90" t="n"/>
      <c r="G12" s="89" t="n"/>
      <c r="H12" s="89" t="n"/>
      <c r="I12" s="89" t="n"/>
      <c r="J12" s="89" t="n"/>
      <c r="K12" s="578" t="n"/>
      <c r="L12" s="578" t="n"/>
      <c r="M12" s="578" t="n"/>
      <c r="N12" s="578" t="n"/>
      <c r="O12" s="578" t="n"/>
      <c r="P12" s="578" t="n"/>
      <c r="Q12" s="578" t="n"/>
      <c r="R12" s="578" t="n"/>
      <c r="S12" s="93" t="n"/>
    </row>
    <row r="13" ht="15.75" customHeight="1">
      <c r="A13" s="89" t="n"/>
      <c r="B13" s="89" t="n"/>
      <c r="C13" s="207" t="n"/>
      <c r="D13" s="207" t="n"/>
      <c r="E13" s="207" t="n"/>
      <c r="F13" s="90" t="n"/>
      <c r="G13" s="89" t="n"/>
      <c r="H13" s="89" t="n"/>
      <c r="I13" s="89" t="n"/>
      <c r="J13" s="89" t="n"/>
      <c r="K13" s="578" t="n"/>
      <c r="L13" s="578" t="n"/>
      <c r="M13" s="578" t="n"/>
      <c r="N13" s="578" t="n"/>
      <c r="O13" s="578" t="n"/>
      <c r="P13" s="578" t="n"/>
      <c r="Q13" s="578" t="n"/>
      <c r="R13" s="578" t="n"/>
      <c r="S13" s="93" t="n"/>
    </row>
    <row r="14" ht="15.75" customHeight="1">
      <c r="A14" s="89" t="n"/>
      <c r="B14" s="89" t="n"/>
      <c r="C14" s="207" t="n"/>
      <c r="D14" s="207" t="n"/>
      <c r="E14" s="207" t="n"/>
      <c r="F14" s="90" t="n"/>
      <c r="G14" s="89" t="n"/>
      <c r="H14" s="89" t="n"/>
      <c r="I14" s="89" t="n"/>
      <c r="J14" s="89" t="n"/>
      <c r="K14" s="578" t="n"/>
      <c r="L14" s="578" t="n"/>
      <c r="M14" s="578" t="n"/>
      <c r="N14" s="578" t="n"/>
      <c r="O14" s="578" t="n"/>
      <c r="P14" s="578" t="n"/>
      <c r="Q14" s="578" t="n"/>
      <c r="R14" s="578" t="n"/>
      <c r="S14" s="93" t="n"/>
    </row>
    <row r="15" ht="15.75" customHeight="1">
      <c r="A15" s="89" t="n"/>
      <c r="B15" s="89" t="n"/>
      <c r="C15" s="207" t="n"/>
      <c r="D15" s="207" t="n"/>
      <c r="E15" s="207" t="n"/>
      <c r="F15" s="90" t="n"/>
      <c r="G15" s="89" t="n"/>
      <c r="H15" s="89" t="n"/>
      <c r="I15" s="89" t="n"/>
      <c r="J15" s="89" t="n"/>
      <c r="K15" s="578" t="n"/>
      <c r="L15" s="578" t="n"/>
      <c r="M15" s="578" t="n"/>
      <c r="N15" s="578" t="n"/>
      <c r="O15" s="578" t="n"/>
      <c r="P15" s="578" t="n"/>
      <c r="Q15" s="578" t="n"/>
      <c r="R15" s="578" t="n"/>
      <c r="S15" s="93" t="n"/>
    </row>
    <row r="16" ht="15.75" customHeight="1">
      <c r="A16" s="89" t="n"/>
      <c r="B16" s="89" t="n"/>
      <c r="C16" s="207" t="n"/>
      <c r="D16" s="207" t="n"/>
      <c r="E16" s="207" t="n"/>
      <c r="F16" s="90" t="n"/>
      <c r="G16" s="89" t="n"/>
      <c r="H16" s="89" t="n"/>
      <c r="I16" s="89" t="n"/>
      <c r="J16" s="89" t="n"/>
      <c r="K16" s="578" t="n"/>
      <c r="L16" s="578" t="n"/>
      <c r="M16" s="578" t="n"/>
      <c r="N16" s="578" t="n"/>
      <c r="O16" s="578" t="n"/>
      <c r="P16" s="578" t="n"/>
      <c r="Q16" s="578" t="n"/>
      <c r="R16" s="578" t="n"/>
      <c r="S16" s="93" t="n"/>
    </row>
    <row r="17" ht="15.75" customHeight="1">
      <c r="A17" s="89" t="n"/>
      <c r="B17" s="89" t="n"/>
      <c r="C17" s="207" t="n"/>
      <c r="D17" s="207" t="n"/>
      <c r="E17" s="207" t="n"/>
      <c r="F17" s="90" t="n"/>
      <c r="G17" s="89" t="n"/>
      <c r="H17" s="89" t="n"/>
      <c r="I17" s="89" t="n"/>
      <c r="J17" s="89" t="n"/>
      <c r="K17" s="578" t="n"/>
      <c r="L17" s="578" t="n"/>
      <c r="M17" s="578" t="n"/>
      <c r="N17" s="578" t="n"/>
      <c r="O17" s="578" t="n"/>
      <c r="P17" s="578" t="n"/>
      <c r="Q17" s="578" t="n"/>
      <c r="R17" s="578" t="n"/>
      <c r="S17" s="93" t="n"/>
    </row>
    <row r="18" ht="15.75" customHeight="1">
      <c r="A18" s="89" t="n"/>
      <c r="B18" s="89" t="n"/>
      <c r="C18" s="207" t="n"/>
      <c r="D18" s="207" t="n"/>
      <c r="E18" s="207" t="n"/>
      <c r="F18" s="90" t="n"/>
      <c r="G18" s="89" t="n"/>
      <c r="H18" s="89" t="n"/>
      <c r="I18" s="89" t="n"/>
      <c r="J18" s="89" t="n"/>
      <c r="K18" s="578" t="n"/>
      <c r="L18" s="578" t="n"/>
      <c r="M18" s="578" t="n"/>
      <c r="N18" s="578" t="n"/>
      <c r="O18" s="578" t="n"/>
      <c r="P18" s="578" t="n"/>
      <c r="Q18" s="578" t="n"/>
      <c r="R18" s="578" t="n"/>
      <c r="S18" s="93" t="n"/>
    </row>
    <row r="19" ht="15.75" customHeight="1">
      <c r="A19" s="89" t="n"/>
      <c r="B19" s="89" t="n"/>
      <c r="C19" s="207" t="n"/>
      <c r="D19" s="207" t="n"/>
      <c r="E19" s="207" t="n"/>
      <c r="F19" s="90" t="n"/>
      <c r="G19" s="89" t="n"/>
      <c r="H19" s="89" t="n"/>
      <c r="I19" s="89" t="n"/>
      <c r="J19" s="89" t="n"/>
      <c r="K19" s="578" t="n"/>
      <c r="L19" s="578" t="n"/>
      <c r="M19" s="578" t="n"/>
      <c r="N19" s="578" t="n"/>
      <c r="O19" s="578" t="n"/>
      <c r="P19" s="578" t="n"/>
      <c r="Q19" s="578" t="n"/>
      <c r="R19" s="578" t="n"/>
      <c r="S19" s="93" t="n"/>
    </row>
    <row r="20" ht="15.75" customHeight="1">
      <c r="A20" s="89" t="n"/>
      <c r="B20" s="89" t="n"/>
      <c r="C20" s="207" t="n"/>
      <c r="D20" s="207" t="n"/>
      <c r="E20" s="207" t="n"/>
      <c r="F20" s="90" t="n"/>
      <c r="G20" s="89" t="n"/>
      <c r="H20" s="89" t="n"/>
      <c r="I20" s="89" t="n"/>
      <c r="J20" s="89" t="n"/>
      <c r="K20" s="578" t="n"/>
      <c r="L20" s="578" t="n"/>
      <c r="M20" s="578" t="n"/>
      <c r="N20" s="578" t="n"/>
      <c r="O20" s="578" t="n"/>
      <c r="P20" s="578" t="n"/>
      <c r="Q20" s="578" t="n"/>
      <c r="R20" s="578" t="n"/>
      <c r="S20" s="93" t="n"/>
    </row>
    <row r="21" ht="15.75" customHeight="1">
      <c r="A21" s="89" t="n"/>
      <c r="B21" s="89" t="n"/>
      <c r="C21" s="207" t="n"/>
      <c r="D21" s="207" t="n"/>
      <c r="E21" s="207" t="n"/>
      <c r="F21" s="90" t="n"/>
      <c r="G21" s="89" t="n"/>
      <c r="H21" s="89" t="n"/>
      <c r="I21" s="89" t="n"/>
      <c r="J21" s="89" t="n"/>
      <c r="K21" s="578" t="n"/>
      <c r="L21" s="578" t="n"/>
      <c r="M21" s="578" t="n"/>
      <c r="N21" s="578" t="n"/>
      <c r="O21" s="578" t="n"/>
      <c r="P21" s="578" t="n"/>
      <c r="Q21" s="578" t="n"/>
      <c r="R21" s="578" t="n"/>
      <c r="S21" s="93" t="n"/>
    </row>
    <row r="22" ht="15.75" customHeight="1">
      <c r="A22" s="89" t="n"/>
      <c r="B22" s="89" t="n"/>
      <c r="C22" s="207" t="n"/>
      <c r="D22" s="207" t="n"/>
      <c r="E22" s="207" t="n"/>
      <c r="F22" s="90" t="n"/>
      <c r="G22" s="89" t="n"/>
      <c r="H22" s="89" t="n"/>
      <c r="I22" s="89" t="n"/>
      <c r="J22" s="89" t="n"/>
      <c r="K22" s="578" t="n"/>
      <c r="L22" s="578" t="n"/>
      <c r="M22" s="578" t="n"/>
      <c r="N22" s="578" t="n"/>
      <c r="O22" s="578" t="n"/>
      <c r="P22" s="578" t="n"/>
      <c r="Q22" s="578" t="n"/>
      <c r="R22" s="578" t="n"/>
      <c r="S22" s="93" t="n"/>
    </row>
    <row r="23" ht="15.75" customHeight="1">
      <c r="A23" s="89" t="n"/>
      <c r="B23" s="89" t="n"/>
      <c r="C23" s="207" t="n"/>
      <c r="D23" s="207" t="n"/>
      <c r="E23" s="207" t="n"/>
      <c r="F23" s="90" t="n"/>
      <c r="G23" s="89" t="n"/>
      <c r="H23" s="89" t="n"/>
      <c r="I23" s="89" t="n"/>
      <c r="J23" s="89" t="n"/>
      <c r="K23" s="578" t="n"/>
      <c r="L23" s="578" t="n"/>
      <c r="M23" s="578" t="n"/>
      <c r="N23" s="578" t="n"/>
      <c r="O23" s="578" t="n"/>
      <c r="P23" s="578" t="n"/>
      <c r="Q23" s="578" t="n"/>
      <c r="R23" s="578" t="n"/>
      <c r="S23" s="93" t="n"/>
    </row>
    <row r="24" ht="15.75" customHeight="1">
      <c r="A24" s="89" t="n"/>
      <c r="B24" s="89" t="n"/>
      <c r="C24" s="207" t="n"/>
      <c r="D24" s="207" t="n"/>
      <c r="E24" s="207" t="n"/>
      <c r="F24" s="90" t="n"/>
      <c r="G24" s="89" t="n"/>
      <c r="H24" s="89" t="n"/>
      <c r="I24" s="89" t="n"/>
      <c r="J24" s="89" t="n"/>
      <c r="K24" s="578" t="n"/>
      <c r="L24" s="578" t="n"/>
      <c r="M24" s="578" t="n"/>
      <c r="N24" s="578" t="n"/>
      <c r="O24" s="578" t="n"/>
      <c r="P24" s="578" t="n"/>
      <c r="Q24" s="578" t="n"/>
      <c r="R24" s="578" t="n"/>
      <c r="S24" s="93" t="n"/>
    </row>
    <row r="25" ht="15.75" customHeight="1">
      <c r="A25" s="208" t="inlineStr">
        <is>
          <t>合            计</t>
        </is>
      </c>
      <c r="B25" s="138" t="n"/>
      <c r="C25" s="28" t="n"/>
      <c r="D25" s="209" t="n"/>
      <c r="E25" s="89" t="n"/>
      <c r="F25" s="90" t="n"/>
      <c r="G25" s="90" t="n"/>
      <c r="H25" s="90" t="n"/>
      <c r="I25" s="210" t="n"/>
      <c r="J25" s="578" t="inlineStr"/>
      <c r="K25" s="579" t="n"/>
      <c r="L25" s="578" t="n"/>
      <c r="M25" s="578" t="n"/>
      <c r="N25" s="578" t="n"/>
      <c r="O25" s="578" t="n"/>
      <c r="P25" s="89" t="n"/>
      <c r="Q25" s="89" t="n"/>
      <c r="R25" s="578" t="n"/>
      <c r="S25" s="578" t="inlineStr"/>
    </row>
    <row r="26" ht="15.75" customHeight="1">
      <c r="A26" s="211" t="inlineStr">
        <is>
          <t>减：投资性房地产减值准备</t>
        </is>
      </c>
      <c r="B26" s="138" t="n"/>
      <c r="C26" s="28" t="n"/>
      <c r="D26" s="212" t="n"/>
      <c r="E26" s="89" t="n"/>
      <c r="F26" s="90" t="n"/>
      <c r="G26" s="90" t="n"/>
      <c r="H26" s="90" t="n"/>
      <c r="I26" s="210" t="n"/>
      <c r="J26" s="578" t="n"/>
      <c r="K26" s="579" t="n"/>
      <c r="L26" s="578" t="n"/>
      <c r="M26" s="578" t="n"/>
      <c r="N26" s="578" t="n"/>
      <c r="O26" s="578" t="n"/>
      <c r="P26" s="89" t="n"/>
      <c r="Q26" s="89" t="n"/>
      <c r="R26" s="578" t="n"/>
      <c r="S26" s="578" t="inlineStr"/>
    </row>
    <row r="27" ht="15.75" customHeight="1">
      <c r="A27" s="208" t="inlineStr">
        <is>
          <t>合            计</t>
        </is>
      </c>
      <c r="B27" s="138" t="n"/>
      <c r="C27" s="28" t="n"/>
      <c r="D27" s="212" t="n"/>
      <c r="E27" s="89" t="n"/>
      <c r="F27" s="90" t="n"/>
      <c r="G27" s="90" t="n"/>
      <c r="H27" s="90" t="n"/>
      <c r="I27" s="93" t="n"/>
      <c r="J27" s="578" t="n"/>
      <c r="K27" s="579" t="n"/>
      <c r="L27" s="578" t="n"/>
      <c r="M27" s="578">
        <f>SUM(M7:M26)</f>
      </c>
      <c r="N27" s="578" t="n"/>
      <c r="O27" s="578">
        <f>SUM(O7:O26)</f>
      </c>
      <c r="P27" s="578">
        <f>SUM(P7:P26)</f>
      </c>
      <c r="Q27" s="89" t="n"/>
      <c r="R27" s="578" t="n"/>
      <c r="S27" s="578" t="inlineStr"/>
    </row>
    <row r="28" ht="15.75" customHeight="1">
      <c r="A28" s="29">
        <f>封面!D11&amp;封面!G11</f>
      </c>
      <c r="B28" s="13" t="n"/>
      <c r="C28" s="13" t="n"/>
      <c r="D28" s="13" t="n"/>
      <c r="O28" s="13">
        <f>"评估人员："&amp;封面!L22</f>
      </c>
    </row>
    <row r="29" ht="15.75" customHeight="1">
      <c r="A29" s="29">
        <f>CONCATENATE(封面!D13,封面!F13,封面!G13,封面!H13,封面!I13,封面!J13,封面!K13)</f>
      </c>
    </row>
  </sheetData>
  <mergeCells count="7">
    <mergeCell ref="A25:C25"/>
    <mergeCell ref="A27:C27"/>
    <mergeCell ref="A3:S3"/>
    <mergeCell ref="A5:E5"/>
    <mergeCell ref="A4:S4"/>
    <mergeCell ref="A26:C26"/>
    <mergeCell ref="A2:S2"/>
  </mergeCells>
  <hyperlinks>
    <hyperlink ref="A1" location="索引目录!C35" display="返回索引页"/>
    <hyperlink ref="B1" location="分类汇总!B25" display="返回"/>
  </hyperlinks>
  <printOptions horizontalCentered="1"/>
  <pageMargins left="0.354330708661417" right="0.354330708661417" top="0.78740157480315" bottom="0.78740157480315" header="1.06299212598425" footer="0.511811023622047"/>
  <pageSetup orientation="landscape" paperSize="9"/>
  <headerFooter alignWithMargins="0">
    <oddHeader>&amp;R&amp;"宋体,常规"共&amp;"Times New Roman,常规"&amp;N&amp;"宋体,常规"页第&amp;"Times New Roman,常规"&amp;P&amp;"宋体,常规"4-5-3_x000a_页</oddHeader>
    <oddFooter/>
    <evenHeader/>
    <evenFooter/>
    <firstHeader/>
    <firstFooter/>
  </headerFooter>
  <legacyDrawing xmlns:r="http://schemas.openxmlformats.org/officeDocument/2006/relationships" r:id="anysvml"/>
</worksheet>
</file>

<file path=xl/worksheets/sheet44.xml><?xml version="1.0" encoding="utf-8"?>
<worksheet xmlns="http://schemas.openxmlformats.org/spreadsheetml/2006/main">
  <sheetPr codeName="Sheet44">
    <tabColor indexed="14"/>
    <outlinePr summaryBelow="1" summaryRight="1"/>
    <pageSetUpPr fitToPage="1"/>
  </sheetPr>
  <dimension ref="A1:T29"/>
  <sheetViews>
    <sheetView view="pageBreakPreview" zoomScale="60" zoomScaleNormal="100" workbookViewId="0">
      <selection activeCell="G451" sqref="G451"/>
    </sheetView>
  </sheetViews>
  <sheetFormatPr baseColWidth="8" defaultColWidth="9" defaultRowHeight="13"/>
  <cols>
    <col width="6.33333333333333" customWidth="1" style="85" min="1" max="1"/>
    <col width="6.83333333333333" customWidth="1" style="85" min="2" max="2"/>
    <col width="7.83333333333333" customWidth="1" style="85" min="3" max="3"/>
    <col width="13.75" customWidth="1" style="85" min="4" max="4"/>
    <col width="9.08333333333333" customWidth="1" style="85" min="5" max="5"/>
    <col width="4.75" customWidth="1" style="85" min="6" max="6"/>
    <col width="4.83333333333333" customWidth="1" style="85" min="7" max="7"/>
    <col width="4.58333333333333" customWidth="1" style="85" min="8" max="8"/>
    <col width="4.25" customWidth="1" style="85" min="9" max="9"/>
    <col width="4.75" customWidth="1" style="85" min="10" max="10"/>
    <col width="6.75" customWidth="1" style="85" min="11" max="11"/>
    <col width="10.25" customWidth="1" style="85" min="12" max="12"/>
    <col hidden="1" outlineLevel="1" width="12.5833333333333" customWidth="1" style="85" min="13" max="13"/>
    <col hidden="1" outlineLevel="1" width="11.8333333333333" customWidth="1" style="85" min="14" max="14"/>
    <col collapsed="1" width="11.8333333333333" customWidth="1" style="85" min="15" max="15"/>
    <col width="11.8333333333333" customWidth="1" style="85" min="16" max="16"/>
    <col width="10.0833333333333" customWidth="1" style="85" min="17" max="17"/>
    <col width="7.5" customWidth="1" style="85" min="18" max="18"/>
    <col width="7.83333333333333" customWidth="1" style="85" min="19" max="19"/>
    <col width="9" customWidth="1" style="85" min="20" max="16384"/>
  </cols>
  <sheetData>
    <row r="1" ht="15" customFormat="1" customHeight="1" s="13">
      <c r="A1" s="559" t="inlineStr">
        <is>
          <t>返回索引页</t>
        </is>
      </c>
      <c r="B1" s="15" t="inlineStr">
        <is>
          <t>返回</t>
        </is>
      </c>
      <c r="C1" s="16" t="n"/>
      <c r="D1" s="16" t="n"/>
      <c r="E1" s="16" t="n"/>
      <c r="F1" s="16" t="n"/>
      <c r="G1" s="16" t="n"/>
      <c r="H1" s="16" t="n"/>
      <c r="I1" s="16" t="n"/>
      <c r="J1" s="16" t="n"/>
      <c r="K1" s="16" t="n"/>
      <c r="L1" s="16" t="n"/>
    </row>
    <row r="2" ht="30" customFormat="1" customHeight="1" s="203">
      <c r="A2" s="83" t="inlineStr">
        <is>
          <t>投资性房地产——土地使用权评估明细表</t>
        </is>
      </c>
      <c r="T2" s="204" t="n"/>
    </row>
    <row r="3" ht="15.75" customFormat="1" customHeight="1" s="203">
      <c r="A3" s="205" t="inlineStr">
        <is>
          <t>（采用公允价值模式计量）</t>
        </is>
      </c>
      <c r="T3" s="204" t="n"/>
    </row>
    <row r="4" ht="14.15" customHeight="1">
      <c r="A4" s="576">
        <f>'4-5-3投资性地产'!A4:S4</f>
      </c>
    </row>
    <row r="5" ht="15.75" customHeight="1">
      <c r="A5" s="580" t="inlineStr">
        <is>
          <t>被评估单位（或者产权持有单位）：</t>
        </is>
      </c>
      <c r="B5" s="175" t="n"/>
      <c r="C5" s="175" t="n"/>
      <c r="D5" s="175" t="n"/>
      <c r="E5" s="175" t="n"/>
      <c r="S5" s="86" t="inlineStr">
        <is>
          <t>金额单位：人民币元</t>
        </is>
      </c>
    </row>
    <row r="6" ht="55.5" customFormat="1" customHeight="1" s="204">
      <c r="A6" s="87" t="inlineStr">
        <is>
          <t>序号</t>
        </is>
      </c>
      <c r="B6" s="87"/>
      <c r="C6" s="87"/>
      <c r="D6" s="87"/>
      <c r="E6" s="87"/>
      <c r="F6" s="87"/>
      <c r="G6" s="87"/>
      <c r="H6" s="87"/>
      <c r="I6" s="87"/>
      <c r="J6" s="87"/>
      <c r="K6" s="87"/>
      <c r="L6" s="87"/>
      <c r="M6" s="88"/>
      <c r="N6" s="88"/>
      <c r="O6" s="88"/>
      <c r="P6" s="87"/>
      <c r="Q6" s="87"/>
      <c r="R6" s="87"/>
      <c r="S6" s="87"/>
    </row>
    <row r="7" ht="15.75" customHeight="1">
      <c r="A7" s="89" t="n"/>
      <c r="B7" s="89" t="n"/>
      <c r="C7" s="207" t="n"/>
      <c r="D7" s="207" t="n"/>
      <c r="E7" s="207" t="n"/>
      <c r="F7" s="90" t="n"/>
      <c r="G7" s="89" t="n"/>
      <c r="H7" s="89" t="n"/>
      <c r="I7" s="89" t="n"/>
      <c r="J7" s="89" t="n"/>
      <c r="K7" s="578" t="n"/>
      <c r="L7" s="578" t="n"/>
      <c r="M7" s="579" t="n"/>
      <c r="N7" s="579" t="n"/>
      <c r="O7" s="579" t="n"/>
      <c r="P7" s="578" t="n"/>
      <c r="Q7" s="578" t="n"/>
      <c r="R7" s="578" t="inlineStr"/>
      <c r="S7" s="93" t="n"/>
    </row>
    <row r="8" ht="15.75" customHeight="1">
      <c r="A8" s="89" t="n"/>
      <c r="B8" s="89" t="n"/>
      <c r="C8" s="207" t="n"/>
      <c r="D8" s="207" t="n"/>
      <c r="E8" s="207" t="n"/>
      <c r="F8" s="90" t="n"/>
      <c r="G8" s="89" t="n"/>
      <c r="H8" s="89" t="n"/>
      <c r="I8" s="89" t="n"/>
      <c r="J8" s="89" t="n"/>
      <c r="K8" s="578" t="n"/>
      <c r="L8" s="578" t="n"/>
      <c r="M8" s="578" t="n"/>
      <c r="N8" s="578" t="n"/>
      <c r="O8" s="578" t="n"/>
      <c r="P8" s="578" t="n"/>
      <c r="Q8" s="578" t="n"/>
      <c r="R8" s="578" t="inlineStr"/>
      <c r="S8" s="93" t="n"/>
    </row>
    <row r="9" ht="15.75" customHeight="1">
      <c r="A9" s="89" t="n"/>
      <c r="B9" s="89" t="n"/>
      <c r="C9" s="207" t="n"/>
      <c r="D9" s="207" t="n"/>
      <c r="E9" s="207" t="n"/>
      <c r="F9" s="90" t="n"/>
      <c r="G9" s="89" t="n"/>
      <c r="H9" s="89" t="n"/>
      <c r="I9" s="89" t="n"/>
      <c r="J9" s="89" t="n"/>
      <c r="K9" s="578" t="n"/>
      <c r="L9" s="578" t="n"/>
      <c r="M9" s="578" t="n"/>
      <c r="N9" s="578" t="n"/>
      <c r="O9" s="578" t="n"/>
      <c r="P9" s="578" t="n"/>
      <c r="Q9" s="578" t="n"/>
      <c r="R9" s="578" t="inlineStr"/>
      <c r="S9" s="93" t="n"/>
    </row>
    <row r="10" ht="15.75" customHeight="1">
      <c r="A10" s="89" t="n"/>
      <c r="B10" s="89" t="n"/>
      <c r="C10" s="207" t="n"/>
      <c r="D10" s="207" t="n"/>
      <c r="E10" s="207" t="n"/>
      <c r="F10" s="90" t="n"/>
      <c r="G10" s="89" t="n"/>
      <c r="H10" s="89" t="n"/>
      <c r="I10" s="89" t="n"/>
      <c r="J10" s="89" t="n"/>
      <c r="K10" s="578" t="n"/>
      <c r="L10" s="578" t="n"/>
      <c r="M10" s="578" t="n"/>
      <c r="N10" s="578" t="n"/>
      <c r="O10" s="578" t="n"/>
      <c r="P10" s="578" t="n"/>
      <c r="Q10" s="578" t="n"/>
      <c r="R10" s="578" t="inlineStr"/>
      <c r="S10" s="93" t="n"/>
    </row>
    <row r="11" ht="15.75" customHeight="1">
      <c r="A11" s="89" t="n"/>
      <c r="B11" s="89" t="n"/>
      <c r="C11" s="207" t="n"/>
      <c r="D11" s="207" t="n"/>
      <c r="E11" s="207" t="n"/>
      <c r="F11" s="90" t="n"/>
      <c r="G11" s="89" t="n"/>
      <c r="H11" s="89" t="n"/>
      <c r="I11" s="89" t="n"/>
      <c r="J11" s="89" t="n"/>
      <c r="K11" s="578" t="n"/>
      <c r="L11" s="578" t="n"/>
      <c r="M11" s="578" t="n"/>
      <c r="N11" s="578" t="n"/>
      <c r="O11" s="578" t="n"/>
      <c r="P11" s="578" t="n"/>
      <c r="Q11" s="578" t="n"/>
      <c r="R11" s="578" t="inlineStr"/>
      <c r="S11" s="93" t="n"/>
    </row>
    <row r="12" ht="15.75" customHeight="1">
      <c r="A12" s="89" t="n"/>
      <c r="B12" s="89" t="n"/>
      <c r="C12" s="207" t="n"/>
      <c r="D12" s="207" t="n"/>
      <c r="E12" s="207" t="n"/>
      <c r="F12" s="90" t="n"/>
      <c r="G12" s="89" t="n"/>
      <c r="H12" s="89" t="n"/>
      <c r="I12" s="89" t="n"/>
      <c r="J12" s="89" t="n"/>
      <c r="K12" s="578" t="n"/>
      <c r="L12" s="578" t="n"/>
      <c r="M12" s="578" t="n"/>
      <c r="N12" s="578" t="n"/>
      <c r="O12" s="578" t="n"/>
      <c r="P12" s="578" t="n"/>
      <c r="Q12" s="578" t="n"/>
      <c r="R12" s="578" t="inlineStr"/>
      <c r="S12" s="93" t="n"/>
    </row>
    <row r="13" ht="15.75" customHeight="1">
      <c r="A13" s="89" t="n"/>
      <c r="B13" s="89" t="n"/>
      <c r="C13" s="207" t="n"/>
      <c r="D13" s="207" t="n"/>
      <c r="E13" s="207" t="n"/>
      <c r="F13" s="90" t="n"/>
      <c r="G13" s="89" t="n"/>
      <c r="H13" s="89" t="n"/>
      <c r="I13" s="89" t="n"/>
      <c r="J13" s="89" t="n"/>
      <c r="K13" s="578" t="n"/>
      <c r="L13" s="578" t="n"/>
      <c r="M13" s="578" t="n"/>
      <c r="N13" s="578" t="n"/>
      <c r="O13" s="578" t="n"/>
      <c r="P13" s="578" t="n"/>
      <c r="Q13" s="578" t="n"/>
      <c r="R13" s="578" t="n"/>
      <c r="S13" s="93" t="n"/>
    </row>
    <row r="14" ht="15.75" customHeight="1">
      <c r="A14" s="89" t="n"/>
      <c r="B14" s="89" t="n"/>
      <c r="C14" s="207" t="n"/>
      <c r="D14" s="207" t="n"/>
      <c r="E14" s="207" t="n"/>
      <c r="F14" s="90" t="n"/>
      <c r="G14" s="89" t="n"/>
      <c r="H14" s="89" t="n"/>
      <c r="I14" s="89" t="n"/>
      <c r="J14" s="89" t="n"/>
      <c r="K14" s="578" t="n"/>
      <c r="L14" s="578" t="n"/>
      <c r="M14" s="578" t="n"/>
      <c r="N14" s="578" t="n"/>
      <c r="O14" s="578" t="n"/>
      <c r="P14" s="578" t="n"/>
      <c r="Q14" s="578" t="n"/>
      <c r="R14" s="578" t="n"/>
      <c r="S14" s="93" t="n"/>
    </row>
    <row r="15" ht="15.75" customHeight="1">
      <c r="A15" s="89" t="n"/>
      <c r="B15" s="89" t="n"/>
      <c r="C15" s="207" t="n"/>
      <c r="D15" s="207" t="n"/>
      <c r="E15" s="207" t="n"/>
      <c r="F15" s="90" t="n"/>
      <c r="G15" s="89" t="n"/>
      <c r="H15" s="89" t="n"/>
      <c r="I15" s="89" t="n"/>
      <c r="J15" s="89" t="n"/>
      <c r="K15" s="578" t="n"/>
      <c r="L15" s="578" t="n"/>
      <c r="M15" s="578" t="n"/>
      <c r="N15" s="578" t="n"/>
      <c r="O15" s="578" t="n"/>
      <c r="P15" s="578" t="n"/>
      <c r="Q15" s="578" t="n"/>
      <c r="R15" s="578" t="n"/>
      <c r="S15" s="93" t="n"/>
    </row>
    <row r="16" ht="15.75" customHeight="1">
      <c r="A16" s="89" t="n"/>
      <c r="B16" s="89" t="n"/>
      <c r="C16" s="207" t="n"/>
      <c r="D16" s="207" t="n"/>
      <c r="E16" s="207" t="n"/>
      <c r="F16" s="90" t="n"/>
      <c r="G16" s="89" t="n"/>
      <c r="H16" s="89" t="n"/>
      <c r="I16" s="89" t="n"/>
      <c r="J16" s="89" t="n"/>
      <c r="K16" s="578" t="n"/>
      <c r="L16" s="578" t="n"/>
      <c r="M16" s="578" t="n"/>
      <c r="N16" s="578" t="n"/>
      <c r="O16" s="578" t="n"/>
      <c r="P16" s="578" t="n"/>
      <c r="Q16" s="578" t="n"/>
      <c r="R16" s="578" t="n"/>
      <c r="S16" s="93" t="n"/>
    </row>
    <row r="17" ht="15.75" customHeight="1">
      <c r="A17" s="89" t="n"/>
      <c r="B17" s="89" t="n"/>
      <c r="C17" s="207" t="n"/>
      <c r="D17" s="207" t="n"/>
      <c r="E17" s="207" t="n"/>
      <c r="F17" s="90" t="n"/>
      <c r="G17" s="89" t="n"/>
      <c r="H17" s="89" t="n"/>
      <c r="I17" s="89" t="n"/>
      <c r="J17" s="89" t="n"/>
      <c r="K17" s="578" t="n"/>
      <c r="L17" s="578" t="n"/>
      <c r="M17" s="578" t="n"/>
      <c r="N17" s="578" t="n"/>
      <c r="O17" s="578" t="n"/>
      <c r="P17" s="578" t="n"/>
      <c r="Q17" s="578" t="n"/>
      <c r="R17" s="578" t="inlineStr"/>
      <c r="S17" s="93" t="n"/>
    </row>
    <row r="18" ht="15.75" customHeight="1">
      <c r="A18" s="89" t="n"/>
      <c r="B18" s="89" t="n"/>
      <c r="C18" s="207" t="n"/>
      <c r="D18" s="207" t="n"/>
      <c r="E18" s="207" t="n"/>
      <c r="F18" s="90" t="n"/>
      <c r="G18" s="89" t="n"/>
      <c r="H18" s="89" t="n"/>
      <c r="I18" s="89" t="n"/>
      <c r="J18" s="89" t="n"/>
      <c r="K18" s="578" t="n"/>
      <c r="L18" s="578" t="n"/>
      <c r="M18" s="578" t="n"/>
      <c r="N18" s="578" t="n"/>
      <c r="O18" s="578" t="n"/>
      <c r="P18" s="578" t="n"/>
      <c r="Q18" s="578" t="n"/>
      <c r="R18" s="578" t="n"/>
      <c r="S18" s="93" t="n"/>
    </row>
    <row r="19" ht="15.75" customHeight="1">
      <c r="A19" s="89" t="n"/>
      <c r="B19" s="89" t="n"/>
      <c r="C19" s="207" t="n"/>
      <c r="D19" s="207" t="n"/>
      <c r="E19" s="207" t="n"/>
      <c r="F19" s="90" t="n"/>
      <c r="G19" s="89" t="n"/>
      <c r="H19" s="89" t="n"/>
      <c r="I19" s="89" t="n"/>
      <c r="J19" s="89" t="n"/>
      <c r="K19" s="578" t="n"/>
      <c r="L19" s="578" t="n"/>
      <c r="M19" s="578" t="n"/>
      <c r="N19" s="578" t="n"/>
      <c r="O19" s="578" t="n"/>
      <c r="P19" s="578" t="n"/>
      <c r="Q19" s="578" t="n"/>
      <c r="R19" s="578" t="n"/>
      <c r="S19" s="93" t="n"/>
    </row>
    <row r="20" ht="15.75" customHeight="1">
      <c r="A20" s="89" t="n"/>
      <c r="B20" s="89" t="n"/>
      <c r="C20" s="207" t="n"/>
      <c r="D20" s="207" t="n"/>
      <c r="E20" s="207" t="n"/>
      <c r="F20" s="90" t="n"/>
      <c r="G20" s="89" t="n"/>
      <c r="H20" s="89" t="n"/>
      <c r="I20" s="89" t="n"/>
      <c r="J20" s="89" t="n"/>
      <c r="K20" s="578" t="n"/>
      <c r="L20" s="578" t="n"/>
      <c r="M20" s="578" t="n"/>
      <c r="N20" s="578" t="n"/>
      <c r="O20" s="578" t="n"/>
      <c r="P20" s="578" t="n"/>
      <c r="Q20" s="578" t="n"/>
      <c r="R20" s="578" t="inlineStr"/>
      <c r="S20" s="93" t="n"/>
    </row>
    <row r="21" ht="15.75" customHeight="1">
      <c r="A21" s="89" t="n"/>
      <c r="B21" s="89" t="n"/>
      <c r="C21" s="207" t="n"/>
      <c r="D21" s="207" t="n"/>
      <c r="E21" s="207" t="n"/>
      <c r="F21" s="90" t="n"/>
      <c r="G21" s="89" t="n"/>
      <c r="H21" s="89" t="n"/>
      <c r="I21" s="89" t="n"/>
      <c r="J21" s="89" t="n"/>
      <c r="K21" s="578" t="n"/>
      <c r="L21" s="578" t="n"/>
      <c r="M21" s="578" t="n"/>
      <c r="N21" s="578" t="n"/>
      <c r="O21" s="578" t="n"/>
      <c r="P21" s="578" t="n"/>
      <c r="Q21" s="578" t="n"/>
      <c r="R21" s="578" t="inlineStr"/>
      <c r="S21" s="93" t="n"/>
    </row>
    <row r="22" ht="15.75" customHeight="1">
      <c r="A22" s="89" t="n"/>
      <c r="B22" s="89" t="n"/>
      <c r="C22" s="207" t="n"/>
      <c r="D22" s="207" t="n"/>
      <c r="E22" s="207" t="n"/>
      <c r="F22" s="90" t="n"/>
      <c r="G22" s="89" t="n"/>
      <c r="H22" s="89" t="n"/>
      <c r="I22" s="89" t="n"/>
      <c r="J22" s="89" t="n"/>
      <c r="K22" s="578" t="n"/>
      <c r="L22" s="578" t="n"/>
      <c r="M22" s="578" t="n"/>
      <c r="N22" s="578" t="n"/>
      <c r="O22" s="578" t="n"/>
      <c r="P22" s="578" t="n"/>
      <c r="Q22" s="578" t="n"/>
      <c r="R22" s="578" t="inlineStr"/>
      <c r="S22" s="93" t="n"/>
    </row>
    <row r="23" ht="15.75" customHeight="1">
      <c r="A23" s="89" t="n"/>
      <c r="B23" s="89" t="n"/>
      <c r="C23" s="207" t="n"/>
      <c r="D23" s="207" t="n"/>
      <c r="E23" s="207" t="n"/>
      <c r="F23" s="90" t="n"/>
      <c r="G23" s="89" t="n"/>
      <c r="H23" s="89" t="n"/>
      <c r="I23" s="89" t="n"/>
      <c r="J23" s="89" t="n"/>
      <c r="K23" s="578" t="n"/>
      <c r="L23" s="578" t="n"/>
      <c r="M23" s="578" t="n"/>
      <c r="N23" s="578" t="n"/>
      <c r="O23" s="578" t="n"/>
      <c r="P23" s="578" t="n"/>
      <c r="Q23" s="578" t="n"/>
      <c r="R23" s="578" t="inlineStr"/>
      <c r="S23" s="93" t="n"/>
    </row>
    <row r="24" ht="15.75" customHeight="1">
      <c r="A24" s="89" t="n"/>
      <c r="B24" s="89" t="n"/>
      <c r="C24" s="207" t="n"/>
      <c r="D24" s="207" t="n"/>
      <c r="E24" s="207" t="n"/>
      <c r="F24" s="90" t="n"/>
      <c r="G24" s="89" t="n"/>
      <c r="H24" s="89" t="n"/>
      <c r="I24" s="89" t="n"/>
      <c r="J24" s="89" t="n"/>
      <c r="K24" s="578" t="n"/>
      <c r="L24" s="578" t="n"/>
      <c r="M24" s="578" t="n"/>
      <c r="N24" s="578" t="n"/>
      <c r="O24" s="578" t="n"/>
      <c r="P24" s="578" t="n"/>
      <c r="Q24" s="578" t="n"/>
      <c r="R24" s="578" t="inlineStr"/>
      <c r="S24" s="93" t="n"/>
    </row>
    <row r="25" ht="15.75" customHeight="1">
      <c r="A25" s="89" t="n"/>
      <c r="B25" s="89" t="n"/>
      <c r="C25" s="207" t="n"/>
      <c r="D25" s="207" t="n"/>
      <c r="E25" s="207" t="n"/>
      <c r="F25" s="90" t="n"/>
      <c r="G25" s="89" t="n"/>
      <c r="H25" s="89" t="n"/>
      <c r="I25" s="89" t="n"/>
      <c r="J25" s="89" t="n"/>
      <c r="K25" s="578" t="n"/>
      <c r="L25" s="578" t="n"/>
      <c r="M25" s="578" t="n"/>
      <c r="N25" s="578" t="n"/>
      <c r="O25" s="578" t="n"/>
      <c r="P25" s="578" t="n"/>
      <c r="Q25" s="578" t="n"/>
      <c r="R25" s="578" t="inlineStr"/>
      <c r="S25" s="93" t="n"/>
    </row>
    <row r="26" ht="15.75" customHeight="1">
      <c r="A26" s="89" t="n"/>
      <c r="B26" s="89" t="n"/>
      <c r="C26" s="207" t="n"/>
      <c r="D26" s="207" t="n"/>
      <c r="E26" s="207" t="n"/>
      <c r="F26" s="90" t="n"/>
      <c r="G26" s="89" t="n"/>
      <c r="H26" s="89" t="n"/>
      <c r="I26" s="89" t="n"/>
      <c r="J26" s="89" t="n"/>
      <c r="K26" s="578" t="n"/>
      <c r="L26" s="578" t="n"/>
      <c r="M26" s="578" t="n"/>
      <c r="N26" s="578" t="n"/>
      <c r="O26" s="578" t="n"/>
      <c r="P26" s="578" t="n"/>
      <c r="Q26" s="578" t="n"/>
      <c r="R26" s="578" t="n"/>
      <c r="S26" s="93" t="n"/>
    </row>
    <row r="27" ht="15.75" customHeight="1">
      <c r="A27" s="208" t="inlineStr">
        <is>
          <t>合         计</t>
        </is>
      </c>
      <c r="B27" s="138" t="n"/>
      <c r="C27" s="138" t="n"/>
      <c r="D27" s="138" t="n"/>
      <c r="E27" s="28" t="n"/>
      <c r="F27" s="90" t="n"/>
      <c r="G27" s="89" t="n"/>
      <c r="H27" s="89" t="n"/>
      <c r="I27" s="89" t="n"/>
      <c r="J27" s="89" t="n"/>
      <c r="K27" s="578" t="n"/>
      <c r="L27" s="578" t="n"/>
      <c r="M27" s="578">
        <f>SUM(M7:M26)</f>
      </c>
      <c r="N27" s="578" t="n"/>
      <c r="O27" s="578">
        <f>SUM(O7:O26)</f>
      </c>
      <c r="P27" s="578">
        <f>SUM(P7:P26)</f>
      </c>
      <c r="Q27" s="578" t="n"/>
      <c r="R27" s="578" t="inlineStr"/>
      <c r="S27" s="93" t="n"/>
    </row>
    <row r="28" ht="15.75" customHeight="1">
      <c r="A28" s="29">
        <f>封面!D11&amp;封面!G11</f>
      </c>
      <c r="B28" s="13" t="n"/>
      <c r="C28" s="13" t="n"/>
      <c r="D28" s="13" t="n"/>
      <c r="N28" s="13" t="n"/>
      <c r="O28" s="13">
        <f>"评估人员："&amp;封面!M22</f>
      </c>
    </row>
    <row r="29" ht="15.75" customHeight="1">
      <c r="A29" s="29">
        <f>CONCATENATE(封面!D13,封面!F13,封面!G13,封面!H13,封面!I13,封面!J13,封面!K13)</f>
      </c>
    </row>
  </sheetData>
  <mergeCells count="5">
    <mergeCell ref="A3:S3"/>
    <mergeCell ref="A5:E5"/>
    <mergeCell ref="A4:S4"/>
    <mergeCell ref="A2:S2"/>
    <mergeCell ref="A27:E27"/>
  </mergeCells>
  <hyperlinks>
    <hyperlink ref="A1" location="索引目录!C35" display="返回索引页"/>
    <hyperlink ref="B1" location="分类汇总!B25" display="返回"/>
  </hyperlinks>
  <printOptions horizontalCentered="1"/>
  <pageMargins left="0.354330708661417" right="0.354330708661417" top="0.78740157480315" bottom="0.78740157480315" header="1.06299212598425" footer="0.511811023622047"/>
  <pageSetup orientation="landscape" paperSize="9" scale="98"/>
  <headerFooter alignWithMargins="0">
    <oddHeader>&amp;R&amp;"宋体,常规"共&amp;"Times New Roman,常规"&amp;N&amp;"宋体,常规"页第&amp;"Times New Roman,常规"&amp;P&amp;"宋体,常规"4-5-4_x000a_页</oddHeader>
    <oddFooter/>
    <evenHeader/>
    <evenFooter/>
    <firstHeader/>
    <firstFooter/>
  </headerFooter>
  <legacyDrawing xmlns:r="http://schemas.openxmlformats.org/officeDocument/2006/relationships" r:id="anysvml"/>
</worksheet>
</file>

<file path=xl/worksheets/sheet45.xml><?xml version="1.0" encoding="utf-8"?>
<worksheet xmlns="http://schemas.openxmlformats.org/spreadsheetml/2006/main">
  <sheetPr codeName="Sheet45">
    <outlinePr summaryBelow="1" summaryRight="1"/>
    <pageSetUpPr fitToPage="1"/>
  </sheetPr>
  <dimension ref="A1:L24"/>
  <sheetViews>
    <sheetView view="pageBreakPreview" zoomScale="90" zoomScaleNormal="85" workbookViewId="0">
      <selection activeCell="G451" sqref="G451"/>
    </sheetView>
  </sheetViews>
  <sheetFormatPr baseColWidth="8" defaultColWidth="9" defaultRowHeight="15.75" customHeight="1"/>
  <cols>
    <col width="4.33333333333333" customWidth="1" style="13" min="1" max="1"/>
    <col width="26.5" customWidth="1" style="13" min="2" max="2"/>
    <col hidden="1" outlineLevel="1" width="13" customWidth="1" style="13" min="3" max="4"/>
    <col collapsed="1" width="14.5" customWidth="1" style="13" min="5" max="5"/>
    <col width="14.5" customWidth="1" style="13" min="6" max="8"/>
    <col width="9.25" customWidth="1" style="13" min="9" max="10"/>
    <col width="7.83333333333333" customWidth="1" style="13" min="11" max="12"/>
    <col width="9" customWidth="1" style="13" min="13" max="16384"/>
  </cols>
  <sheetData>
    <row r="1" ht="15.5" customHeight="1">
      <c r="A1" s="529" t="inlineStr">
        <is>
          <t>返回索引页</t>
        </is>
      </c>
      <c r="B1" s="52" t="inlineStr">
        <is>
          <t>返回</t>
        </is>
      </c>
      <c r="C1" s="16" t="n"/>
      <c r="D1" s="16" t="n"/>
      <c r="E1" s="16" t="n"/>
      <c r="F1" s="16" t="n"/>
      <c r="G1" s="16" t="n"/>
      <c r="H1" s="16" t="n"/>
      <c r="I1" s="16" t="n"/>
      <c r="J1" s="16" t="n"/>
      <c r="K1" s="16" t="n"/>
      <c r="L1" s="16" t="n"/>
    </row>
    <row r="2" ht="30" customFormat="1" customHeight="1" s="11">
      <c r="A2" s="53" t="inlineStr">
        <is>
          <t>固定资产评估汇总表</t>
        </is>
      </c>
    </row>
    <row r="3" ht="14.15" customHeight="1">
      <c r="A3" s="535">
        <f>CONCATENATE(封面!D9,封面!F9,封面!G9,封面!H9,封面!I9,封面!J9,封面!K9)</f>
      </c>
    </row>
    <row r="4" ht="15.5" customHeight="1">
      <c r="A4" s="536">
        <f>封面!D7&amp;封面!F7</f>
      </c>
      <c r="K4" s="200" t="n"/>
      <c r="L4" s="54" t="inlineStr">
        <is>
          <t>金额单位：人民币元</t>
        </is>
      </c>
    </row>
    <row r="5" ht="13" customFormat="1" customHeight="1" s="12">
      <c r="A5" s="23" t="inlineStr">
        <is>
          <t>编号</t>
        </is>
      </c>
      <c r="B5" s="23" t="inlineStr">
        <is>
          <t>科目名称</t>
        </is>
      </c>
      <c r="C5" s="45" t="inlineStr">
        <is>
          <t>审计前账面值</t>
        </is>
      </c>
      <c r="D5" s="28" t="n"/>
      <c r="E5" s="45" t="inlineStr">
        <is>
          <t>账面价值</t>
        </is>
      </c>
      <c r="F5" s="28" t="n"/>
      <c r="G5" s="45" t="inlineStr">
        <is>
          <t>评估价值</t>
        </is>
      </c>
      <c r="H5" s="28" t="n"/>
      <c r="I5" s="45" t="inlineStr">
        <is>
          <t>增值额</t>
        </is>
      </c>
      <c r="J5" s="28" t="n"/>
      <c r="K5" s="201" t="inlineStr">
        <is>
          <t>增值率%</t>
        </is>
      </c>
      <c r="L5" s="176" t="n"/>
    </row>
    <row r="6" ht="13" customFormat="1" customHeight="1" s="12">
      <c r="A6" s="36" t="n"/>
      <c r="B6" s="36" t="n"/>
      <c r="C6" s="45" t="inlineStr">
        <is>
          <t>原值</t>
        </is>
      </c>
      <c r="D6" s="45" t="inlineStr">
        <is>
          <t>净值</t>
        </is>
      </c>
      <c r="E6" s="45" t="inlineStr">
        <is>
          <t>原值</t>
        </is>
      </c>
      <c r="F6" s="45" t="inlineStr">
        <is>
          <t>净值</t>
        </is>
      </c>
      <c r="G6" s="45" t="inlineStr">
        <is>
          <t>原值</t>
        </is>
      </c>
      <c r="H6" s="45" t="inlineStr">
        <is>
          <t>净值</t>
        </is>
      </c>
      <c r="I6" s="45" t="inlineStr">
        <is>
          <t>原值</t>
        </is>
      </c>
      <c r="J6" s="45" t="inlineStr">
        <is>
          <t>净值</t>
        </is>
      </c>
      <c r="K6" s="45" t="inlineStr">
        <is>
          <t>原值</t>
        </is>
      </c>
      <c r="L6" s="45" t="inlineStr">
        <is>
          <t>净值</t>
        </is>
      </c>
    </row>
    <row r="7" ht="18" customHeight="1">
      <c r="A7" s="98" t="n"/>
      <c r="B7" s="98" t="inlineStr">
        <is>
          <t>房屋建筑物类合计</t>
        </is>
      </c>
      <c r="C7" s="539">
        <f>SUM(C8:C10)</f>
      </c>
      <c r="D7" s="539">
        <f>SUM(D8:D10)</f>
      </c>
      <c r="E7" s="539">
        <f>SUM(E8:E10)</f>
      </c>
      <c r="F7" s="539">
        <f>SUM(F8:F10)</f>
      </c>
      <c r="G7" s="539">
        <f>SUM(G8:G10)</f>
      </c>
      <c r="H7" s="539">
        <f>SUM(H8:H10)</f>
      </c>
      <c r="I7" s="539">
        <f>SUM(I8:I10)</f>
      </c>
      <c r="J7" s="539">
        <f>SUM(J8:J10)</f>
      </c>
      <c r="K7" s="539">
        <f>IF(E7=0,"",I7/E7*100)</f>
      </c>
      <c r="L7" s="539">
        <f>IF(F7=0,"",J7/F7*100)</f>
      </c>
    </row>
    <row r="8" ht="18" customHeight="1">
      <c r="A8" s="98" t="inlineStr">
        <is>
          <t>4-6-1</t>
        </is>
      </c>
      <c r="B8" s="98" t="inlineStr">
        <is>
          <t>固定资产-房屋建筑物</t>
        </is>
      </c>
      <c r="C8" s="539">
        <f>房屋建筑物!U35</f>
      </c>
      <c r="D8" s="539">
        <f>房屋建筑物!V35</f>
      </c>
      <c r="E8" s="539">
        <f>房屋建筑物!Y35</f>
      </c>
      <c r="F8" s="539">
        <f>房屋建筑物!Z35</f>
      </c>
      <c r="G8" s="539">
        <f>房屋建筑物!AA35</f>
      </c>
      <c r="H8" s="539">
        <f>房屋建筑物!AC35</f>
      </c>
      <c r="I8" s="539">
        <f>G8-E8</f>
      </c>
      <c r="J8" s="539">
        <f>H8-F8</f>
      </c>
      <c r="K8" s="539">
        <f>IF(E8=0,"",I8/E8*100)</f>
      </c>
      <c r="L8" s="539">
        <f>IF(F8=0,"",J8/F8*100)</f>
      </c>
    </row>
    <row r="9" ht="18" customHeight="1">
      <c r="A9" s="98" t="inlineStr">
        <is>
          <t>4-6-2</t>
        </is>
      </c>
      <c r="B9" s="98" t="inlineStr">
        <is>
          <t>固定资产-构筑物及其他辅助设施</t>
        </is>
      </c>
      <c r="C9" s="539">
        <f>构筑物!J47</f>
      </c>
      <c r="D9" s="539">
        <f>构筑物!K47</f>
      </c>
      <c r="E9" s="539">
        <f>构筑物!N47</f>
      </c>
      <c r="F9" s="539">
        <f>构筑物!O47</f>
      </c>
      <c r="G9" s="539">
        <f>构筑物!P47</f>
      </c>
      <c r="H9" s="539">
        <f>构筑物!R47</f>
      </c>
      <c r="I9" s="539">
        <f>G9-E9</f>
      </c>
      <c r="J9" s="539">
        <f>H9-F9</f>
      </c>
      <c r="K9" s="539">
        <f>IF(E9=0,"",I9/E9*100)</f>
      </c>
      <c r="L9" s="539">
        <f>IF(F9=0,"",J9/F9*100)</f>
      </c>
    </row>
    <row r="10" ht="18" customHeight="1">
      <c r="A10" s="98" t="inlineStr">
        <is>
          <t>4-6-3</t>
        </is>
      </c>
      <c r="B10" s="98" t="inlineStr">
        <is>
          <t>固定资产-管道及沟槽</t>
        </is>
      </c>
      <c r="C10" s="539">
        <f>管道沟槽!J27</f>
      </c>
      <c r="D10" s="539">
        <f>管道沟槽!K27</f>
      </c>
      <c r="E10" s="539">
        <f>管道沟槽!N27</f>
      </c>
      <c r="F10" s="539">
        <f>管道沟槽!O27</f>
      </c>
      <c r="G10" s="539">
        <f>管道沟槽!P27</f>
      </c>
      <c r="H10" s="539">
        <f>管道沟槽!R27</f>
      </c>
      <c r="I10" s="539">
        <f>G10-E10</f>
      </c>
      <c r="J10" s="539">
        <f>H10-F10</f>
      </c>
      <c r="K10" s="539">
        <f>IF(E10=0,"",I10/E10*100)</f>
      </c>
      <c r="L10" s="539">
        <f>IF(F10=0,"",J10/F10*100)</f>
      </c>
    </row>
    <row r="11" ht="18" customHeight="1">
      <c r="A11" s="98" t="inlineStr">
        <is>
          <t>4-6-4</t>
        </is>
      </c>
      <c r="B11" s="98" t="inlineStr">
        <is>
          <t>固定资产-井巷</t>
        </is>
      </c>
      <c r="C11" s="539">
        <f>井巷!AI26</f>
      </c>
      <c r="D11" s="539">
        <f>井巷!AJ26</f>
      </c>
      <c r="E11" s="539">
        <f>井巷!AM26</f>
      </c>
      <c r="F11" s="539">
        <f>井巷!AN26</f>
      </c>
      <c r="G11" s="539" t="n"/>
      <c r="H11" s="539" t="n"/>
      <c r="I11" s="539" t="n"/>
      <c r="J11" s="539" t="n"/>
      <c r="K11" s="539" t="n"/>
      <c r="L11" s="539" t="n"/>
    </row>
    <row r="12" ht="18" customHeight="1">
      <c r="A12" s="98" t="n"/>
      <c r="B12" s="202" t="n"/>
      <c r="C12" s="539" t="n"/>
      <c r="D12" s="539" t="n"/>
      <c r="E12" s="539" t="n"/>
      <c r="F12" s="539" t="n"/>
      <c r="G12" s="539" t="n"/>
      <c r="H12" s="539" t="n"/>
      <c r="I12" s="539" t="n"/>
      <c r="J12" s="539" t="n"/>
      <c r="K12" s="539" t="n"/>
      <c r="L12" s="539" t="n"/>
    </row>
    <row r="13" ht="18" customHeight="1">
      <c r="A13" s="98" t="n"/>
      <c r="B13" s="98" t="inlineStr">
        <is>
          <t>设备类合计</t>
        </is>
      </c>
      <c r="C13" s="539">
        <f>SUM(C14:C16)</f>
      </c>
      <c r="D13" s="539">
        <f>SUM(D14:D16)</f>
      </c>
      <c r="E13" s="539">
        <f>SUM(E14:E16)</f>
      </c>
      <c r="F13" s="539">
        <f>SUM(F14:F16)</f>
      </c>
      <c r="G13" s="539">
        <f>SUM(G14:G16)</f>
      </c>
      <c r="H13" s="539">
        <f>SUM(H14:H16)</f>
      </c>
      <c r="I13" s="539">
        <f>SUM(I14:I16)</f>
      </c>
      <c r="J13" s="539">
        <f>SUM(J14:J16)</f>
      </c>
      <c r="K13" s="539">
        <f>IF(E13=0,"",I13/E13*100)</f>
      </c>
      <c r="L13" s="539">
        <f>IF(F13=0,"",J13/F13*100)</f>
      </c>
    </row>
    <row r="14" ht="18" customHeight="1">
      <c r="A14" s="98" t="inlineStr">
        <is>
          <t>4-6-4</t>
        </is>
      </c>
      <c r="B14" s="98" t="inlineStr">
        <is>
          <t>固定资产-机器设备</t>
        </is>
      </c>
      <c r="C14" s="539">
        <f>机器设备!K234</f>
      </c>
      <c r="D14" s="539">
        <f>机器设备!L234</f>
      </c>
      <c r="E14" s="539">
        <f>机器设备!O234</f>
      </c>
      <c r="F14" s="539">
        <f>机器设备!P234</f>
      </c>
      <c r="G14" s="539">
        <f>机器设备!Q234</f>
      </c>
      <c r="H14" s="539">
        <f>机器设备!S234</f>
      </c>
      <c r="I14" s="539">
        <f>G14-E14</f>
      </c>
      <c r="J14" s="539">
        <f>H14-F14</f>
      </c>
      <c r="K14" s="539">
        <f>IF(E14=0,"",I14/E14*100)</f>
      </c>
      <c r="L14" s="539">
        <f>IF(F14=0,"",J14/F14*100)</f>
      </c>
    </row>
    <row r="15" ht="18" customHeight="1">
      <c r="A15" s="98" t="inlineStr">
        <is>
          <t>4-6-5</t>
        </is>
      </c>
      <c r="B15" s="98" t="inlineStr">
        <is>
          <t>固定资产-车辆</t>
        </is>
      </c>
      <c r="C15" s="539">
        <f>车辆!K27</f>
      </c>
      <c r="D15" s="539">
        <f>车辆!L27</f>
      </c>
      <c r="E15" s="539">
        <f>车辆!O27</f>
      </c>
      <c r="F15" s="539">
        <f>车辆!P27</f>
      </c>
      <c r="G15" s="539">
        <f>车辆!Q27</f>
      </c>
      <c r="H15" s="539">
        <f>车辆!S27</f>
      </c>
      <c r="I15" s="539">
        <f>G15-E15</f>
      </c>
      <c r="J15" s="539">
        <f>H15-F15</f>
      </c>
      <c r="K15" s="539">
        <f>IF(E15=0,"",I15/E15*100)</f>
      </c>
      <c r="L15" s="539">
        <f>IF(F15=0,"",J15/F15*100)</f>
      </c>
    </row>
    <row r="16" ht="18" customHeight="1">
      <c r="A16" s="98" t="inlineStr">
        <is>
          <t>4-6-6</t>
        </is>
      </c>
      <c r="B16" s="98" t="inlineStr">
        <is>
          <t>固定资产-电子设备</t>
        </is>
      </c>
      <c r="C16" s="539">
        <f>电子设备!L449</f>
      </c>
      <c r="D16" s="539">
        <f>电子设备!M449</f>
      </c>
      <c r="E16" s="539">
        <f>电子设备!P449</f>
      </c>
      <c r="F16" s="539">
        <f>电子设备!Q449</f>
      </c>
      <c r="G16" s="539">
        <f>电子设备!R449</f>
      </c>
      <c r="H16" s="539">
        <f>电子设备!T449</f>
      </c>
      <c r="I16" s="539">
        <f>G16-E16</f>
      </c>
      <c r="J16" s="539">
        <f>H16-F16</f>
      </c>
      <c r="K16" s="539">
        <f>IF(E16=0,"",I16/E16*100)</f>
      </c>
      <c r="L16" s="539">
        <f>IF(F16=0,"",J16/F16*100)</f>
      </c>
    </row>
    <row r="17" ht="18" customHeight="1">
      <c r="A17" s="98" t="n"/>
      <c r="B17" s="202" t="n"/>
      <c r="C17" s="539" t="n"/>
      <c r="D17" s="539" t="n"/>
      <c r="E17" s="539" t="n"/>
      <c r="F17" s="539" t="n"/>
      <c r="G17" s="539" t="n"/>
      <c r="H17" s="539" t="n"/>
      <c r="I17" s="539" t="n"/>
      <c r="J17" s="539" t="n"/>
      <c r="K17" s="539" t="n"/>
      <c r="L17" s="539" t="n"/>
    </row>
    <row r="18" ht="18" customHeight="1">
      <c r="A18" s="98" t="n"/>
      <c r="B18" s="202" t="n"/>
      <c r="C18" s="539" t="n"/>
      <c r="D18" s="539" t="n"/>
      <c r="E18" s="539" t="n"/>
      <c r="F18" s="539" t="n"/>
      <c r="G18" s="539" t="n"/>
      <c r="H18" s="539" t="n"/>
      <c r="I18" s="539" t="n"/>
      <c r="J18" s="539" t="n"/>
      <c r="K18" s="539" t="n"/>
      <c r="L18" s="539" t="n"/>
    </row>
    <row r="19" ht="18" customHeight="1">
      <c r="A19" s="98" t="inlineStr">
        <is>
          <t>4-6-7</t>
        </is>
      </c>
      <c r="B19" s="98" t="inlineStr">
        <is>
          <t>土地</t>
        </is>
      </c>
      <c r="C19" s="539">
        <f>土地!J28</f>
      </c>
      <c r="D19" s="539">
        <f>土地!K28</f>
      </c>
      <c r="E19" s="539">
        <f>土地!N28</f>
      </c>
      <c r="F19" s="539">
        <f>土地!O28</f>
      </c>
      <c r="G19" s="539">
        <f>土地!P28</f>
      </c>
      <c r="H19" s="539">
        <f>土地!Q28</f>
      </c>
      <c r="I19" s="539">
        <f>G19-E19</f>
      </c>
      <c r="J19" s="539">
        <f>H19-F19</f>
      </c>
      <c r="K19" s="539">
        <f>IF(E19=0,"",I19/E19*100)</f>
      </c>
      <c r="L19" s="539">
        <f>IF(F19=0,"",J19/F19*100)</f>
      </c>
    </row>
    <row r="20" ht="18" customHeight="1">
      <c r="A20" s="98" t="n"/>
      <c r="B20" s="45" t="inlineStr">
        <is>
          <t>固定资产合计</t>
        </is>
      </c>
      <c r="C20" s="539">
        <f>SUM(C7,C13,C19)</f>
      </c>
      <c r="D20" s="539">
        <f>SUM(D7,D13,D19)</f>
      </c>
      <c r="E20" s="539">
        <f>SUM(E7,E13,E19)</f>
      </c>
      <c r="F20" s="539">
        <f>SUM(F7,F13,F19)</f>
      </c>
      <c r="G20" s="539">
        <f>SUM(G7,G13,G19)</f>
      </c>
      <c r="H20" s="539">
        <f>SUM(H7,H13,H19)</f>
      </c>
      <c r="I20" s="539">
        <f>SUM(I7,I13,I19)</f>
      </c>
      <c r="J20" s="539">
        <f>SUM(J7,J13,J19)</f>
      </c>
      <c r="K20" s="539">
        <f>IF(E20=0,"",I20/E20*100)</f>
      </c>
      <c r="L20" s="539">
        <f>IF(F20=0,"",J20/F20*100)</f>
      </c>
    </row>
    <row r="21" ht="18" customHeight="1">
      <c r="A21" s="98" t="n"/>
      <c r="B21" s="45" t="inlineStr">
        <is>
          <t>减：固定资产减值准备</t>
        </is>
      </c>
      <c r="C21" s="539" t="n"/>
      <c r="D21" s="539" t="n"/>
      <c r="E21" s="539" t="n"/>
      <c r="F21" s="539">
        <f>D21</f>
      </c>
      <c r="G21" s="539" t="n"/>
      <c r="H21" s="539" t="n">
        <v>0</v>
      </c>
      <c r="I21" s="539" t="n"/>
      <c r="J21" s="539">
        <f>H21-F21</f>
      </c>
      <c r="K21" s="539">
        <f>IF(E21=0,"",I21/E21*100)</f>
      </c>
      <c r="L21" s="539">
        <f>IF(F21=0,"",J21/F21*100)</f>
      </c>
    </row>
    <row r="22" ht="18" customHeight="1">
      <c r="A22" s="98" t="n"/>
      <c r="B22" s="45" t="inlineStr">
        <is>
          <t>固定资产</t>
        </is>
      </c>
      <c r="C22" s="539">
        <f>C20-C21</f>
      </c>
      <c r="D22" s="539">
        <f>D20-D21</f>
      </c>
      <c r="E22" s="539">
        <f>E20-E21</f>
      </c>
      <c r="F22" s="539">
        <f>F20-F21</f>
      </c>
      <c r="G22" s="539">
        <f>G20-G21</f>
      </c>
      <c r="H22" s="539">
        <f>H20-H21</f>
      </c>
      <c r="I22" s="539">
        <f>I20-I21</f>
      </c>
      <c r="J22" s="539">
        <f>J20-J21</f>
      </c>
      <c r="K22" s="539">
        <f>IF(E22=0,"",I22/E22*100)</f>
      </c>
      <c r="L22" s="539">
        <f>IF(F22=0,"",J22/F22*100)</f>
      </c>
    </row>
    <row r="23" ht="15.5" customHeight="1">
      <c r="A23" s="29">
        <f>封面!D11&amp;封面!G11</f>
      </c>
      <c r="G23" s="13">
        <f>"评估人员："&amp;封面!G24&amp;"  "</f>
      </c>
    </row>
    <row r="24" ht="15.5" customHeight="1">
      <c r="A24" s="29">
        <f>CONCATENATE(封面!D13,封面!F13,封面!G13,封面!H13,封面!I13,封面!J13,封面!K13)</f>
      </c>
    </row>
  </sheetData>
  <mergeCells count="9">
    <mergeCell ref="A5:A6"/>
    <mergeCell ref="A2:L2"/>
    <mergeCell ref="C5:D5"/>
    <mergeCell ref="G5:H5"/>
    <mergeCell ref="E5:F5"/>
    <mergeCell ref="K5:L5"/>
    <mergeCell ref="I5:J5"/>
    <mergeCell ref="A3:L3"/>
    <mergeCell ref="B5:B6"/>
  </mergeCells>
  <hyperlinks>
    <hyperlink ref="A1" location="索引目录!C35" display="返回索引页"/>
    <hyperlink ref="B1" location="分类汇总!B25" display="返回"/>
    <hyperlink ref="B8" location="房屋建筑物!A1" display="固定资产-房屋建筑物"/>
    <hyperlink ref="B9" location="构筑物!A1" display="固定资产-构筑物及其他辅助设施"/>
    <hyperlink ref="B10" location="管道沟槽!A1" display="固定资产-管道及沟槽"/>
    <hyperlink ref="B11" location="构筑物!A1" display="固定资产-井巷"/>
    <hyperlink ref="B14" location="机器设备!A1" display="固定资产-机器设备"/>
    <hyperlink ref="B15" location="车辆!A1" display="固定资产-车辆"/>
    <hyperlink ref="B16" location="电子设备!A1" display="固定资产-电子设备"/>
    <hyperlink ref="B19" location="土地!A1" display="土地"/>
  </hyperlinks>
  <printOptions horizontalCentered="1"/>
  <pageMargins left="0.354330708661417" right="0.354330708661417" top="0.78740157480315" bottom="0.78740157480315" header="1" footer="0.511811023622047"/>
  <pageSetup orientation="landscape" paperSize="9"/>
  <headerFooter alignWithMargins="0">
    <oddHeader>&amp;R&amp;"宋体,常规"共&amp;"Times New Roman,常规"&amp;N&amp;"宋体,常规"页第&amp;"Times New Roman,常规"&amp;P&amp;"宋体,常规"4-6_x000a_页</oddHeader>
    <oddFooter/>
    <evenHeader/>
    <evenFooter/>
    <firstHeader/>
    <firstFooter/>
  </headerFooter>
</worksheet>
</file>

<file path=xl/worksheets/sheet46.xml><?xml version="1.0" encoding="utf-8"?>
<worksheet xmlns="http://schemas.openxmlformats.org/spreadsheetml/2006/main">
  <sheetPr codeName="Sheet46">
    <outlinePr summaryBelow="1" summaryRight="1"/>
    <pageSetUpPr fitToPage="1"/>
  </sheetPr>
  <dimension ref="A1:AH37"/>
  <sheetViews>
    <sheetView view="pageBreakPreview" zoomScaleNormal="100" workbookViewId="0">
      <selection activeCell="G451" sqref="G451"/>
    </sheetView>
  </sheetViews>
  <sheetFormatPr baseColWidth="8" defaultColWidth="9" defaultRowHeight="15.75" customHeight="1"/>
  <cols>
    <col width="5" customWidth="1" style="13" min="1" max="1"/>
    <col width="24.5833333333333" customWidth="1" style="13" min="2" max="2"/>
    <col width="9.25" customWidth="1" style="13" min="3" max="3"/>
    <col hidden="1" outlineLevel="1" width="9" customWidth="1" style="13" min="4" max="4"/>
    <col hidden="1" outlineLevel="1" width="11.3333333333333" customWidth="1" style="13" min="5" max="5"/>
    <col collapsed="1" width="6.83333333333333" customWidth="1" style="13" min="6" max="6"/>
    <col hidden="1" outlineLevel="1" width="5.75" customWidth="1" style="13" min="7" max="7"/>
    <col hidden="1" outlineLevel="1" width="5.5" customWidth="1" style="13" min="8" max="9"/>
    <col hidden="1" outlineLevel="1" width="5" customWidth="1" style="13" min="10" max="14"/>
    <col hidden="1" outlineLevel="1" width="5.25" customWidth="1" style="13" min="15" max="15"/>
    <col hidden="1" outlineLevel="1" width="5" customWidth="1" style="13" min="16" max="16"/>
    <col collapsed="1" width="7.58333333333333" customWidth="1" style="13" min="17" max="17"/>
    <col width="4.5" customWidth="1" style="13" min="18" max="18"/>
    <col width="8.25" customWidth="1" style="13" min="19" max="19"/>
    <col width="7.75" customWidth="1" style="13" min="20" max="20"/>
    <col hidden="1" outlineLevel="1" width="11" customWidth="1" style="13" min="21" max="24"/>
    <col collapsed="1" width="12.75" customWidth="1" style="13" min="25" max="25"/>
    <col width="12.75" customWidth="1" style="13" min="26" max="26"/>
    <col width="11" customWidth="1" style="13" min="27" max="27"/>
    <col width="7.58333333333333" customWidth="1" style="13" min="28" max="28"/>
    <col width="11.75" customWidth="1" style="13" min="29" max="29"/>
    <col width="7.75" customWidth="1" style="13" min="30" max="31"/>
    <col width="7.5" customWidth="1" style="13" min="32" max="32"/>
    <col outlineLevel="1" width="15.25" customWidth="1" style="13" min="33" max="33"/>
    <col outlineLevel="1" width="13.0833333333333" customWidth="1" style="13" min="34" max="34"/>
    <col width="9" customWidth="1" style="13" min="35"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c r="AA1" s="16" t="n"/>
      <c r="AB1" s="16" t="n"/>
      <c r="AC1" s="16" t="n"/>
      <c r="AD1" s="16" t="n"/>
      <c r="AE1" s="16" t="n"/>
      <c r="AF1" s="16" t="n"/>
      <c r="AG1" s="16" t="n"/>
    </row>
    <row r="2" ht="30" customFormat="1" customHeight="1" s="11">
      <c r="A2" s="17" t="inlineStr">
        <is>
          <t>固定资产—房屋建筑物评估明细表</t>
        </is>
      </c>
      <c r="AF2" s="196" t="n"/>
      <c r="AG2" s="196" t="n"/>
    </row>
    <row r="3" ht="14.15" customHeight="1">
      <c r="A3" s="535">
        <f>CONCATENATE(封面!D9,封面!F9,封面!G9,封面!H9,封面!I9,封面!J9,封面!K9)</f>
      </c>
    </row>
    <row r="4" ht="15.5" customHeight="1">
      <c r="A4" s="536">
        <f>封面!D7&amp;封面!F7</f>
      </c>
      <c r="AF4" s="20" t="inlineStr">
        <is>
          <t>金额单位：人民币元</t>
        </is>
      </c>
    </row>
    <row r="5" ht="13" customFormat="1" customHeight="1" s="12">
      <c r="A5" s="21" t="inlineStr">
        <is>
          <t>序号</t>
        </is>
      </c>
      <c r="B5" s="21" t="inlineStr">
        <is>
          <t>权证编号</t>
        </is>
      </c>
      <c r="C5" s="21" t="inlineStr">
        <is>
          <t>建筑物名称</t>
        </is>
      </c>
      <c r="D5" s="197" t="inlineStr">
        <is>
          <t>位置</t>
        </is>
      </c>
      <c r="E5" s="197" t="inlineStr">
        <is>
          <t>对应土地证号</t>
        </is>
      </c>
      <c r="F5" s="22" t="inlineStr">
        <is>
          <t>结构</t>
        </is>
      </c>
      <c r="G5" s="197" t="inlineStr">
        <is>
          <t>檐高(m)</t>
        </is>
      </c>
      <c r="H5" s="197" t="inlineStr">
        <is>
          <t>层高(m)</t>
        </is>
      </c>
      <c r="I5" s="197" t="inlineStr">
        <is>
          <t>总层数</t>
        </is>
      </c>
      <c r="J5" s="197" t="inlineStr">
        <is>
          <t>所在层数</t>
        </is>
      </c>
      <c r="K5" s="197" t="inlineStr">
        <is>
          <t>朝向</t>
        </is>
      </c>
      <c r="L5" s="197" t="inlineStr">
        <is>
          <t>吊车吨位</t>
        </is>
      </c>
      <c r="M5" s="197" t="inlineStr">
        <is>
          <t>跨度(m)</t>
        </is>
      </c>
      <c r="N5" s="197" t="inlineStr">
        <is>
          <t>柱距(m)</t>
        </is>
      </c>
      <c r="O5" s="197" t="inlineStr">
        <is>
          <t>使用单位</t>
        </is>
      </c>
      <c r="P5" s="197" t="inlineStr">
        <is>
          <t>开工年月</t>
        </is>
      </c>
      <c r="Q5" s="22" t="inlineStr">
        <is>
          <t>建成
年月</t>
        </is>
      </c>
      <c r="R5" s="198" t="inlineStr">
        <is>
          <t>计量单位</t>
        </is>
      </c>
      <c r="S5" s="198" t="inlineStr">
        <is>
          <t>建筑          面积/容积</t>
        </is>
      </c>
      <c r="T5" s="22" t="inlineStr">
        <is>
          <t>成本单价(元/m2)</t>
        </is>
      </c>
      <c r="U5" s="21" t="inlineStr">
        <is>
          <t>审计前账面值</t>
        </is>
      </c>
      <c r="V5" s="28" t="n"/>
      <c r="W5" s="21" t="inlineStr">
        <is>
          <t>审计调整</t>
        </is>
      </c>
      <c r="X5" s="28" t="n"/>
      <c r="Y5" s="21" t="inlineStr">
        <is>
          <t>账面价值</t>
        </is>
      </c>
      <c r="Z5" s="28" t="n"/>
      <c r="AA5" s="21" t="inlineStr">
        <is>
          <t>评估价值</t>
        </is>
      </c>
      <c r="AB5" s="138" t="n"/>
      <c r="AC5" s="28" t="n"/>
      <c r="AD5" s="22" t="inlineStr">
        <is>
          <t>增值率%</t>
        </is>
      </c>
      <c r="AE5" s="22" t="inlineStr">
        <is>
          <t>评估单价(元/m2)</t>
        </is>
      </c>
      <c r="AF5" s="22" t="inlineStr">
        <is>
          <t>备注</t>
        </is>
      </c>
      <c r="AG5" s="197" t="inlineStr">
        <is>
          <t>现场勘察简单记录</t>
        </is>
      </c>
      <c r="AH5" s="21" t="inlineStr">
        <is>
          <t>证载权利人</t>
        </is>
      </c>
    </row>
    <row r="6" ht="13" customFormat="1" customHeight="1" s="12">
      <c r="A6" s="36" t="n"/>
      <c r="B6" s="36" t="n"/>
      <c r="C6" s="36" t="n"/>
      <c r="D6" s="36" t="n"/>
      <c r="E6" s="36" t="n"/>
      <c r="F6" s="36" t="n"/>
      <c r="G6" s="36" t="n"/>
      <c r="H6" s="36" t="n"/>
      <c r="I6" s="36" t="n"/>
      <c r="J6" s="36" t="n"/>
      <c r="K6" s="36" t="n"/>
      <c r="L6" s="36" t="n"/>
      <c r="M6" s="36" t="n"/>
      <c r="N6" s="36" t="n"/>
      <c r="O6" s="36" t="n"/>
      <c r="P6" s="36" t="n"/>
      <c r="Q6" s="36" t="n"/>
      <c r="R6" s="36" t="n"/>
      <c r="S6" s="36" t="n"/>
      <c r="T6" s="36" t="n"/>
      <c r="U6" s="21"/>
      <c r="V6" s="21"/>
      <c r="W6" s="21"/>
      <c r="X6" s="21"/>
      <c r="Y6" s="21"/>
      <c r="Z6" s="21"/>
      <c r="AA6" s="21"/>
      <c r="AB6" s="21"/>
      <c r="AC6" s="21"/>
      <c r="AD6" s="36" t="n"/>
      <c r="AE6" s="36" t="n"/>
      <c r="AF6" s="36" t="n"/>
      <c r="AG6" s="36" t="n"/>
      <c r="AH6" s="36" t="n"/>
    </row>
    <row r="7" ht="15.5" customHeight="1">
      <c r="A7" s="23" t="n">
        <v>1</v>
      </c>
      <c r="B7" s="24" t="n"/>
      <c r="C7" s="24" t="n"/>
      <c r="D7" s="24" t="n"/>
      <c r="E7" s="24" t="n"/>
      <c r="F7" s="21" t="n"/>
      <c r="G7" s="23" t="n"/>
      <c r="H7" s="23" t="n"/>
      <c r="I7" s="23" t="n"/>
      <c r="J7" s="23" t="n"/>
      <c r="K7" s="23" t="n"/>
      <c r="L7" s="23" t="n"/>
      <c r="M7" s="23" t="n"/>
      <c r="N7" s="23" t="n"/>
      <c r="O7" s="24" t="n"/>
      <c r="P7" s="23" t="n"/>
      <c r="Q7" s="23" t="n"/>
      <c r="R7" s="25" t="n"/>
      <c r="S7" s="583" t="n"/>
      <c r="T7" s="539" t="n"/>
      <c r="U7" s="539" t="n"/>
      <c r="V7" s="539" t="n"/>
      <c r="W7" s="539" t="n"/>
      <c r="X7" s="539" t="n"/>
      <c r="Y7" s="539" t="n"/>
      <c r="Z7" s="539" t="n"/>
      <c r="AA7" s="539"/>
      <c r="AB7" s="23" t="n"/>
      <c r="AC7" s="539">
        <f>ROUND(S7*AE7,-1)</f>
      </c>
      <c r="AD7" s="539">
        <f>IF(Z7=0,"",(AC7-Z7)/Z7*100)</f>
      </c>
      <c r="AE7" s="539">
        <f>ROUND(2215.16,-1)</f>
      </c>
      <c r="AF7" s="24" t="n"/>
      <c r="AG7" s="103" t="n"/>
      <c r="AH7" s="27" t="n"/>
    </row>
    <row r="8" ht="15.5" customHeight="1">
      <c r="A8" s="23" t="n">
        <v>2</v>
      </c>
      <c r="B8" s="24" t="n"/>
      <c r="C8" s="24" t="n"/>
      <c r="D8" s="24" t="n"/>
      <c r="E8" s="24" t="n"/>
      <c r="F8" s="21" t="n"/>
      <c r="G8" s="23" t="n"/>
      <c r="H8" s="23" t="n"/>
      <c r="I8" s="23" t="n"/>
      <c r="J8" s="23" t="n"/>
      <c r="K8" s="23" t="n"/>
      <c r="L8" s="23" t="n"/>
      <c r="M8" s="23" t="n"/>
      <c r="N8" s="23" t="n"/>
      <c r="O8" s="24" t="n"/>
      <c r="P8" s="23" t="n"/>
      <c r="Q8" s="23" t="n"/>
      <c r="R8" s="25" t="n"/>
      <c r="S8" s="583" t="n"/>
      <c r="T8" s="539" t="n"/>
      <c r="U8" s="539" t="n"/>
      <c r="V8" s="539" t="n"/>
      <c r="W8" s="539" t="n"/>
      <c r="X8" s="539" t="n"/>
      <c r="Y8" s="539" t="n"/>
      <c r="Z8" s="539" t="n"/>
      <c r="AA8" s="539"/>
      <c r="AB8" s="539" t="n"/>
      <c r="AC8" s="539">
        <f>ROUND(S8*AE8,-1)</f>
      </c>
      <c r="AD8" s="539">
        <f>IF(Z8=0,"",(AC8-Z8)/Z8*100)</f>
      </c>
      <c r="AE8" s="539">
        <f>ROUND(1985,-1)</f>
      </c>
      <c r="AF8" s="24" t="n"/>
      <c r="AG8" s="103" t="n"/>
      <c r="AH8" s="27" t="n"/>
    </row>
    <row r="9" ht="15.5" customHeight="1">
      <c r="A9" s="23" t="n">
        <v>3</v>
      </c>
      <c r="B9" s="24" t="n"/>
      <c r="C9" s="24" t="n"/>
      <c r="D9" s="24" t="n"/>
      <c r="E9" s="24" t="n"/>
      <c r="F9" s="21" t="n"/>
      <c r="G9" s="23" t="n"/>
      <c r="H9" s="23" t="n"/>
      <c r="I9" s="23" t="n"/>
      <c r="J9" s="23" t="n"/>
      <c r="K9" s="23" t="n"/>
      <c r="L9" s="23" t="n"/>
      <c r="M9" s="23" t="n"/>
      <c r="N9" s="23" t="n"/>
      <c r="O9" s="24" t="n"/>
      <c r="P9" s="23" t="n"/>
      <c r="Q9" s="23" t="n"/>
      <c r="R9" s="25" t="n"/>
      <c r="S9" s="583" t="n"/>
      <c r="T9" s="539" t="n"/>
      <c r="U9" s="539" t="n"/>
      <c r="V9" s="539" t="n"/>
      <c r="W9" s="539" t="n"/>
      <c r="X9" s="539" t="n"/>
      <c r="Y9" s="539" t="n"/>
      <c r="Z9" s="539" t="n"/>
      <c r="AA9" s="539"/>
      <c r="AB9" s="539" t="n"/>
      <c r="AC9" s="539">
        <f>ROUND(S9*AE9,-1)</f>
      </c>
      <c r="AD9" s="539">
        <f>IF(Z9=0,"",(AC9-Z9)/Z9*100)</f>
      </c>
      <c r="AE9" s="539">
        <f>ROUND(1717.24,-1)</f>
      </c>
      <c r="AF9" s="24" t="n"/>
      <c r="AG9" s="103" t="n"/>
      <c r="AH9" s="27" t="n"/>
    </row>
    <row r="10" ht="15.5" customHeight="1">
      <c r="A10" s="23" t="n">
        <v>4</v>
      </c>
      <c r="B10" s="24" t="n"/>
      <c r="C10" s="24" t="n"/>
      <c r="D10" s="24" t="n"/>
      <c r="E10" s="24" t="n"/>
      <c r="F10" s="21" t="n"/>
      <c r="G10" s="23" t="n"/>
      <c r="H10" s="23" t="n"/>
      <c r="I10" s="23" t="n"/>
      <c r="J10" s="23" t="n"/>
      <c r="K10" s="23" t="n"/>
      <c r="L10" s="23" t="n"/>
      <c r="M10" s="23" t="n"/>
      <c r="N10" s="23" t="n"/>
      <c r="O10" s="24" t="n"/>
      <c r="P10" s="23" t="n"/>
      <c r="Q10" s="23" t="n"/>
      <c r="R10" s="25" t="n"/>
      <c r="S10" s="583" t="n"/>
      <c r="T10" s="539" t="n"/>
      <c r="U10" s="539" t="n"/>
      <c r="V10" s="539" t="n"/>
      <c r="W10" s="539" t="n"/>
      <c r="X10" s="539" t="n"/>
      <c r="Y10" s="539" t="n"/>
      <c r="Z10" s="539" t="n"/>
      <c r="AA10" s="539"/>
      <c r="AB10" s="23" t="n"/>
      <c r="AC10" s="539">
        <f>ROUND(S10*AE10,-1)</f>
      </c>
      <c r="AD10" s="539">
        <f>IF(Z10=0,"",(AC10-Z10)/Z10*100)</f>
      </c>
      <c r="AE10" s="539">
        <f>ROUND(2176.76,-1)</f>
      </c>
      <c r="AF10" s="24" t="n"/>
      <c r="AG10" s="103" t="n"/>
      <c r="AH10" s="27" t="n"/>
    </row>
    <row r="11" ht="15.5" customHeight="1">
      <c r="A11" s="23" t="n">
        <v>5</v>
      </c>
      <c r="B11" s="24" t="n"/>
      <c r="C11" s="24" t="n"/>
      <c r="D11" s="24" t="n"/>
      <c r="E11" s="24" t="n"/>
      <c r="F11" s="21" t="n"/>
      <c r="G11" s="23" t="n"/>
      <c r="H11" s="23" t="n"/>
      <c r="I11" s="23" t="n"/>
      <c r="J11" s="23" t="n"/>
      <c r="K11" s="23" t="n"/>
      <c r="L11" s="23" t="n"/>
      <c r="M11" s="23" t="n"/>
      <c r="N11" s="23" t="n"/>
      <c r="O11" s="24" t="n"/>
      <c r="P11" s="23" t="n"/>
      <c r="Q11" s="23" t="n"/>
      <c r="R11" s="25" t="n"/>
      <c r="S11" s="583" t="n"/>
      <c r="T11" s="539" t="n"/>
      <c r="U11" s="539" t="n"/>
      <c r="V11" s="539" t="n"/>
      <c r="W11" s="539" t="n"/>
      <c r="X11" s="539" t="n"/>
      <c r="Y11" s="539" t="n"/>
      <c r="Z11" s="539" t="n"/>
      <c r="AA11" s="539"/>
      <c r="AB11" s="23" t="n"/>
      <c r="AC11" s="539">
        <f>ROUND(S11*AE11,-1)</f>
      </c>
      <c r="AD11" s="539">
        <f>IF(Z11=0,"",(AC11-Z11)/Z11*100)</f>
      </c>
      <c r="AE11" s="539">
        <f>ROUND(3849.26,-1)</f>
      </c>
      <c r="AF11" s="24" t="n"/>
      <c r="AG11" s="103" t="n"/>
      <c r="AH11" s="27" t="n"/>
    </row>
    <row r="12" ht="15.5" customHeight="1">
      <c r="A12" s="23" t="n">
        <v>6</v>
      </c>
      <c r="B12" s="24" t="n"/>
      <c r="C12" s="24" t="n"/>
      <c r="D12" s="24" t="n"/>
      <c r="E12" s="24" t="n"/>
      <c r="F12" s="21" t="n"/>
      <c r="G12" s="23" t="n"/>
      <c r="H12" s="23" t="n"/>
      <c r="I12" s="23" t="n"/>
      <c r="J12" s="23" t="n"/>
      <c r="K12" s="23" t="n"/>
      <c r="L12" s="23" t="n"/>
      <c r="M12" s="23" t="n"/>
      <c r="N12" s="23" t="n"/>
      <c r="O12" s="24" t="n"/>
      <c r="P12" s="23" t="n"/>
      <c r="Q12" s="23" t="n"/>
      <c r="R12" s="25" t="n"/>
      <c r="S12" s="583" t="n"/>
      <c r="T12" s="539" t="n"/>
      <c r="U12" s="539" t="n"/>
      <c r="V12" s="539" t="n"/>
      <c r="W12" s="539" t="n"/>
      <c r="X12" s="539" t="n"/>
      <c r="Y12" s="539" t="n"/>
      <c r="Z12" s="539" t="n"/>
      <c r="AA12" s="539"/>
      <c r="AB12" s="23" t="n"/>
      <c r="AC12" s="539">
        <f>ROUND(S12*AE12,-1)</f>
      </c>
      <c r="AD12" s="539">
        <f>IF(Z12=0,"",(AC12-Z12)/Z12*100)</f>
      </c>
      <c r="AE12" s="539">
        <f>ROUND(AVERAGE(AE10:AE11),-1)</f>
      </c>
      <c r="AF12" s="24" t="n"/>
      <c r="AG12" s="103" t="n"/>
      <c r="AH12" s="27" t="n"/>
    </row>
    <row r="13" ht="15.5" customHeight="1">
      <c r="A13" s="23" t="n">
        <v>7</v>
      </c>
      <c r="B13" s="24" t="n"/>
      <c r="C13" s="24" t="n"/>
      <c r="D13" s="24" t="n"/>
      <c r="E13" s="24" t="n"/>
      <c r="F13" s="21" t="n"/>
      <c r="G13" s="23" t="n"/>
      <c r="H13" s="23" t="n"/>
      <c r="I13" s="23" t="n"/>
      <c r="J13" s="23" t="n"/>
      <c r="K13" s="23" t="n"/>
      <c r="L13" s="23" t="n"/>
      <c r="M13" s="23" t="n"/>
      <c r="N13" s="23" t="n"/>
      <c r="O13" s="24" t="n"/>
      <c r="P13" s="23" t="n"/>
      <c r="Q13" s="23" t="n"/>
      <c r="R13" s="25" t="n"/>
      <c r="S13" s="583" t="n"/>
      <c r="T13" s="539" t="n"/>
      <c r="U13" s="539" t="n"/>
      <c r="V13" s="539" t="n"/>
      <c r="W13" s="539" t="n"/>
      <c r="X13" s="539" t="n"/>
      <c r="Y13" s="539" t="n"/>
      <c r="Z13" s="539" t="n"/>
      <c r="AA13" s="539"/>
      <c r="AB13" s="23" t="n"/>
      <c r="AC13" s="539">
        <f>ROUND(S13*AE13,-1)</f>
      </c>
      <c r="AD13" s="539">
        <f>IF(Z13=0,"",(AC13-Z13)/Z13*100)</f>
      </c>
      <c r="AE13" s="539">
        <f>ROUND((AE9+AE8)/2,-1)</f>
      </c>
      <c r="AF13" s="24" t="n"/>
      <c r="AG13" s="103" t="n"/>
      <c r="AH13" s="27" t="n"/>
    </row>
    <row r="14" ht="15.5" customHeight="1">
      <c r="A14" s="23" t="n"/>
      <c r="B14" s="24" t="n"/>
      <c r="C14" s="24" t="n"/>
      <c r="D14" s="24" t="n"/>
      <c r="E14" s="24" t="n"/>
      <c r="F14" s="21" t="n"/>
      <c r="G14" s="23" t="n"/>
      <c r="H14" s="23" t="n"/>
      <c r="I14" s="23" t="n"/>
      <c r="J14" s="23" t="n"/>
      <c r="K14" s="23" t="n"/>
      <c r="L14" s="23" t="n"/>
      <c r="M14" s="23" t="n"/>
      <c r="N14" s="23" t="n"/>
      <c r="O14" s="24" t="n"/>
      <c r="P14" s="23" t="n"/>
      <c r="Q14" s="23" t="n"/>
      <c r="R14" s="25" t="n"/>
      <c r="S14" s="38" t="n"/>
      <c r="T14" s="539" t="n"/>
      <c r="U14" s="539" t="n"/>
      <c r="V14" s="539" t="n"/>
      <c r="W14" s="539" t="n"/>
      <c r="X14" s="539" t="n"/>
      <c r="Y14" s="539" t="n"/>
      <c r="Z14" s="539" t="n"/>
      <c r="AA14" s="539">
        <f>ROUND(S14*AE14,-1)</f>
      </c>
      <c r="AB14" s="23" t="n"/>
      <c r="AC14" s="539">
        <f>ROUND(AA14*AB14/100,0)</f>
      </c>
      <c r="AD14" s="539">
        <f>IF(Z14=0,"",(AC14-Z14)/Z14*100)</f>
      </c>
      <c r="AE14" s="539" t="n"/>
      <c r="AF14" s="24" t="n"/>
      <c r="AG14" s="103" t="n"/>
      <c r="AH14" s="27" t="n"/>
    </row>
    <row r="15" ht="15.5" customHeight="1">
      <c r="A15" s="23" t="n"/>
      <c r="B15" s="24" t="n"/>
      <c r="C15" s="24" t="n"/>
      <c r="D15" s="24" t="n"/>
      <c r="E15" s="24" t="n"/>
      <c r="F15" s="21" t="n"/>
      <c r="G15" s="23" t="n"/>
      <c r="H15" s="23" t="n"/>
      <c r="I15" s="23" t="n"/>
      <c r="J15" s="23" t="n"/>
      <c r="K15" s="23" t="n"/>
      <c r="L15" s="23" t="n"/>
      <c r="M15" s="23" t="n"/>
      <c r="N15" s="23" t="n"/>
      <c r="O15" s="24" t="n"/>
      <c r="P15" s="23" t="n"/>
      <c r="Q15" s="23" t="n"/>
      <c r="R15" s="25" t="n"/>
      <c r="S15" s="38" t="n"/>
      <c r="T15" s="539" t="n"/>
      <c r="U15" s="539" t="n"/>
      <c r="V15" s="539" t="n"/>
      <c r="W15" s="539" t="n"/>
      <c r="X15" s="539" t="n"/>
      <c r="Y15" s="539" t="n"/>
      <c r="Z15" s="539" t="n"/>
      <c r="AA15" s="539">
        <f>ROUND(S15*AE15,-1)</f>
      </c>
      <c r="AB15" s="23" t="n"/>
      <c r="AC15" s="539">
        <f>ROUND(AA15*AB15/100,0)</f>
      </c>
      <c r="AD15" s="539">
        <f>IF(Z15=0,"",(AC15-Z15)/Z15*100)</f>
      </c>
      <c r="AE15" s="539" t="n"/>
      <c r="AF15" s="24" t="n"/>
      <c r="AG15" s="103" t="n"/>
      <c r="AH15" s="27" t="n"/>
    </row>
    <row r="16" ht="15.5" customHeight="1">
      <c r="A16" s="23" t="n"/>
      <c r="B16" s="24" t="n"/>
      <c r="C16" s="24" t="n"/>
      <c r="D16" s="24" t="n"/>
      <c r="E16" s="24" t="n"/>
      <c r="F16" s="21" t="n"/>
      <c r="G16" s="23" t="n"/>
      <c r="H16" s="23" t="n"/>
      <c r="I16" s="23" t="n"/>
      <c r="J16" s="23" t="n"/>
      <c r="K16" s="23" t="n"/>
      <c r="L16" s="23" t="n"/>
      <c r="M16" s="23" t="n"/>
      <c r="N16" s="23" t="n"/>
      <c r="O16" s="24" t="n"/>
      <c r="P16" s="23" t="n"/>
      <c r="Q16" s="25" t="n"/>
      <c r="R16" s="25" t="n"/>
      <c r="S16" s="38" t="n"/>
      <c r="T16" s="539" t="n"/>
      <c r="U16" s="539" t="n"/>
      <c r="V16" s="539" t="n"/>
      <c r="W16" s="539" t="n"/>
      <c r="X16" s="539" t="n"/>
      <c r="Y16" s="539" t="n"/>
      <c r="Z16" s="539" t="n"/>
      <c r="AA16" s="539">
        <f>ROUND(S16*AE16,-1)</f>
      </c>
      <c r="AB16" s="23" t="n"/>
      <c r="AC16" s="539">
        <f>ROUND(AA16*AB16/100,0)</f>
      </c>
      <c r="AD16" s="539">
        <f>IF(Z16=0,"",(AC16-Z16)/Z16*100)</f>
      </c>
      <c r="AE16" s="539" t="n"/>
      <c r="AF16" s="24" t="n"/>
      <c r="AG16" s="103" t="n"/>
      <c r="AH16" s="27" t="n"/>
    </row>
    <row r="17" ht="15.5" customHeight="1">
      <c r="A17" s="23" t="n"/>
      <c r="B17" s="24" t="n"/>
      <c r="C17" s="24" t="n"/>
      <c r="D17" s="24" t="n"/>
      <c r="E17" s="24" t="n"/>
      <c r="F17" s="21" t="n"/>
      <c r="G17" s="23" t="n"/>
      <c r="H17" s="23" t="n"/>
      <c r="I17" s="23" t="n"/>
      <c r="J17" s="23" t="n"/>
      <c r="K17" s="23" t="n"/>
      <c r="L17" s="23" t="n"/>
      <c r="M17" s="23" t="n"/>
      <c r="N17" s="23" t="n"/>
      <c r="O17" s="24" t="n"/>
      <c r="P17" s="23" t="n"/>
      <c r="Q17" s="25" t="n"/>
      <c r="R17" s="25" t="n"/>
      <c r="S17" s="38" t="n"/>
      <c r="T17" s="539" t="n"/>
      <c r="U17" s="539" t="n"/>
      <c r="V17" s="539" t="n"/>
      <c r="W17" s="539" t="n"/>
      <c r="X17" s="539" t="n"/>
      <c r="Y17" s="539" t="n"/>
      <c r="Z17" s="539" t="n"/>
      <c r="AA17" s="539">
        <f>ROUND(S17*AE17,-1)</f>
      </c>
      <c r="AB17" s="23" t="n"/>
      <c r="AC17" s="539">
        <f>ROUND(AA17*AB17/100,0)</f>
      </c>
      <c r="AD17" s="539">
        <f>IF(Z17=0,"",(AC17-Z17)/Z17*100)</f>
      </c>
      <c r="AE17" s="539" t="n"/>
      <c r="AF17" s="24" t="n"/>
      <c r="AG17" s="103" t="n"/>
      <c r="AH17" s="27" t="n"/>
    </row>
    <row r="18" ht="15.5" customHeight="1">
      <c r="A18" s="23" t="n"/>
      <c r="B18" s="24" t="n"/>
      <c r="C18" s="24" t="n"/>
      <c r="D18" s="24" t="n"/>
      <c r="E18" s="24" t="n"/>
      <c r="F18" s="21" t="n"/>
      <c r="G18" s="23" t="n"/>
      <c r="H18" s="23" t="n"/>
      <c r="I18" s="23" t="n"/>
      <c r="J18" s="23" t="n"/>
      <c r="K18" s="23" t="n"/>
      <c r="L18" s="23" t="n"/>
      <c r="M18" s="23" t="n"/>
      <c r="N18" s="23" t="n"/>
      <c r="O18" s="24" t="n"/>
      <c r="P18" s="23" t="n"/>
      <c r="Q18" s="25" t="n"/>
      <c r="R18" s="25" t="n"/>
      <c r="S18" s="38" t="n"/>
      <c r="T18" s="539" t="n"/>
      <c r="U18" s="539" t="n"/>
      <c r="V18" s="539" t="n"/>
      <c r="W18" s="539" t="n"/>
      <c r="X18" s="539" t="n"/>
      <c r="Y18" s="539" t="n"/>
      <c r="Z18" s="539" t="n"/>
      <c r="AA18" s="539">
        <f>ROUND(S18*AE18,-1)</f>
      </c>
      <c r="AB18" s="23" t="n"/>
      <c r="AC18" s="539">
        <f>ROUND(AA18*AB18/100,0)</f>
      </c>
      <c r="AD18" s="539">
        <f>IF(Z18=0,"",(AC18-Z18)/Z18*100)</f>
      </c>
      <c r="AE18" s="539" t="n"/>
      <c r="AF18" s="24" t="n"/>
      <c r="AG18" s="103" t="n"/>
      <c r="AH18" s="27" t="n"/>
    </row>
    <row r="19" ht="15.5" customHeight="1">
      <c r="A19" s="23" t="n"/>
      <c r="B19" s="24" t="n"/>
      <c r="C19" s="24" t="n"/>
      <c r="D19" s="24" t="n"/>
      <c r="E19" s="24" t="n"/>
      <c r="F19" s="21" t="n"/>
      <c r="G19" s="23" t="n"/>
      <c r="H19" s="23" t="n"/>
      <c r="I19" s="23" t="n"/>
      <c r="J19" s="23" t="n"/>
      <c r="K19" s="23" t="n"/>
      <c r="L19" s="23" t="n"/>
      <c r="M19" s="23" t="n"/>
      <c r="N19" s="23" t="n"/>
      <c r="O19" s="24" t="n"/>
      <c r="P19" s="23" t="n"/>
      <c r="Q19" s="25" t="n"/>
      <c r="R19" s="25" t="n"/>
      <c r="S19" s="38" t="n"/>
      <c r="T19" s="539" t="n"/>
      <c r="U19" s="539" t="n"/>
      <c r="V19" s="539" t="n"/>
      <c r="W19" s="539" t="n"/>
      <c r="X19" s="539" t="n"/>
      <c r="Y19" s="539" t="n"/>
      <c r="Z19" s="539" t="n"/>
      <c r="AA19" s="539">
        <f>ROUND(S19*AE19,-1)</f>
      </c>
      <c r="AB19" s="23" t="n"/>
      <c r="AC19" s="539">
        <f>ROUND(AA19*AB19/100,0)</f>
      </c>
      <c r="AD19" s="539">
        <f>IF(Z19=0,"",(AC19-Z19)/Z19*100)</f>
      </c>
      <c r="AE19" s="539" t="n"/>
      <c r="AF19" s="24" t="n"/>
      <c r="AG19" s="103" t="n"/>
      <c r="AH19" s="27" t="n"/>
    </row>
    <row r="20" ht="15.5" customHeight="1">
      <c r="A20" s="23" t="n"/>
      <c r="B20" s="24" t="n"/>
      <c r="C20" s="24" t="n"/>
      <c r="D20" s="24" t="n"/>
      <c r="E20" s="24" t="n"/>
      <c r="F20" s="21" t="n"/>
      <c r="G20" s="23" t="n"/>
      <c r="H20" s="23" t="n"/>
      <c r="I20" s="23" t="n"/>
      <c r="J20" s="23" t="n"/>
      <c r="K20" s="23" t="n"/>
      <c r="L20" s="23" t="n"/>
      <c r="M20" s="23" t="n"/>
      <c r="N20" s="23" t="n"/>
      <c r="O20" s="24" t="n"/>
      <c r="P20" s="23" t="n"/>
      <c r="Q20" s="25" t="n"/>
      <c r="R20" s="25" t="n"/>
      <c r="S20" s="38" t="n"/>
      <c r="T20" s="539" t="n"/>
      <c r="U20" s="539" t="n"/>
      <c r="V20" s="539" t="n"/>
      <c r="W20" s="539" t="n"/>
      <c r="X20" s="539" t="n"/>
      <c r="Y20" s="539" t="n"/>
      <c r="Z20" s="539" t="n"/>
      <c r="AA20" s="539">
        <f>ROUND(S20*AE20,-1)</f>
      </c>
      <c r="AB20" s="23" t="n"/>
      <c r="AC20" s="539">
        <f>ROUND(AA20*AB20/100,0)</f>
      </c>
      <c r="AD20" s="539">
        <f>IF(Z20=0,"",(AC20-Z20)/Z20*100)</f>
      </c>
      <c r="AE20" s="539" t="n"/>
      <c r="AF20" s="24" t="n"/>
      <c r="AG20" s="103" t="n"/>
      <c r="AH20" s="27" t="n"/>
    </row>
    <row r="21" ht="15.5" customHeight="1">
      <c r="A21" s="23" t="n"/>
      <c r="B21" s="24" t="n"/>
      <c r="C21" s="24" t="n"/>
      <c r="D21" s="24" t="n"/>
      <c r="E21" s="24" t="n"/>
      <c r="F21" s="21" t="n"/>
      <c r="G21" s="23" t="n"/>
      <c r="H21" s="23" t="n"/>
      <c r="I21" s="23" t="n"/>
      <c r="J21" s="23" t="n"/>
      <c r="K21" s="23" t="n"/>
      <c r="L21" s="23" t="n"/>
      <c r="M21" s="23" t="n"/>
      <c r="N21" s="23" t="n"/>
      <c r="O21" s="24" t="n"/>
      <c r="P21" s="23" t="n"/>
      <c r="Q21" s="25" t="n"/>
      <c r="R21" s="25" t="n"/>
      <c r="S21" s="38" t="n"/>
      <c r="T21" s="539" t="n"/>
      <c r="U21" s="539" t="n"/>
      <c r="V21" s="539" t="n"/>
      <c r="W21" s="539" t="n"/>
      <c r="X21" s="539" t="n"/>
      <c r="Y21" s="539" t="n"/>
      <c r="Z21" s="539" t="n"/>
      <c r="AA21" s="539">
        <f>ROUND(S21*AE21,-1)</f>
      </c>
      <c r="AB21" s="23" t="n"/>
      <c r="AC21" s="539">
        <f>ROUND(AA21*AB21/100,0)</f>
      </c>
      <c r="AD21" s="539">
        <f>IF(Z21=0,"",(AC21-Z21)/Z21*100)</f>
      </c>
      <c r="AE21" s="539" t="n"/>
      <c r="AF21" s="24" t="n"/>
      <c r="AG21" s="103" t="n"/>
      <c r="AH21" s="27" t="n"/>
    </row>
    <row r="22" ht="15.5" customHeight="1">
      <c r="A22" s="23" t="n"/>
      <c r="B22" s="24" t="n"/>
      <c r="C22" s="24" t="n"/>
      <c r="D22" s="24" t="n"/>
      <c r="E22" s="24" t="n"/>
      <c r="F22" s="21" t="n"/>
      <c r="G22" s="23" t="n"/>
      <c r="H22" s="23" t="n"/>
      <c r="I22" s="23" t="n"/>
      <c r="J22" s="23" t="n"/>
      <c r="K22" s="23" t="n"/>
      <c r="L22" s="23" t="n"/>
      <c r="M22" s="23" t="n"/>
      <c r="N22" s="23" t="n"/>
      <c r="O22" s="24" t="n"/>
      <c r="P22" s="23" t="n"/>
      <c r="Q22" s="25" t="n"/>
      <c r="R22" s="25" t="n"/>
      <c r="S22" s="38" t="n"/>
      <c r="T22" s="539" t="n"/>
      <c r="U22" s="539" t="n"/>
      <c r="V22" s="539" t="n"/>
      <c r="W22" s="539" t="n"/>
      <c r="X22" s="539" t="n"/>
      <c r="Y22" s="539" t="n"/>
      <c r="Z22" s="539" t="n"/>
      <c r="AA22" s="539">
        <f>ROUND(S22*AE22,-1)</f>
      </c>
      <c r="AB22" s="23" t="n"/>
      <c r="AC22" s="539">
        <f>ROUND(AA22*AB22/100,0)</f>
      </c>
      <c r="AD22" s="539">
        <f>IF(Z22=0,"",(AC22-Z22)/Z22*100)</f>
      </c>
      <c r="AE22" s="539" t="n"/>
      <c r="AF22" s="24" t="n"/>
      <c r="AG22" s="103" t="n"/>
      <c r="AH22" s="27" t="n"/>
    </row>
    <row r="23" ht="15.5" customHeight="1">
      <c r="A23" s="23" t="n"/>
      <c r="B23" s="24" t="n"/>
      <c r="C23" s="24" t="n"/>
      <c r="D23" s="24" t="n"/>
      <c r="E23" s="24" t="n"/>
      <c r="F23" s="21" t="n"/>
      <c r="G23" s="23" t="n"/>
      <c r="H23" s="23" t="n"/>
      <c r="I23" s="23" t="n"/>
      <c r="J23" s="23" t="n"/>
      <c r="K23" s="23" t="n"/>
      <c r="L23" s="23" t="n"/>
      <c r="M23" s="23" t="n"/>
      <c r="N23" s="23" t="n"/>
      <c r="O23" s="24" t="n"/>
      <c r="P23" s="23" t="n"/>
      <c r="Q23" s="23" t="n"/>
      <c r="R23" s="25" t="n"/>
      <c r="S23" s="38" t="n"/>
      <c r="T23" s="539" t="n"/>
      <c r="U23" s="539" t="n"/>
      <c r="V23" s="539" t="n"/>
      <c r="W23" s="539" t="n"/>
      <c r="X23" s="539" t="n"/>
      <c r="Y23" s="539" t="n"/>
      <c r="Z23" s="539" t="n"/>
      <c r="AA23" s="539">
        <f>ROUND(S23*AE23,-1)</f>
      </c>
      <c r="AB23" s="23" t="n"/>
      <c r="AC23" s="539">
        <f>ROUND(AA23*AB23/100,0)</f>
      </c>
      <c r="AD23" s="539">
        <f>IF(Z23=0,"",(AC23-Z23)/Z23*100)</f>
      </c>
      <c r="AE23" s="539" t="n"/>
      <c r="AF23" s="24" t="n"/>
      <c r="AG23" s="103" t="n"/>
      <c r="AH23" s="27" t="n"/>
    </row>
    <row r="24" ht="15.5" customHeight="1">
      <c r="A24" s="23" t="n"/>
      <c r="B24" s="24" t="n"/>
      <c r="C24" s="24" t="n"/>
      <c r="D24" s="24" t="n"/>
      <c r="E24" s="24" t="n"/>
      <c r="F24" s="21" t="n"/>
      <c r="G24" s="23" t="n"/>
      <c r="H24" s="23" t="n"/>
      <c r="I24" s="23" t="n"/>
      <c r="J24" s="23" t="n"/>
      <c r="K24" s="23" t="n"/>
      <c r="L24" s="23" t="n"/>
      <c r="M24" s="23" t="n"/>
      <c r="N24" s="23" t="n"/>
      <c r="O24" s="24" t="n"/>
      <c r="P24" s="23" t="n"/>
      <c r="Q24" s="25" t="n"/>
      <c r="R24" s="25" t="n"/>
      <c r="S24" s="38" t="n"/>
      <c r="T24" s="539" t="n"/>
      <c r="U24" s="539" t="n"/>
      <c r="V24" s="539" t="n"/>
      <c r="W24" s="539" t="n"/>
      <c r="X24" s="539" t="n"/>
      <c r="Y24" s="539" t="n"/>
      <c r="Z24" s="539" t="n"/>
      <c r="AA24" s="539">
        <f>ROUND(S24*AE24,-1)</f>
      </c>
      <c r="AB24" s="23" t="n"/>
      <c r="AC24" s="539">
        <f>ROUND(AA24*AB24/100,0)</f>
      </c>
      <c r="AD24" s="539">
        <f>IF(Z24=0,"",(AC24-Z24)/Z24*100)</f>
      </c>
      <c r="AE24" s="539" t="n"/>
      <c r="AF24" s="24" t="n"/>
      <c r="AG24" s="103" t="n"/>
      <c r="AH24" s="27" t="n"/>
    </row>
    <row r="25" ht="15.5" customHeight="1">
      <c r="A25" s="23" t="n"/>
      <c r="B25" s="24" t="n"/>
      <c r="C25" s="24" t="n"/>
      <c r="D25" s="24" t="n"/>
      <c r="E25" s="24" t="n"/>
      <c r="F25" s="21" t="n"/>
      <c r="G25" s="23" t="n"/>
      <c r="H25" s="23" t="n"/>
      <c r="I25" s="23" t="n"/>
      <c r="J25" s="23" t="n"/>
      <c r="K25" s="23" t="n"/>
      <c r="L25" s="23" t="n"/>
      <c r="M25" s="23" t="n"/>
      <c r="N25" s="23" t="n"/>
      <c r="O25" s="24" t="n"/>
      <c r="P25" s="23" t="n"/>
      <c r="Q25" s="25" t="n"/>
      <c r="R25" s="25" t="n"/>
      <c r="S25" s="38" t="n"/>
      <c r="T25" s="539" t="n"/>
      <c r="U25" s="539" t="n"/>
      <c r="V25" s="539" t="n"/>
      <c r="W25" s="539" t="n"/>
      <c r="X25" s="539" t="n"/>
      <c r="Y25" s="539" t="n"/>
      <c r="Z25" s="539" t="n"/>
      <c r="AA25" s="539">
        <f>ROUND(S25*AE25,-1)</f>
      </c>
      <c r="AB25" s="23" t="n"/>
      <c r="AC25" s="539">
        <f>ROUND(AA25*AB25/100,0)</f>
      </c>
      <c r="AD25" s="539">
        <f>IF(Z25=0,"",(AC25-Z25)/Z25*100)</f>
      </c>
      <c r="AE25" s="539" t="n"/>
      <c r="AF25" s="24" t="n"/>
      <c r="AG25" s="103" t="n"/>
      <c r="AH25" s="27" t="n"/>
    </row>
    <row r="26" ht="15.5" customHeight="1">
      <c r="A26" s="23" t="n"/>
      <c r="B26" s="24" t="n"/>
      <c r="C26" s="24" t="n"/>
      <c r="D26" s="24" t="n"/>
      <c r="E26" s="24" t="n"/>
      <c r="F26" s="21" t="n"/>
      <c r="G26" s="23" t="n"/>
      <c r="H26" s="23" t="n"/>
      <c r="I26" s="23" t="n"/>
      <c r="J26" s="23" t="n"/>
      <c r="K26" s="23" t="n"/>
      <c r="L26" s="23" t="n"/>
      <c r="M26" s="23" t="n"/>
      <c r="N26" s="23" t="n"/>
      <c r="O26" s="24" t="n"/>
      <c r="P26" s="23" t="n"/>
      <c r="Q26" s="25" t="n"/>
      <c r="R26" s="25" t="n"/>
      <c r="S26" s="38" t="n"/>
      <c r="T26" s="539" t="n"/>
      <c r="U26" s="539" t="n"/>
      <c r="V26" s="539" t="n"/>
      <c r="W26" s="539" t="n"/>
      <c r="X26" s="539" t="n"/>
      <c r="Y26" s="539" t="n"/>
      <c r="Z26" s="539" t="n"/>
      <c r="AA26" s="539">
        <f>ROUND(S26*AE26,-1)</f>
      </c>
      <c r="AB26" s="23" t="n"/>
      <c r="AC26" s="539">
        <f>ROUND(AA26*AB26/100,0)</f>
      </c>
      <c r="AD26" s="539">
        <f>IF(Z26=0,"",(AC26-Z26)/Z26*100)</f>
      </c>
      <c r="AE26" s="539" t="n"/>
      <c r="AF26" s="24" t="n"/>
      <c r="AG26" s="103" t="n"/>
      <c r="AH26" s="27" t="n"/>
    </row>
    <row r="27" ht="15.5" customHeight="1">
      <c r="A27" s="23" t="n"/>
      <c r="B27" s="24" t="n"/>
      <c r="C27" s="24" t="n"/>
      <c r="D27" s="24" t="n"/>
      <c r="E27" s="24" t="n"/>
      <c r="F27" s="21" t="n"/>
      <c r="G27" s="23" t="n"/>
      <c r="H27" s="23" t="n"/>
      <c r="I27" s="23" t="n"/>
      <c r="J27" s="23" t="n"/>
      <c r="K27" s="23" t="n"/>
      <c r="L27" s="23" t="n"/>
      <c r="M27" s="23" t="n"/>
      <c r="N27" s="23" t="n"/>
      <c r="O27" s="24" t="n"/>
      <c r="P27" s="23" t="n"/>
      <c r="Q27" s="25" t="n"/>
      <c r="R27" s="25" t="n"/>
      <c r="S27" s="38" t="n"/>
      <c r="T27" s="539" t="n"/>
      <c r="U27" s="539" t="n"/>
      <c r="V27" s="539" t="n"/>
      <c r="W27" s="539" t="n"/>
      <c r="X27" s="539" t="n"/>
      <c r="Y27" s="539" t="n"/>
      <c r="Z27" s="539" t="n"/>
      <c r="AA27" s="539">
        <f>ROUND(S27*AE27,-1)</f>
      </c>
      <c r="AB27" s="23" t="n"/>
      <c r="AC27" s="539">
        <f>ROUND(AA27*AB27/100,0)</f>
      </c>
      <c r="AD27" s="539">
        <f>IF(Z27=0,"",(AC27-Z27)/Z27*100)</f>
      </c>
      <c r="AE27" s="539" t="n"/>
      <c r="AF27" s="24" t="n"/>
      <c r="AG27" s="103" t="n"/>
      <c r="AH27" s="27" t="n"/>
    </row>
    <row r="28" ht="15.5" customHeight="1">
      <c r="A28" s="23" t="n"/>
      <c r="B28" s="24" t="n"/>
      <c r="C28" s="24" t="n"/>
      <c r="D28" s="24" t="n"/>
      <c r="E28" s="24" t="n"/>
      <c r="F28" s="21" t="n"/>
      <c r="G28" s="23" t="n"/>
      <c r="H28" s="23" t="n"/>
      <c r="I28" s="23" t="n"/>
      <c r="J28" s="23" t="n"/>
      <c r="K28" s="23" t="n"/>
      <c r="L28" s="23" t="n"/>
      <c r="M28" s="23" t="n"/>
      <c r="N28" s="23" t="n"/>
      <c r="O28" s="24" t="n"/>
      <c r="P28" s="23" t="n"/>
      <c r="Q28" s="25" t="n"/>
      <c r="R28" s="25" t="n"/>
      <c r="S28" s="38" t="n"/>
      <c r="T28" s="539" t="n"/>
      <c r="U28" s="539" t="n"/>
      <c r="V28" s="539" t="n"/>
      <c r="W28" s="539" t="n"/>
      <c r="X28" s="539" t="n"/>
      <c r="Y28" s="539" t="n"/>
      <c r="Z28" s="539" t="n"/>
      <c r="AA28" s="539">
        <f>ROUND(S28*AE28,-1)</f>
      </c>
      <c r="AB28" s="23" t="n"/>
      <c r="AC28" s="539">
        <f>ROUND(AA28*AB28/100,0)</f>
      </c>
      <c r="AD28" s="539">
        <f>IF(Z28=0,"",(AC28-Z28)/Z28*100)</f>
      </c>
      <c r="AE28" s="539" t="n"/>
      <c r="AF28" s="24" t="n"/>
      <c r="AG28" s="103" t="n"/>
      <c r="AH28" s="27" t="n"/>
    </row>
    <row r="29" ht="15.5" customHeight="1">
      <c r="A29" s="23" t="n"/>
      <c r="B29" s="24" t="n"/>
      <c r="C29" s="24" t="n"/>
      <c r="D29" s="24" t="n"/>
      <c r="E29" s="24" t="n"/>
      <c r="F29" s="23" t="n"/>
      <c r="G29" s="23" t="n"/>
      <c r="H29" s="23" t="n"/>
      <c r="I29" s="23" t="n"/>
      <c r="J29" s="23" t="n"/>
      <c r="K29" s="23" t="n"/>
      <c r="L29" s="23" t="n"/>
      <c r="M29" s="23" t="n"/>
      <c r="N29" s="23" t="n"/>
      <c r="O29" s="24" t="n"/>
      <c r="P29" s="23" t="n"/>
      <c r="Q29" s="25" t="n"/>
      <c r="R29" s="25" t="n"/>
      <c r="S29" s="38" t="n"/>
      <c r="T29" s="539">
        <f>IF(S29=0,"",U29/S29)</f>
      </c>
      <c r="U29" s="539" t="n"/>
      <c r="V29" s="539" t="n"/>
      <c r="W29" s="539" t="n"/>
      <c r="X29" s="539" t="n"/>
      <c r="Y29" s="539" t="n"/>
      <c r="Z29" s="539" t="n"/>
      <c r="AA29" s="539">
        <f>ROUND(S29*AE29,-1)</f>
      </c>
      <c r="AB29" s="23" t="n"/>
      <c r="AC29" s="539">
        <f>ROUND(AA29*AB29/100,0)</f>
      </c>
      <c r="AD29" s="539">
        <f>IF(Z29=0,"",(AC29-Z29)/Z29*100)</f>
      </c>
      <c r="AE29" s="539" t="n"/>
      <c r="AF29" s="24" t="n"/>
      <c r="AG29" s="103" t="n"/>
      <c r="AH29" s="27" t="n"/>
    </row>
    <row r="30" ht="15.5" customHeight="1">
      <c r="A30" s="23" t="n"/>
      <c r="B30" s="24" t="n"/>
      <c r="C30" s="24" t="n"/>
      <c r="D30" s="24" t="n"/>
      <c r="E30" s="24" t="n"/>
      <c r="F30" s="23" t="n"/>
      <c r="G30" s="23" t="n"/>
      <c r="H30" s="23" t="n"/>
      <c r="I30" s="23" t="n"/>
      <c r="J30" s="23" t="n"/>
      <c r="K30" s="23" t="n"/>
      <c r="L30" s="23" t="n"/>
      <c r="M30" s="23" t="n"/>
      <c r="N30" s="23" t="n"/>
      <c r="O30" s="24" t="n"/>
      <c r="P30" s="23" t="n"/>
      <c r="Q30" s="25" t="n"/>
      <c r="R30" s="25" t="n"/>
      <c r="S30" s="38" t="n"/>
      <c r="T30" s="539">
        <f>IF(S30=0,"",U30/S30)</f>
      </c>
      <c r="U30" s="539" t="n"/>
      <c r="V30" s="539" t="n"/>
      <c r="W30" s="539" t="n"/>
      <c r="X30" s="539" t="n"/>
      <c r="Y30" s="539" t="n"/>
      <c r="Z30" s="539" t="n"/>
      <c r="AA30" s="539">
        <f>ROUND(S30*AE30,-1)</f>
      </c>
      <c r="AB30" s="23" t="n"/>
      <c r="AC30" s="539">
        <f>ROUND(AA30*AB30/100,0)</f>
      </c>
      <c r="AD30" s="539">
        <f>IF(Z30=0,"",(AC30-Z30)/Z30*100)</f>
      </c>
      <c r="AE30" s="539" t="n"/>
      <c r="AF30" s="24" t="n"/>
      <c r="AG30" s="103" t="n"/>
      <c r="AH30" s="27" t="n"/>
    </row>
    <row r="31" ht="15.5" customHeight="1">
      <c r="A31" s="23" t="n"/>
      <c r="B31" s="24" t="n"/>
      <c r="C31" s="24" t="n"/>
      <c r="D31" s="24" t="n"/>
      <c r="E31" s="24" t="n"/>
      <c r="F31" s="23" t="n"/>
      <c r="G31" s="23" t="n"/>
      <c r="H31" s="23" t="n"/>
      <c r="I31" s="23" t="n"/>
      <c r="J31" s="23" t="n"/>
      <c r="K31" s="23" t="n"/>
      <c r="L31" s="23" t="n"/>
      <c r="M31" s="23" t="n"/>
      <c r="N31" s="23" t="n"/>
      <c r="O31" s="24" t="n"/>
      <c r="P31" s="23" t="n"/>
      <c r="Q31" s="25" t="n"/>
      <c r="R31" s="25" t="n"/>
      <c r="S31" s="38" t="n"/>
      <c r="T31" s="539">
        <f>IF(S31=0,"",U31/S31)</f>
      </c>
      <c r="U31" s="539" t="n"/>
      <c r="V31" s="539" t="n"/>
      <c r="W31" s="539" t="n"/>
      <c r="X31" s="539" t="n"/>
      <c r="Y31" s="539" t="n"/>
      <c r="Z31" s="539" t="n"/>
      <c r="AA31" s="539">
        <f>ROUND(S31*AE31,-1)</f>
      </c>
      <c r="AB31" s="23" t="n"/>
      <c r="AC31" s="539">
        <f>ROUND(AA31*AB31/100,0)</f>
      </c>
      <c r="AD31" s="539">
        <f>IF(Z31=0,"",(AC31-Z31)/Z31*100)</f>
      </c>
      <c r="AE31" s="539" t="n"/>
      <c r="AF31" s="24" t="n"/>
      <c r="AG31" s="103" t="n"/>
      <c r="AH31" s="27" t="n"/>
    </row>
    <row r="32" ht="15.5" customHeight="1">
      <c r="A32" s="23" t="n"/>
      <c r="B32" s="24" t="n"/>
      <c r="C32" s="24" t="n"/>
      <c r="D32" s="103" t="n"/>
      <c r="E32" s="103" t="n"/>
      <c r="F32" s="23" t="n"/>
      <c r="G32" s="104" t="n"/>
      <c r="H32" s="104" t="n"/>
      <c r="I32" s="104" t="n"/>
      <c r="J32" s="104" t="n"/>
      <c r="K32" s="104" t="n"/>
      <c r="L32" s="104" t="n"/>
      <c r="M32" s="104" t="n"/>
      <c r="N32" s="104" t="n"/>
      <c r="O32" s="103" t="n"/>
      <c r="P32" s="104" t="n"/>
      <c r="Q32" s="25" t="n"/>
      <c r="R32" s="25" t="n"/>
      <c r="S32" s="38" t="n"/>
      <c r="T32" s="539">
        <f>IF(S32=0,"",U32/S32)</f>
      </c>
      <c r="U32" s="539" t="n"/>
      <c r="V32" s="539" t="n"/>
      <c r="W32" s="539" t="n"/>
      <c r="X32" s="539" t="n"/>
      <c r="Y32" s="539" t="n"/>
      <c r="Z32" s="539" t="n"/>
      <c r="AA32" s="539">
        <f>ROUND(S32*AE32,-1)</f>
      </c>
      <c r="AB32" s="23" t="n"/>
      <c r="AC32" s="539">
        <f>ROUND(AA32*AB32/100,0)</f>
      </c>
      <c r="AD32" s="539">
        <f>IF(Z32=0,"",(AC32-Z32)/Z32*100)</f>
      </c>
      <c r="AE32" s="539" t="n"/>
      <c r="AF32" s="24" t="n"/>
      <c r="AG32" s="103" t="n"/>
      <c r="AH32" s="27" t="n"/>
    </row>
    <row r="33" ht="15.5" customHeight="1">
      <c r="A33" s="23" t="n"/>
      <c r="B33" s="24" t="n"/>
      <c r="C33" s="24" t="n"/>
      <c r="D33" s="103" t="n"/>
      <c r="E33" s="103" t="n"/>
      <c r="F33" s="23" t="n"/>
      <c r="G33" s="104" t="n"/>
      <c r="H33" s="104" t="n"/>
      <c r="I33" s="104" t="n"/>
      <c r="J33" s="104" t="n"/>
      <c r="K33" s="104" t="n"/>
      <c r="L33" s="104" t="n"/>
      <c r="M33" s="104" t="n"/>
      <c r="N33" s="104" t="n"/>
      <c r="O33" s="103" t="n"/>
      <c r="P33" s="104" t="n"/>
      <c r="Q33" s="25" t="n"/>
      <c r="R33" s="25" t="n"/>
      <c r="S33" s="38" t="n"/>
      <c r="T33" s="539">
        <f>IF(S33=0,"",U33/S33)</f>
      </c>
      <c r="U33" s="539" t="n"/>
      <c r="V33" s="539" t="n"/>
      <c r="W33" s="539" t="n"/>
      <c r="X33" s="539" t="n"/>
      <c r="Y33" s="539" t="n"/>
      <c r="Z33" s="539" t="n"/>
      <c r="AA33" s="539">
        <f>ROUND(S33*AE33,-1)</f>
      </c>
      <c r="AB33" s="23" t="n"/>
      <c r="AC33" s="539">
        <f>ROUND(AA33*AB33/100,0)</f>
      </c>
      <c r="AD33" s="539">
        <f>IF(Z33=0,"",(AC33-Z33)/Z33*100)</f>
      </c>
      <c r="AE33" s="539" t="n"/>
      <c r="AF33" s="24" t="n"/>
      <c r="AG33" s="103" t="n"/>
      <c r="AH33" s="27" t="n"/>
    </row>
    <row r="34" ht="15.5" customHeight="1">
      <c r="A34" s="23" t="n"/>
      <c r="B34" s="24" t="n"/>
      <c r="C34" s="24" t="n"/>
      <c r="D34" s="103" t="n"/>
      <c r="E34" s="103" t="n"/>
      <c r="F34" s="23" t="n"/>
      <c r="G34" s="104" t="n"/>
      <c r="H34" s="104" t="n"/>
      <c r="I34" s="104" t="n"/>
      <c r="J34" s="104" t="n"/>
      <c r="K34" s="104" t="n"/>
      <c r="L34" s="104" t="n"/>
      <c r="M34" s="104" t="n"/>
      <c r="N34" s="104" t="n"/>
      <c r="O34" s="103" t="n"/>
      <c r="P34" s="104" t="n"/>
      <c r="Q34" s="25" t="n"/>
      <c r="R34" s="25" t="n"/>
      <c r="S34" s="38" t="n"/>
      <c r="T34" s="539" t="n"/>
      <c r="U34" s="539" t="n"/>
      <c r="V34" s="539" t="n"/>
      <c r="W34" s="539" t="n"/>
      <c r="X34" s="539" t="n"/>
      <c r="Y34" s="539" t="n"/>
      <c r="Z34" s="539" t="n"/>
      <c r="AA34" s="539" t="n"/>
      <c r="AB34" s="23" t="n"/>
      <c r="AC34" s="539" t="n"/>
      <c r="AD34" s="539" t="n"/>
      <c r="AE34" s="539" t="n"/>
      <c r="AF34" s="24" t="n"/>
      <c r="AG34" s="103" t="n"/>
      <c r="AH34" s="27" t="n"/>
    </row>
    <row r="35" ht="15.5" customHeight="1">
      <c r="A35" s="21" t="inlineStr">
        <is>
          <t>合            计</t>
        </is>
      </c>
      <c r="B35" s="138" t="n"/>
      <c r="C35" s="28" t="n"/>
      <c r="D35" s="199" t="n"/>
      <c r="E35" s="199" t="n"/>
      <c r="F35" s="23" t="n"/>
      <c r="G35" s="104" t="n"/>
      <c r="H35" s="104" t="n"/>
      <c r="I35" s="104" t="n"/>
      <c r="J35" s="104" t="n"/>
      <c r="K35" s="104" t="n"/>
      <c r="L35" s="104" t="n"/>
      <c r="M35" s="104" t="n"/>
      <c r="N35" s="104" t="n"/>
      <c r="O35" s="104" t="n"/>
      <c r="P35" s="104" t="n"/>
      <c r="Q35" s="25" t="n"/>
      <c r="R35" s="25" t="n"/>
      <c r="S35" s="27" t="n"/>
      <c r="T35" s="539" t="n"/>
      <c r="U35" s="539">
        <f>SUM(U7:U34)</f>
      </c>
      <c r="V35" s="539">
        <f>SUM(V7:V34)</f>
      </c>
      <c r="W35" s="539" t="n"/>
      <c r="X35" s="539" t="n"/>
      <c r="Y35" s="539">
        <f>SUM(Y7:Y34)</f>
      </c>
      <c r="Z35" s="539">
        <f>SUM(Z7:Z34)</f>
      </c>
      <c r="AA35" s="539">
        <f>SUM(AA7:AA34)</f>
      </c>
      <c r="AB35" s="23" t="n"/>
      <c r="AC35" s="539">
        <f>SUM(AC7:AC34)</f>
      </c>
      <c r="AD35" s="539">
        <f>IF(Z35=0,"",(AC35-Z35)/Z35*100)</f>
      </c>
      <c r="AE35" s="539" t="n"/>
      <c r="AF35" s="24" t="n"/>
      <c r="AG35" s="103" t="n"/>
      <c r="AH35" s="27" t="n"/>
    </row>
    <row r="36" ht="15.5" customHeight="1">
      <c r="A36" s="29">
        <f>封面!D11&amp;封面!G11</f>
      </c>
      <c r="Y36" s="13">
        <f>"评估人员："&amp;封面!G24</f>
      </c>
    </row>
    <row r="37" ht="15.5" customHeight="1">
      <c r="A37" s="29">
        <f>CONCATENATE(封面!D13,封面!F13,封面!G13,封面!H13,封面!I13,封面!J13,封面!K13)</f>
      </c>
    </row>
  </sheetData>
  <mergeCells count="32">
    <mergeCell ref="O5:O6"/>
    <mergeCell ref="E5:E6"/>
    <mergeCell ref="AA5:AC5"/>
    <mergeCell ref="A2:AE2"/>
    <mergeCell ref="Q5:Q6"/>
    <mergeCell ref="AH5:AH6"/>
    <mergeCell ref="F5:F6"/>
    <mergeCell ref="W5:X5"/>
    <mergeCell ref="L5:L6"/>
    <mergeCell ref="N5:N6"/>
    <mergeCell ref="AF5:AF6"/>
    <mergeCell ref="Y5:Z5"/>
    <mergeCell ref="M5:M6"/>
    <mergeCell ref="A35:C35"/>
    <mergeCell ref="I5:I6"/>
    <mergeCell ref="A5:A6"/>
    <mergeCell ref="G5:G6"/>
    <mergeCell ref="S5:S6"/>
    <mergeCell ref="A3:AF3"/>
    <mergeCell ref="B5:B6"/>
    <mergeCell ref="AE5:AE6"/>
    <mergeCell ref="D5:D6"/>
    <mergeCell ref="P5:P6"/>
    <mergeCell ref="AG5:AG6"/>
    <mergeCell ref="H5:H6"/>
    <mergeCell ref="R5:R6"/>
    <mergeCell ref="J5:J6"/>
    <mergeCell ref="U5:V5"/>
    <mergeCell ref="C5:C6"/>
    <mergeCell ref="T5:T6"/>
    <mergeCell ref="K5:K6"/>
    <mergeCell ref="AD5:AD6"/>
  </mergeCells>
  <hyperlinks>
    <hyperlink ref="A1" location="索引目录!E35" display="返回索引页"/>
    <hyperlink ref="B1" location="固定资产汇总!B8" display="返回"/>
  </hyperlinks>
  <printOptions horizontalCentered="1"/>
  <pageMargins left="0.354330708661417" right="0.354330708661417" top="0.78740157480315" bottom="0.78740157480315" header="1.01" footer="0.511811023622047"/>
  <pageSetup orientation="landscape" paperSize="9" scale="86" fitToHeight="0"/>
  <headerFooter alignWithMargins="0">
    <oddHeader>&amp;R&amp;"宋体,常规"共&amp;"Times New Roman,常规"&amp;N&amp;"宋体,常规"页第&amp;"Times New Roman,常规"&amp;P&amp;"宋体,常规"4-6-1_x000a_页</oddHeader>
    <oddFooter/>
    <evenHeader/>
    <evenFooter/>
    <firstHeader/>
    <firstFooter/>
  </headerFooter>
  <legacyDrawing xmlns:r="http://schemas.openxmlformats.org/officeDocument/2006/relationships" r:id="anysvml"/>
</worksheet>
</file>

<file path=xl/worksheets/sheet47.xml><?xml version="1.0" encoding="utf-8"?>
<worksheet xmlns="http://schemas.openxmlformats.org/spreadsheetml/2006/main">
  <sheetPr codeName="Sheet47">
    <outlinePr summaryBelow="1" summaryRight="1"/>
    <pageSetUpPr fitToPage="1"/>
  </sheetPr>
  <dimension ref="A1:X49"/>
  <sheetViews>
    <sheetView zoomScaleSheetLayoutView="115" workbookViewId="0">
      <selection activeCell="G451" sqref="G451"/>
    </sheetView>
  </sheetViews>
  <sheetFormatPr baseColWidth="8" defaultColWidth="9" defaultRowHeight="15.75" customHeight="1"/>
  <cols>
    <col width="5.83333333333333" customWidth="1" style="13" min="1" max="1"/>
    <col width="14.75" customWidth="1" style="13" min="2" max="2"/>
    <col width="5.58333333333333" customWidth="1" style="13" min="3" max="3"/>
    <col hidden="1" outlineLevel="1" width="8" customWidth="1" style="13" min="4" max="4"/>
    <col collapsed="1" width="7.58333333333333" customWidth="1" style="13" min="5" max="5"/>
    <col width="4.33333333333333" customWidth="1" style="13" min="6" max="6"/>
    <col width="5.08333333333333" customWidth="1" style="13" min="7" max="7"/>
    <col width="5.25" customWidth="1" style="13" min="8" max="8"/>
    <col width="7.75" customWidth="1" style="13" min="9" max="9"/>
    <col hidden="1" outlineLevel="1" width="11" customWidth="1" style="13" min="10" max="13"/>
    <col collapsed="1" width="12.75" customWidth="1" style="13" min="14" max="14"/>
    <col width="12.75" customWidth="1" style="13" min="15" max="15"/>
    <col width="11" customWidth="1" style="13" min="16" max="16"/>
    <col width="7.25" customWidth="1" style="13" min="17" max="17"/>
    <col width="11" customWidth="1" style="13" min="18" max="18"/>
    <col width="7.5" customWidth="1" style="13" min="19" max="19"/>
    <col width="7.58333333333333" customWidth="1" style="13" min="20" max="20"/>
    <col width="7.25" customWidth="1" style="13" min="21" max="21"/>
    <col width="9" customWidth="1" style="13" min="22"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c r="P1" s="16" t="n"/>
      <c r="Q1" s="16" t="n"/>
      <c r="R1" s="16" t="n"/>
      <c r="S1" s="16" t="n"/>
      <c r="T1" s="16" t="n"/>
      <c r="U1" s="16" t="n"/>
      <c r="V1" s="16" t="n"/>
      <c r="W1" s="16" t="n"/>
      <c r="X1" s="16" t="n"/>
    </row>
    <row r="2" ht="30" customFormat="1" customHeight="1" s="11">
      <c r="A2" s="17" t="inlineStr">
        <is>
          <t>固定资产—构筑物及其他辅助设施评估明细表</t>
        </is>
      </c>
      <c r="V2" s="53" t="n"/>
      <c r="W2" s="53" t="n"/>
      <c r="X2" s="53" t="n"/>
    </row>
    <row r="3" ht="14.15" customHeight="1">
      <c r="A3" s="535">
        <f>CONCATENATE(封面!D9,封面!F9,封面!G9,封面!H9,封面!I9,封面!J9,封面!K9)</f>
      </c>
      <c r="V3" s="16" t="n"/>
      <c r="W3" s="16" t="n"/>
      <c r="X3" s="16" t="n"/>
    </row>
    <row r="4" ht="15.5" customHeight="1">
      <c r="A4" s="536">
        <f>封面!D7&amp;封面!F7</f>
      </c>
      <c r="U4" s="20" t="inlineStr">
        <is>
          <t>金额单位：人民币元</t>
        </is>
      </c>
    </row>
    <row r="5" ht="13" customFormat="1" customHeight="1" s="12">
      <c r="A5" s="21" t="inlineStr">
        <is>
          <t>序号</t>
        </is>
      </c>
      <c r="B5" s="23" t="inlineStr">
        <is>
          <t xml:space="preserve"> 名称</t>
        </is>
      </c>
      <c r="C5" s="21" t="inlineStr">
        <is>
          <t>结构</t>
        </is>
      </c>
      <c r="D5" s="100" t="inlineStr">
        <is>
          <t>使用单位</t>
        </is>
      </c>
      <c r="E5" s="22" t="inlineStr">
        <is>
          <t>建成
年月</t>
        </is>
      </c>
      <c r="F5" s="22" t="inlineStr">
        <is>
          <t>长度
(m)</t>
        </is>
      </c>
      <c r="G5" s="22" t="inlineStr">
        <is>
          <t>宽度
(m)</t>
        </is>
      </c>
      <c r="H5" s="22" t="inlineStr">
        <is>
          <t>计量单位</t>
        </is>
      </c>
      <c r="I5" s="22" t="inlineStr">
        <is>
          <t>面积体积m2或m3</t>
        </is>
      </c>
      <c r="J5" s="21" t="inlineStr">
        <is>
          <t>审计前账面值</t>
        </is>
      </c>
      <c r="K5" s="28" t="n"/>
      <c r="L5" s="21" t="inlineStr">
        <is>
          <t>审计调整</t>
        </is>
      </c>
      <c r="M5" s="28" t="n"/>
      <c r="N5" s="21" t="inlineStr">
        <is>
          <t>账面价值</t>
        </is>
      </c>
      <c r="O5" s="28" t="n"/>
      <c r="P5" s="21" t="inlineStr">
        <is>
          <t>评估价值</t>
        </is>
      </c>
      <c r="Q5" s="138" t="n"/>
      <c r="R5" s="28" t="n"/>
      <c r="S5" s="22" t="inlineStr">
        <is>
          <t>增值率%</t>
        </is>
      </c>
      <c r="T5" s="22" t="inlineStr">
        <is>
          <t>评估单价(元/m2)</t>
        </is>
      </c>
      <c r="U5" s="22" t="inlineStr">
        <is>
          <t>备注</t>
        </is>
      </c>
    </row>
    <row r="6" ht="13" customFormat="1" customHeight="1" s="12">
      <c r="A6" s="36" t="n"/>
      <c r="B6" s="36" t="n"/>
      <c r="C6" s="36" t="n"/>
      <c r="D6" s="36" t="n"/>
      <c r="E6" s="36" t="n"/>
      <c r="F6" s="36" t="n"/>
      <c r="G6" s="36" t="n"/>
      <c r="H6" s="36" t="n"/>
      <c r="I6" s="36" t="n"/>
      <c r="J6" s="21" t="inlineStr">
        <is>
          <t>原值</t>
        </is>
      </c>
      <c r="K6" s="21" t="inlineStr">
        <is>
          <t>净值</t>
        </is>
      </c>
      <c r="L6" s="21" t="inlineStr">
        <is>
          <t>原值</t>
        </is>
      </c>
      <c r="M6" s="21" t="inlineStr">
        <is>
          <t>净值</t>
        </is>
      </c>
      <c r="N6" s="21" t="inlineStr">
        <is>
          <t>原值</t>
        </is>
      </c>
      <c r="O6" s="21" t="inlineStr">
        <is>
          <t>净值</t>
        </is>
      </c>
      <c r="P6" s="21" t="inlineStr">
        <is>
          <t>原值</t>
        </is>
      </c>
      <c r="Q6" s="21" t="inlineStr">
        <is>
          <t>成新率%</t>
        </is>
      </c>
      <c r="R6" s="21" t="inlineStr">
        <is>
          <t>净值</t>
        </is>
      </c>
      <c r="S6" s="36" t="n"/>
      <c r="T6" s="36" t="n"/>
      <c r="U6" s="36" t="n"/>
    </row>
    <row r="7" ht="15.5" customHeight="1">
      <c r="A7" s="23" t="n"/>
      <c r="B7" s="24" t="n"/>
      <c r="C7" s="23" t="n"/>
      <c r="D7" s="24" t="n"/>
      <c r="E7" s="23" t="n"/>
      <c r="F7" s="25" t="n"/>
      <c r="G7" s="23" t="n"/>
      <c r="H7" s="23" t="n"/>
      <c r="I7" s="195" t="n"/>
      <c r="J7" s="539" t="n"/>
      <c r="K7" s="539" t="n"/>
      <c r="L7" s="539" t="n"/>
      <c r="M7" s="539" t="n"/>
      <c r="N7" s="539" t="n"/>
      <c r="O7" s="539" t="n"/>
      <c r="P7" s="539" t="n"/>
      <c r="Q7" s="23" t="n"/>
      <c r="R7" s="539">
        <f>ROUND(P7*Q7/100,0)</f>
      </c>
      <c r="S7" s="539">
        <f>IF(O7=0,"",(R7-O7)/O7*100)</f>
      </c>
      <c r="T7" s="539" t="n"/>
      <c r="U7" s="24" t="n"/>
    </row>
    <row r="8" ht="15.5" customHeight="1">
      <c r="A8" s="23" t="n"/>
      <c r="B8" s="24" t="n"/>
      <c r="C8" s="23" t="n"/>
      <c r="D8" s="24" t="n"/>
      <c r="E8" s="23" t="n"/>
      <c r="F8" s="25" t="n"/>
      <c r="G8" s="23" t="n"/>
      <c r="H8" s="23" t="n"/>
      <c r="I8" s="195" t="n"/>
      <c r="J8" s="539" t="n"/>
      <c r="K8" s="539" t="n"/>
      <c r="L8" s="539" t="n"/>
      <c r="M8" s="539" t="n"/>
      <c r="N8" s="539" t="n"/>
      <c r="O8" s="539" t="n"/>
      <c r="P8" s="539" t="n"/>
      <c r="Q8" s="23" t="n"/>
      <c r="R8" s="539">
        <f>ROUND(P8*Q8/100,0)</f>
      </c>
      <c r="S8" s="539">
        <f>IF(O8=0,"",(R8-O8)/O8*100)</f>
      </c>
      <c r="T8" s="539" t="n"/>
      <c r="U8" s="24" t="n"/>
    </row>
    <row r="9" ht="15.5" customHeight="1">
      <c r="A9" s="23" t="n"/>
      <c r="B9" s="24" t="n"/>
      <c r="C9" s="23" t="n"/>
      <c r="D9" s="24" t="n"/>
      <c r="E9" s="23" t="n"/>
      <c r="F9" s="25" t="n"/>
      <c r="G9" s="23" t="n"/>
      <c r="H9" s="23" t="n"/>
      <c r="I9" s="195" t="n"/>
      <c r="J9" s="539" t="n"/>
      <c r="K9" s="539" t="n"/>
      <c r="L9" s="539" t="n"/>
      <c r="M9" s="539" t="n"/>
      <c r="N9" s="539" t="n"/>
      <c r="O9" s="539" t="n"/>
      <c r="P9" s="539" t="n"/>
      <c r="Q9" s="23" t="n"/>
      <c r="R9" s="539">
        <f>ROUND(P9*Q9/100,0)</f>
      </c>
      <c r="S9" s="539">
        <f>IF(O9=0,"",(R9-O9)/O9*100)</f>
      </c>
      <c r="T9" s="539" t="n"/>
      <c r="U9" s="24" t="n"/>
    </row>
    <row r="10" ht="15.5" customHeight="1">
      <c r="A10" s="23" t="n"/>
      <c r="B10" s="24" t="n"/>
      <c r="C10" s="23" t="n"/>
      <c r="D10" s="24" t="n"/>
      <c r="E10" s="23" t="n"/>
      <c r="F10" s="25" t="n"/>
      <c r="G10" s="23" t="n"/>
      <c r="H10" s="23" t="n"/>
      <c r="I10" s="195" t="n"/>
      <c r="J10" s="539" t="n"/>
      <c r="K10" s="539" t="n"/>
      <c r="L10" s="539" t="n"/>
      <c r="M10" s="539" t="n"/>
      <c r="N10" s="539" t="n"/>
      <c r="O10" s="539" t="n"/>
      <c r="P10" s="539" t="n"/>
      <c r="Q10" s="23" t="n"/>
      <c r="R10" s="539">
        <f>ROUND(P10*Q10/100,0)</f>
      </c>
      <c r="S10" s="539">
        <f>IF(O10=0,"",(R10-O10)/O10*100)</f>
      </c>
      <c r="T10" s="539" t="n"/>
      <c r="U10" s="24" t="n"/>
    </row>
    <row r="11" ht="15.5" customHeight="1">
      <c r="A11" s="23" t="n"/>
      <c r="B11" s="24" t="n"/>
      <c r="C11" s="23" t="n"/>
      <c r="D11" s="24" t="n"/>
      <c r="E11" s="23" t="n"/>
      <c r="F11" s="25" t="n"/>
      <c r="G11" s="23" t="n"/>
      <c r="H11" s="23" t="n"/>
      <c r="I11" s="195" t="n"/>
      <c r="J11" s="539" t="n"/>
      <c r="K11" s="539" t="n"/>
      <c r="L11" s="539" t="n"/>
      <c r="M11" s="539" t="n"/>
      <c r="N11" s="539" t="n"/>
      <c r="O11" s="539" t="n"/>
      <c r="P11" s="539" t="n"/>
      <c r="Q11" s="23" t="n"/>
      <c r="R11" s="539">
        <f>ROUND(P11*Q11/100,0)</f>
      </c>
      <c r="S11" s="539">
        <f>IF(O11=0,"",(R11-O11)/O11*100)</f>
      </c>
      <c r="T11" s="539" t="n"/>
      <c r="U11" s="24" t="n"/>
    </row>
    <row r="12" ht="15.5" customHeight="1">
      <c r="A12" s="23" t="n"/>
      <c r="B12" s="24" t="n"/>
      <c r="C12" s="23" t="n"/>
      <c r="D12" s="24" t="n"/>
      <c r="E12" s="23" t="n"/>
      <c r="F12" s="25" t="n"/>
      <c r="G12" s="23" t="n"/>
      <c r="H12" s="23" t="n"/>
      <c r="I12" s="195" t="n"/>
      <c r="J12" s="539" t="n"/>
      <c r="K12" s="539" t="n"/>
      <c r="L12" s="539" t="n"/>
      <c r="M12" s="539" t="n"/>
      <c r="N12" s="539" t="n"/>
      <c r="O12" s="539" t="n"/>
      <c r="P12" s="539" t="n"/>
      <c r="Q12" s="23" t="n"/>
      <c r="R12" s="539">
        <f>ROUND(P12*Q12/100,0)</f>
      </c>
      <c r="S12" s="539">
        <f>IF(O12=0,"",(R12-O12)/O12*100)</f>
      </c>
      <c r="T12" s="539" t="n"/>
      <c r="U12" s="24" t="n"/>
    </row>
    <row r="13" ht="15.5" customHeight="1">
      <c r="A13" s="23" t="n"/>
      <c r="B13" s="24" t="n"/>
      <c r="C13" s="23" t="n"/>
      <c r="D13" s="24" t="n"/>
      <c r="E13" s="23" t="n"/>
      <c r="F13" s="25" t="n"/>
      <c r="G13" s="23" t="n"/>
      <c r="H13" s="23" t="n"/>
      <c r="I13" s="195" t="n"/>
      <c r="J13" s="539" t="n"/>
      <c r="K13" s="539" t="n"/>
      <c r="L13" s="539" t="n"/>
      <c r="M13" s="539" t="n"/>
      <c r="N13" s="539" t="n"/>
      <c r="O13" s="539" t="n"/>
      <c r="P13" s="539" t="n"/>
      <c r="Q13" s="23" t="n"/>
      <c r="R13" s="539">
        <f>ROUND(P13*Q13/100,0)</f>
      </c>
      <c r="S13" s="539">
        <f>IF(O13=0,"",(R13-O13)/O13*100)</f>
      </c>
      <c r="T13" s="539" t="n"/>
      <c r="U13" s="24" t="n"/>
    </row>
    <row r="14" ht="15.5" customHeight="1">
      <c r="A14" s="23" t="n"/>
      <c r="B14" s="24" t="n"/>
      <c r="C14" s="23" t="n"/>
      <c r="D14" s="24" t="n"/>
      <c r="E14" s="23" t="n"/>
      <c r="F14" s="25" t="n"/>
      <c r="G14" s="23" t="n"/>
      <c r="H14" s="23" t="n"/>
      <c r="I14" s="195" t="n"/>
      <c r="J14" s="539" t="n"/>
      <c r="K14" s="539" t="n"/>
      <c r="L14" s="539" t="n"/>
      <c r="M14" s="539" t="n"/>
      <c r="N14" s="539" t="n"/>
      <c r="O14" s="539" t="n"/>
      <c r="P14" s="539" t="n"/>
      <c r="Q14" s="23" t="n"/>
      <c r="R14" s="539">
        <f>ROUND(P14*Q14/100,0)</f>
      </c>
      <c r="S14" s="539">
        <f>IF(O14=0,"",(R14-O14)/O14*100)</f>
      </c>
      <c r="T14" s="539" t="n"/>
      <c r="U14" s="24" t="n"/>
    </row>
    <row r="15" ht="15.5" customHeight="1">
      <c r="A15" s="23" t="n"/>
      <c r="B15" s="24" t="n"/>
      <c r="C15" s="23" t="n"/>
      <c r="D15" s="24" t="n"/>
      <c r="E15" s="23" t="n"/>
      <c r="F15" s="25" t="n"/>
      <c r="G15" s="23" t="n"/>
      <c r="H15" s="23" t="n"/>
      <c r="I15" s="195" t="n"/>
      <c r="J15" s="539" t="n"/>
      <c r="K15" s="539" t="n"/>
      <c r="L15" s="539" t="n"/>
      <c r="M15" s="539" t="n"/>
      <c r="N15" s="539" t="n"/>
      <c r="O15" s="539" t="n"/>
      <c r="P15" s="539" t="n"/>
      <c r="Q15" s="23" t="n"/>
      <c r="R15" s="539">
        <f>ROUND(P15*Q15/100,0)</f>
      </c>
      <c r="S15" s="539">
        <f>IF(O15=0,"",(R15-O15)/O15*100)</f>
      </c>
      <c r="T15" s="539" t="n"/>
      <c r="U15" s="24" t="n"/>
    </row>
    <row r="16" ht="15.5" customHeight="1">
      <c r="A16" s="23" t="n"/>
      <c r="B16" s="24" t="n"/>
      <c r="C16" s="23" t="n"/>
      <c r="D16" s="24" t="n"/>
      <c r="E16" s="25" t="n"/>
      <c r="F16" s="25" t="n"/>
      <c r="G16" s="23" t="n"/>
      <c r="H16" s="23" t="n"/>
      <c r="I16" s="195" t="n"/>
      <c r="J16" s="539" t="n"/>
      <c r="K16" s="539" t="n"/>
      <c r="L16" s="539" t="n"/>
      <c r="M16" s="539" t="n"/>
      <c r="N16" s="539" t="n"/>
      <c r="O16" s="539" t="n"/>
      <c r="P16" s="539" t="n"/>
      <c r="Q16" s="23" t="n"/>
      <c r="R16" s="539">
        <f>ROUND(P16*Q16/100,0)</f>
      </c>
      <c r="S16" s="539">
        <f>IF(O16=0,"",(R16-O16)/O16*100)</f>
      </c>
      <c r="T16" s="539" t="n"/>
      <c r="U16" s="24" t="n"/>
    </row>
    <row r="17" ht="15.5" customHeight="1">
      <c r="A17" s="23" t="n"/>
      <c r="B17" s="24" t="n"/>
      <c r="C17" s="23" t="n"/>
      <c r="D17" s="24" t="n"/>
      <c r="E17" s="25" t="n"/>
      <c r="F17" s="25" t="n"/>
      <c r="G17" s="23" t="n"/>
      <c r="H17" s="23" t="n"/>
      <c r="I17" s="195" t="n"/>
      <c r="J17" s="539" t="n"/>
      <c r="K17" s="539" t="n"/>
      <c r="L17" s="539" t="n"/>
      <c r="M17" s="539" t="n"/>
      <c r="N17" s="539" t="n"/>
      <c r="O17" s="539" t="n"/>
      <c r="P17" s="539" t="n"/>
      <c r="Q17" s="23" t="n"/>
      <c r="R17" s="539">
        <f>ROUND(P17*Q17/100,0)</f>
      </c>
      <c r="S17" s="539">
        <f>IF(O17=0,"",(R17-O17)/O17*100)</f>
      </c>
      <c r="T17" s="539" t="n"/>
      <c r="U17" s="24" t="n"/>
    </row>
    <row r="18" ht="15.5" customHeight="1">
      <c r="A18" s="23" t="n"/>
      <c r="B18" s="24" t="n"/>
      <c r="C18" s="23" t="n"/>
      <c r="D18" s="24" t="n"/>
      <c r="E18" s="25" t="n"/>
      <c r="F18" s="25" t="n"/>
      <c r="G18" s="23" t="n"/>
      <c r="H18" s="23" t="n"/>
      <c r="I18" s="195" t="n"/>
      <c r="J18" s="539" t="n"/>
      <c r="K18" s="539" t="n"/>
      <c r="L18" s="539" t="n"/>
      <c r="M18" s="539" t="n"/>
      <c r="N18" s="539" t="n"/>
      <c r="O18" s="539" t="n"/>
      <c r="P18" s="539" t="n"/>
      <c r="Q18" s="23" t="n"/>
      <c r="R18" s="539">
        <f>ROUND(P18*Q18/100,0)</f>
      </c>
      <c r="S18" s="539">
        <f>IF(O18=0,"",(R18-O18)/O18*100)</f>
      </c>
      <c r="T18" s="539" t="n"/>
      <c r="U18" s="24" t="n"/>
    </row>
    <row r="19" ht="15.5" customHeight="1">
      <c r="A19" s="23" t="n"/>
      <c r="B19" s="24" t="n"/>
      <c r="C19" s="23" t="n"/>
      <c r="D19" s="24" t="n"/>
      <c r="E19" s="25" t="n"/>
      <c r="F19" s="25" t="n"/>
      <c r="G19" s="23" t="n"/>
      <c r="H19" s="23" t="n"/>
      <c r="I19" s="38" t="n"/>
      <c r="J19" s="539" t="n"/>
      <c r="K19" s="539" t="n"/>
      <c r="L19" s="539" t="n"/>
      <c r="M19" s="539" t="n"/>
      <c r="N19" s="539" t="n"/>
      <c r="O19" s="539" t="n"/>
      <c r="P19" s="539" t="n"/>
      <c r="Q19" s="23" t="n"/>
      <c r="R19" s="539">
        <f>ROUND(P19*Q19/100,0)</f>
      </c>
      <c r="S19" s="539">
        <f>IF(O19=0,"",(R19-O19)/O19*100)</f>
      </c>
      <c r="T19" s="539" t="n"/>
      <c r="U19" s="24" t="n"/>
    </row>
    <row r="20" ht="15.5" customHeight="1">
      <c r="A20" s="23" t="n"/>
      <c r="B20" s="24" t="n"/>
      <c r="C20" s="23" t="n"/>
      <c r="D20" s="24" t="n"/>
      <c r="E20" s="25" t="n"/>
      <c r="F20" s="25" t="n"/>
      <c r="G20" s="23" t="n"/>
      <c r="H20" s="23" t="n"/>
      <c r="I20" s="38" t="n"/>
      <c r="J20" s="539" t="n"/>
      <c r="K20" s="539" t="n"/>
      <c r="L20" s="539" t="n"/>
      <c r="M20" s="539" t="n"/>
      <c r="N20" s="539" t="n"/>
      <c r="O20" s="539" t="n"/>
      <c r="P20" s="539" t="n"/>
      <c r="Q20" s="23" t="n"/>
      <c r="R20" s="539">
        <f>ROUND(P20*Q20/100,0)</f>
      </c>
      <c r="S20" s="539">
        <f>IF(O20=0,"",(R20-O20)/O20*100)</f>
      </c>
      <c r="T20" s="539" t="n"/>
      <c r="U20" s="24" t="n"/>
    </row>
    <row r="21" ht="15.5" customHeight="1">
      <c r="A21" s="23" t="n"/>
      <c r="B21" s="24" t="n"/>
      <c r="C21" s="23" t="n"/>
      <c r="D21" s="24" t="n"/>
      <c r="E21" s="25" t="n"/>
      <c r="F21" s="25" t="n"/>
      <c r="G21" s="23" t="n"/>
      <c r="H21" s="23" t="n"/>
      <c r="I21" s="38" t="n"/>
      <c r="J21" s="539" t="n"/>
      <c r="K21" s="539" t="n"/>
      <c r="L21" s="539" t="n"/>
      <c r="M21" s="539" t="n"/>
      <c r="N21" s="539" t="n"/>
      <c r="O21" s="539" t="n"/>
      <c r="P21" s="539" t="n"/>
      <c r="Q21" s="23" t="n"/>
      <c r="R21" s="539">
        <f>ROUND(P21*Q21/100,0)</f>
      </c>
      <c r="S21" s="539">
        <f>IF(O21=0,"",(R21-O21)/O21*100)</f>
      </c>
      <c r="T21" s="539" t="n"/>
      <c r="U21" s="24" t="n"/>
    </row>
    <row r="22" ht="15.5" customHeight="1">
      <c r="A22" s="23" t="n"/>
      <c r="B22" s="24" t="n"/>
      <c r="C22" s="23" t="n"/>
      <c r="D22" s="24" t="n"/>
      <c r="E22" s="25" t="n"/>
      <c r="F22" s="25" t="n"/>
      <c r="G22" s="23" t="n"/>
      <c r="H22" s="23" t="n"/>
      <c r="I22" s="38" t="n"/>
      <c r="J22" s="539" t="n"/>
      <c r="K22" s="539" t="n"/>
      <c r="L22" s="539" t="n"/>
      <c r="M22" s="539" t="n"/>
      <c r="N22" s="539" t="n"/>
      <c r="O22" s="539" t="n"/>
      <c r="P22" s="539" t="n"/>
      <c r="Q22" s="23" t="n"/>
      <c r="R22" s="539">
        <f>ROUND(P22*Q22/100,0)</f>
      </c>
      <c r="S22" s="539">
        <f>IF(O22=0,"",(R22-O22)/O22*100)</f>
      </c>
      <c r="T22" s="539" t="n"/>
      <c r="U22" s="24" t="n"/>
    </row>
    <row r="23" ht="15.5" customHeight="1">
      <c r="A23" s="23" t="n"/>
      <c r="B23" s="24" t="n"/>
      <c r="C23" s="23" t="n"/>
      <c r="D23" s="24" t="n"/>
      <c r="E23" s="25" t="n"/>
      <c r="F23" s="25" t="n"/>
      <c r="G23" s="23" t="n"/>
      <c r="H23" s="23" t="n"/>
      <c r="I23" s="38" t="n"/>
      <c r="J23" s="539" t="n"/>
      <c r="K23" s="539" t="n"/>
      <c r="L23" s="539" t="n"/>
      <c r="M23" s="539" t="n"/>
      <c r="N23" s="539" t="n"/>
      <c r="O23" s="539" t="n"/>
      <c r="P23" s="539" t="n"/>
      <c r="Q23" s="23" t="n"/>
      <c r="R23" s="539">
        <f>ROUND(P23*Q23/100,0)</f>
      </c>
      <c r="S23" s="539">
        <f>IF(O23=0,"",(R23-O23)/O23*100)</f>
      </c>
      <c r="T23" s="539" t="n"/>
      <c r="U23" s="24" t="n"/>
    </row>
    <row r="24" ht="15.5" customHeight="1">
      <c r="A24" s="23" t="n"/>
      <c r="B24" s="24" t="n"/>
      <c r="C24" s="23" t="n"/>
      <c r="D24" s="24" t="n"/>
      <c r="E24" s="25" t="n"/>
      <c r="F24" s="25" t="n"/>
      <c r="G24" s="23" t="n"/>
      <c r="H24" s="23" t="n"/>
      <c r="I24" s="38" t="n"/>
      <c r="J24" s="539" t="n"/>
      <c r="K24" s="539" t="n"/>
      <c r="L24" s="539" t="n"/>
      <c r="M24" s="539" t="n"/>
      <c r="N24" s="539" t="n"/>
      <c r="O24" s="539" t="n"/>
      <c r="P24" s="539" t="n"/>
      <c r="Q24" s="23" t="n"/>
      <c r="R24" s="539">
        <f>ROUND(P24*Q24/100,0)</f>
      </c>
      <c r="S24" s="539">
        <f>IF(O24=0,"",(R24-O24)/O24*100)</f>
      </c>
      <c r="T24" s="539" t="n"/>
      <c r="U24" s="24" t="n"/>
    </row>
    <row r="25" ht="15.5" customHeight="1">
      <c r="A25" s="23" t="n"/>
      <c r="B25" s="24" t="n"/>
      <c r="C25" s="23" t="n"/>
      <c r="D25" s="24" t="n"/>
      <c r="E25" s="25" t="n"/>
      <c r="F25" s="25" t="n"/>
      <c r="G25" s="23" t="n"/>
      <c r="H25" s="23" t="n"/>
      <c r="I25" s="38" t="n"/>
      <c r="J25" s="539" t="n"/>
      <c r="K25" s="539" t="n"/>
      <c r="L25" s="539" t="n"/>
      <c r="M25" s="539" t="n"/>
      <c r="N25" s="539" t="n"/>
      <c r="O25" s="539" t="n"/>
      <c r="P25" s="539" t="n"/>
      <c r="Q25" s="23" t="n"/>
      <c r="R25" s="539">
        <f>ROUND(P25*Q25/100,0)</f>
      </c>
      <c r="S25" s="539">
        <f>IF(O25=0,"",(R25-O25)/O25*100)</f>
      </c>
      <c r="T25" s="539" t="n"/>
      <c r="U25" s="24" t="n"/>
    </row>
    <row r="26" ht="15.5" customHeight="1">
      <c r="A26" s="23" t="n"/>
      <c r="B26" s="24" t="n"/>
      <c r="C26" s="23" t="n"/>
      <c r="D26" s="24" t="n"/>
      <c r="E26" s="25" t="n"/>
      <c r="F26" s="25" t="n"/>
      <c r="G26" s="23" t="n"/>
      <c r="H26" s="23" t="n"/>
      <c r="I26" s="38" t="n"/>
      <c r="J26" s="539" t="n"/>
      <c r="K26" s="539" t="n"/>
      <c r="L26" s="539" t="n"/>
      <c r="M26" s="539" t="n"/>
      <c r="N26" s="539" t="n"/>
      <c r="O26" s="539" t="n"/>
      <c r="P26" s="539" t="n"/>
      <c r="Q26" s="23" t="n"/>
      <c r="R26" s="539">
        <f>ROUND(P26*Q26/100,0)</f>
      </c>
      <c r="S26" s="539">
        <f>IF(O26=0,"",(R26-O26)/O26*100)</f>
      </c>
      <c r="T26" s="539" t="n"/>
      <c r="U26" s="24" t="n"/>
    </row>
    <row r="27" ht="15.5" customHeight="1">
      <c r="A27" s="23" t="n"/>
      <c r="B27" s="24" t="n"/>
      <c r="C27" s="23" t="n"/>
      <c r="D27" s="24" t="n"/>
      <c r="E27" s="25" t="n"/>
      <c r="F27" s="25" t="n"/>
      <c r="G27" s="23" t="n"/>
      <c r="H27" s="23" t="n"/>
      <c r="I27" s="38" t="n"/>
      <c r="J27" s="539" t="n"/>
      <c r="K27" s="539" t="n"/>
      <c r="L27" s="539" t="n"/>
      <c r="M27" s="539" t="n"/>
      <c r="N27" s="539" t="n"/>
      <c r="O27" s="539" t="n"/>
      <c r="P27" s="539" t="n"/>
      <c r="Q27" s="23" t="n"/>
      <c r="R27" s="539">
        <f>ROUND(P27*Q27/100,0)</f>
      </c>
      <c r="S27" s="539">
        <f>IF(O27=0,"",(R27-O27)/O27*100)</f>
      </c>
      <c r="T27" s="539" t="n"/>
      <c r="U27" s="24" t="n"/>
    </row>
    <row r="28" ht="15.5" customHeight="1">
      <c r="A28" s="23" t="n"/>
      <c r="B28" s="24" t="n"/>
      <c r="C28" s="23" t="n"/>
      <c r="D28" s="24" t="n"/>
      <c r="E28" s="25" t="n"/>
      <c r="F28" s="25" t="n"/>
      <c r="G28" s="23" t="n"/>
      <c r="H28" s="23" t="n"/>
      <c r="I28" s="38" t="n"/>
      <c r="J28" s="539" t="n"/>
      <c r="K28" s="539" t="n"/>
      <c r="L28" s="539" t="n"/>
      <c r="M28" s="539" t="n"/>
      <c r="N28" s="539" t="n"/>
      <c r="O28" s="539" t="n"/>
      <c r="P28" s="539" t="n"/>
      <c r="Q28" s="23" t="n"/>
      <c r="R28" s="539">
        <f>ROUND(P28*Q28/100,0)</f>
      </c>
      <c r="S28" s="539">
        <f>IF(O28=0,"",(R28-O28)/O28*100)</f>
      </c>
      <c r="T28" s="539" t="n"/>
      <c r="U28" s="24" t="n"/>
    </row>
    <row r="29" ht="15.5" customHeight="1">
      <c r="A29" s="23" t="n"/>
      <c r="B29" s="24" t="n"/>
      <c r="C29" s="23" t="n"/>
      <c r="D29" s="24" t="n"/>
      <c r="E29" s="25" t="n"/>
      <c r="F29" s="25" t="n"/>
      <c r="G29" s="23" t="n"/>
      <c r="H29" s="23" t="n"/>
      <c r="I29" s="38" t="n"/>
      <c r="J29" s="539" t="n"/>
      <c r="K29" s="539" t="n"/>
      <c r="L29" s="539" t="n"/>
      <c r="M29" s="539" t="n"/>
      <c r="N29" s="539" t="n"/>
      <c r="O29" s="539" t="n"/>
      <c r="P29" s="539" t="n"/>
      <c r="Q29" s="23" t="n"/>
      <c r="R29" s="539">
        <f>ROUND(P29*Q29/100,0)</f>
      </c>
      <c r="S29" s="539">
        <f>IF(O29=0,"",(R29-O29)/O29*100)</f>
      </c>
      <c r="T29" s="539" t="n"/>
      <c r="U29" s="24" t="n"/>
    </row>
    <row r="30" ht="15.5" customHeight="1">
      <c r="A30" s="23" t="n"/>
      <c r="B30" s="24" t="n"/>
      <c r="C30" s="23" t="n"/>
      <c r="D30" s="24" t="n"/>
      <c r="E30" s="25" t="n"/>
      <c r="F30" s="25" t="n"/>
      <c r="G30" s="23" t="n"/>
      <c r="H30" s="23" t="n"/>
      <c r="I30" s="38" t="n"/>
      <c r="J30" s="539" t="n"/>
      <c r="K30" s="539" t="n"/>
      <c r="L30" s="539" t="n"/>
      <c r="M30" s="539" t="n"/>
      <c r="N30" s="539" t="n"/>
      <c r="O30" s="539" t="n"/>
      <c r="P30" s="539" t="n"/>
      <c r="Q30" s="23" t="n"/>
      <c r="R30" s="539">
        <f>ROUND(P30*Q30/100,0)</f>
      </c>
      <c r="S30" s="539">
        <f>IF(O30=0,"",(R30-O30)/O30*100)</f>
      </c>
      <c r="T30" s="539" t="n"/>
      <c r="U30" s="24" t="n"/>
    </row>
    <row r="31" ht="15.5" customHeight="1">
      <c r="A31" s="23" t="n"/>
      <c r="B31" s="24" t="n"/>
      <c r="C31" s="23" t="n"/>
      <c r="D31" s="24" t="n"/>
      <c r="E31" s="25" t="n"/>
      <c r="F31" s="25" t="n"/>
      <c r="G31" s="23" t="n"/>
      <c r="H31" s="23" t="n"/>
      <c r="I31" s="38" t="n"/>
      <c r="J31" s="539" t="n"/>
      <c r="K31" s="539" t="n"/>
      <c r="L31" s="539" t="n"/>
      <c r="M31" s="539" t="n"/>
      <c r="N31" s="539" t="n"/>
      <c r="O31" s="539" t="n"/>
      <c r="P31" s="539" t="n"/>
      <c r="Q31" s="23" t="n"/>
      <c r="R31" s="539">
        <f>ROUND(P31*Q31/100,0)</f>
      </c>
      <c r="S31" s="539">
        <f>IF(O31=0,"",(R31-O31)/O31*100)</f>
      </c>
      <c r="T31" s="539" t="n"/>
      <c r="U31" s="24" t="n"/>
    </row>
    <row r="32" ht="15.5" customHeight="1">
      <c r="A32" s="23" t="n"/>
      <c r="B32" s="24" t="n"/>
      <c r="C32" s="23" t="n"/>
      <c r="D32" s="24" t="n"/>
      <c r="E32" s="25" t="n"/>
      <c r="F32" s="25" t="n"/>
      <c r="G32" s="23" t="n"/>
      <c r="H32" s="23" t="n"/>
      <c r="I32" s="38" t="n"/>
      <c r="J32" s="539" t="n"/>
      <c r="K32" s="539" t="n"/>
      <c r="L32" s="539" t="n"/>
      <c r="M32" s="539" t="n"/>
      <c r="N32" s="539" t="n"/>
      <c r="O32" s="539" t="n"/>
      <c r="P32" s="539" t="n"/>
      <c r="Q32" s="23" t="n"/>
      <c r="R32" s="539">
        <f>ROUND(P32*Q32/100,0)</f>
      </c>
      <c r="S32" s="539">
        <f>IF(O32=0,"",(R32-O32)/O32*100)</f>
      </c>
      <c r="T32" s="539" t="n"/>
      <c r="U32" s="24" t="n"/>
    </row>
    <row r="33" ht="15.5" customHeight="1">
      <c r="A33" s="23" t="n"/>
      <c r="B33" s="24" t="n"/>
      <c r="C33" s="23" t="n"/>
      <c r="D33" s="24" t="n"/>
      <c r="E33" s="25" t="n"/>
      <c r="F33" s="25" t="n"/>
      <c r="G33" s="23" t="n"/>
      <c r="H33" s="23" t="n"/>
      <c r="I33" s="38" t="n"/>
      <c r="J33" s="539" t="n"/>
      <c r="K33" s="539" t="n"/>
      <c r="L33" s="539" t="n"/>
      <c r="M33" s="539" t="n"/>
      <c r="N33" s="539" t="n"/>
      <c r="O33" s="539" t="n"/>
      <c r="P33" s="539" t="n"/>
      <c r="Q33" s="23" t="n"/>
      <c r="R33" s="539">
        <f>ROUND(P33*Q33/100,0)</f>
      </c>
      <c r="S33" s="539">
        <f>IF(O33=0,"",(R33-O33)/O33*100)</f>
      </c>
      <c r="T33" s="539" t="n"/>
      <c r="U33" s="24" t="n"/>
    </row>
    <row r="34" ht="15.5" customHeight="1">
      <c r="A34" s="23" t="n"/>
      <c r="B34" s="24" t="n"/>
      <c r="C34" s="23" t="n"/>
      <c r="D34" s="24" t="n"/>
      <c r="E34" s="25" t="n"/>
      <c r="F34" s="25" t="n"/>
      <c r="G34" s="23" t="n"/>
      <c r="H34" s="23" t="n"/>
      <c r="I34" s="38" t="n"/>
      <c r="J34" s="539" t="n"/>
      <c r="K34" s="539" t="n"/>
      <c r="L34" s="539" t="n"/>
      <c r="M34" s="539" t="n"/>
      <c r="N34" s="539" t="n"/>
      <c r="O34" s="539" t="n"/>
      <c r="P34" s="539" t="n"/>
      <c r="Q34" s="23" t="n"/>
      <c r="R34" s="539">
        <f>ROUND(P34*Q34/100,0)</f>
      </c>
      <c r="S34" s="539">
        <f>IF(O34=0,"",(R34-O34)/O34*100)</f>
      </c>
      <c r="T34" s="539" t="n"/>
      <c r="U34" s="24" t="n"/>
    </row>
    <row r="35" ht="15.5" customHeight="1">
      <c r="A35" s="23" t="n"/>
      <c r="B35" s="24" t="n"/>
      <c r="C35" s="23" t="n"/>
      <c r="D35" s="24" t="n"/>
      <c r="E35" s="23" t="n"/>
      <c r="F35" s="25" t="n"/>
      <c r="G35" s="23" t="n"/>
      <c r="H35" s="23" t="n"/>
      <c r="I35" s="38" t="n"/>
      <c r="J35" s="539" t="n"/>
      <c r="K35" s="539" t="n"/>
      <c r="L35" s="539" t="n"/>
      <c r="M35" s="539" t="n"/>
      <c r="N35" s="539" t="n"/>
      <c r="O35" s="539" t="n"/>
      <c r="P35" s="539" t="n"/>
      <c r="Q35" s="23" t="n"/>
      <c r="R35" s="539">
        <f>ROUND(P35*Q35/100,0)</f>
      </c>
      <c r="S35" s="539">
        <f>IF(O35=0,"",(R35-O35)/O35*100)</f>
      </c>
      <c r="T35" s="539" t="n"/>
      <c r="U35" s="24" t="n"/>
    </row>
    <row r="36" ht="15.5" customHeight="1">
      <c r="A36" s="23" t="n"/>
      <c r="B36" s="24" t="n"/>
      <c r="C36" s="23" t="n"/>
      <c r="D36" s="24" t="n"/>
      <c r="E36" s="23" t="n"/>
      <c r="F36" s="25" t="n"/>
      <c r="G36" s="23" t="n"/>
      <c r="H36" s="23" t="n"/>
      <c r="I36" s="38" t="n"/>
      <c r="J36" s="539" t="n"/>
      <c r="K36" s="539" t="n"/>
      <c r="L36" s="539" t="n"/>
      <c r="M36" s="539" t="n"/>
      <c r="N36" s="539" t="n"/>
      <c r="O36" s="539" t="n"/>
      <c r="P36" s="539" t="n"/>
      <c r="Q36" s="23" t="n"/>
      <c r="R36" s="539">
        <f>ROUND(P36*Q36/100,0)</f>
      </c>
      <c r="S36" s="539">
        <f>IF(O36=0,"",(R36-O36)/O36*100)</f>
      </c>
      <c r="T36" s="539" t="n"/>
      <c r="U36" s="24" t="n"/>
    </row>
    <row r="37" ht="15.5" customHeight="1">
      <c r="A37" s="23" t="n"/>
      <c r="B37" s="24" t="n"/>
      <c r="C37" s="23" t="n"/>
      <c r="D37" s="24" t="n"/>
      <c r="E37" s="23" t="n"/>
      <c r="F37" s="25" t="n"/>
      <c r="G37" s="23" t="n"/>
      <c r="H37" s="23" t="n"/>
      <c r="I37" s="38" t="n"/>
      <c r="J37" s="539" t="n"/>
      <c r="K37" s="539" t="n"/>
      <c r="L37" s="539" t="n"/>
      <c r="M37" s="539" t="n"/>
      <c r="N37" s="539" t="n"/>
      <c r="O37" s="539" t="n"/>
      <c r="P37" s="539" t="n"/>
      <c r="Q37" s="23" t="n"/>
      <c r="R37" s="539">
        <f>ROUND(P37*Q37/100,0)</f>
      </c>
      <c r="S37" s="539">
        <f>IF(O37=0,"",(R37-O37)/O37*100)</f>
      </c>
      <c r="T37" s="539" t="n"/>
      <c r="U37" s="24" t="n"/>
    </row>
    <row r="38" ht="15.5" customHeight="1">
      <c r="A38" s="23" t="n"/>
      <c r="B38" s="24" t="n"/>
      <c r="C38" s="23" t="n"/>
      <c r="D38" s="24" t="n"/>
      <c r="E38" s="23" t="n"/>
      <c r="F38" s="25" t="n"/>
      <c r="G38" s="23" t="n"/>
      <c r="H38" s="23" t="n"/>
      <c r="I38" s="38" t="n"/>
      <c r="J38" s="539" t="n"/>
      <c r="K38" s="539" t="n"/>
      <c r="L38" s="539" t="n"/>
      <c r="M38" s="539" t="n"/>
      <c r="N38" s="539" t="n"/>
      <c r="O38" s="539" t="n"/>
      <c r="P38" s="539" t="n"/>
      <c r="Q38" s="23" t="n"/>
      <c r="R38" s="539">
        <f>ROUND(P38*Q38/100,0)</f>
      </c>
      <c r="S38" s="539">
        <f>IF(O38=0,"",(R38-O38)/O38*100)</f>
      </c>
      <c r="T38" s="539" t="n"/>
      <c r="U38" s="24" t="n"/>
    </row>
    <row r="39" ht="15.5" customHeight="1">
      <c r="A39" s="23" t="n"/>
      <c r="B39" s="24" t="n"/>
      <c r="C39" s="23" t="n"/>
      <c r="D39" s="103" t="n"/>
      <c r="E39" s="25" t="n"/>
      <c r="F39" s="25" t="n"/>
      <c r="G39" s="23" t="n"/>
      <c r="H39" s="23" t="n"/>
      <c r="I39" s="38" t="n"/>
      <c r="J39" s="539" t="n"/>
      <c r="K39" s="539" t="n"/>
      <c r="L39" s="539" t="n"/>
      <c r="M39" s="539" t="n"/>
      <c r="N39" s="539" t="n"/>
      <c r="O39" s="539" t="n"/>
      <c r="P39" s="539" t="n"/>
      <c r="Q39" s="23" t="n"/>
      <c r="R39" s="539" t="n"/>
      <c r="S39" s="539" t="n"/>
      <c r="T39" s="539" t="n"/>
      <c r="U39" s="24" t="n"/>
    </row>
    <row r="40" ht="15.5" customHeight="1">
      <c r="A40" s="23" t="n"/>
      <c r="B40" s="24" t="n"/>
      <c r="C40" s="23" t="n"/>
      <c r="D40" s="103" t="n"/>
      <c r="E40" s="25" t="n"/>
      <c r="F40" s="25" t="n"/>
      <c r="G40" s="23" t="n"/>
      <c r="H40" s="23" t="n"/>
      <c r="I40" s="38" t="n"/>
      <c r="J40" s="539" t="n"/>
      <c r="K40" s="539" t="n"/>
      <c r="L40" s="539" t="n"/>
      <c r="M40" s="539" t="n"/>
      <c r="N40" s="539" t="n"/>
      <c r="O40" s="539" t="n"/>
      <c r="P40" s="539" t="n"/>
      <c r="Q40" s="23" t="n"/>
      <c r="R40" s="539" t="n"/>
      <c r="S40" s="539" t="n"/>
      <c r="T40" s="539" t="n"/>
      <c r="U40" s="24" t="n"/>
    </row>
    <row r="41" ht="15.5" customHeight="1">
      <c r="A41" s="23" t="n"/>
      <c r="B41" s="24" t="n"/>
      <c r="C41" s="23" t="n"/>
      <c r="D41" s="103" t="n"/>
      <c r="E41" s="25" t="n"/>
      <c r="F41" s="25" t="n"/>
      <c r="G41" s="23" t="n"/>
      <c r="H41" s="23" t="n"/>
      <c r="I41" s="38" t="n"/>
      <c r="J41" s="539" t="n"/>
      <c r="K41" s="539" t="n"/>
      <c r="L41" s="539" t="n"/>
      <c r="M41" s="539" t="n"/>
      <c r="N41" s="539" t="n"/>
      <c r="O41" s="539" t="n"/>
      <c r="P41" s="539" t="n"/>
      <c r="Q41" s="23" t="n"/>
      <c r="R41" s="539" t="n"/>
      <c r="S41" s="539" t="n"/>
      <c r="T41" s="539" t="n"/>
      <c r="U41" s="24" t="n"/>
    </row>
    <row r="42" ht="15.5" customHeight="1">
      <c r="A42" s="23" t="n"/>
      <c r="B42" s="24" t="n"/>
      <c r="C42" s="23" t="n"/>
      <c r="D42" s="103" t="n"/>
      <c r="E42" s="25" t="n"/>
      <c r="F42" s="25" t="n"/>
      <c r="G42" s="23" t="n"/>
      <c r="H42" s="23" t="n"/>
      <c r="I42" s="38" t="n"/>
      <c r="J42" s="539" t="n"/>
      <c r="K42" s="539" t="n"/>
      <c r="L42" s="539" t="n"/>
      <c r="M42" s="539" t="n"/>
      <c r="N42" s="539" t="n"/>
      <c r="O42" s="539" t="n"/>
      <c r="P42" s="539" t="n"/>
      <c r="Q42" s="23" t="n"/>
      <c r="R42" s="539" t="n"/>
      <c r="S42" s="539" t="n"/>
      <c r="T42" s="539" t="n"/>
      <c r="U42" s="24" t="n"/>
    </row>
    <row r="43" ht="15.5" customHeight="1">
      <c r="A43" s="23" t="n"/>
      <c r="B43" s="24" t="n"/>
      <c r="C43" s="23" t="n"/>
      <c r="D43" s="103" t="n"/>
      <c r="E43" s="25" t="n"/>
      <c r="F43" s="25" t="n"/>
      <c r="G43" s="23" t="n"/>
      <c r="H43" s="23" t="n"/>
      <c r="I43" s="38" t="n"/>
      <c r="J43" s="539" t="n"/>
      <c r="K43" s="539" t="n"/>
      <c r="L43" s="539" t="n"/>
      <c r="M43" s="539" t="n"/>
      <c r="N43" s="539" t="n"/>
      <c r="O43" s="539" t="n"/>
      <c r="P43" s="539" t="n"/>
      <c r="Q43" s="23" t="n"/>
      <c r="R43" s="539" t="n"/>
      <c r="S43" s="539" t="n"/>
      <c r="T43" s="539" t="n"/>
      <c r="U43" s="24" t="n"/>
    </row>
    <row r="44" ht="15.5" customHeight="1">
      <c r="A44" s="23" t="n"/>
      <c r="B44" s="24" t="n"/>
      <c r="C44" s="23" t="n"/>
      <c r="D44" s="103" t="n"/>
      <c r="E44" s="25" t="n"/>
      <c r="F44" s="25" t="n"/>
      <c r="G44" s="23" t="n"/>
      <c r="H44" s="23" t="n"/>
      <c r="I44" s="38" t="n"/>
      <c r="J44" s="539" t="n"/>
      <c r="K44" s="539" t="n"/>
      <c r="L44" s="539" t="n"/>
      <c r="M44" s="539" t="n"/>
      <c r="N44" s="539" t="n"/>
      <c r="O44" s="539" t="n"/>
      <c r="P44" s="539" t="n"/>
      <c r="Q44" s="23" t="n"/>
      <c r="R44" s="539" t="n"/>
      <c r="S44" s="539" t="n"/>
      <c r="T44" s="539" t="n"/>
      <c r="U44" s="24" t="n"/>
    </row>
    <row r="45" ht="15.5" customHeight="1">
      <c r="A45" s="23" t="n"/>
      <c r="B45" s="24" t="n"/>
      <c r="C45" s="23" t="n"/>
      <c r="D45" s="103" t="n"/>
      <c r="E45" s="25" t="n"/>
      <c r="F45" s="25" t="n"/>
      <c r="G45" s="23" t="n"/>
      <c r="H45" s="23" t="n"/>
      <c r="I45" s="38" t="n"/>
      <c r="J45" s="539" t="n"/>
      <c r="K45" s="539" t="n"/>
      <c r="L45" s="539" t="n"/>
      <c r="M45" s="539" t="n"/>
      <c r="N45" s="539" t="n"/>
      <c r="O45" s="539" t="n"/>
      <c r="P45" s="539" t="n"/>
      <c r="Q45" s="23" t="n"/>
      <c r="R45" s="539">
        <f>ROUND(P45*Q45/100,0)</f>
      </c>
      <c r="S45" s="539">
        <f>IF(O45=0,"",(R45-O45)/O45*100)</f>
      </c>
      <c r="T45" s="539" t="n"/>
      <c r="U45" s="24" t="n"/>
    </row>
    <row r="46" ht="15.5" customHeight="1">
      <c r="A46" s="23" t="n"/>
      <c r="B46" s="24" t="n"/>
      <c r="C46" s="23" t="n"/>
      <c r="D46" s="103" t="n"/>
      <c r="E46" s="25" t="n"/>
      <c r="F46" s="25" t="n"/>
      <c r="G46" s="23" t="n"/>
      <c r="H46" s="23" t="n"/>
      <c r="I46" s="38" t="n"/>
      <c r="J46" s="539" t="n"/>
      <c r="K46" s="539" t="n"/>
      <c r="L46" s="539" t="n"/>
      <c r="M46" s="539" t="n"/>
      <c r="N46" s="539" t="n"/>
      <c r="O46" s="539" t="n"/>
      <c r="P46" s="539" t="n"/>
      <c r="Q46" s="23" t="n"/>
      <c r="R46" s="539" t="n"/>
      <c r="S46" s="539" t="n"/>
      <c r="T46" s="539" t="n"/>
      <c r="U46" s="24" t="n"/>
    </row>
    <row r="47" ht="15.5" customHeight="1">
      <c r="A47" s="21" t="inlineStr">
        <is>
          <t>合            计</t>
        </is>
      </c>
      <c r="B47" s="138" t="n"/>
      <c r="C47" s="28" t="n"/>
      <c r="D47" s="103" t="n"/>
      <c r="E47" s="25" t="n"/>
      <c r="F47" s="25" t="n"/>
      <c r="G47" s="23" t="n"/>
      <c r="H47" s="23" t="n"/>
      <c r="I47" s="38" t="n"/>
      <c r="J47" s="539">
        <f>SUM(J7:J46)</f>
      </c>
      <c r="K47" s="539">
        <f>SUM(K7:K46)</f>
      </c>
      <c r="L47" s="539" t="n"/>
      <c r="M47" s="539" t="n"/>
      <c r="N47" s="539">
        <f>SUM(N7:N46)</f>
      </c>
      <c r="O47" s="539">
        <f>SUM(O7:O46)</f>
      </c>
      <c r="P47" s="539">
        <f>SUM(P7:P46)</f>
      </c>
      <c r="Q47" s="23" t="n"/>
      <c r="R47" s="539">
        <f>SUM(R7:R46)</f>
      </c>
      <c r="S47" s="539">
        <f>IF(O47=0,"",(R47-O47)/O47*100)</f>
      </c>
      <c r="T47" s="539" t="n"/>
      <c r="U47" s="24" t="n"/>
    </row>
    <row r="48" ht="15.5" customHeight="1">
      <c r="A48" s="29">
        <f>封面!D11&amp;封面!G11</f>
      </c>
      <c r="N48" s="29">
        <f>"评估人员："&amp;封面!G24</f>
      </c>
    </row>
    <row r="49" ht="15.5" customHeight="1">
      <c r="A49" s="29">
        <f>CONCATENATE(封面!D13,封面!F13,封面!G13,封面!H13,封面!I13,封面!J13,封面!K13)</f>
      </c>
    </row>
  </sheetData>
  <mergeCells count="19">
    <mergeCell ref="E5:E6"/>
    <mergeCell ref="J5:K5"/>
    <mergeCell ref="F5:F6"/>
    <mergeCell ref="A3:U3"/>
    <mergeCell ref="A2:U2"/>
    <mergeCell ref="A47:C47"/>
    <mergeCell ref="L5:M5"/>
    <mergeCell ref="N5:O5"/>
    <mergeCell ref="I5:I6"/>
    <mergeCell ref="A5:A6"/>
    <mergeCell ref="G5:G6"/>
    <mergeCell ref="S5:S6"/>
    <mergeCell ref="U5:U6"/>
    <mergeCell ref="P5:R5"/>
    <mergeCell ref="B5:B6"/>
    <mergeCell ref="D5:D6"/>
    <mergeCell ref="H5:H6"/>
    <mergeCell ref="T5:T6"/>
    <mergeCell ref="C5:C6"/>
  </mergeCells>
  <hyperlinks>
    <hyperlink ref="A1" location="索引目录!E36" display="返回索引页"/>
    <hyperlink ref="B1" location="固定资产汇总!B9" display="返回"/>
  </hyperlinks>
  <printOptions horizontalCentered="1"/>
  <pageMargins left="0.354330708661417" right="0.354330708661417" top="0.78740157480315" bottom="0.78740157480315" header="0.98" footer="0.511811023622047"/>
  <pageSetup orientation="landscape" paperSize="9" scale="98" fitToHeight="0"/>
  <headerFooter alignWithMargins="0">
    <oddHeader>&amp;R&amp;"宋体,常规"共&amp;"Times New Roman,常规"&amp;N&amp;"宋体,常规"页第&amp;"Times New Roman,常规"&amp;P&amp;"宋体,常规"4-6-2_x000a_页</oddHeader>
    <oddFooter/>
    <evenHeader/>
    <evenFooter/>
    <firstHeader/>
    <firstFooter/>
  </headerFooter>
  <legacyDrawing xmlns:r="http://schemas.openxmlformats.org/officeDocument/2006/relationships" r:id="anysvml"/>
</worksheet>
</file>

<file path=xl/worksheets/sheet48.xml><?xml version="1.0" encoding="utf-8"?>
<worksheet xmlns="http://schemas.openxmlformats.org/spreadsheetml/2006/main">
  <sheetPr codeName="Sheet48">
    <outlinePr summaryBelow="1" summaryRight="1"/>
    <pageSetUpPr/>
  </sheetPr>
  <dimension ref="A1:AS28"/>
  <sheetViews>
    <sheetView view="pageBreakPreview" zoomScale="115" zoomScaleNormal="100" workbookViewId="0">
      <selection activeCell="G451" sqref="G451"/>
    </sheetView>
  </sheetViews>
  <sheetFormatPr baseColWidth="8" defaultColWidth="9" defaultRowHeight="15"/>
  <cols>
    <col width="4.25" customWidth="1" style="155" min="1" max="1"/>
    <col width="10.5833333333333" customWidth="1" style="155" min="2" max="2"/>
    <col width="10.5833333333333" customWidth="1" style="156" min="3" max="3"/>
    <col width="4.08333333333333" customWidth="1" style="155" min="4" max="4"/>
    <col width="4.25" customWidth="1" style="155" min="5" max="5"/>
    <col width="8.08333333333333" customWidth="1" style="155" min="6" max="6"/>
    <col width="4" customWidth="1" style="155" min="7" max="7"/>
    <col width="5" customWidth="1" style="155" min="8" max="8"/>
    <col width="4.75" customWidth="1" style="155" min="9" max="11"/>
    <col width="5" customWidth="1" style="155" min="12" max="12"/>
    <col width="4.75" customWidth="1" style="155" min="13" max="13"/>
    <col width="4.5" customWidth="1" style="155" min="14" max="14"/>
    <col width="4" customWidth="1" style="155" min="15" max="15"/>
    <col width="5.5" customWidth="1" style="155" min="16" max="16"/>
    <col width="8.5" customWidth="1" style="157" min="17" max="17"/>
    <col width="3.83333333333333" customWidth="1" style="155" min="18" max="18"/>
    <col width="7.33333333333333" customWidth="1" style="155" min="19" max="19"/>
    <col width="6.25" customWidth="1" style="155" min="20" max="34"/>
    <col hidden="1" outlineLevel="1" width="6.83333333333333" customWidth="1" style="155" min="35" max="38"/>
    <col collapsed="1" width="6.83333333333333" customWidth="1" style="155" min="39" max="39"/>
    <col width="6.83333333333333" customWidth="1" style="155" min="40" max="40"/>
    <col width="9.25" customWidth="1" style="584" min="41" max="41"/>
    <col width="7" customWidth="1" style="155" min="42" max="42"/>
    <col width="7" customWidth="1" style="584" min="43" max="43"/>
    <col width="5.58333333333333" customWidth="1" style="584" min="44" max="44"/>
    <col width="16.75" customWidth="1" style="155" min="45" max="45"/>
    <col width="9" customWidth="1" style="155" min="46" max="16384"/>
  </cols>
  <sheetData>
    <row r="1" ht="8" customFormat="1" customHeight="1" s="152">
      <c r="A1" s="585" t="inlineStr">
        <is>
          <t>返回索引页</t>
        </is>
      </c>
      <c r="B1" s="585" t="inlineStr">
        <is>
          <t>返回</t>
        </is>
      </c>
      <c r="C1" s="160" t="inlineStr">
        <is>
          <t>返回</t>
        </is>
      </c>
      <c r="D1" s="161" t="n"/>
      <c r="E1" s="161" t="n"/>
      <c r="F1" s="161" t="n"/>
      <c r="G1" s="161" t="n"/>
      <c r="H1" s="161" t="n"/>
      <c r="I1" s="161" t="n"/>
      <c r="J1" s="161" t="n"/>
      <c r="K1" s="161" t="n"/>
      <c r="L1" s="161" t="n"/>
      <c r="M1" s="161" t="n"/>
      <c r="N1" s="161" t="n"/>
      <c r="O1" s="161" t="n"/>
      <c r="P1" s="161" t="n"/>
      <c r="Q1" s="161" t="n"/>
      <c r="R1" s="161" t="n"/>
      <c r="S1" s="161" t="n"/>
      <c r="T1" s="161" t="n"/>
      <c r="U1" s="161" t="n"/>
      <c r="V1" s="161" t="n"/>
      <c r="W1" s="161" t="n"/>
      <c r="X1" s="161" t="n"/>
      <c r="Y1" s="161" t="n"/>
      <c r="Z1" s="161" t="n"/>
      <c r="AA1" s="161" t="n"/>
      <c r="AB1" s="161" t="n"/>
      <c r="AC1" s="161" t="n"/>
      <c r="AD1" s="161" t="n"/>
      <c r="AE1" s="161" t="n"/>
      <c r="AF1" s="161" t="n"/>
      <c r="AG1" s="161" t="n"/>
      <c r="AH1" s="161" t="n"/>
      <c r="AI1" s="161" t="n"/>
      <c r="AJ1" s="161" t="n"/>
      <c r="AK1" s="161" t="n"/>
      <c r="AL1" s="161" t="n"/>
      <c r="AM1" s="161" t="n"/>
      <c r="AN1" s="161" t="n"/>
      <c r="AO1" s="161" t="n"/>
      <c r="AP1" s="161" t="n"/>
      <c r="AQ1" s="161" t="n"/>
      <c r="AR1" s="161" t="n"/>
    </row>
    <row r="2" ht="37.5" customFormat="1" customHeight="1" s="11">
      <c r="A2" s="17" t="inlineStr">
        <is>
          <t>固定资产—井巷工程清查评估明细表</t>
        </is>
      </c>
    </row>
    <row r="3" ht="18.75" customFormat="1" customHeight="1" s="153">
      <c r="A3" s="586" t="inlineStr">
        <is>
          <t>评估基准日：2009年10月31日</t>
        </is>
      </c>
    </row>
    <row r="4" ht="15.75" customFormat="1" customHeight="1" s="153">
      <c r="A4" s="536" t="inlineStr">
        <is>
          <t>被评估单位：</t>
        </is>
      </c>
      <c r="B4" s="587" t="n"/>
      <c r="AS4" s="164" t="inlineStr">
        <is>
          <t>金额单位：人民币元</t>
        </is>
      </c>
    </row>
    <row r="5" ht="18.75" customFormat="1" customHeight="1" s="154">
      <c r="A5" s="101" t="inlineStr">
        <is>
          <t>序号</t>
        </is>
      </c>
      <c r="B5" s="101" t="inlineStr">
        <is>
          <t>资产编号</t>
        </is>
      </c>
      <c r="C5" s="101" t="inlineStr">
        <is>
          <t>井巷工程名称</t>
        </is>
      </c>
      <c r="D5" s="101" t="inlineStr">
        <is>
          <t>施工阶段</t>
        </is>
      </c>
      <c r="E5" s="101" t="inlineStr">
        <is>
          <t>巷道类型</t>
        </is>
      </c>
      <c r="F5" s="101" t="inlineStr">
        <is>
          <t>井筒斜长（m)</t>
        </is>
      </c>
      <c r="G5" s="101" t="inlineStr">
        <is>
          <t>煤岩类别</t>
        </is>
      </c>
      <c r="H5" s="101" t="inlineStr">
        <is>
          <t>岩石硬度系数</t>
        </is>
      </c>
      <c r="I5" s="101" t="inlineStr">
        <is>
          <t>支护方式</t>
        </is>
      </c>
      <c r="J5" s="101" t="inlineStr">
        <is>
          <t>材质</t>
        </is>
      </c>
      <c r="K5" s="165" t="inlineStr">
        <is>
          <t>锚杆</t>
        </is>
      </c>
      <c r="L5" s="28" t="n"/>
      <c r="M5" s="165" t="inlineStr">
        <is>
          <t>锚索</t>
        </is>
      </c>
      <c r="N5" s="28" t="n"/>
      <c r="O5" s="101" t="inlineStr">
        <is>
          <t>网片(张数/m)</t>
        </is>
      </c>
      <c r="P5" s="138" t="n"/>
      <c r="Q5" s="138" t="n"/>
      <c r="R5" s="28" t="n"/>
      <c r="S5" s="101" t="inlineStr">
        <is>
          <t>轨型kg/m</t>
        </is>
      </c>
      <c r="T5" s="101" t="inlineStr">
        <is>
          <t>轨距㎜</t>
        </is>
      </c>
      <c r="U5" s="101" t="inlineStr">
        <is>
          <t>轨枕</t>
        </is>
      </c>
      <c r="V5" s="101" t="inlineStr">
        <is>
          <t>掘进直径</t>
        </is>
      </c>
      <c r="W5" s="101" t="inlineStr">
        <is>
          <t>掘进断面高度(m)</t>
        </is>
      </c>
      <c r="X5" s="101" t="inlineStr">
        <is>
          <t>掘进断面宽度(m)</t>
        </is>
      </c>
      <c r="Y5" s="101" t="inlineStr">
        <is>
          <t>支护厚度(㎜)</t>
        </is>
      </c>
      <c r="Z5" s="101" t="inlineStr">
        <is>
          <t>掘进断面(㎡)</t>
        </is>
      </c>
      <c r="AA5" s="101" t="inlineStr">
        <is>
          <t>巷道倾角(度)</t>
        </is>
      </c>
      <c r="AB5" s="101" t="inlineStr">
        <is>
          <t>巷道长度(m)</t>
        </is>
      </c>
      <c r="AC5" s="101" t="inlineStr">
        <is>
          <t>硐室掘进体积(m3)</t>
        </is>
      </c>
      <c r="AD5" s="166" t="inlineStr">
        <is>
          <t>竣工年月</t>
        </is>
      </c>
      <c r="AE5" s="101" t="inlineStr">
        <is>
          <t>尚可使用年限</t>
        </is>
      </c>
      <c r="AF5" s="101" t="inlineStr">
        <is>
          <t>该井项已经开采储量</t>
        </is>
      </c>
      <c r="AG5" s="101" t="inlineStr">
        <is>
          <t>该井巷尚可开采储量(保有储量）</t>
        </is>
      </c>
      <c r="AH5" s="101" t="inlineStr">
        <is>
          <t>标记</t>
        </is>
      </c>
      <c r="AI5" s="167" t="inlineStr">
        <is>
          <t>审计前账面价值</t>
        </is>
      </c>
      <c r="AJ5" s="168" t="n"/>
      <c r="AK5" s="169" t="inlineStr">
        <is>
          <t>调整分录</t>
        </is>
      </c>
      <c r="AL5" s="35" t="n"/>
      <c r="AM5" s="170" t="inlineStr">
        <is>
          <t>账面价值</t>
        </is>
      </c>
      <c r="AN5" s="138" t="n"/>
      <c r="AO5" s="171" t="inlineStr">
        <is>
          <t>评估价值</t>
        </is>
      </c>
      <c r="AP5" s="138" t="n"/>
      <c r="AQ5" s="28" t="n"/>
      <c r="AR5" s="172" t="inlineStr">
        <is>
          <t>增值率%</t>
        </is>
      </c>
      <c r="AS5" s="101" t="inlineStr">
        <is>
          <t>备注</t>
        </is>
      </c>
    </row>
    <row r="6" ht="18.75" customFormat="1" customHeight="1" s="154">
      <c r="A6" s="173" t="n"/>
      <c r="B6" s="173" t="n"/>
      <c r="C6" s="173" t="n"/>
      <c r="D6" s="173" t="n"/>
      <c r="E6" s="173" t="n"/>
      <c r="F6" s="173" t="n"/>
      <c r="G6" s="173" t="n"/>
      <c r="H6" s="173" t="n"/>
      <c r="I6" s="173" t="n"/>
      <c r="J6" s="173" t="n"/>
      <c r="K6" s="101"/>
      <c r="L6" s="101"/>
      <c r="M6" s="101"/>
      <c r="N6" s="101"/>
      <c r="O6" s="101"/>
      <c r="P6" s="174"/>
      <c r="Q6" s="28" t="n"/>
      <c r="R6" s="174"/>
      <c r="S6" s="173" t="n"/>
      <c r="T6" s="173" t="n"/>
      <c r="U6" s="173" t="n"/>
      <c r="V6" s="173" t="n"/>
      <c r="W6" s="173" t="n"/>
      <c r="X6" s="173" t="n"/>
      <c r="Y6" s="173" t="n"/>
      <c r="Z6" s="173" t="n"/>
      <c r="AA6" s="173" t="n"/>
      <c r="AB6" s="173" t="n"/>
      <c r="AC6" s="173" t="n"/>
      <c r="AD6" s="173" t="n"/>
      <c r="AE6" s="173" t="n"/>
      <c r="AF6" s="173" t="n"/>
      <c r="AG6" s="173" t="n"/>
      <c r="AH6" s="173" t="n"/>
      <c r="AI6" s="101"/>
      <c r="AJ6" s="167"/>
      <c r="AK6" s="175" t="n"/>
      <c r="AL6" s="176" t="n"/>
      <c r="AM6" s="101"/>
      <c r="AN6" s="101"/>
      <c r="AO6" s="171"/>
      <c r="AP6" s="171"/>
      <c r="AQ6" s="171"/>
      <c r="AR6" s="36" t="n"/>
      <c r="AS6" s="36" t="n"/>
    </row>
    <row r="7" ht="22.5" customFormat="1" customHeight="1" s="154">
      <c r="A7" s="173" t="n"/>
      <c r="B7" s="173" t="n"/>
      <c r="C7" s="173" t="n"/>
      <c r="D7" s="173" t="n"/>
      <c r="E7" s="173" t="n"/>
      <c r="F7" s="173" t="n"/>
      <c r="G7" s="173" t="n"/>
      <c r="H7" s="173" t="n"/>
      <c r="I7" s="173" t="n"/>
      <c r="J7" s="173" t="n"/>
      <c r="K7" s="173" t="n"/>
      <c r="L7" s="173" t="n"/>
      <c r="M7" s="173" t="n"/>
      <c r="N7" s="173" t="n"/>
      <c r="O7" s="173" t="n"/>
      <c r="P7" s="177"/>
      <c r="Q7" s="177"/>
      <c r="R7" s="36" t="n"/>
      <c r="S7" s="173" t="n"/>
      <c r="T7" s="173" t="n"/>
      <c r="U7" s="173" t="n"/>
      <c r="V7" s="173" t="n"/>
      <c r="W7" s="173" t="n"/>
      <c r="X7" s="173" t="n"/>
      <c r="Y7" s="173" t="n"/>
      <c r="Z7" s="173" t="n"/>
      <c r="AA7" s="173" t="n"/>
      <c r="AB7" s="173" t="n"/>
      <c r="AC7" s="173" t="n"/>
      <c r="AD7" s="173" t="n"/>
      <c r="AE7" s="173" t="n"/>
      <c r="AF7" s="173" t="n"/>
      <c r="AG7" s="173" t="n"/>
      <c r="AH7" s="173" t="n"/>
      <c r="AI7" s="101" t="n"/>
      <c r="AJ7" s="167" t="n"/>
      <c r="AK7" s="169" t="n"/>
      <c r="AL7" s="171" t="n"/>
      <c r="AM7" s="588">
        <f>AI7+AK7</f>
      </c>
      <c r="AN7" s="588">
        <f>AJ7+AL7</f>
      </c>
      <c r="AO7" s="171" t="n"/>
      <c r="AP7" s="171" t="n"/>
      <c r="AQ7" s="171" t="n"/>
      <c r="AR7" s="589" t="n"/>
      <c r="AS7" s="102" t="n"/>
    </row>
    <row r="8" ht="27.75" customFormat="1" customHeight="1" s="154">
      <c r="A8" s="36" t="n"/>
      <c r="B8" s="36" t="n"/>
      <c r="C8" s="36" t="n"/>
      <c r="D8" s="36" t="n"/>
      <c r="E8" s="36" t="n"/>
      <c r="F8" s="36" t="n"/>
      <c r="G8" s="36" t="n"/>
      <c r="H8" s="36" t="n"/>
      <c r="I8" s="36" t="n"/>
      <c r="J8" s="36" t="n"/>
      <c r="K8" s="36" t="n"/>
      <c r="L8" s="36" t="n"/>
      <c r="M8" s="36" t="n"/>
      <c r="N8" s="36" t="n"/>
      <c r="O8" s="36" t="n"/>
      <c r="P8" s="102"/>
      <c r="Q8" s="102"/>
      <c r="R8" s="102"/>
      <c r="S8" s="36" t="n"/>
      <c r="T8" s="36" t="n"/>
      <c r="U8" s="36" t="n"/>
      <c r="V8" s="36" t="n"/>
      <c r="W8" s="36" t="n"/>
      <c r="X8" s="36" t="n"/>
      <c r="Y8" s="36" t="n"/>
      <c r="Z8" s="36" t="n"/>
      <c r="AA8" s="36" t="n"/>
      <c r="AB8" s="36" t="n"/>
      <c r="AC8" s="36" t="n"/>
      <c r="AD8" s="36" t="n"/>
      <c r="AE8" s="36" t="n"/>
      <c r="AF8" s="36" t="n"/>
      <c r="AG8" s="36" t="n"/>
      <c r="AH8" s="36" t="n"/>
      <c r="AI8" s="101" t="n"/>
      <c r="AJ8" s="167" t="n"/>
      <c r="AK8" s="169" t="n"/>
      <c r="AL8" s="171" t="n"/>
      <c r="AM8" s="588">
        <f>AI8+AK8</f>
      </c>
      <c r="AN8" s="588">
        <f>AJ8+AL8</f>
      </c>
      <c r="AO8" s="171" t="n"/>
      <c r="AP8" s="171" t="n"/>
      <c r="AQ8" s="171" t="n"/>
      <c r="AR8" s="589" t="n"/>
      <c r="AS8" s="102" t="n"/>
    </row>
    <row r="9" ht="18.75" customFormat="1" customHeight="1" s="154">
      <c r="A9" s="180" t="n"/>
      <c r="B9" s="181" t="n"/>
      <c r="C9" s="181" t="n"/>
      <c r="D9" s="102" t="n"/>
      <c r="E9" s="182" t="n"/>
      <c r="F9" s="102" t="n"/>
      <c r="G9" s="102" t="n"/>
      <c r="H9" s="102" t="n"/>
      <c r="I9" s="102" t="n"/>
      <c r="J9" s="102" t="n"/>
      <c r="K9" s="183" t="n"/>
      <c r="L9" s="102" t="n"/>
      <c r="M9" s="102" t="n"/>
      <c r="N9" s="102" t="n"/>
      <c r="O9" s="102" t="n"/>
      <c r="P9" s="102" t="n"/>
      <c r="Q9" s="184" t="n"/>
      <c r="R9" s="102" t="n"/>
      <c r="S9" s="185" t="n"/>
      <c r="T9" s="185" t="n"/>
      <c r="U9" s="185" t="n"/>
      <c r="V9" s="185" t="n"/>
      <c r="W9" s="185" t="n"/>
      <c r="X9" s="185" t="n"/>
      <c r="Y9" s="185" t="n"/>
      <c r="Z9" s="185" t="n"/>
      <c r="AA9" s="185" t="n"/>
      <c r="AB9" s="185" t="n"/>
      <c r="AC9" s="185" t="n"/>
      <c r="AD9" s="185" t="n"/>
      <c r="AE9" s="185" t="n"/>
      <c r="AF9" s="185" t="n"/>
      <c r="AG9" s="185" t="n"/>
      <c r="AH9" s="185" t="n"/>
      <c r="AI9" s="101" t="n"/>
      <c r="AJ9" s="167" t="n"/>
      <c r="AK9" s="169" t="n"/>
      <c r="AL9" s="171" t="n"/>
      <c r="AM9" s="588">
        <f>AI9+AK9</f>
      </c>
      <c r="AN9" s="588">
        <f>AJ9+AL9</f>
      </c>
      <c r="AO9" s="171" t="n"/>
      <c r="AP9" s="171" t="n"/>
      <c r="AQ9" s="171" t="n"/>
      <c r="AR9" s="589" t="n"/>
      <c r="AS9" s="102" t="n"/>
    </row>
    <row r="10" ht="18.75" customFormat="1" customHeight="1" s="154">
      <c r="A10" s="180" t="n"/>
      <c r="B10" s="181" t="n"/>
      <c r="C10" s="181" t="n"/>
      <c r="D10" s="102" t="n"/>
      <c r="E10" s="182" t="n"/>
      <c r="F10" s="102" t="n"/>
      <c r="G10" s="102" t="n"/>
      <c r="H10" s="102" t="n"/>
      <c r="I10" s="102" t="n"/>
      <c r="J10" s="102" t="n"/>
      <c r="K10" s="183" t="n"/>
      <c r="L10" s="102" t="n"/>
      <c r="M10" s="102" t="n"/>
      <c r="N10" s="102" t="n"/>
      <c r="O10" s="102" t="n"/>
      <c r="P10" s="102" t="n"/>
      <c r="Q10" s="184" t="n"/>
      <c r="R10" s="102" t="n"/>
      <c r="S10" s="185" t="n"/>
      <c r="T10" s="185" t="n"/>
      <c r="U10" s="185" t="n"/>
      <c r="V10" s="185" t="n"/>
      <c r="W10" s="185" t="n"/>
      <c r="X10" s="185" t="n"/>
      <c r="Y10" s="185" t="n"/>
      <c r="Z10" s="185" t="n"/>
      <c r="AA10" s="185" t="n"/>
      <c r="AB10" s="185" t="n"/>
      <c r="AC10" s="185" t="n"/>
      <c r="AD10" s="185" t="n"/>
      <c r="AE10" s="185" t="n"/>
      <c r="AF10" s="185" t="n"/>
      <c r="AG10" s="185" t="n"/>
      <c r="AH10" s="185" t="n"/>
      <c r="AI10" s="101" t="n"/>
      <c r="AJ10" s="167" t="n"/>
      <c r="AK10" s="169" t="n"/>
      <c r="AL10" s="171" t="n"/>
      <c r="AM10" s="588">
        <f>AI10+AK10</f>
      </c>
      <c r="AN10" s="588">
        <f>AJ10+AL10</f>
      </c>
      <c r="AO10" s="171" t="n"/>
      <c r="AP10" s="171" t="n"/>
      <c r="AQ10" s="171" t="n"/>
      <c r="AR10" s="589" t="n"/>
      <c r="AS10" s="102" t="n"/>
    </row>
    <row r="11" ht="18.75" customFormat="1" customHeight="1" s="154">
      <c r="A11" s="180" t="n"/>
      <c r="B11" s="181" t="n"/>
      <c r="C11" s="181" t="n"/>
      <c r="D11" s="102" t="n"/>
      <c r="E11" s="182" t="n"/>
      <c r="F11" s="102" t="n"/>
      <c r="G11" s="102" t="n"/>
      <c r="H11" s="102" t="n"/>
      <c r="I11" s="102" t="n"/>
      <c r="J11" s="102" t="n"/>
      <c r="K11" s="183" t="n"/>
      <c r="L11" s="102" t="n"/>
      <c r="M11" s="102" t="n"/>
      <c r="N11" s="102" t="n"/>
      <c r="O11" s="102" t="n"/>
      <c r="P11" s="102" t="n"/>
      <c r="Q11" s="184" t="n"/>
      <c r="R11" s="102" t="n"/>
      <c r="S11" s="185" t="n"/>
      <c r="T11" s="185" t="n"/>
      <c r="U11" s="185" t="n"/>
      <c r="V11" s="185" t="n"/>
      <c r="W11" s="185" t="n"/>
      <c r="X11" s="185" t="n"/>
      <c r="Y11" s="185" t="n"/>
      <c r="Z11" s="185" t="n"/>
      <c r="AA11" s="185" t="n"/>
      <c r="AB11" s="185" t="n"/>
      <c r="AC11" s="185" t="n"/>
      <c r="AD11" s="185" t="n"/>
      <c r="AE11" s="185" t="n"/>
      <c r="AF11" s="185" t="n"/>
      <c r="AG11" s="185" t="n"/>
      <c r="AH11" s="185" t="n"/>
      <c r="AI11" s="101" t="n"/>
      <c r="AJ11" s="167" t="n"/>
      <c r="AK11" s="169" t="n"/>
      <c r="AL11" s="171" t="n"/>
      <c r="AM11" s="588">
        <f>AI11+AK11</f>
      </c>
      <c r="AN11" s="588">
        <f>AJ11+AL11</f>
      </c>
      <c r="AO11" s="171" t="n"/>
      <c r="AP11" s="171" t="n"/>
      <c r="AQ11" s="171" t="n"/>
      <c r="AR11" s="589" t="n"/>
      <c r="AS11" s="102" t="n"/>
    </row>
    <row r="12" ht="18.75" customFormat="1" customHeight="1" s="154">
      <c r="A12" s="180" t="n"/>
      <c r="B12" s="181" t="n"/>
      <c r="C12" s="181" t="n"/>
      <c r="D12" s="102" t="n"/>
      <c r="E12" s="182" t="n"/>
      <c r="F12" s="102" t="n"/>
      <c r="G12" s="102" t="n"/>
      <c r="H12" s="102" t="n"/>
      <c r="I12" s="102" t="n"/>
      <c r="J12" s="102" t="n"/>
      <c r="K12" s="183" t="n"/>
      <c r="L12" s="102" t="n"/>
      <c r="M12" s="102" t="n"/>
      <c r="N12" s="102" t="n"/>
      <c r="O12" s="102" t="n"/>
      <c r="P12" s="102" t="n"/>
      <c r="Q12" s="184" t="n"/>
      <c r="R12" s="102" t="n"/>
      <c r="S12" s="185" t="n"/>
      <c r="T12" s="185" t="n"/>
      <c r="U12" s="185" t="n"/>
      <c r="V12" s="185" t="n"/>
      <c r="W12" s="185" t="n"/>
      <c r="X12" s="185" t="n"/>
      <c r="Y12" s="185" t="n"/>
      <c r="Z12" s="185" t="n"/>
      <c r="AA12" s="185" t="n"/>
      <c r="AB12" s="185" t="n"/>
      <c r="AC12" s="185" t="n"/>
      <c r="AD12" s="185" t="n"/>
      <c r="AE12" s="185" t="n"/>
      <c r="AF12" s="185" t="n"/>
      <c r="AG12" s="185" t="n"/>
      <c r="AH12" s="185" t="n"/>
      <c r="AI12" s="101" t="n"/>
      <c r="AJ12" s="167" t="n"/>
      <c r="AK12" s="169" t="n"/>
      <c r="AL12" s="171" t="n"/>
      <c r="AM12" s="588">
        <f>AI12+AK12</f>
      </c>
      <c r="AN12" s="588">
        <f>AJ12+AL12</f>
      </c>
      <c r="AO12" s="171" t="n"/>
      <c r="AP12" s="171" t="n"/>
      <c r="AQ12" s="171" t="n"/>
      <c r="AR12" s="589" t="n"/>
      <c r="AS12" s="102" t="n"/>
    </row>
    <row r="13" ht="18.75" customFormat="1" customHeight="1" s="154">
      <c r="A13" s="180" t="n"/>
      <c r="B13" s="181" t="n"/>
      <c r="C13" s="181" t="n"/>
      <c r="D13" s="102" t="n"/>
      <c r="E13" s="182" t="n"/>
      <c r="F13" s="102" t="n"/>
      <c r="G13" s="102" t="n"/>
      <c r="H13" s="102" t="n"/>
      <c r="I13" s="102" t="n"/>
      <c r="J13" s="102" t="n"/>
      <c r="K13" s="183" t="n"/>
      <c r="L13" s="102" t="n"/>
      <c r="M13" s="102" t="n"/>
      <c r="N13" s="102" t="n"/>
      <c r="O13" s="102" t="n"/>
      <c r="P13" s="102" t="n"/>
      <c r="Q13" s="184" t="n"/>
      <c r="R13" s="102" t="n"/>
      <c r="S13" s="185" t="n"/>
      <c r="T13" s="185" t="n"/>
      <c r="U13" s="185" t="n"/>
      <c r="V13" s="185" t="n"/>
      <c r="W13" s="185" t="n"/>
      <c r="X13" s="185" t="n"/>
      <c r="Y13" s="185" t="n"/>
      <c r="Z13" s="185" t="n"/>
      <c r="AA13" s="185" t="n"/>
      <c r="AB13" s="185" t="n"/>
      <c r="AC13" s="185" t="n"/>
      <c r="AD13" s="185" t="n"/>
      <c r="AE13" s="185" t="n"/>
      <c r="AF13" s="185" t="n"/>
      <c r="AG13" s="185" t="n"/>
      <c r="AH13" s="185" t="n"/>
      <c r="AI13" s="101" t="n"/>
      <c r="AJ13" s="167" t="n"/>
      <c r="AK13" s="169" t="n"/>
      <c r="AL13" s="171" t="n"/>
      <c r="AM13" s="588">
        <f>AI13+AK13</f>
      </c>
      <c r="AN13" s="588">
        <f>AJ13+AL13</f>
      </c>
      <c r="AO13" s="171" t="n"/>
      <c r="AP13" s="171" t="n"/>
      <c r="AQ13" s="171" t="n"/>
      <c r="AR13" s="589" t="n"/>
      <c r="AS13" s="102" t="n"/>
    </row>
    <row r="14" ht="18.75" customFormat="1" customHeight="1" s="154">
      <c r="A14" s="180" t="n"/>
      <c r="B14" s="181" t="n"/>
      <c r="C14" s="181" t="n"/>
      <c r="D14" s="102" t="n"/>
      <c r="E14" s="182" t="n"/>
      <c r="F14" s="102" t="n"/>
      <c r="G14" s="102" t="n"/>
      <c r="H14" s="102" t="n"/>
      <c r="I14" s="102" t="n"/>
      <c r="J14" s="102" t="n"/>
      <c r="K14" s="183" t="n"/>
      <c r="L14" s="102" t="n"/>
      <c r="M14" s="102" t="n"/>
      <c r="N14" s="102" t="n"/>
      <c r="O14" s="102" t="n"/>
      <c r="P14" s="102" t="n"/>
      <c r="Q14" s="184" t="n"/>
      <c r="R14" s="102" t="n"/>
      <c r="S14" s="185" t="n"/>
      <c r="T14" s="185" t="n"/>
      <c r="U14" s="185" t="n"/>
      <c r="V14" s="185" t="n"/>
      <c r="W14" s="185" t="n"/>
      <c r="X14" s="185" t="n"/>
      <c r="Y14" s="185" t="n"/>
      <c r="Z14" s="185" t="n"/>
      <c r="AA14" s="185" t="n"/>
      <c r="AB14" s="185" t="n"/>
      <c r="AC14" s="185" t="n"/>
      <c r="AD14" s="185" t="n"/>
      <c r="AE14" s="185" t="n"/>
      <c r="AF14" s="185" t="n"/>
      <c r="AG14" s="185" t="n"/>
      <c r="AH14" s="185" t="n"/>
      <c r="AI14" s="101" t="n"/>
      <c r="AJ14" s="167" t="n"/>
      <c r="AK14" s="169" t="n"/>
      <c r="AL14" s="171" t="n"/>
      <c r="AM14" s="588">
        <f>AI14+AK14</f>
      </c>
      <c r="AN14" s="588">
        <f>AJ14+AL14</f>
      </c>
      <c r="AO14" s="171" t="n"/>
      <c r="AP14" s="171" t="n"/>
      <c r="AQ14" s="171" t="n"/>
      <c r="AR14" s="589" t="n"/>
      <c r="AS14" s="102" t="n"/>
    </row>
    <row r="15" ht="18.75" customFormat="1" customHeight="1" s="154">
      <c r="A15" s="180" t="n"/>
      <c r="B15" s="181" t="n"/>
      <c r="C15" s="181" t="n"/>
      <c r="D15" s="102" t="n"/>
      <c r="E15" s="182" t="n"/>
      <c r="F15" s="102" t="n"/>
      <c r="G15" s="102" t="n"/>
      <c r="H15" s="102" t="n"/>
      <c r="I15" s="102" t="n"/>
      <c r="J15" s="102" t="n"/>
      <c r="K15" s="183" t="n"/>
      <c r="L15" s="102" t="n"/>
      <c r="M15" s="102" t="n"/>
      <c r="N15" s="102" t="n"/>
      <c r="O15" s="102" t="n"/>
      <c r="P15" s="102" t="n"/>
      <c r="Q15" s="184" t="n"/>
      <c r="R15" s="102" t="n"/>
      <c r="S15" s="185" t="n"/>
      <c r="T15" s="185" t="n"/>
      <c r="U15" s="185" t="n"/>
      <c r="V15" s="185" t="n"/>
      <c r="W15" s="185" t="n"/>
      <c r="X15" s="185" t="n"/>
      <c r="Y15" s="185" t="n"/>
      <c r="Z15" s="185" t="n"/>
      <c r="AA15" s="185" t="n"/>
      <c r="AB15" s="185" t="n"/>
      <c r="AC15" s="185" t="n"/>
      <c r="AD15" s="185" t="n"/>
      <c r="AE15" s="185" t="n"/>
      <c r="AF15" s="185" t="n"/>
      <c r="AG15" s="185" t="n"/>
      <c r="AH15" s="185" t="n"/>
      <c r="AI15" s="101" t="n"/>
      <c r="AJ15" s="167" t="n"/>
      <c r="AK15" s="169" t="n"/>
      <c r="AL15" s="171" t="n"/>
      <c r="AM15" s="588">
        <f>AI15+AK15</f>
      </c>
      <c r="AN15" s="588">
        <f>AJ15+AL15</f>
      </c>
      <c r="AO15" s="171" t="n"/>
      <c r="AP15" s="171" t="n"/>
      <c r="AQ15" s="171" t="n"/>
      <c r="AR15" s="589" t="n"/>
      <c r="AS15" s="102" t="n"/>
    </row>
    <row r="16" ht="18.75" customFormat="1" customHeight="1" s="154">
      <c r="A16" s="180" t="n"/>
      <c r="B16" s="181" t="n"/>
      <c r="C16" s="181" t="n"/>
      <c r="D16" s="102" t="n"/>
      <c r="E16" s="182" t="n"/>
      <c r="F16" s="102" t="n"/>
      <c r="G16" s="102" t="n"/>
      <c r="H16" s="102" t="n"/>
      <c r="I16" s="102" t="n"/>
      <c r="J16" s="102" t="n"/>
      <c r="K16" s="183" t="n"/>
      <c r="L16" s="102" t="n"/>
      <c r="M16" s="102" t="n"/>
      <c r="N16" s="102" t="n"/>
      <c r="O16" s="102" t="n"/>
      <c r="P16" s="102" t="n"/>
      <c r="Q16" s="184" t="n"/>
      <c r="R16" s="102" t="n"/>
      <c r="S16" s="185" t="n"/>
      <c r="T16" s="185" t="n"/>
      <c r="U16" s="185" t="n"/>
      <c r="V16" s="185" t="n"/>
      <c r="W16" s="185" t="n"/>
      <c r="X16" s="185" t="n"/>
      <c r="Y16" s="185" t="n"/>
      <c r="Z16" s="185" t="n"/>
      <c r="AA16" s="185" t="n"/>
      <c r="AB16" s="185" t="n"/>
      <c r="AC16" s="185" t="n"/>
      <c r="AD16" s="185" t="n"/>
      <c r="AE16" s="185" t="n"/>
      <c r="AF16" s="185" t="n"/>
      <c r="AG16" s="185" t="n"/>
      <c r="AH16" s="185" t="n"/>
      <c r="AI16" s="101" t="n"/>
      <c r="AJ16" s="167" t="n"/>
      <c r="AK16" s="169" t="n"/>
      <c r="AL16" s="171" t="n"/>
      <c r="AM16" s="588">
        <f>AI16+AK16</f>
      </c>
      <c r="AN16" s="588">
        <f>AJ16+AL16</f>
      </c>
      <c r="AO16" s="171" t="n"/>
      <c r="AP16" s="171" t="n"/>
      <c r="AQ16" s="171" t="n"/>
      <c r="AR16" s="589" t="n"/>
      <c r="AS16" s="102" t="n"/>
    </row>
    <row r="17" ht="18.75" customFormat="1" customHeight="1" s="154">
      <c r="A17" s="180" t="n"/>
      <c r="B17" s="181" t="n"/>
      <c r="C17" s="181" t="n"/>
      <c r="D17" s="102" t="n"/>
      <c r="E17" s="182" t="n"/>
      <c r="F17" s="102" t="n"/>
      <c r="G17" s="102" t="n"/>
      <c r="H17" s="102" t="n"/>
      <c r="I17" s="102" t="n"/>
      <c r="J17" s="102" t="n"/>
      <c r="K17" s="183" t="n"/>
      <c r="L17" s="102" t="n"/>
      <c r="M17" s="102" t="n"/>
      <c r="N17" s="102" t="n"/>
      <c r="O17" s="102" t="n"/>
      <c r="P17" s="102" t="n"/>
      <c r="Q17" s="184" t="n"/>
      <c r="R17" s="102" t="n"/>
      <c r="S17" s="185" t="n"/>
      <c r="T17" s="185" t="n"/>
      <c r="U17" s="185" t="n"/>
      <c r="V17" s="185" t="n"/>
      <c r="W17" s="185" t="n"/>
      <c r="X17" s="185" t="n"/>
      <c r="Y17" s="185" t="n"/>
      <c r="Z17" s="185" t="n"/>
      <c r="AA17" s="185" t="n"/>
      <c r="AB17" s="185" t="n"/>
      <c r="AC17" s="185" t="n"/>
      <c r="AD17" s="185" t="n"/>
      <c r="AE17" s="185" t="n"/>
      <c r="AF17" s="185" t="n"/>
      <c r="AG17" s="185" t="n"/>
      <c r="AH17" s="185" t="n"/>
      <c r="AI17" s="101" t="n"/>
      <c r="AJ17" s="167" t="n"/>
      <c r="AK17" s="169" t="n"/>
      <c r="AL17" s="171" t="n"/>
      <c r="AM17" s="588">
        <f>AI17+AK17</f>
      </c>
      <c r="AN17" s="588">
        <f>AJ17+AL17</f>
      </c>
      <c r="AO17" s="171" t="n"/>
      <c r="AP17" s="171" t="n"/>
      <c r="AQ17" s="171" t="n"/>
      <c r="AR17" s="589" t="n"/>
      <c r="AS17" s="102" t="n"/>
    </row>
    <row r="18" ht="18.75" customFormat="1" customHeight="1" s="154">
      <c r="A18" s="180" t="n"/>
      <c r="B18" s="181" t="n"/>
      <c r="C18" s="181" t="n"/>
      <c r="D18" s="102" t="n"/>
      <c r="E18" s="182" t="n"/>
      <c r="F18" s="102" t="n"/>
      <c r="G18" s="102" t="n"/>
      <c r="H18" s="102" t="n"/>
      <c r="I18" s="102" t="n"/>
      <c r="J18" s="102" t="n"/>
      <c r="K18" s="183" t="n"/>
      <c r="L18" s="102" t="n"/>
      <c r="M18" s="102" t="n"/>
      <c r="N18" s="102" t="n"/>
      <c r="O18" s="102" t="n"/>
      <c r="P18" s="102" t="n"/>
      <c r="Q18" s="184" t="n"/>
      <c r="R18" s="102" t="n"/>
      <c r="S18" s="185" t="n"/>
      <c r="T18" s="185" t="n"/>
      <c r="U18" s="185" t="n"/>
      <c r="V18" s="185" t="n"/>
      <c r="W18" s="185" t="n"/>
      <c r="X18" s="185" t="n"/>
      <c r="Y18" s="185" t="n"/>
      <c r="Z18" s="185" t="n"/>
      <c r="AA18" s="185" t="n"/>
      <c r="AB18" s="185" t="n"/>
      <c r="AC18" s="185" t="n"/>
      <c r="AD18" s="185" t="n"/>
      <c r="AE18" s="185" t="n"/>
      <c r="AF18" s="185" t="n"/>
      <c r="AG18" s="185" t="n"/>
      <c r="AH18" s="185" t="n"/>
      <c r="AI18" s="101" t="n"/>
      <c r="AJ18" s="167" t="n"/>
      <c r="AK18" s="169" t="n"/>
      <c r="AL18" s="171" t="n"/>
      <c r="AM18" s="588">
        <f>AI18+AK18</f>
      </c>
      <c r="AN18" s="588">
        <f>AJ18+AL18</f>
      </c>
      <c r="AO18" s="171" t="n"/>
      <c r="AP18" s="171" t="n"/>
      <c r="AQ18" s="171" t="n"/>
      <c r="AR18" s="589" t="n"/>
      <c r="AS18" s="102" t="n"/>
    </row>
    <row r="19" ht="18.75" customFormat="1" customHeight="1" s="154">
      <c r="A19" s="180" t="n"/>
      <c r="B19" s="181" t="n"/>
      <c r="C19" s="181" t="n"/>
      <c r="D19" s="102" t="n"/>
      <c r="E19" s="182" t="n"/>
      <c r="F19" s="102" t="n"/>
      <c r="G19" s="102" t="n"/>
      <c r="H19" s="102" t="n"/>
      <c r="I19" s="102" t="n"/>
      <c r="J19" s="102" t="n"/>
      <c r="K19" s="183" t="n"/>
      <c r="L19" s="102" t="n"/>
      <c r="M19" s="102" t="n"/>
      <c r="N19" s="102" t="n"/>
      <c r="O19" s="102" t="n"/>
      <c r="P19" s="102" t="n"/>
      <c r="Q19" s="184" t="n"/>
      <c r="R19" s="102" t="n"/>
      <c r="S19" s="185" t="n"/>
      <c r="T19" s="185" t="n"/>
      <c r="U19" s="185" t="n"/>
      <c r="V19" s="185" t="n"/>
      <c r="W19" s="185" t="n"/>
      <c r="X19" s="185" t="n"/>
      <c r="Y19" s="185" t="n"/>
      <c r="Z19" s="185" t="n"/>
      <c r="AA19" s="185" t="n"/>
      <c r="AB19" s="185" t="n"/>
      <c r="AC19" s="185" t="n"/>
      <c r="AD19" s="185" t="n"/>
      <c r="AE19" s="185" t="n"/>
      <c r="AF19" s="185" t="n"/>
      <c r="AG19" s="185" t="n"/>
      <c r="AH19" s="185" t="n"/>
      <c r="AI19" s="101" t="n"/>
      <c r="AJ19" s="167" t="n"/>
      <c r="AK19" s="169" t="n"/>
      <c r="AL19" s="171" t="n"/>
      <c r="AM19" s="588">
        <f>AI19+AK19</f>
      </c>
      <c r="AN19" s="588">
        <f>AJ19+AL19</f>
      </c>
      <c r="AO19" s="171" t="n"/>
      <c r="AP19" s="171" t="n"/>
      <c r="AQ19" s="171" t="n"/>
      <c r="AR19" s="589" t="n"/>
      <c r="AS19" s="102" t="n"/>
    </row>
    <row r="20" ht="18.75" customFormat="1" customHeight="1" s="154">
      <c r="A20" s="180" t="n"/>
      <c r="B20" s="181" t="n"/>
      <c r="C20" s="181" t="n"/>
      <c r="D20" s="102" t="n"/>
      <c r="E20" s="182" t="n"/>
      <c r="F20" s="102" t="n"/>
      <c r="G20" s="102" t="n"/>
      <c r="H20" s="102" t="n"/>
      <c r="I20" s="102" t="n"/>
      <c r="J20" s="102" t="n"/>
      <c r="K20" s="183" t="n"/>
      <c r="L20" s="102" t="n"/>
      <c r="M20" s="102" t="n"/>
      <c r="N20" s="102" t="n"/>
      <c r="O20" s="102" t="n"/>
      <c r="P20" s="102" t="n"/>
      <c r="Q20" s="184" t="n"/>
      <c r="R20" s="102" t="n"/>
      <c r="S20" s="185" t="n"/>
      <c r="T20" s="185" t="n"/>
      <c r="U20" s="185" t="n"/>
      <c r="V20" s="185" t="n"/>
      <c r="W20" s="185" t="n"/>
      <c r="X20" s="185" t="n"/>
      <c r="Y20" s="185" t="n"/>
      <c r="Z20" s="185" t="n"/>
      <c r="AA20" s="185" t="n"/>
      <c r="AB20" s="185" t="n"/>
      <c r="AC20" s="185" t="n"/>
      <c r="AD20" s="185" t="n"/>
      <c r="AE20" s="185" t="n"/>
      <c r="AF20" s="185" t="n"/>
      <c r="AG20" s="185" t="n"/>
      <c r="AH20" s="185" t="n"/>
      <c r="AI20" s="101" t="n"/>
      <c r="AJ20" s="167" t="n"/>
      <c r="AK20" s="169" t="n"/>
      <c r="AL20" s="171" t="n"/>
      <c r="AM20" s="588">
        <f>AI20+AK20</f>
      </c>
      <c r="AN20" s="588">
        <f>AJ20+AL20</f>
      </c>
      <c r="AO20" s="171" t="n"/>
      <c r="AP20" s="171" t="n"/>
      <c r="AQ20" s="171" t="n"/>
      <c r="AR20" s="589" t="n"/>
      <c r="AS20" s="102" t="n"/>
    </row>
    <row r="21" ht="18.75" customFormat="1" customHeight="1" s="154">
      <c r="A21" s="180" t="n"/>
      <c r="B21" s="181" t="n"/>
      <c r="C21" s="181" t="n"/>
      <c r="D21" s="102" t="n"/>
      <c r="E21" s="182" t="n"/>
      <c r="F21" s="102" t="n"/>
      <c r="G21" s="102" t="n"/>
      <c r="H21" s="102" t="n"/>
      <c r="I21" s="102" t="n"/>
      <c r="J21" s="102" t="n"/>
      <c r="K21" s="183" t="n"/>
      <c r="L21" s="102" t="n"/>
      <c r="M21" s="102" t="n"/>
      <c r="N21" s="102" t="n"/>
      <c r="O21" s="102" t="n"/>
      <c r="P21" s="102" t="n"/>
      <c r="Q21" s="184" t="n"/>
      <c r="R21" s="102" t="n"/>
      <c r="S21" s="185" t="n"/>
      <c r="T21" s="185" t="n"/>
      <c r="U21" s="185" t="n"/>
      <c r="V21" s="185" t="n"/>
      <c r="W21" s="185" t="n"/>
      <c r="X21" s="185" t="n"/>
      <c r="Y21" s="185" t="n"/>
      <c r="Z21" s="185" t="n"/>
      <c r="AA21" s="185" t="n"/>
      <c r="AB21" s="185" t="n"/>
      <c r="AC21" s="185" t="n"/>
      <c r="AD21" s="185" t="n"/>
      <c r="AE21" s="185" t="n"/>
      <c r="AF21" s="185" t="n"/>
      <c r="AG21" s="185" t="n"/>
      <c r="AH21" s="185" t="n"/>
      <c r="AI21" s="101" t="n"/>
      <c r="AJ21" s="167" t="n"/>
      <c r="AK21" s="169" t="n"/>
      <c r="AL21" s="171" t="n"/>
      <c r="AM21" s="588">
        <f>AI21+AK21</f>
      </c>
      <c r="AN21" s="588">
        <f>AJ21+AL21</f>
      </c>
      <c r="AO21" s="171" t="n"/>
      <c r="AP21" s="171" t="n"/>
      <c r="AQ21" s="171" t="n"/>
      <c r="AR21" s="589" t="n"/>
      <c r="AS21" s="102" t="n"/>
    </row>
    <row r="22" ht="18.75" customFormat="1" customHeight="1" s="154">
      <c r="A22" s="180" t="n"/>
      <c r="B22" s="181" t="n"/>
      <c r="C22" s="181" t="n"/>
      <c r="D22" s="102" t="n"/>
      <c r="E22" s="182" t="n"/>
      <c r="F22" s="102" t="n"/>
      <c r="G22" s="102" t="n"/>
      <c r="H22" s="102" t="n"/>
      <c r="I22" s="102" t="n"/>
      <c r="J22" s="102" t="n"/>
      <c r="K22" s="183" t="n"/>
      <c r="L22" s="102" t="n"/>
      <c r="M22" s="102" t="n"/>
      <c r="N22" s="102" t="n"/>
      <c r="O22" s="102" t="n"/>
      <c r="P22" s="102" t="n"/>
      <c r="Q22" s="184" t="n"/>
      <c r="R22" s="102" t="n"/>
      <c r="S22" s="185" t="n"/>
      <c r="T22" s="185" t="n"/>
      <c r="U22" s="185" t="n"/>
      <c r="V22" s="185" t="n"/>
      <c r="W22" s="185" t="n"/>
      <c r="X22" s="185" t="n"/>
      <c r="Y22" s="185" t="n"/>
      <c r="Z22" s="185" t="n"/>
      <c r="AA22" s="185" t="n"/>
      <c r="AB22" s="185" t="n"/>
      <c r="AC22" s="185" t="n"/>
      <c r="AD22" s="185" t="n"/>
      <c r="AE22" s="185" t="n"/>
      <c r="AF22" s="185" t="n"/>
      <c r="AG22" s="185" t="n"/>
      <c r="AH22" s="185" t="n"/>
      <c r="AI22" s="101" t="n"/>
      <c r="AJ22" s="167" t="n"/>
      <c r="AK22" s="169" t="n"/>
      <c r="AL22" s="171" t="n"/>
      <c r="AM22" s="588">
        <f>AI22+AK22</f>
      </c>
      <c r="AN22" s="588">
        <f>AJ22+AL22</f>
      </c>
      <c r="AO22" s="171" t="n"/>
      <c r="AP22" s="171" t="n"/>
      <c r="AQ22" s="171" t="n"/>
      <c r="AR22" s="589" t="n"/>
      <c r="AS22" s="102" t="n"/>
    </row>
    <row r="23" ht="18.75" customFormat="1" customHeight="1" s="154">
      <c r="A23" s="180" t="n"/>
      <c r="B23" s="181" t="n"/>
      <c r="C23" s="181" t="n"/>
      <c r="D23" s="102" t="n"/>
      <c r="E23" s="182" t="n"/>
      <c r="F23" s="102" t="n"/>
      <c r="G23" s="102" t="n"/>
      <c r="H23" s="102" t="n"/>
      <c r="I23" s="102" t="n"/>
      <c r="J23" s="102" t="n"/>
      <c r="K23" s="183" t="n"/>
      <c r="L23" s="102" t="n"/>
      <c r="M23" s="102" t="n"/>
      <c r="N23" s="102" t="n"/>
      <c r="O23" s="102" t="n"/>
      <c r="P23" s="102" t="n"/>
      <c r="Q23" s="184" t="n"/>
      <c r="R23" s="102" t="n"/>
      <c r="S23" s="185" t="n"/>
      <c r="T23" s="185" t="n"/>
      <c r="U23" s="185" t="n"/>
      <c r="V23" s="185" t="n"/>
      <c r="W23" s="185" t="n"/>
      <c r="X23" s="185" t="n"/>
      <c r="Y23" s="185" t="n"/>
      <c r="Z23" s="185" t="n"/>
      <c r="AA23" s="185" t="n"/>
      <c r="AB23" s="185" t="n"/>
      <c r="AC23" s="185" t="n"/>
      <c r="AD23" s="185" t="n"/>
      <c r="AE23" s="185" t="n"/>
      <c r="AF23" s="185" t="n"/>
      <c r="AG23" s="185" t="n"/>
      <c r="AH23" s="185" t="n"/>
      <c r="AI23" s="101" t="n"/>
      <c r="AJ23" s="167" t="n"/>
      <c r="AK23" s="169" t="n"/>
      <c r="AL23" s="171" t="n"/>
      <c r="AM23" s="588">
        <f>AI23+AK23</f>
      </c>
      <c r="AN23" s="588">
        <f>AJ23+AL23</f>
      </c>
      <c r="AO23" s="171" t="n"/>
      <c r="AP23" s="171" t="n"/>
      <c r="AQ23" s="171" t="n"/>
      <c r="AR23" s="589" t="n"/>
      <c r="AS23" s="102" t="n"/>
    </row>
    <row r="24" ht="18.75" customFormat="1" customHeight="1" s="154">
      <c r="A24" s="180" t="n"/>
      <c r="B24" s="181" t="n"/>
      <c r="C24" s="181" t="n"/>
      <c r="D24" s="102" t="n"/>
      <c r="E24" s="182" t="n"/>
      <c r="F24" s="102" t="n"/>
      <c r="G24" s="102" t="n"/>
      <c r="H24" s="102" t="n"/>
      <c r="I24" s="102" t="n"/>
      <c r="J24" s="102" t="n"/>
      <c r="K24" s="183" t="n"/>
      <c r="L24" s="102" t="n"/>
      <c r="M24" s="102" t="n"/>
      <c r="N24" s="102" t="n"/>
      <c r="O24" s="102" t="n"/>
      <c r="P24" s="102" t="n"/>
      <c r="Q24" s="184" t="n"/>
      <c r="R24" s="102" t="n"/>
      <c r="S24" s="185" t="n"/>
      <c r="T24" s="185" t="n"/>
      <c r="U24" s="185" t="n"/>
      <c r="V24" s="185" t="n"/>
      <c r="W24" s="185" t="n"/>
      <c r="X24" s="185" t="n"/>
      <c r="Y24" s="185" t="n"/>
      <c r="Z24" s="185" t="n"/>
      <c r="AA24" s="185" t="n"/>
      <c r="AB24" s="185" t="n"/>
      <c r="AC24" s="185" t="n"/>
      <c r="AD24" s="185" t="n"/>
      <c r="AE24" s="185" t="n"/>
      <c r="AF24" s="185" t="n"/>
      <c r="AG24" s="185" t="n"/>
      <c r="AH24" s="185" t="n"/>
      <c r="AI24" s="101" t="n"/>
      <c r="AJ24" s="167" t="n"/>
      <c r="AK24" s="169" t="n"/>
      <c r="AL24" s="171" t="n"/>
      <c r="AM24" s="588">
        <f>AI24+AK24</f>
      </c>
      <c r="AN24" s="588">
        <f>AJ24+AL24</f>
      </c>
      <c r="AO24" s="171" t="n"/>
      <c r="AP24" s="171" t="n"/>
      <c r="AQ24" s="171" t="n"/>
      <c r="AR24" s="589" t="n"/>
      <c r="AS24" s="102" t="n"/>
    </row>
    <row r="25" ht="15.75" customFormat="1" customHeight="1" s="154">
      <c r="A25" s="186" t="n"/>
      <c r="B25" s="186" t="n"/>
      <c r="C25" s="187" t="n"/>
      <c r="D25" s="188" t="n"/>
      <c r="E25" s="188" t="n"/>
      <c r="F25" s="165" t="n"/>
      <c r="G25" s="165" t="n"/>
      <c r="H25" s="165" t="n"/>
      <c r="I25" s="165" t="n"/>
      <c r="J25" s="165" t="n"/>
      <c r="K25" s="165" t="n"/>
      <c r="L25" s="165" t="n"/>
      <c r="M25" s="165" t="n"/>
      <c r="N25" s="165" t="n"/>
      <c r="O25" s="165" t="n"/>
      <c r="P25" s="165" t="n"/>
      <c r="Q25" s="189" t="n"/>
      <c r="R25" s="190" t="n"/>
      <c r="S25" s="190" t="n"/>
      <c r="T25" s="190" t="n"/>
      <c r="U25" s="190" t="n"/>
      <c r="V25" s="190" t="n"/>
      <c r="W25" s="190" t="n"/>
      <c r="X25" s="190" t="n"/>
      <c r="Y25" s="190" t="n"/>
      <c r="Z25" s="190" t="n"/>
      <c r="AA25" s="190" t="n"/>
      <c r="AB25" s="190" t="n"/>
      <c r="AC25" s="190" t="n"/>
      <c r="AD25" s="190" t="n"/>
      <c r="AE25" s="190" t="n"/>
      <c r="AF25" s="190" t="n"/>
      <c r="AG25" s="190" t="n"/>
      <c r="AH25" s="190" t="n"/>
      <c r="AI25" s="590" t="n"/>
      <c r="AJ25" s="591" t="n"/>
      <c r="AK25" s="592" t="n"/>
      <c r="AL25" s="590" t="n"/>
      <c r="AM25" s="588">
        <f>AI25+AK25</f>
      </c>
      <c r="AN25" s="588">
        <f>AJ25+AL25</f>
      </c>
      <c r="AO25" s="590" t="n"/>
      <c r="AP25" s="186" t="n"/>
      <c r="AQ25" s="590" t="n"/>
      <c r="AR25" s="589">
        <f>IF(AN25=0,"",(AQ25-AN25)/AN25*100)</f>
      </c>
      <c r="AS25" s="102" t="n"/>
    </row>
    <row r="26" ht="15.75" customFormat="1" customHeight="1" s="154">
      <c r="A26" s="186" t="inlineStr">
        <is>
          <t>合                计</t>
        </is>
      </c>
      <c r="B26" s="138" t="n"/>
      <c r="C26" s="28" t="n"/>
      <c r="D26" s="188" t="n"/>
      <c r="E26" s="188" t="n"/>
      <c r="F26" s="165" t="n"/>
      <c r="G26" s="165" t="n"/>
      <c r="H26" s="165" t="n"/>
      <c r="I26" s="165" t="n"/>
      <c r="J26" s="165" t="n"/>
      <c r="K26" s="165" t="n"/>
      <c r="L26" s="165" t="n"/>
      <c r="M26" s="165" t="n"/>
      <c r="N26" s="165" t="n"/>
      <c r="O26" s="165" t="n"/>
      <c r="P26" s="165" t="n"/>
      <c r="Q26" s="189" t="n"/>
      <c r="R26" s="190" t="n"/>
      <c r="S26" s="190" t="n"/>
      <c r="T26" s="190" t="n"/>
      <c r="U26" s="190" t="n"/>
      <c r="V26" s="190" t="n"/>
      <c r="W26" s="190" t="n"/>
      <c r="X26" s="190" t="n"/>
      <c r="Y26" s="190" t="n"/>
      <c r="Z26" s="190" t="n"/>
      <c r="AA26" s="190" t="n"/>
      <c r="AB26" s="190" t="n"/>
      <c r="AC26" s="190" t="n"/>
      <c r="AD26" s="190" t="n"/>
      <c r="AE26" s="190" t="n"/>
      <c r="AF26" s="190" t="n"/>
      <c r="AG26" s="190" t="n"/>
      <c r="AH26" s="190" t="n"/>
      <c r="AI26" s="590">
        <f>SUM(AI9:AI25)</f>
      </c>
      <c r="AJ26" s="590">
        <f>SUM(AJ9:AJ25)</f>
      </c>
      <c r="AK26" s="592" t="n"/>
      <c r="AL26" s="590" t="n"/>
      <c r="AM26" s="590">
        <f>SUM(AM9:AM25)</f>
      </c>
      <c r="AN26" s="590">
        <f>SUM(AN9:AN25)</f>
      </c>
      <c r="AO26" s="590">
        <f>SUM(AO25:AO25)</f>
      </c>
      <c r="AP26" s="590" t="n"/>
      <c r="AQ26" s="590">
        <f>SUM(AQ25:AQ25)</f>
      </c>
      <c r="AR26" s="589">
        <f>IF(AN26=0,"",(AQ26-AN26)/AN26*100)</f>
      </c>
      <c r="AS26" s="102" t="n"/>
    </row>
    <row r="27" ht="15.75" customFormat="1" customHeight="1" s="153">
      <c r="A27" s="29" t="inlineStr">
        <is>
          <t>被评估单位填表人：</t>
        </is>
      </c>
      <c r="B27" s="194" t="n"/>
      <c r="AO27" s="13" t="inlineStr">
        <is>
          <t>评估人员：</t>
        </is>
      </c>
      <c r="AS27" s="186" t="n"/>
    </row>
    <row r="28" ht="15.75" customFormat="1" customHeight="1" s="153">
      <c r="A28" s="29" t="inlineStr">
        <is>
          <t>填表日期：2009年11月5日</t>
        </is>
      </c>
      <c r="B28" s="194" t="n"/>
    </row>
  </sheetData>
  <mergeCells count="45">
    <mergeCell ref="V5:V8"/>
    <mergeCell ref="AB5:AB8"/>
    <mergeCell ref="C5:C8"/>
    <mergeCell ref="AD5:AD8"/>
    <mergeCell ref="K5:L5"/>
    <mergeCell ref="M5:N5"/>
    <mergeCell ref="R6:R7"/>
    <mergeCell ref="N6:N8"/>
    <mergeCell ref="E5:E8"/>
    <mergeCell ref="AH5:AH8"/>
    <mergeCell ref="W5:W8"/>
    <mergeCell ref="A26:C26"/>
    <mergeCell ref="F5:F8"/>
    <mergeCell ref="Y5:Y8"/>
    <mergeCell ref="AA5:AA8"/>
    <mergeCell ref="AO5:AQ5"/>
    <mergeCell ref="K6:K8"/>
    <mergeCell ref="AC5:AC8"/>
    <mergeCell ref="L6:L8"/>
    <mergeCell ref="P6:Q6"/>
    <mergeCell ref="A3:AS3"/>
    <mergeCell ref="A2:AS2"/>
    <mergeCell ref="O6:O8"/>
    <mergeCell ref="AM5:AN5"/>
    <mergeCell ref="G5:G8"/>
    <mergeCell ref="X5:X8"/>
    <mergeCell ref="I5:I8"/>
    <mergeCell ref="Z5:Z8"/>
    <mergeCell ref="AF5:AF8"/>
    <mergeCell ref="AR5:AR6"/>
    <mergeCell ref="O5:R5"/>
    <mergeCell ref="A5:A8"/>
    <mergeCell ref="S5:S8"/>
    <mergeCell ref="D5:D8"/>
    <mergeCell ref="U5:U8"/>
    <mergeCell ref="B5:B8"/>
    <mergeCell ref="M6:M8"/>
    <mergeCell ref="AE5:AE8"/>
    <mergeCell ref="AG5:AG8"/>
    <mergeCell ref="AS5:AS6"/>
    <mergeCell ref="AI5:AJ5"/>
    <mergeCell ref="H5:H8"/>
    <mergeCell ref="AK5:AL6"/>
    <mergeCell ref="T5:T8"/>
    <mergeCell ref="J5:J8"/>
  </mergeCells>
  <hyperlinks>
    <hyperlink ref="A1" location="索引目录!D27" display="返回索引页"/>
    <hyperlink ref="B1" location="固定资产汇总!A1" display="返回"/>
    <hyperlink ref="C1" location="固定资产汇总!B10" display="返回"/>
  </hyperlinks>
  <pageMargins left="0.7" right="0.7" top="0.75" bottom="0.75" header="0.3" footer="0.3"/>
  <pageSetup orientation="portrait" paperSize="9"/>
  <legacyDrawing xmlns:r="http://schemas.openxmlformats.org/officeDocument/2006/relationships" r:id="anysvml"/>
</worksheet>
</file>

<file path=xl/worksheets/sheet49.xml><?xml version="1.0" encoding="utf-8"?>
<worksheet xmlns="http://schemas.openxmlformats.org/spreadsheetml/2006/main">
  <sheetPr codeName="Sheet49">
    <outlinePr summaryBelow="1" summaryRight="1"/>
    <pageSetUpPr/>
  </sheetPr>
  <dimension ref="A1:A1"/>
  <sheetViews>
    <sheetView workbookViewId="0">
      <selection activeCell="G451" sqref="G451"/>
    </sheetView>
  </sheetViews>
  <sheetFormatPr baseColWidth="8" defaultColWidth="9" defaultRowHeight="15.5"/>
  <sheetData/>
  <pageMargins left="0.7" right="0.7" top="0.75" bottom="0.75" header="0.3" footer="0.3"/>
</worksheet>
</file>

<file path=xl/worksheets/sheet50.xml><?xml version="1.0" encoding="utf-8"?>
<worksheet xmlns="http://schemas.openxmlformats.org/spreadsheetml/2006/main">
  <sheetPr codeName="Sheet50">
    <outlinePr summaryBelow="1" summaryRight="1"/>
    <pageSetUpPr fitToPage="1"/>
  </sheetPr>
  <dimension ref="A1:T29"/>
  <sheetViews>
    <sheetView view="pageBreakPreview" zoomScale="115" zoomScaleNormal="100" workbookViewId="0">
      <selection activeCell="G451" sqref="G451"/>
    </sheetView>
  </sheetViews>
  <sheetFormatPr baseColWidth="8" defaultColWidth="9" defaultRowHeight="15.75" customHeight="1"/>
  <cols>
    <col width="4.5" customWidth="1" style="13" min="1" max="1"/>
    <col width="13.25" customWidth="1" style="13" min="2" max="2"/>
    <col hidden="1" outlineLevel="1" width="8" customWidth="1" style="13" min="3" max="3"/>
    <col collapsed="1" width="4.75" customWidth="1" style="13" min="4" max="4"/>
    <col width="4.75" customWidth="1" style="13" min="5" max="5"/>
    <col width="16.3333333333333" customWidth="1" style="13" min="6" max="6"/>
    <col width="4.33333333333333" customWidth="1" style="13" min="7" max="7"/>
    <col width="4.83333333333333" customWidth="1" style="13" min="8" max="8"/>
    <col width="5" customWidth="1" style="13" min="9" max="9"/>
    <col hidden="1" outlineLevel="1" width="11" customWidth="1" style="13" min="10" max="13"/>
    <col collapsed="1" width="11.75" customWidth="1" style="13" min="14" max="14"/>
    <col width="11.5" customWidth="1" style="13" min="15" max="15"/>
    <col width="11" customWidth="1" style="13" min="16" max="16"/>
    <col width="6.58333333333333" customWidth="1" style="13" min="17" max="17"/>
    <col width="11" customWidth="1" style="13" min="18" max="18"/>
    <col width="6.08333333333333" customWidth="1" style="13" min="19" max="19"/>
    <col width="5.75" customWidth="1" style="13" min="20" max="20"/>
    <col width="9" customWidth="1" style="13" min="21"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c r="P1" s="16" t="n"/>
      <c r="Q1" s="16" t="n"/>
      <c r="R1" s="16" t="n"/>
      <c r="S1" s="16" t="n"/>
      <c r="T1" s="16" t="n"/>
    </row>
    <row r="2" ht="30" customFormat="1" customHeight="1" s="11">
      <c r="A2" s="17" t="inlineStr">
        <is>
          <t>固定资产—管道和沟槽评估明细表</t>
        </is>
      </c>
    </row>
    <row r="3" ht="14.15" customHeight="1">
      <c r="A3" s="535">
        <f>CONCATENATE(封面!D9,封面!F9,封面!G9,封面!H9,封面!I9,封面!J9,封面!K9)</f>
      </c>
    </row>
    <row r="4" ht="15.5" customHeight="1">
      <c r="A4" s="536">
        <f>封面!D7&amp;封面!F7</f>
      </c>
      <c r="G4" s="54" t="n"/>
      <c r="H4" s="54" t="n"/>
      <c r="I4" s="54" t="n"/>
      <c r="T4" s="20" t="inlineStr">
        <is>
          <t>金额单位：人民币元</t>
        </is>
      </c>
    </row>
    <row r="5" ht="13" customFormat="1" customHeight="1" s="12">
      <c r="A5" s="21" t="inlineStr">
        <is>
          <t>序号</t>
        </is>
      </c>
      <c r="B5" s="23" t="inlineStr">
        <is>
          <t xml:space="preserve"> 名称</t>
        </is>
      </c>
      <c r="C5" s="100" t="inlineStr">
        <is>
          <t>使用单位</t>
        </is>
      </c>
      <c r="D5" s="22" t="inlineStr">
        <is>
          <t>长度
(m)</t>
        </is>
      </c>
      <c r="E5" s="22" t="inlineStr">
        <is>
          <t>漕深
(m)</t>
        </is>
      </c>
      <c r="F5" s="22" t="inlineStr">
        <is>
          <t>沟宽*沟厚(mm*mm)
管径*壁厚(mm*mm)</t>
        </is>
      </c>
      <c r="G5" s="22" t="inlineStr">
        <is>
          <t>材质</t>
        </is>
      </c>
      <c r="H5" s="22" t="inlineStr">
        <is>
          <t>绝缘方式</t>
        </is>
      </c>
      <c r="I5" s="22" t="inlineStr">
        <is>
          <t>建成年月</t>
        </is>
      </c>
      <c r="J5" s="101" t="inlineStr">
        <is>
          <t>审计前账面值</t>
        </is>
      </c>
      <c r="K5" s="28" t="n"/>
      <c r="L5" s="102" t="inlineStr">
        <is>
          <t>审计调整</t>
        </is>
      </c>
      <c r="M5" s="28" t="n"/>
      <c r="N5" s="21" t="inlineStr">
        <is>
          <t>账面价值</t>
        </is>
      </c>
      <c r="O5" s="28" t="n"/>
      <c r="P5" s="21" t="inlineStr">
        <is>
          <t>评估价值</t>
        </is>
      </c>
      <c r="Q5" s="138" t="n"/>
      <c r="R5" s="28" t="n"/>
      <c r="S5" s="22" t="inlineStr">
        <is>
          <t>增值率%</t>
        </is>
      </c>
      <c r="T5" s="22" t="inlineStr">
        <is>
          <t>备注</t>
        </is>
      </c>
    </row>
    <row r="6" ht="13" customFormat="1" customHeight="1" s="12">
      <c r="A6" s="36" t="n"/>
      <c r="B6" s="36" t="n"/>
      <c r="C6" s="36" t="n"/>
      <c r="D6" s="36" t="n"/>
      <c r="E6" s="36" t="n"/>
      <c r="F6" s="36" t="n"/>
      <c r="G6" s="36" t="n"/>
      <c r="H6" s="36" t="n"/>
      <c r="I6" s="36" t="n"/>
      <c r="J6" s="21" t="inlineStr">
        <is>
          <t>原值</t>
        </is>
      </c>
      <c r="K6" s="21" t="inlineStr">
        <is>
          <t>净值</t>
        </is>
      </c>
      <c r="L6" s="21" t="inlineStr">
        <is>
          <t>原值</t>
        </is>
      </c>
      <c r="M6" s="21" t="inlineStr">
        <is>
          <t>净值</t>
        </is>
      </c>
      <c r="N6" s="21" t="inlineStr">
        <is>
          <t>原值</t>
        </is>
      </c>
      <c r="O6" s="21" t="inlineStr">
        <is>
          <t>净值</t>
        </is>
      </c>
      <c r="P6" s="21" t="inlineStr">
        <is>
          <t>原值</t>
        </is>
      </c>
      <c r="Q6" s="21" t="inlineStr">
        <is>
          <t>成新率%</t>
        </is>
      </c>
      <c r="R6" s="21" t="inlineStr">
        <is>
          <t>净值</t>
        </is>
      </c>
      <c r="S6" s="36" t="n"/>
      <c r="T6" s="36" t="n"/>
    </row>
    <row r="7" ht="15.5" customHeight="1">
      <c r="A7" s="23" t="n"/>
      <c r="B7" s="24" t="n"/>
      <c r="C7" s="103" t="n"/>
      <c r="D7" s="23" t="n"/>
      <c r="E7" s="23" t="n"/>
      <c r="F7" s="23" t="n"/>
      <c r="G7" s="23" t="n"/>
      <c r="H7" s="23" t="n"/>
      <c r="I7" s="21" t="n"/>
      <c r="J7" s="539" t="n"/>
      <c r="K7" s="539" t="n"/>
      <c r="L7" s="539" t="n"/>
      <c r="M7" s="539" t="n"/>
      <c r="N7" s="539" t="n"/>
      <c r="O7" s="539" t="n"/>
      <c r="P7" s="539" t="n"/>
      <c r="Q7" s="23" t="n"/>
      <c r="R7" s="539">
        <f>ROUND(P7*Q7/100,0)</f>
      </c>
      <c r="S7" s="539">
        <f>IF(O7=0,"",(R7-O7)/O7*100)</f>
      </c>
      <c r="T7" s="27" t="n"/>
    </row>
    <row r="8" ht="15.5" customHeight="1">
      <c r="A8" s="23" t="n"/>
      <c r="B8" s="24" t="n"/>
      <c r="C8" s="103" t="n"/>
      <c r="D8" s="23" t="n"/>
      <c r="E8" s="23" t="n"/>
      <c r="F8" s="23" t="n"/>
      <c r="G8" s="23" t="n"/>
      <c r="H8" s="23" t="n"/>
      <c r="I8" s="25" t="n"/>
      <c r="J8" s="539" t="n"/>
      <c r="K8" s="539" t="n"/>
      <c r="L8" s="539" t="n"/>
      <c r="M8" s="539" t="n"/>
      <c r="N8" s="539" t="n"/>
      <c r="O8" s="539" t="n"/>
      <c r="P8" s="539" t="n"/>
      <c r="Q8" s="23" t="n"/>
      <c r="R8" s="539">
        <f>ROUND(P8*Q8/100,0)</f>
      </c>
      <c r="S8" s="539">
        <f>IF(O8=0,"",(R8-O8)/O8*100)</f>
      </c>
      <c r="T8" s="27" t="n"/>
    </row>
    <row r="9" ht="15.5" customHeight="1">
      <c r="A9" s="23" t="n"/>
      <c r="B9" s="24" t="n"/>
      <c r="C9" s="103" t="n"/>
      <c r="D9" s="23" t="n"/>
      <c r="E9" s="23" t="n"/>
      <c r="F9" s="23" t="n"/>
      <c r="G9" s="23" t="n"/>
      <c r="H9" s="23" t="n"/>
      <c r="I9" s="25" t="n"/>
      <c r="J9" s="539" t="n"/>
      <c r="K9" s="539" t="n"/>
      <c r="L9" s="539" t="n"/>
      <c r="M9" s="539" t="n"/>
      <c r="N9" s="539" t="n"/>
      <c r="O9" s="539" t="n"/>
      <c r="P9" s="539" t="n"/>
      <c r="Q9" s="23" t="n"/>
      <c r="R9" s="539">
        <f>ROUND(P9*Q9/100,0)</f>
      </c>
      <c r="S9" s="539">
        <f>IF(O9=0,"",(R9-O9)/O9*100)</f>
      </c>
      <c r="T9" s="27" t="n"/>
    </row>
    <row r="10" ht="15.5" customHeight="1">
      <c r="A10" s="23" t="n"/>
      <c r="B10" s="24" t="n"/>
      <c r="C10" s="103" t="n"/>
      <c r="D10" s="23" t="n"/>
      <c r="E10" s="23" t="n"/>
      <c r="F10" s="23" t="n"/>
      <c r="G10" s="23" t="n"/>
      <c r="H10" s="23" t="n"/>
      <c r="I10" s="25" t="n"/>
      <c r="J10" s="539" t="n"/>
      <c r="K10" s="539" t="n"/>
      <c r="L10" s="539" t="n"/>
      <c r="M10" s="539" t="n"/>
      <c r="N10" s="539" t="n"/>
      <c r="O10" s="539" t="n"/>
      <c r="P10" s="539" t="n"/>
      <c r="Q10" s="23" t="n"/>
      <c r="R10" s="539">
        <f>ROUND(P10*Q10/100,0)</f>
      </c>
      <c r="S10" s="539">
        <f>IF(O10=0,"",(R10-O10)/O10*100)</f>
      </c>
      <c r="T10" s="27" t="n"/>
    </row>
    <row r="11" ht="15.5" customHeight="1">
      <c r="A11" s="23" t="n"/>
      <c r="B11" s="24" t="n"/>
      <c r="C11" s="103" t="n"/>
      <c r="D11" s="23" t="n"/>
      <c r="E11" s="23" t="n"/>
      <c r="F11" s="23" t="n"/>
      <c r="G11" s="23" t="n"/>
      <c r="H11" s="23" t="n"/>
      <c r="I11" s="25" t="n"/>
      <c r="J11" s="539" t="n"/>
      <c r="K11" s="539" t="n"/>
      <c r="L11" s="539" t="n"/>
      <c r="M11" s="539" t="n"/>
      <c r="N11" s="539" t="n"/>
      <c r="O11" s="539" t="n"/>
      <c r="P11" s="539" t="n"/>
      <c r="Q11" s="23" t="n"/>
      <c r="R11" s="539">
        <f>ROUND(P11*Q11/100,0)</f>
      </c>
      <c r="S11" s="539">
        <f>IF(O11=0,"",(R11-O11)/O11*100)</f>
      </c>
      <c r="T11" s="27" t="n"/>
    </row>
    <row r="12" ht="15.5" customHeight="1">
      <c r="A12" s="23" t="n"/>
      <c r="B12" s="24" t="n"/>
      <c r="C12" s="103" t="n"/>
      <c r="D12" s="23" t="n"/>
      <c r="E12" s="23" t="n"/>
      <c r="F12" s="23" t="n"/>
      <c r="G12" s="23" t="n"/>
      <c r="H12" s="23" t="n"/>
      <c r="I12" s="25" t="n"/>
      <c r="J12" s="539" t="n"/>
      <c r="K12" s="539" t="n"/>
      <c r="L12" s="539" t="n"/>
      <c r="M12" s="539" t="n"/>
      <c r="N12" s="539" t="n"/>
      <c r="O12" s="539" t="n"/>
      <c r="P12" s="539" t="n"/>
      <c r="Q12" s="23" t="n"/>
      <c r="R12" s="539">
        <f>ROUND(P12*Q12/100,0)</f>
      </c>
      <c r="S12" s="539">
        <f>IF(O12=0,"",(R12-O12)/O12*100)</f>
      </c>
      <c r="T12" s="27" t="n"/>
    </row>
    <row r="13" ht="15.5" customHeight="1">
      <c r="A13" s="23" t="n"/>
      <c r="B13" s="24" t="n"/>
      <c r="C13" s="103" t="n"/>
      <c r="D13" s="23" t="n"/>
      <c r="E13" s="23" t="n"/>
      <c r="F13" s="23" t="n"/>
      <c r="G13" s="23" t="n"/>
      <c r="H13" s="23" t="n"/>
      <c r="I13" s="25" t="n"/>
      <c r="J13" s="539" t="n"/>
      <c r="K13" s="539" t="n"/>
      <c r="L13" s="539" t="n"/>
      <c r="M13" s="539" t="n"/>
      <c r="N13" s="539" t="n"/>
      <c r="O13" s="539" t="n"/>
      <c r="P13" s="539" t="n"/>
      <c r="Q13" s="23" t="n"/>
      <c r="R13" s="539">
        <f>ROUND(P13*Q13/100,0)</f>
      </c>
      <c r="S13" s="539">
        <f>IF(O13=0,"",(R13-O13)/O13*100)</f>
      </c>
      <c r="T13" s="27" t="n"/>
    </row>
    <row r="14" ht="15.5" customHeight="1">
      <c r="A14" s="23" t="n"/>
      <c r="B14" s="24" t="n"/>
      <c r="C14" s="103" t="n"/>
      <c r="D14" s="23" t="n"/>
      <c r="E14" s="23" t="n"/>
      <c r="F14" s="23" t="n"/>
      <c r="G14" s="23" t="n"/>
      <c r="H14" s="23" t="n"/>
      <c r="I14" s="25" t="n"/>
      <c r="J14" s="539" t="n"/>
      <c r="K14" s="539" t="n"/>
      <c r="L14" s="539" t="n"/>
      <c r="M14" s="539" t="n"/>
      <c r="N14" s="539" t="n"/>
      <c r="O14" s="539" t="n"/>
      <c r="P14" s="539" t="n"/>
      <c r="Q14" s="23" t="n"/>
      <c r="R14" s="539">
        <f>ROUND(P14*Q14/100,0)</f>
      </c>
      <c r="S14" s="539">
        <f>IF(O14=0,"",(R14-O14)/O14*100)</f>
      </c>
      <c r="T14" s="27" t="n"/>
    </row>
    <row r="15" ht="15.5" customHeight="1">
      <c r="A15" s="23" t="n"/>
      <c r="B15" s="24" t="n"/>
      <c r="C15" s="103" t="n"/>
      <c r="D15" s="23" t="n"/>
      <c r="E15" s="23" t="n"/>
      <c r="F15" s="23" t="n"/>
      <c r="G15" s="23" t="n"/>
      <c r="H15" s="23" t="n"/>
      <c r="I15" s="25" t="n"/>
      <c r="J15" s="539" t="n"/>
      <c r="K15" s="539" t="n"/>
      <c r="L15" s="539" t="n"/>
      <c r="M15" s="539" t="n"/>
      <c r="N15" s="539" t="n"/>
      <c r="O15" s="539" t="n"/>
      <c r="P15" s="539" t="n"/>
      <c r="Q15" s="23" t="n"/>
      <c r="R15" s="539">
        <f>ROUND(P15*Q15/100,0)</f>
      </c>
      <c r="S15" s="539">
        <f>IF(O15=0,"",(R15-O15)/O15*100)</f>
      </c>
      <c r="T15" s="27" t="n"/>
    </row>
    <row r="16" ht="15.5" customHeight="1">
      <c r="A16" s="23" t="n"/>
      <c r="B16" s="24" t="n"/>
      <c r="C16" s="103" t="n"/>
      <c r="D16" s="23" t="n"/>
      <c r="E16" s="23" t="n"/>
      <c r="F16" s="23" t="n"/>
      <c r="G16" s="23" t="n"/>
      <c r="H16" s="23" t="n"/>
      <c r="I16" s="25" t="n"/>
      <c r="J16" s="539" t="n"/>
      <c r="K16" s="539" t="n"/>
      <c r="L16" s="539" t="n"/>
      <c r="M16" s="539" t="n"/>
      <c r="N16" s="539" t="n"/>
      <c r="O16" s="539" t="n"/>
      <c r="P16" s="539" t="n"/>
      <c r="Q16" s="23" t="n"/>
      <c r="R16" s="539">
        <f>ROUND(P16*Q16/100,0)</f>
      </c>
      <c r="S16" s="539">
        <f>IF(O16=0,"",(R16-O16)/O16*100)</f>
      </c>
      <c r="T16" s="27" t="n"/>
    </row>
    <row r="17" ht="15.5" customHeight="1">
      <c r="A17" s="23" t="n"/>
      <c r="B17" s="24" t="n"/>
      <c r="C17" s="103" t="n"/>
      <c r="D17" s="23" t="n"/>
      <c r="E17" s="23" t="n"/>
      <c r="F17" s="23" t="n"/>
      <c r="G17" s="23" t="n"/>
      <c r="H17" s="23" t="n"/>
      <c r="I17" s="25" t="n"/>
      <c r="J17" s="539" t="n"/>
      <c r="K17" s="539" t="n"/>
      <c r="L17" s="539" t="n"/>
      <c r="M17" s="539" t="n"/>
      <c r="N17" s="539" t="n"/>
      <c r="O17" s="539" t="n"/>
      <c r="P17" s="539" t="n"/>
      <c r="Q17" s="23" t="n"/>
      <c r="R17" s="539">
        <f>ROUND(P17*Q17/100,0)</f>
      </c>
      <c r="S17" s="539">
        <f>IF(O17=0,"",(R17-O17)/O17*100)</f>
      </c>
      <c r="T17" s="27" t="n"/>
    </row>
    <row r="18" ht="15.5" customHeight="1">
      <c r="A18" s="23" t="n"/>
      <c r="B18" s="24" t="n"/>
      <c r="C18" s="103" t="n"/>
      <c r="D18" s="23" t="n"/>
      <c r="E18" s="23" t="n"/>
      <c r="F18" s="23" t="n"/>
      <c r="G18" s="23" t="n"/>
      <c r="H18" s="23" t="n"/>
      <c r="I18" s="25" t="n"/>
      <c r="J18" s="539" t="n"/>
      <c r="K18" s="539" t="n"/>
      <c r="L18" s="539" t="n"/>
      <c r="M18" s="539" t="n"/>
      <c r="N18" s="539" t="n"/>
      <c r="O18" s="539" t="n"/>
      <c r="P18" s="539" t="n"/>
      <c r="Q18" s="23" t="n"/>
      <c r="R18" s="539">
        <f>ROUND(P18*Q18/100,0)</f>
      </c>
      <c r="S18" s="539">
        <f>IF(O18=0,"",(R18-O18)/O18*100)</f>
      </c>
      <c r="T18" s="27" t="n"/>
    </row>
    <row r="19" ht="15.5" customHeight="1">
      <c r="A19" s="23" t="n"/>
      <c r="B19" s="24" t="n"/>
      <c r="C19" s="103" t="n"/>
      <c r="D19" s="23" t="n"/>
      <c r="E19" s="23" t="n"/>
      <c r="F19" s="23" t="n"/>
      <c r="G19" s="23" t="n"/>
      <c r="H19" s="23" t="n"/>
      <c r="I19" s="25" t="n"/>
      <c r="J19" s="539" t="n"/>
      <c r="K19" s="539" t="n"/>
      <c r="L19" s="539" t="n"/>
      <c r="M19" s="539" t="n"/>
      <c r="N19" s="539" t="n"/>
      <c r="O19" s="539" t="n"/>
      <c r="P19" s="539" t="n"/>
      <c r="Q19" s="23" t="n"/>
      <c r="R19" s="539">
        <f>ROUND(P19*Q19/100,0)</f>
      </c>
      <c r="S19" s="539">
        <f>IF(O19=0,"",(R19-O19)/O19*100)</f>
      </c>
      <c r="T19" s="27" t="n"/>
    </row>
    <row r="20" ht="15.5" customHeight="1">
      <c r="A20" s="23" t="n"/>
      <c r="B20" s="24" t="n"/>
      <c r="C20" s="103" t="n"/>
      <c r="D20" s="23" t="n"/>
      <c r="E20" s="23" t="n"/>
      <c r="F20" s="23" t="n"/>
      <c r="G20" s="23" t="n"/>
      <c r="H20" s="23" t="n"/>
      <c r="I20" s="25" t="n"/>
      <c r="J20" s="539" t="n"/>
      <c r="K20" s="539" t="n"/>
      <c r="L20" s="539" t="n"/>
      <c r="M20" s="539" t="n"/>
      <c r="N20" s="539" t="n"/>
      <c r="O20" s="539" t="n"/>
      <c r="P20" s="539" t="n"/>
      <c r="Q20" s="23" t="n"/>
      <c r="R20" s="539">
        <f>ROUND(P20*Q20/100,0)</f>
      </c>
      <c r="S20" s="539">
        <f>IF(O20=0,"",(R20-O20)/O20*100)</f>
      </c>
      <c r="T20" s="27" t="n"/>
    </row>
    <row r="21" ht="15.5" customHeight="1">
      <c r="A21" s="23" t="n"/>
      <c r="B21" s="24" t="n"/>
      <c r="C21" s="103" t="n"/>
      <c r="D21" s="23" t="n"/>
      <c r="E21" s="23" t="n"/>
      <c r="F21" s="23" t="n"/>
      <c r="G21" s="23" t="n"/>
      <c r="H21" s="23" t="n"/>
      <c r="I21" s="25" t="n"/>
      <c r="J21" s="539" t="n"/>
      <c r="K21" s="539" t="n"/>
      <c r="L21" s="539" t="n"/>
      <c r="M21" s="539" t="n"/>
      <c r="N21" s="539" t="n"/>
      <c r="O21" s="539" t="n"/>
      <c r="P21" s="539" t="n"/>
      <c r="Q21" s="23" t="n"/>
      <c r="R21" s="539">
        <f>ROUND(P21*Q21/100,0)</f>
      </c>
      <c r="S21" s="539">
        <f>IF(O21=0,"",(R21-O21)/O21*100)</f>
      </c>
      <c r="T21" s="27" t="n"/>
    </row>
    <row r="22" ht="15.5" customHeight="1">
      <c r="A22" s="23" t="n"/>
      <c r="B22" s="24" t="n"/>
      <c r="C22" s="103" t="n"/>
      <c r="D22" s="23" t="n"/>
      <c r="E22" s="23" t="n"/>
      <c r="F22" s="23" t="n"/>
      <c r="G22" s="23" t="n"/>
      <c r="H22" s="23" t="n"/>
      <c r="I22" s="25" t="n"/>
      <c r="J22" s="539" t="n"/>
      <c r="K22" s="539" t="n"/>
      <c r="L22" s="539" t="n"/>
      <c r="M22" s="539" t="n"/>
      <c r="N22" s="539" t="n"/>
      <c r="O22" s="539" t="n"/>
      <c r="P22" s="539" t="n"/>
      <c r="Q22" s="23" t="n"/>
      <c r="R22" s="539">
        <f>ROUND(P22*Q22/100,0)</f>
      </c>
      <c r="S22" s="539">
        <f>IF(O22=0,"",(R22-O22)/O22*100)</f>
      </c>
      <c r="T22" s="27" t="n"/>
    </row>
    <row r="23" ht="15.5" customHeight="1">
      <c r="A23" s="23" t="n"/>
      <c r="B23" s="24" t="n"/>
      <c r="C23" s="103" t="n"/>
      <c r="D23" s="23" t="n"/>
      <c r="E23" s="23" t="n"/>
      <c r="F23" s="23" t="n"/>
      <c r="G23" s="23" t="n"/>
      <c r="H23" s="23" t="n"/>
      <c r="I23" s="25" t="n"/>
      <c r="J23" s="539" t="n"/>
      <c r="K23" s="539" t="n"/>
      <c r="L23" s="539" t="n"/>
      <c r="M23" s="539" t="n"/>
      <c r="N23" s="539" t="n"/>
      <c r="O23" s="539" t="n"/>
      <c r="P23" s="539" t="n"/>
      <c r="Q23" s="23" t="n"/>
      <c r="R23" s="539">
        <f>ROUND(P23*Q23/100,0)</f>
      </c>
      <c r="S23" s="539">
        <f>IF(O23=0,"",(R23-O23)/O23*100)</f>
      </c>
      <c r="T23" s="27" t="n"/>
    </row>
    <row r="24" ht="15.5" customHeight="1">
      <c r="A24" s="23" t="n"/>
      <c r="B24" s="24" t="n"/>
      <c r="C24" s="103" t="n"/>
      <c r="D24" s="23" t="n"/>
      <c r="E24" s="23" t="n"/>
      <c r="F24" s="23" t="n"/>
      <c r="G24" s="23" t="n"/>
      <c r="H24" s="23" t="n"/>
      <c r="I24" s="25" t="n"/>
      <c r="J24" s="539" t="n"/>
      <c r="K24" s="539" t="n"/>
      <c r="L24" s="539" t="n"/>
      <c r="M24" s="539" t="n"/>
      <c r="N24" s="539" t="n"/>
      <c r="O24" s="539" t="n"/>
      <c r="P24" s="539" t="n"/>
      <c r="Q24" s="23" t="n"/>
      <c r="R24" s="539">
        <f>ROUND(P24*Q24/100,0)</f>
      </c>
      <c r="S24" s="539">
        <f>IF(O24=0,"",(R24-O24)/O24*100)</f>
      </c>
      <c r="T24" s="27" t="n"/>
    </row>
    <row r="25" ht="15.5" customHeight="1">
      <c r="A25" s="23" t="n"/>
      <c r="B25" s="24" t="n"/>
      <c r="C25" s="103" t="n"/>
      <c r="D25" s="23" t="n"/>
      <c r="E25" s="23" t="n"/>
      <c r="F25" s="23" t="n"/>
      <c r="G25" s="23" t="n"/>
      <c r="H25" s="23" t="n"/>
      <c r="I25" s="25" t="n"/>
      <c r="J25" s="539" t="n"/>
      <c r="K25" s="539" t="n"/>
      <c r="L25" s="539" t="n"/>
      <c r="M25" s="539" t="n"/>
      <c r="N25" s="539" t="n"/>
      <c r="O25" s="539" t="n"/>
      <c r="P25" s="539" t="n"/>
      <c r="Q25" s="23" t="n"/>
      <c r="R25" s="539">
        <f>ROUND(P25*Q25/100,0)</f>
      </c>
      <c r="S25" s="539">
        <f>IF(O25=0,"",(R25-O25)/O25*100)</f>
      </c>
      <c r="T25" s="27" t="n"/>
    </row>
    <row r="26" ht="15.5" customHeight="1">
      <c r="A26" s="23" t="n"/>
      <c r="B26" s="24" t="n"/>
      <c r="C26" s="103" t="n"/>
      <c r="D26" s="23" t="n"/>
      <c r="E26" s="23" t="n"/>
      <c r="F26" s="23" t="n"/>
      <c r="G26" s="23" t="n"/>
      <c r="H26" s="23" t="n"/>
      <c r="I26" s="25" t="n"/>
      <c r="J26" s="539" t="n"/>
      <c r="K26" s="539" t="n"/>
      <c r="L26" s="539" t="n"/>
      <c r="M26" s="539" t="n"/>
      <c r="N26" s="539" t="n"/>
      <c r="O26" s="539" t="n"/>
      <c r="P26" s="539" t="n"/>
      <c r="Q26" s="23" t="n"/>
      <c r="R26" s="539" t="n"/>
      <c r="S26" s="539" t="n"/>
      <c r="T26" s="27" t="n"/>
    </row>
    <row r="27" ht="15.5" customHeight="1">
      <c r="A27" s="21" t="inlineStr">
        <is>
          <t>合            计</t>
        </is>
      </c>
      <c r="B27" s="28" t="n"/>
      <c r="C27" s="104" t="n"/>
      <c r="D27" s="23" t="n"/>
      <c r="E27" s="23" t="n"/>
      <c r="F27" s="23" t="n"/>
      <c r="G27" s="23" t="n"/>
      <c r="H27" s="23" t="n"/>
      <c r="I27" s="25" t="n"/>
      <c r="J27" s="539">
        <f>SUM(J7:J26)</f>
      </c>
      <c r="K27" s="539">
        <f>SUM(K7:K26)</f>
      </c>
      <c r="L27" s="539" t="n"/>
      <c r="M27" s="539" t="n"/>
      <c r="N27" s="539">
        <f>SUM(N7:N26)</f>
      </c>
      <c r="O27" s="539">
        <f>SUM(O7:O26)</f>
      </c>
      <c r="P27" s="539">
        <f>SUM(P7:P26)</f>
      </c>
      <c r="Q27" s="23" t="n"/>
      <c r="R27" s="539">
        <f>SUM(R7:R26)</f>
      </c>
      <c r="S27" s="539">
        <f>IF(O27=0,"",(R27-O27)/O27*100)</f>
      </c>
      <c r="T27" s="27" t="n"/>
    </row>
    <row r="28" ht="15.5" customHeight="1">
      <c r="A28" s="29">
        <f>封面!D11&amp;封面!G11</f>
      </c>
      <c r="N28" s="29">
        <f>"评估人员："&amp;封面!G24</f>
      </c>
    </row>
    <row r="29" ht="15.5" customHeight="1">
      <c r="A29" s="29">
        <f>CONCATENATE(封面!D13,封面!F13,封面!G13,封面!H13,封面!I13,封面!J13,封面!K13)</f>
      </c>
    </row>
  </sheetData>
  <mergeCells count="18">
    <mergeCell ref="A5:A6"/>
    <mergeCell ref="G5:G6"/>
    <mergeCell ref="E5:E6"/>
    <mergeCell ref="S5:S6"/>
    <mergeCell ref="H5:H6"/>
    <mergeCell ref="J5:K5"/>
    <mergeCell ref="P5:R5"/>
    <mergeCell ref="N5:O5"/>
    <mergeCell ref="A3:T3"/>
    <mergeCell ref="C5:C6"/>
    <mergeCell ref="L5:M5"/>
    <mergeCell ref="A2:T2"/>
    <mergeCell ref="F5:F6"/>
    <mergeCell ref="T5:T6"/>
    <mergeCell ref="A27:B27"/>
    <mergeCell ref="B5:B6"/>
    <mergeCell ref="I5:I6"/>
    <mergeCell ref="D5:D6"/>
  </mergeCells>
  <hyperlinks>
    <hyperlink ref="A1" location="索引目录!E37" display="返回索引页"/>
    <hyperlink ref="B1" location="固定资产汇总!B10" display="返回"/>
  </hyperlinks>
  <printOptions horizontalCentered="1"/>
  <pageMargins left="0.354330708661417" right="0.354330708661417" top="0.78740157480315" bottom="0.78740157480315" header="1.02" footer="0.511811023622047"/>
  <pageSetup orientation="landscape" paperSize="9" fitToHeight="0"/>
  <headerFooter alignWithMargins="0">
    <oddHeader>&amp;R&amp;"宋体,常规"共&amp;"Times New Roman,常规"&amp;N&amp;"宋体,常规"页第&amp;"Times New Roman,常规"&amp;P&amp;"宋体,常规"4-6-3_x000a_页</oddHeader>
    <oddFooter/>
    <evenHeader/>
    <evenFooter/>
    <firstHeader/>
    <firstFooter/>
  </headerFooter>
  <legacyDrawing xmlns:r="http://schemas.openxmlformats.org/officeDocument/2006/relationships" r:id="anysvml"/>
</worksheet>
</file>

<file path=xl/worksheets/sheet51.xml><?xml version="1.0" encoding="utf-8"?>
<worksheet xmlns="http://schemas.openxmlformats.org/spreadsheetml/2006/main">
  <sheetPr codeName="Sheet51">
    <outlinePr summaryBelow="1" summaryRight="1"/>
    <pageSetUpPr/>
  </sheetPr>
  <dimension ref="A1:AG236"/>
  <sheetViews>
    <sheetView view="pageBreakPreview" zoomScale="90" zoomScaleNormal="100" workbookViewId="0">
      <selection activeCell="G451" sqref="G451"/>
    </sheetView>
  </sheetViews>
  <sheetFormatPr baseColWidth="8" defaultColWidth="9" defaultRowHeight="15.75" customHeight="1"/>
  <cols>
    <col width="3.66666666666667" customWidth="1" style="13" min="1" max="1"/>
    <col hidden="1" width="6.66666666666667" customWidth="1" style="13" min="2" max="2"/>
    <col width="7.33333333333333" customWidth="1" style="13" min="3" max="3"/>
    <col width="7.5" customWidth="1" style="13" min="4" max="4"/>
    <col hidden="1" outlineLevel="1" width="0.75" customWidth="1" style="13" min="5" max="5"/>
    <col collapsed="1" width="25.0833333333333" customWidth="1" style="13" min="6" max="6"/>
    <col width="4.33333333333333" customWidth="1" style="13" min="7" max="8"/>
    <col width="9.66666666666667" customWidth="1" style="13" min="9" max="10"/>
    <col hidden="1" outlineLevel="1" width="11" customWidth="1" style="13" min="11" max="14"/>
    <col collapsed="1" width="11.8333333333333" customWidth="1" style="13" min="15" max="15"/>
    <col width="11.8333333333333" customWidth="1" style="13" min="16" max="16"/>
    <col width="9" customWidth="1" style="13" min="17" max="17"/>
    <col width="7" customWidth="1" style="13" min="18" max="18"/>
    <col width="8.91666666666667" customWidth="1" style="13" min="19" max="19"/>
    <col width="7.5" customWidth="1" style="13" min="20" max="20"/>
    <col width="4.08333333333333" customWidth="1" style="13" min="21" max="21"/>
    <col width="9.66666666666667" customWidth="1" style="13" min="22" max="22"/>
    <col width="9" customWidth="1" style="13" min="23" max="25"/>
    <col width="9.41666666666667" customWidth="1" style="13" min="26" max="26"/>
    <col width="9" customWidth="1" style="13" min="27" max="16384"/>
  </cols>
  <sheetData>
    <row r="1" ht="15.5" customHeight="1">
      <c r="A1" s="529" t="inlineStr">
        <is>
          <t>返回索引页</t>
        </is>
      </c>
      <c r="B1" s="52" t="inlineStr">
        <is>
          <t>返回</t>
        </is>
      </c>
      <c r="C1" s="16" t="n"/>
      <c r="D1" s="16" t="n"/>
      <c r="E1" s="16" t="n"/>
      <c r="F1" s="16" t="n"/>
      <c r="G1" s="16" t="n"/>
      <c r="H1" s="16" t="n"/>
      <c r="I1" s="16" t="n"/>
      <c r="J1" s="16" t="n"/>
      <c r="K1" s="16" t="n"/>
      <c r="L1" s="16" t="n"/>
      <c r="M1" s="16" t="n"/>
      <c r="N1" s="16" t="n"/>
      <c r="O1" s="16" t="n"/>
      <c r="P1" s="16" t="n"/>
      <c r="Q1" s="16" t="n"/>
      <c r="R1" s="16" t="n"/>
      <c r="S1" s="16" t="n"/>
      <c r="T1" s="16" t="n"/>
      <c r="U1" s="16" t="n"/>
    </row>
    <row r="2" ht="30" customFormat="1" customHeight="1" s="11">
      <c r="A2" s="53" t="inlineStr">
        <is>
          <t>固定资产—机器设备评估明细表</t>
        </is>
      </c>
      <c r="V2" s="148" t="n"/>
      <c r="W2" s="148" t="n"/>
      <c r="Z2" s="149" t="n"/>
    </row>
    <row r="3" ht="14.15" customHeight="1">
      <c r="A3" s="535">
        <f>CONCATENATE(封面!D9,封面!F9,封面!G9,封面!H9,封面!I9,封面!J9,封面!K9)</f>
      </c>
      <c r="V3" s="12" t="n"/>
      <c r="W3" s="12" t="n"/>
      <c r="Z3" s="150" t="n"/>
    </row>
    <row r="4" ht="15.5" customHeight="1">
      <c r="A4" s="536">
        <f>封面!D7&amp;封面!F7</f>
      </c>
      <c r="U4" s="54" t="inlineStr">
        <is>
          <t>金额单位：人民币元</t>
        </is>
      </c>
      <c r="V4" s="12" t="n"/>
      <c r="W4" s="12" t="n"/>
      <c r="Z4" s="150" t="n"/>
    </row>
    <row r="5" ht="13" customFormat="1" customHeight="1" s="12">
      <c r="A5" s="63" t="inlineStr">
        <is>
          <t>序号</t>
        </is>
      </c>
      <c r="B5" s="63" t="inlineStr">
        <is>
          <t>设备编号</t>
        </is>
      </c>
      <c r="C5" s="63" t="inlineStr">
        <is>
          <t>设备名称</t>
        </is>
      </c>
      <c r="D5" s="63" t="inlineStr">
        <is>
          <t>规格型号</t>
        </is>
      </c>
      <c r="E5" s="151" t="inlineStr">
        <is>
          <t>使用单位</t>
        </is>
      </c>
      <c r="F5" s="63" t="inlineStr">
        <is>
          <t>生产厂家</t>
        </is>
      </c>
      <c r="G5" s="55" t="inlineStr">
        <is>
          <t>计量单位</t>
        </is>
      </c>
      <c r="H5" s="55" t="inlineStr">
        <is>
          <t>数量</t>
        </is>
      </c>
      <c r="I5" s="55" t="inlineStr">
        <is>
          <t>购置日期</t>
        </is>
      </c>
      <c r="J5" s="55" t="inlineStr">
        <is>
          <t>启用日期</t>
        </is>
      </c>
      <c r="K5" s="102" t="inlineStr">
        <is>
          <t>审计前账面值</t>
        </is>
      </c>
      <c r="L5" s="28" t="n"/>
      <c r="M5" s="102" t="inlineStr">
        <is>
          <t>审计调整</t>
        </is>
      </c>
      <c r="N5" s="28" t="n"/>
      <c r="O5" s="23" t="inlineStr">
        <is>
          <t>账面价值</t>
        </is>
      </c>
      <c r="P5" s="28" t="n"/>
      <c r="Q5" s="23" t="inlineStr">
        <is>
          <t>评估价值</t>
        </is>
      </c>
      <c r="R5" s="138" t="n"/>
      <c r="S5" s="28" t="n"/>
      <c r="T5" s="55" t="inlineStr">
        <is>
          <t>增值率%</t>
        </is>
      </c>
      <c r="U5" s="55" t="inlineStr">
        <is>
          <t>备注</t>
        </is>
      </c>
      <c r="V5" s="112"/>
      <c r="W5" s="593" t="inlineStr">
        <is>
          <t>已使用</t>
        </is>
      </c>
      <c r="X5" s="594" t="inlineStr">
        <is>
          <t>理论成新率</t>
        </is>
      </c>
      <c r="Y5" s="595" t="inlineStr">
        <is>
          <t>账面单价</t>
        </is>
      </c>
      <c r="Z5" s="596" t="inlineStr">
        <is>
          <t>购置单价(含税)</t>
        </is>
      </c>
      <c r="AA5" s="597" t="n"/>
      <c r="AB5" s="597" t="n"/>
      <c r="AC5" s="598" t="inlineStr">
        <is>
          <t>增值税进项税额</t>
        </is>
      </c>
      <c r="AD5" s="598" t="inlineStr">
        <is>
          <t>不含税重置单价</t>
        </is>
      </c>
      <c r="AE5" s="598" t="inlineStr">
        <is>
          <t>含税重置全价</t>
        </is>
      </c>
      <c r="AF5" s="599" t="inlineStr">
        <is>
          <t>不含税重置全价</t>
        </is>
      </c>
    </row>
    <row r="6" ht="13" customFormat="1" customHeight="1" s="12">
      <c r="A6" s="36" t="n"/>
      <c r="B6" s="36" t="n"/>
      <c r="C6" s="36" t="n"/>
      <c r="D6" s="36" t="n"/>
      <c r="E6" s="151" t="n"/>
      <c r="F6" s="36" t="n"/>
      <c r="G6" s="36" t="n"/>
      <c r="H6" s="36" t="n"/>
      <c r="I6" s="36" t="n"/>
      <c r="J6" s="36" t="n"/>
      <c r="K6" s="23" t="inlineStr">
        <is>
          <t>原值</t>
        </is>
      </c>
      <c r="L6" s="23" t="inlineStr">
        <is>
          <t>净值</t>
        </is>
      </c>
      <c r="M6" s="23" t="inlineStr">
        <is>
          <t>原值</t>
        </is>
      </c>
      <c r="N6" s="23" t="inlineStr">
        <is>
          <t>净值</t>
        </is>
      </c>
      <c r="O6" s="23" t="inlineStr">
        <is>
          <t>原值</t>
        </is>
      </c>
      <c r="P6" s="23" t="inlineStr">
        <is>
          <t>净值</t>
        </is>
      </c>
      <c r="Q6" s="23" t="inlineStr">
        <is>
          <t>原值</t>
        </is>
      </c>
      <c r="R6" s="23" t="inlineStr">
        <is>
          <t>成新率%</t>
        </is>
      </c>
      <c r="S6" s="23" t="inlineStr">
        <is>
          <t>净值</t>
        </is>
      </c>
      <c r="T6" s="36" t="n"/>
      <c r="U6" s="36" t="n"/>
      <c r="V6" s="600" t="inlineStr">
        <is>
          <t>经济年限</t>
        </is>
      </c>
      <c r="W6" s="36" t="n"/>
      <c r="X6" s="36" t="n"/>
      <c r="Y6" s="36" t="n"/>
      <c r="Z6" s="36" t="n"/>
      <c r="AA6" s="597" t="inlineStr">
        <is>
          <t>物价指数</t>
        </is>
      </c>
      <c r="AB6" s="597" t="inlineStr">
        <is>
          <t>贬值率</t>
        </is>
      </c>
      <c r="AC6" s="36" t="n"/>
      <c r="AD6" s="36" t="n"/>
      <c r="AE6" s="36" t="n"/>
      <c r="AF6" s="36" t="n"/>
    </row>
    <row r="7" ht="15.5" customHeight="1">
      <c r="A7" s="63" t="n"/>
      <c r="B7" s="56" t="n"/>
      <c r="C7" s="59" t="n"/>
      <c r="D7" s="63" t="n"/>
      <c r="E7" s="56" t="n"/>
      <c r="F7" s="56" t="n"/>
      <c r="G7" s="23" t="n"/>
      <c r="H7" s="23" t="n"/>
      <c r="I7" s="25" t="n"/>
      <c r="J7" s="25" t="n"/>
      <c r="K7" s="539" t="n"/>
      <c r="L7" s="539" t="n"/>
      <c r="M7" s="539" t="n"/>
      <c r="N7" s="539" t="n"/>
      <c r="O7" s="539" t="n"/>
      <c r="P7" s="539" t="n"/>
      <c r="Q7" s="539" t="n"/>
      <c r="R7" s="23">
        <f>X7*100</f>
      </c>
      <c r="S7" s="539">
        <f>ROUND(Q7*R7/100,0)</f>
      </c>
      <c r="T7" s="539">
        <f>IF(P7=0,"",(S7-P7)/P7*100)</f>
      </c>
      <c r="U7" s="27" t="n"/>
      <c r="V7" s="601"/>
      <c r="W7" s="602">
        <f>($V$5-J7)/365</f>
      </c>
      <c r="X7" s="127">
        <f>(V7-W7)/V7</f>
      </c>
      <c r="Y7" s="603" t="n"/>
      <c r="Z7" s="604">
        <f>Y7</f>
      </c>
      <c r="AA7" s="583" t="n"/>
      <c r="AB7" s="583" t="n"/>
      <c r="AC7" s="583">
        <f>Z7*0.13/(1+0.13)</f>
      </c>
      <c r="AD7" s="605">
        <f>Z7-AC7</f>
      </c>
      <c r="AE7" s="605">
        <f>Z7*H7</f>
      </c>
      <c r="AF7" s="583">
        <f>ROUND(AD7*H7,-2)</f>
      </c>
      <c r="AG7" s="134" t="inlineStr">
        <is>
          <t>https://b2b.baidu.com/land?url=https%3A%2F%2Fwww.912688.com%2Fsupply%2F339710698.html%3Fbdb2b8a2d%3D2439046228181354518&amp;query=%E5%9B%9B%E6%9F%B1%E8%A3%81%E5%88%87%E6%9C%BAXclp3&amp;category=%E6%9C%BA%E6%A2%B0%E5%B7%A5%E4%B8%9A%3B%E7%9A%AE%E9%9D%A9%E5%8A%A0%E5%B7%A5%E8%AE%BE%E5%A4%87%3B%E8%A3%81%E6%96%AD%E6%9C%BA</t>
        </is>
      </c>
    </row>
    <row r="8" ht="15.5" customHeight="1">
      <c r="A8" s="63" t="n"/>
      <c r="B8" s="56" t="n"/>
      <c r="C8" s="56" t="n"/>
      <c r="D8" s="63" t="n"/>
      <c r="E8" s="56" t="n"/>
      <c r="F8" s="56" t="n"/>
      <c r="G8" s="23" t="n"/>
      <c r="H8" s="23" t="n"/>
      <c r="I8" s="25" t="n"/>
      <c r="J8" s="25" t="n"/>
      <c r="K8" s="539" t="n"/>
      <c r="L8" s="539" t="n"/>
      <c r="M8" s="539" t="n"/>
      <c r="N8" s="539" t="n"/>
      <c r="O8" s="539" t="n"/>
      <c r="P8" s="539" t="n"/>
      <c r="Q8" s="539" t="n"/>
      <c r="R8" s="23">
        <f>X8*100</f>
      </c>
      <c r="S8" s="539">
        <f>ROUND(Q8*R8/100,0)</f>
      </c>
      <c r="T8" s="539">
        <f>IF(P8=0,"",(S8-P8)/P8*100)</f>
      </c>
      <c r="U8" s="27" t="n"/>
      <c r="V8" s="601"/>
      <c r="W8" s="602">
        <f>($V$5-J8)/365</f>
      </c>
      <c r="X8" s="127">
        <f>(V8-W8)/V8</f>
      </c>
      <c r="Y8" s="603"/>
      <c r="Z8" s="604">
        <f>Y8</f>
      </c>
      <c r="AA8" s="583" t="n"/>
      <c r="AB8" s="583" t="n"/>
      <c r="AC8" s="583">
        <f>Z8*0.13/(1+0.13)</f>
      </c>
      <c r="AD8" s="605">
        <f>Z8-AC8</f>
      </c>
      <c r="AE8" s="605">
        <f>Z8*H8</f>
      </c>
      <c r="AF8" s="583">
        <f>ROUND(AD8*H8,-2)</f>
      </c>
      <c r="AG8" s="134" t="inlineStr">
        <is>
          <t>https://b2b.baidu.com/land?url=https%3A%2F%2Fwww.china.cn%2Frongjieji%2F3740659375.html%3Fbdb2b8a2d%3D2438987942149274047&amp;query=高周波油压机8kw&amp;category=机械工业%3B电子产品制造设备%3B熔接机</t>
        </is>
      </c>
    </row>
    <row r="9" ht="15.5" customHeight="1">
      <c r="A9" s="63" t="n"/>
      <c r="B9" s="56" t="n"/>
      <c r="C9" s="56" t="n"/>
      <c r="D9" s="63" t="n"/>
      <c r="E9" s="56" t="n"/>
      <c r="F9" s="56" t="n"/>
      <c r="G9" s="23" t="n"/>
      <c r="H9" s="23" t="n"/>
      <c r="I9" s="25" t="n"/>
      <c r="J9" s="25" t="n"/>
      <c r="K9" s="539" t="n"/>
      <c r="L9" s="539" t="n"/>
      <c r="M9" s="539" t="n"/>
      <c r="N9" s="539" t="n"/>
      <c r="O9" s="539" t="n"/>
      <c r="P9" s="539" t="n"/>
      <c r="Q9" s="539" t="n"/>
      <c r="R9" s="23">
        <f>X9*100</f>
      </c>
      <c r="S9" s="539">
        <f>ROUND(Q9*R9/100,0)</f>
      </c>
      <c r="T9" s="539">
        <f>IF(P9=0,"",(S9-P9)/P9*100)</f>
      </c>
      <c r="U9" s="27" t="n"/>
      <c r="V9" s="601"/>
      <c r="W9" s="602">
        <f>($V$5-J9)/365</f>
      </c>
      <c r="X9" s="127">
        <f>(V9-W9)/V9</f>
      </c>
      <c r="Y9" s="603"/>
      <c r="Z9" s="604">
        <f>Y9</f>
      </c>
      <c r="AA9" s="583" t="n"/>
      <c r="AB9" s="583" t="n"/>
      <c r="AC9" s="583">
        <f>Z9*0.13/(1+0.13)</f>
      </c>
      <c r="AD9" s="605">
        <f>Z9-AC9</f>
      </c>
      <c r="AE9" s="605">
        <f>Z9*H9</f>
      </c>
      <c r="AF9" s="583">
        <f>ROUND(AD9*H9,-2)</f>
      </c>
      <c r="AG9" s="133" t="inlineStr">
        <is>
          <t>https://b2b.baidu.com/land?url=https%3A%2F%2Fwww.912688.com%2Fsupply%2F104657120.html%3Fbdb2b8a2d%3D2438915230767428949&amp;query=%E7%94%B5%E8%84%91%E8%8A%B1%E6%A0%B7%E6%9C%BA&amp;category=%E6%9C%BA%E6%A2%B0%E5%B7%A5%E4%B8%9A%3B%E6%9C%8D%E8%A3%85%E6%9C%BA%E6%A2%B0%E8%AE%BE%E5%A4%87%3B%E7%BC%9D%E4%B8%AD%E8%AE%BE%E5%A4%87</t>
        </is>
      </c>
    </row>
    <row r="10" ht="15.5" customHeight="1">
      <c r="A10" s="63" t="n"/>
      <c r="B10" s="56" t="n"/>
      <c r="C10" s="56" t="n"/>
      <c r="D10" s="63" t="n"/>
      <c r="E10" s="56" t="n"/>
      <c r="F10" s="56" t="n"/>
      <c r="G10" s="23" t="n"/>
      <c r="H10" s="23" t="n"/>
      <c r="I10" s="25" t="n"/>
      <c r="J10" s="25" t="n"/>
      <c r="K10" s="539" t="n"/>
      <c r="L10" s="539" t="n"/>
      <c r="M10" s="539" t="n"/>
      <c r="N10" s="539" t="n"/>
      <c r="O10" s="539" t="n"/>
      <c r="P10" s="539" t="n"/>
      <c r="Q10" s="539" t="n"/>
      <c r="R10" s="23">
        <f>X10*100</f>
      </c>
      <c r="S10" s="539">
        <f>ROUND(Q10*R10/100,0)</f>
      </c>
      <c r="T10" s="539">
        <f>IF(P10=0,"",(S10-P10)/P10*100)</f>
      </c>
      <c r="U10" s="27" t="n"/>
      <c r="V10" s="601"/>
      <c r="W10" s="602">
        <f>($V$5-J10)/365</f>
      </c>
      <c r="X10" s="127">
        <f>(V10-W10)/V10</f>
      </c>
      <c r="Y10" s="603"/>
      <c r="Z10" s="604">
        <f>Y10</f>
      </c>
      <c r="AA10" s="583" t="n"/>
      <c r="AB10" s="583" t="n"/>
      <c r="AC10" s="583">
        <f>Z10*0.13/(1+0.13)</f>
      </c>
      <c r="AD10" s="605">
        <f>Z10-AC10</f>
      </c>
      <c r="AE10" s="605">
        <f>Z10*H10</f>
      </c>
      <c r="AF10" s="583">
        <f>ROUND(AD10*H10,-2)</f>
      </c>
      <c r="AG10" s="134" t="inlineStr">
        <is>
          <t>https://detail.1688.com/offer/609784199942.html?spm=a261b.2187593.1998088710.31.6dd25256uj9vDD</t>
        </is>
      </c>
    </row>
    <row r="11" ht="15.5" customHeight="1">
      <c r="A11" s="63" t="n"/>
      <c r="B11" s="56" t="n"/>
      <c r="C11" s="56" t="n"/>
      <c r="D11" s="63" t="n"/>
      <c r="E11" s="56" t="n"/>
      <c r="F11" s="56" t="n"/>
      <c r="G11" s="23" t="n"/>
      <c r="H11" s="23" t="n"/>
      <c r="I11" s="25" t="n"/>
      <c r="J11" s="25" t="n"/>
      <c r="K11" s="539" t="n"/>
      <c r="L11" s="539" t="n"/>
      <c r="M11" s="539" t="n"/>
      <c r="N11" s="539" t="n"/>
      <c r="O11" s="539" t="n"/>
      <c r="P11" s="539" t="n"/>
      <c r="Q11" s="539" t="n"/>
      <c r="R11" s="23">
        <f>X11*100</f>
      </c>
      <c r="S11" s="539">
        <f>ROUND(Q11*R11/100,0)</f>
      </c>
      <c r="T11" s="539">
        <f>IF(P11=0,"",(S11-P11)/P11*100)</f>
      </c>
      <c r="U11" s="27" t="n"/>
      <c r="V11" s="601"/>
      <c r="W11" s="602">
        <f>($V$5-J11)/365</f>
      </c>
      <c r="X11" s="127">
        <f>(V11-W11)/V11</f>
      </c>
      <c r="Y11" s="603"/>
      <c r="Z11" s="604">
        <f>Y11</f>
      </c>
      <c r="AA11" s="583" t="n"/>
      <c r="AB11" s="583" t="n"/>
      <c r="AC11" s="583">
        <f>Z11*0.13/(1+0.13)</f>
      </c>
      <c r="AD11" s="605">
        <f>Z11-AC11</f>
      </c>
      <c r="AE11" s="605">
        <f>Z11*H11</f>
      </c>
      <c r="AF11" s="583">
        <f>ROUND(AD11*H11,-2)</f>
      </c>
      <c r="AG11" s="134" t="inlineStr">
        <is>
          <t>https://detail.1688.com/offer/533989812836.html?spm=a261b.2187593.1998088710.1.7fed147csppu9q&amp;tracelog=p4p&amp;clickid=e1b987a899564175a53991eb3d153598&amp;sessionid=c37e2129882030ed537098fd0c9482d8</t>
        </is>
      </c>
    </row>
    <row r="12" ht="16" customHeight="1">
      <c r="A12" s="23" t="n"/>
      <c r="B12" s="24" t="n"/>
      <c r="C12" s="24" t="n"/>
      <c r="D12" s="23" t="n"/>
      <c r="E12" s="24" t="n"/>
      <c r="F12" s="24" t="n"/>
      <c r="G12" s="23" t="n"/>
      <c r="H12" s="23" t="n"/>
      <c r="I12" s="25" t="n"/>
      <c r="J12" s="25" t="n"/>
      <c r="K12" s="539" t="n"/>
      <c r="L12" s="539" t="n"/>
      <c r="M12" s="539" t="n"/>
      <c r="N12" s="539" t="n"/>
      <c r="O12" s="539" t="n"/>
      <c r="P12" s="539" t="n"/>
      <c r="Q12" s="539" t="n"/>
      <c r="R12" s="23" t="n"/>
      <c r="S12" s="539" t="n"/>
      <c r="T12" s="539">
        <f>IF(P12=0,"",(S12-P12)/P12*100)</f>
      </c>
      <c r="U12" s="27" t="n"/>
      <c r="V12" s="601"/>
      <c r="W12" s="602">
        <f>($V$5-J12)/365</f>
      </c>
      <c r="X12" s="127">
        <f>(V12-W12)/V12</f>
      </c>
      <c r="Y12" s="603" t="n"/>
      <c r="Z12" s="604">
        <f>Y12</f>
      </c>
      <c r="AA12" s="583" t="n"/>
      <c r="AB12" s="583" t="n"/>
      <c r="AC12" s="583">
        <f>Z12*0.13/(1+0.13)</f>
      </c>
      <c r="AD12" s="605">
        <f>Z12-AC12</f>
      </c>
      <c r="AE12" s="605">
        <f>Z12*H12</f>
      </c>
      <c r="AF12" s="583">
        <f>ROUND(AD12*H12,-2)</f>
      </c>
    </row>
    <row r="13" ht="15.5" customHeight="1">
      <c r="A13" s="23" t="n"/>
      <c r="B13" s="24" t="n"/>
      <c r="C13" s="24" t="n"/>
      <c r="D13" s="23" t="n"/>
      <c r="E13" s="24" t="n"/>
      <c r="F13" s="24" t="n"/>
      <c r="G13" s="23" t="n"/>
      <c r="H13" s="23" t="n"/>
      <c r="I13" s="558" t="n"/>
      <c r="J13" s="558" t="n"/>
      <c r="K13" s="539" t="n"/>
      <c r="L13" s="539" t="n"/>
      <c r="M13" s="539" t="n"/>
      <c r="N13" s="539" t="n"/>
      <c r="O13" s="539" t="n"/>
      <c r="P13" s="539" t="n"/>
      <c r="Q13" s="539" t="n"/>
      <c r="R13" s="23" t="n"/>
      <c r="S13" s="539" t="n"/>
      <c r="T13" s="539">
        <f>IF(P13=0,"",(S13-P13)/P13*100)</f>
      </c>
      <c r="U13" s="27" t="n"/>
      <c r="V13" s="601"/>
      <c r="W13" s="602">
        <f>($V$5-J13)/365</f>
      </c>
      <c r="X13" s="127">
        <f>(V13-W13)/V13</f>
      </c>
      <c r="Y13" s="603" t="n"/>
      <c r="Z13" s="604">
        <f>Y13</f>
      </c>
      <c r="AA13" s="583" t="n"/>
      <c r="AB13" s="583" t="n"/>
      <c r="AC13" s="583">
        <f>Z13*0.13/(1+0.13)</f>
      </c>
      <c r="AD13" s="605">
        <f>Z13-AC13</f>
      </c>
      <c r="AE13" s="605">
        <f>Z13*H13</f>
      </c>
      <c r="AF13" s="583">
        <f>ROUND(AD13*H13,-2)</f>
      </c>
    </row>
    <row r="14" ht="15.5" customHeight="1">
      <c r="A14" s="23" t="n"/>
      <c r="B14" s="24" t="n"/>
      <c r="C14" s="24" t="n"/>
      <c r="D14" s="23" t="n"/>
      <c r="E14" s="24" t="n"/>
      <c r="F14" s="24" t="n"/>
      <c r="G14" s="23" t="n"/>
      <c r="H14" s="23" t="n"/>
      <c r="I14" s="558" t="n"/>
      <c r="J14" s="558" t="n"/>
      <c r="K14" s="539" t="n"/>
      <c r="L14" s="539" t="n"/>
      <c r="M14" s="539" t="n"/>
      <c r="N14" s="539" t="n"/>
      <c r="O14" s="539" t="n"/>
      <c r="P14" s="539" t="n"/>
      <c r="Q14" s="539" t="n"/>
      <c r="R14" s="23" t="n"/>
      <c r="S14" s="539" t="n"/>
      <c r="T14" s="539">
        <f>IF(P14=0,"",(S14-P14)/P14*100)</f>
      </c>
      <c r="U14" s="27" t="n"/>
      <c r="V14" s="601"/>
      <c r="W14" s="602">
        <f>($V$5-J14)/365</f>
      </c>
      <c r="X14" s="127">
        <f>(V14-W14)/V14</f>
      </c>
      <c r="Y14" s="603" t="n"/>
      <c r="Z14" s="604">
        <f>Y14</f>
      </c>
      <c r="AA14" s="583" t="n"/>
      <c r="AB14" s="583" t="n"/>
      <c r="AC14" s="583">
        <f>Z14*0.13/(1+0.13)</f>
      </c>
      <c r="AD14" s="605">
        <f>Z14-AC14</f>
      </c>
      <c r="AE14" s="605">
        <f>Z14*H14</f>
      </c>
      <c r="AF14" s="583">
        <f>ROUND(AD14*H14,-2)</f>
      </c>
    </row>
    <row r="15" ht="15.5" customHeight="1">
      <c r="A15" s="23" t="n"/>
      <c r="B15" s="24" t="n"/>
      <c r="C15" s="24" t="n"/>
      <c r="D15" s="23" t="n"/>
      <c r="E15" s="24" t="n"/>
      <c r="F15" s="24" t="n"/>
      <c r="G15" s="23" t="n"/>
      <c r="H15" s="23" t="n"/>
      <c r="I15" s="558" t="n"/>
      <c r="J15" s="558" t="n"/>
      <c r="K15" s="539" t="n"/>
      <c r="L15" s="539" t="n"/>
      <c r="M15" s="539" t="n"/>
      <c r="N15" s="539" t="n"/>
      <c r="O15" s="539" t="n"/>
      <c r="P15" s="539" t="n"/>
      <c r="Q15" s="539" t="n"/>
      <c r="R15" s="23" t="n"/>
      <c r="S15" s="539" t="n"/>
      <c r="T15" s="539">
        <f>IF(P15=0,"",(S15-P15)/P15*100)</f>
      </c>
      <c r="U15" s="27" t="n"/>
      <c r="V15" s="601"/>
      <c r="W15" s="602">
        <f>($V$5-J15)/365</f>
      </c>
      <c r="X15" s="127">
        <f>(V15-W15)/V15</f>
      </c>
      <c r="Y15" s="603" t="n"/>
      <c r="Z15" s="604">
        <f>Y15</f>
      </c>
      <c r="AA15" s="583" t="n"/>
      <c r="AB15" s="583" t="n"/>
      <c r="AC15" s="583">
        <f>Z15*0.13/(1+0.13)</f>
      </c>
      <c r="AD15" s="605">
        <f>Z15-AC15</f>
      </c>
      <c r="AE15" s="605">
        <f>Z15*H15</f>
      </c>
      <c r="AF15" s="583">
        <f>ROUND(AD15*H15,-2)</f>
      </c>
    </row>
    <row r="16" ht="15.5" customHeight="1">
      <c r="A16" s="23" t="n"/>
      <c r="B16" s="24" t="n"/>
      <c r="C16" s="24" t="n"/>
      <c r="D16" s="23" t="n"/>
      <c r="E16" s="24" t="n"/>
      <c r="F16" s="24" t="n"/>
      <c r="G16" s="23" t="n"/>
      <c r="H16" s="23" t="n"/>
      <c r="I16" s="25" t="n"/>
      <c r="J16" s="25" t="n"/>
      <c r="K16" s="539" t="n"/>
      <c r="L16" s="539" t="n"/>
      <c r="M16" s="539" t="n"/>
      <c r="N16" s="539" t="n"/>
      <c r="O16" s="539" t="n"/>
      <c r="P16" s="539" t="n"/>
      <c r="Q16" s="539" t="n"/>
      <c r="R16" s="23" t="n"/>
      <c r="S16" s="539" t="n"/>
      <c r="T16" s="539">
        <f>IF(P16=0,"",(S16-P16)/P16*100)</f>
      </c>
      <c r="U16" s="27" t="n"/>
      <c r="V16" s="601"/>
      <c r="W16" s="602">
        <f>($V$5-J16)/365</f>
      </c>
      <c r="X16" s="127">
        <f>(V16-W16)/V16</f>
      </c>
      <c r="Y16" s="603" t="n"/>
      <c r="Z16" s="604">
        <f>Y16</f>
      </c>
      <c r="AA16" s="583" t="n"/>
      <c r="AB16" s="583" t="n"/>
      <c r="AC16" s="583">
        <f>Z16*0.13/(1+0.13)</f>
      </c>
      <c r="AD16" s="605">
        <f>Z16-AC16</f>
      </c>
      <c r="AE16" s="605">
        <f>Z16*H16</f>
      </c>
      <c r="AF16" s="583">
        <f>ROUND(AD16*H16,-2)</f>
      </c>
    </row>
    <row r="17" ht="15.5" customHeight="1">
      <c r="A17" s="23" t="n"/>
      <c r="B17" s="24" t="n"/>
      <c r="C17" s="24" t="n"/>
      <c r="D17" s="23" t="n"/>
      <c r="E17" s="24" t="n"/>
      <c r="F17" s="24" t="n"/>
      <c r="G17" s="23" t="n"/>
      <c r="H17" s="23" t="n"/>
      <c r="I17" s="25" t="n"/>
      <c r="J17" s="25" t="n"/>
      <c r="K17" s="539" t="n"/>
      <c r="L17" s="539" t="n"/>
      <c r="M17" s="539" t="n"/>
      <c r="N17" s="539" t="n"/>
      <c r="O17" s="539" t="n"/>
      <c r="P17" s="539" t="n"/>
      <c r="Q17" s="539" t="n"/>
      <c r="R17" s="23" t="n"/>
      <c r="S17" s="539" t="n"/>
      <c r="T17" s="539">
        <f>IF(P17=0,"",(S17-P17)/P17*100)</f>
      </c>
      <c r="U17" s="27" t="n"/>
      <c r="V17" s="601"/>
      <c r="W17" s="602">
        <f>($V$5-J17)/365</f>
      </c>
      <c r="X17" s="127">
        <f>(V17-W17)/V17</f>
      </c>
      <c r="Y17" s="603" t="n"/>
      <c r="Z17" s="604">
        <f>Y17</f>
      </c>
      <c r="AA17" s="583" t="n"/>
      <c r="AB17" s="583" t="n"/>
      <c r="AC17" s="583">
        <f>Z17*0.13/(1+0.13)</f>
      </c>
      <c r="AD17" s="605">
        <f>Z17-AC17</f>
      </c>
      <c r="AE17" s="605">
        <f>Z17*H17</f>
      </c>
      <c r="AF17" s="583">
        <f>ROUND(AD17*H17,-2)</f>
      </c>
    </row>
    <row r="18" ht="15.5" customHeight="1">
      <c r="A18" s="23" t="n"/>
      <c r="B18" s="24" t="n"/>
      <c r="C18" s="24" t="n"/>
      <c r="D18" s="23" t="n"/>
      <c r="E18" s="24" t="n"/>
      <c r="F18" s="24" t="n"/>
      <c r="G18" s="23" t="n"/>
      <c r="H18" s="23" t="n"/>
      <c r="I18" s="558" t="n"/>
      <c r="J18" s="558" t="n"/>
      <c r="K18" s="539" t="n"/>
      <c r="L18" s="539" t="n"/>
      <c r="M18" s="539" t="n"/>
      <c r="N18" s="539" t="n"/>
      <c r="O18" s="539" t="n"/>
      <c r="P18" s="539" t="n"/>
      <c r="Q18" s="539" t="n"/>
      <c r="R18" s="23" t="n"/>
      <c r="S18" s="539" t="n"/>
      <c r="T18" s="539">
        <f>IF(P18=0,"",(S18-P18)/P18*100)</f>
      </c>
      <c r="U18" s="27" t="n"/>
      <c r="V18" s="601"/>
      <c r="W18" s="602">
        <f>($V$5-J18)/365</f>
      </c>
      <c r="X18" s="127">
        <f>(V18-W18)/V18</f>
      </c>
      <c r="Y18" s="603" t="n"/>
      <c r="Z18" s="604">
        <f>Y18</f>
      </c>
      <c r="AA18" s="583" t="n"/>
      <c r="AB18" s="583" t="n"/>
      <c r="AC18" s="583">
        <f>Z18*0.13/(1+0.13)</f>
      </c>
      <c r="AD18" s="605">
        <f>Z18-AC18</f>
      </c>
      <c r="AE18" s="605">
        <f>Z18*H18</f>
      </c>
      <c r="AF18" s="583">
        <f>ROUND(AD18*H18,-2)</f>
      </c>
    </row>
    <row r="19" ht="15.5" customHeight="1">
      <c r="A19" s="23" t="n"/>
      <c r="B19" s="24" t="n"/>
      <c r="C19" s="24" t="n"/>
      <c r="D19" s="23" t="n"/>
      <c r="E19" s="24" t="n"/>
      <c r="F19" s="24" t="n"/>
      <c r="G19" s="23" t="n"/>
      <c r="H19" s="23" t="n"/>
      <c r="I19" s="558" t="n"/>
      <c r="J19" s="558" t="n"/>
      <c r="K19" s="539" t="n"/>
      <c r="L19" s="539" t="n"/>
      <c r="M19" s="539" t="n"/>
      <c r="N19" s="539" t="n"/>
      <c r="O19" s="539" t="n"/>
      <c r="P19" s="539" t="n"/>
      <c r="Q19" s="539" t="n"/>
      <c r="R19" s="23" t="n"/>
      <c r="S19" s="539" t="n"/>
      <c r="T19" s="539">
        <f>IF(P19=0,"",(S19-P19)/P19*100)</f>
      </c>
      <c r="U19" s="27" t="n"/>
      <c r="V19" s="601"/>
      <c r="W19" s="602">
        <f>($V$5-J19)/365</f>
      </c>
      <c r="X19" s="127">
        <f>(V19-W19)/V19</f>
      </c>
      <c r="Y19" s="603" t="n"/>
      <c r="Z19" s="604">
        <f>Y19</f>
      </c>
      <c r="AA19" s="583" t="n"/>
      <c r="AB19" s="583" t="n"/>
      <c r="AC19" s="583">
        <f>Z19*0.13/(1+0.13)</f>
      </c>
      <c r="AD19" s="605">
        <f>Z19-AC19</f>
      </c>
      <c r="AE19" s="605">
        <f>Z19*H19</f>
      </c>
      <c r="AF19" s="583">
        <f>ROUND(AD19*H19,-2)</f>
      </c>
    </row>
    <row r="20" ht="15.5" customHeight="1">
      <c r="A20" s="23" t="n"/>
      <c r="B20" s="24" t="n"/>
      <c r="C20" s="24" t="n"/>
      <c r="D20" s="23" t="n"/>
      <c r="E20" s="24" t="n"/>
      <c r="F20" s="24" t="n"/>
      <c r="G20" s="23" t="n"/>
      <c r="H20" s="23" t="n"/>
      <c r="I20" s="558" t="n"/>
      <c r="J20" s="558" t="n"/>
      <c r="K20" s="539" t="n"/>
      <c r="L20" s="539" t="n"/>
      <c r="M20" s="539" t="n"/>
      <c r="N20" s="539" t="n"/>
      <c r="O20" s="539" t="n"/>
      <c r="P20" s="539" t="n"/>
      <c r="Q20" s="539" t="n"/>
      <c r="R20" s="23" t="n"/>
      <c r="S20" s="539" t="n"/>
      <c r="T20" s="539">
        <f>IF(P20=0,"",(S20-P20)/P20*100)</f>
      </c>
      <c r="U20" s="27" t="n"/>
      <c r="V20" s="601"/>
      <c r="W20" s="602">
        <f>($V$5-J20)/365</f>
      </c>
      <c r="X20" s="127">
        <f>(V20-W20)/V20</f>
      </c>
      <c r="Y20" s="603" t="n"/>
      <c r="Z20" s="604">
        <f>Y20</f>
      </c>
      <c r="AA20" s="583" t="n"/>
      <c r="AB20" s="583" t="n"/>
      <c r="AC20" s="583">
        <f>Z20*0.13/(1+0.13)</f>
      </c>
      <c r="AD20" s="605">
        <f>Z20-AC20</f>
      </c>
      <c r="AE20" s="605">
        <f>Z20*H20</f>
      </c>
      <c r="AF20" s="583">
        <f>ROUND(AD20*H20,-2)</f>
      </c>
    </row>
    <row r="21" ht="15.5" customHeight="1">
      <c r="A21" s="23" t="n"/>
      <c r="B21" s="24" t="n"/>
      <c r="C21" s="24" t="n"/>
      <c r="D21" s="23" t="n"/>
      <c r="E21" s="24" t="n"/>
      <c r="F21" s="24" t="n"/>
      <c r="G21" s="23" t="n"/>
      <c r="H21" s="23" t="n"/>
      <c r="I21" s="558" t="n"/>
      <c r="J21" s="558" t="n"/>
      <c r="K21" s="539" t="n"/>
      <c r="L21" s="539" t="n"/>
      <c r="M21" s="539" t="n"/>
      <c r="N21" s="539" t="n"/>
      <c r="O21" s="539" t="n"/>
      <c r="P21" s="539" t="n"/>
      <c r="Q21" s="539" t="n"/>
      <c r="R21" s="23" t="n"/>
      <c r="S21" s="539" t="n"/>
      <c r="T21" s="539">
        <f>IF(P21=0,"",(S21-P21)/P21*100)</f>
      </c>
      <c r="U21" s="27" t="n"/>
      <c r="V21" s="601"/>
      <c r="W21" s="602">
        <f>($V$5-J21)/365</f>
      </c>
      <c r="X21" s="127">
        <f>(V21-W21)/V21</f>
      </c>
      <c r="Y21" s="603" t="n"/>
      <c r="Z21" s="604">
        <f>Y21</f>
      </c>
      <c r="AA21" s="583" t="n"/>
      <c r="AB21" s="583" t="n"/>
      <c r="AC21" s="583">
        <f>Z21*0.13/(1+0.13)</f>
      </c>
      <c r="AD21" s="605">
        <f>Z21-AC21</f>
      </c>
      <c r="AE21" s="605">
        <f>Z21*H21</f>
      </c>
      <c r="AF21" s="583">
        <f>ROUND(AD21*H21,-2)</f>
      </c>
    </row>
    <row r="22" ht="15.5" customHeight="1">
      <c r="A22" s="23" t="n"/>
      <c r="B22" s="24" t="n"/>
      <c r="C22" s="24" t="n"/>
      <c r="D22" s="23" t="n"/>
      <c r="E22" s="24" t="n"/>
      <c r="F22" s="24" t="n"/>
      <c r="G22" s="23" t="n"/>
      <c r="H22" s="23" t="n"/>
      <c r="I22" s="25" t="n"/>
      <c r="J22" s="25" t="n"/>
      <c r="K22" s="539" t="n"/>
      <c r="L22" s="539" t="n"/>
      <c r="M22" s="539" t="n"/>
      <c r="N22" s="539" t="n"/>
      <c r="O22" s="539" t="n"/>
      <c r="P22" s="539" t="n"/>
      <c r="Q22" s="539" t="n"/>
      <c r="R22" s="23" t="n"/>
      <c r="S22" s="539" t="n"/>
      <c r="T22" s="539">
        <f>IF(P22=0,"",(S22-P22)/P22*100)</f>
      </c>
      <c r="U22" s="27" t="n"/>
      <c r="V22" s="601"/>
      <c r="W22" s="602">
        <f>($V$5-J22)/365</f>
      </c>
      <c r="X22" s="127">
        <f>(V22-W22)/V22</f>
      </c>
      <c r="Y22" s="603" t="n"/>
      <c r="Z22" s="604">
        <f>Y22</f>
      </c>
      <c r="AA22" s="583" t="n"/>
      <c r="AB22" s="583" t="n"/>
      <c r="AC22" s="583">
        <f>Z22*0.13/(1+0.13)</f>
      </c>
      <c r="AD22" s="605">
        <f>Z22-AC22</f>
      </c>
      <c r="AE22" s="605">
        <f>Z22*H22</f>
      </c>
      <c r="AF22" s="583">
        <f>ROUND(AD22*H22,-2)</f>
      </c>
    </row>
    <row r="23" ht="15.5" customHeight="1">
      <c r="A23" s="23" t="n"/>
      <c r="B23" s="24" t="n"/>
      <c r="C23" s="24" t="n"/>
      <c r="D23" s="23" t="n"/>
      <c r="E23" s="24" t="n"/>
      <c r="F23" s="24" t="n"/>
      <c r="G23" s="23" t="n"/>
      <c r="H23" s="23" t="n"/>
      <c r="I23" s="558" t="n"/>
      <c r="J23" s="558" t="n"/>
      <c r="K23" s="539" t="n"/>
      <c r="L23" s="539" t="n"/>
      <c r="M23" s="539" t="n"/>
      <c r="N23" s="539" t="n"/>
      <c r="O23" s="539" t="n"/>
      <c r="P23" s="539" t="n"/>
      <c r="Q23" s="539" t="n"/>
      <c r="R23" s="23" t="n"/>
      <c r="S23" s="539" t="n"/>
      <c r="T23" s="539">
        <f>IF(P23=0,"",(S23-P23)/P23*100)</f>
      </c>
      <c r="U23" s="27" t="n"/>
      <c r="V23" s="601"/>
      <c r="W23" s="602">
        <f>($V$5-J23)/365</f>
      </c>
      <c r="X23" s="127">
        <f>(V23-W23)/V23</f>
      </c>
      <c r="Y23" s="603" t="n"/>
      <c r="Z23" s="604">
        <f>Y23</f>
      </c>
      <c r="AA23" s="583" t="n"/>
      <c r="AB23" s="583" t="n"/>
      <c r="AC23" s="583">
        <f>Z23*0.13/(1+0.13)</f>
      </c>
      <c r="AD23" s="605">
        <f>Z23-AC23</f>
      </c>
      <c r="AE23" s="605">
        <f>Z23*H23</f>
      </c>
      <c r="AF23" s="583">
        <f>ROUND(AD23*H23,-2)</f>
      </c>
    </row>
    <row r="24" ht="15.5" customHeight="1">
      <c r="A24" s="23" t="n"/>
      <c r="B24" s="24" t="n"/>
      <c r="C24" s="24" t="n"/>
      <c r="D24" s="23" t="n"/>
      <c r="E24" s="24" t="n"/>
      <c r="F24" s="24" t="n"/>
      <c r="G24" s="23" t="n"/>
      <c r="H24" s="23" t="n"/>
      <c r="I24" s="558" t="n"/>
      <c r="J24" s="558" t="n"/>
      <c r="K24" s="539" t="n"/>
      <c r="L24" s="539" t="n"/>
      <c r="M24" s="539" t="n"/>
      <c r="N24" s="539" t="n"/>
      <c r="O24" s="539" t="n"/>
      <c r="P24" s="539" t="n"/>
      <c r="Q24" s="539" t="n"/>
      <c r="R24" s="23" t="n"/>
      <c r="S24" s="539" t="n"/>
      <c r="T24" s="539" t="n"/>
      <c r="U24" s="27" t="n"/>
      <c r="V24" s="601"/>
      <c r="W24" s="602">
        <f>($V$5-J24)/365</f>
      </c>
      <c r="X24" s="127">
        <f>(V24-W24)/V24</f>
      </c>
      <c r="Y24" s="603" t="n"/>
      <c r="Z24" s="604">
        <f>Y24</f>
      </c>
      <c r="AA24" s="583" t="n"/>
      <c r="AB24" s="583" t="n"/>
      <c r="AC24" s="583">
        <f>Z24*0.13/(1+0.13)</f>
      </c>
      <c r="AD24" s="605">
        <f>Z24-AC24</f>
      </c>
      <c r="AE24" s="605">
        <f>Z24*H24</f>
      </c>
      <c r="AF24" s="583">
        <f>ROUND(AD24*H24,-2)</f>
      </c>
    </row>
    <row r="25" ht="15.5" customHeight="1">
      <c r="A25" s="23" t="n"/>
      <c r="B25" s="24" t="n"/>
      <c r="C25" s="24" t="n"/>
      <c r="D25" s="23" t="n"/>
      <c r="E25" s="24" t="n"/>
      <c r="F25" s="24" t="n"/>
      <c r="G25" s="23" t="n"/>
      <c r="H25" s="23" t="n"/>
      <c r="I25" s="558" t="n"/>
      <c r="J25" s="558" t="n"/>
      <c r="K25" s="539" t="n"/>
      <c r="L25" s="539" t="n"/>
      <c r="M25" s="539" t="n"/>
      <c r="N25" s="539" t="n"/>
      <c r="O25" s="539" t="n"/>
      <c r="P25" s="539" t="n"/>
      <c r="Q25" s="539" t="n"/>
      <c r="R25" s="23" t="n"/>
      <c r="S25" s="539" t="n"/>
      <c r="T25" s="539" t="n"/>
      <c r="U25" s="27" t="n"/>
      <c r="V25" s="601"/>
      <c r="W25" s="602">
        <f>($V$5-J25)/365</f>
      </c>
      <c r="X25" s="127">
        <f>(V25-W25)/V25</f>
      </c>
      <c r="Y25" s="603" t="n"/>
      <c r="Z25" s="604">
        <f>Y25</f>
      </c>
      <c r="AA25" s="583" t="n"/>
      <c r="AB25" s="583" t="n"/>
      <c r="AC25" s="583">
        <f>Z25*0.13/(1+0.13)</f>
      </c>
      <c r="AD25" s="605">
        <f>Z25-AC25</f>
      </c>
      <c r="AE25" s="605">
        <f>Z25*H25</f>
      </c>
      <c r="AF25" s="583">
        <f>ROUND(AD25*H25,-2)</f>
      </c>
    </row>
    <row r="26" ht="15.5" customHeight="1">
      <c r="A26" s="23" t="n"/>
      <c r="B26" s="24" t="n"/>
      <c r="C26" s="24" t="n"/>
      <c r="D26" s="23" t="n"/>
      <c r="E26" s="24" t="n"/>
      <c r="F26" s="24" t="n"/>
      <c r="G26" s="23" t="n"/>
      <c r="H26" s="23" t="n"/>
      <c r="I26" s="558" t="n"/>
      <c r="J26" s="558" t="n"/>
      <c r="K26" s="539" t="n"/>
      <c r="L26" s="539" t="n"/>
      <c r="M26" s="539" t="n"/>
      <c r="N26" s="539" t="n"/>
      <c r="O26" s="539" t="n"/>
      <c r="P26" s="539" t="n"/>
      <c r="Q26" s="539" t="n"/>
      <c r="R26" s="23" t="n"/>
      <c r="S26" s="539" t="n"/>
      <c r="T26" s="539">
        <f>IF(P26=0,"",(S26-P26)/P26*100)</f>
      </c>
      <c r="U26" s="27" t="n"/>
      <c r="V26" s="601"/>
      <c r="W26" s="602">
        <f>($V$5-J26)/365</f>
      </c>
      <c r="X26" s="127">
        <f>(V26-W26)/V26</f>
      </c>
      <c r="Y26" s="603" t="n"/>
      <c r="Z26" s="604">
        <f>Y26</f>
      </c>
      <c r="AA26" s="583" t="n"/>
      <c r="AB26" s="583" t="n"/>
      <c r="AC26" s="583">
        <f>Z26*0.13/(1+0.13)</f>
      </c>
      <c r="AD26" s="605">
        <f>Z26-AC26</f>
      </c>
      <c r="AE26" s="605">
        <f>Z26*H26</f>
      </c>
      <c r="AF26" s="583">
        <f>ROUND(AD26*H26,-2)</f>
      </c>
    </row>
    <row r="27" ht="15.5" customHeight="1">
      <c r="A27" s="23" t="n"/>
      <c r="B27" s="24" t="n"/>
      <c r="C27" s="24" t="n"/>
      <c r="D27" s="23" t="n"/>
      <c r="E27" s="24" t="n"/>
      <c r="F27" s="24" t="n"/>
      <c r="G27" s="23" t="n"/>
      <c r="H27" s="23" t="n"/>
      <c r="I27" s="558" t="n"/>
      <c r="J27" s="558" t="n"/>
      <c r="K27" s="539" t="n"/>
      <c r="L27" s="539" t="n"/>
      <c r="M27" s="539" t="n"/>
      <c r="N27" s="539" t="n"/>
      <c r="O27" s="539" t="n"/>
      <c r="P27" s="539" t="n"/>
      <c r="Q27" s="539" t="n"/>
      <c r="R27" s="23" t="n"/>
      <c r="S27" s="539" t="n"/>
      <c r="T27" s="539" t="n"/>
      <c r="U27" s="27" t="n"/>
      <c r="V27" s="601"/>
      <c r="W27" s="602">
        <f>($V$5-J27)/365</f>
      </c>
      <c r="X27" s="127">
        <f>(V27-W27)/V27</f>
      </c>
      <c r="Y27" s="603" t="n"/>
      <c r="Z27" s="604">
        <f>Y27</f>
      </c>
      <c r="AA27" s="583" t="n"/>
      <c r="AB27" s="583" t="n"/>
      <c r="AC27" s="583">
        <f>Z27*0.13/(1+0.13)</f>
      </c>
      <c r="AD27" s="605">
        <f>Z27-AC27</f>
      </c>
      <c r="AE27" s="605">
        <f>Z27*H27</f>
      </c>
      <c r="AF27" s="583">
        <f>ROUND(AD27*H27,-2)</f>
      </c>
    </row>
    <row r="28" ht="15.5" customHeight="1">
      <c r="A28" s="23" t="n"/>
      <c r="B28" s="24" t="n"/>
      <c r="C28" s="24" t="n"/>
      <c r="D28" s="23" t="n"/>
      <c r="E28" s="24" t="n"/>
      <c r="F28" s="24" t="n"/>
      <c r="G28" s="23" t="n"/>
      <c r="H28" s="23" t="n"/>
      <c r="I28" s="558" t="n"/>
      <c r="J28" s="558" t="n"/>
      <c r="K28" s="539" t="n"/>
      <c r="L28" s="539" t="n"/>
      <c r="M28" s="539" t="n"/>
      <c r="N28" s="539" t="n"/>
      <c r="O28" s="539" t="n"/>
      <c r="P28" s="539" t="n"/>
      <c r="Q28" s="539" t="n"/>
      <c r="R28" s="23" t="n"/>
      <c r="S28" s="539" t="n"/>
      <c r="T28" s="539" t="n"/>
      <c r="U28" s="27" t="n"/>
      <c r="V28" s="601"/>
      <c r="W28" s="602">
        <f>($V$5-J28)/365</f>
      </c>
      <c r="X28" s="127">
        <f>(V28-W28)/V28</f>
      </c>
      <c r="Y28" s="603" t="n"/>
      <c r="Z28" s="604">
        <f>Y28</f>
      </c>
      <c r="AA28" s="583" t="n"/>
      <c r="AB28" s="583" t="n"/>
      <c r="AC28" s="583">
        <f>Z28*0.13/(1+0.13)</f>
      </c>
      <c r="AD28" s="605">
        <f>Z28-AC28</f>
      </c>
      <c r="AE28" s="605">
        <f>Z28*H28</f>
      </c>
      <c r="AF28" s="583">
        <f>ROUND(AD28*H28,-2)</f>
      </c>
    </row>
    <row r="29" ht="15.5" customHeight="1">
      <c r="A29" s="23" t="n"/>
      <c r="B29" s="24" t="n"/>
      <c r="C29" s="24" t="n"/>
      <c r="D29" s="23" t="n"/>
      <c r="E29" s="24" t="n"/>
      <c r="F29" s="24" t="n"/>
      <c r="G29" s="23" t="n"/>
      <c r="H29" s="23" t="n"/>
      <c r="I29" s="558" t="n"/>
      <c r="J29" s="558" t="n"/>
      <c r="K29" s="539" t="n"/>
      <c r="L29" s="539" t="n"/>
      <c r="M29" s="539" t="n"/>
      <c r="N29" s="539" t="n"/>
      <c r="O29" s="539" t="n"/>
      <c r="P29" s="539" t="n"/>
      <c r="Q29" s="539" t="n"/>
      <c r="R29" s="23" t="n"/>
      <c r="S29" s="539" t="n"/>
      <c r="T29" s="539" t="n"/>
      <c r="U29" s="27" t="n"/>
      <c r="V29" s="601"/>
      <c r="W29" s="602">
        <f>($V$5-J29)/365</f>
      </c>
      <c r="X29" s="127">
        <f>(V29-W29)/V29</f>
      </c>
      <c r="Y29" s="603" t="n"/>
      <c r="Z29" s="604">
        <f>Y29</f>
      </c>
      <c r="AA29" s="583" t="n"/>
      <c r="AB29" s="583" t="n"/>
      <c r="AC29" s="583">
        <f>Z29*0.13/(1+0.13)</f>
      </c>
      <c r="AD29" s="605">
        <f>Z29-AC29</f>
      </c>
      <c r="AE29" s="605">
        <f>Z29*H29</f>
      </c>
      <c r="AF29" s="583">
        <f>ROUND(AD29*H29,-2)</f>
      </c>
    </row>
    <row r="30" ht="15.5" customHeight="1">
      <c r="A30" s="23" t="n"/>
      <c r="B30" s="24" t="n"/>
      <c r="C30" s="24" t="n"/>
      <c r="D30" s="23" t="n"/>
      <c r="E30" s="24" t="n"/>
      <c r="F30" s="24" t="n"/>
      <c r="G30" s="23" t="n"/>
      <c r="H30" s="23" t="n"/>
      <c r="I30" s="558" t="n"/>
      <c r="J30" s="558" t="n"/>
      <c r="K30" s="539" t="n"/>
      <c r="L30" s="539" t="n"/>
      <c r="M30" s="539" t="n"/>
      <c r="N30" s="539" t="n"/>
      <c r="O30" s="539" t="n"/>
      <c r="P30" s="539" t="n"/>
      <c r="Q30" s="539" t="n"/>
      <c r="R30" s="23" t="n"/>
      <c r="S30" s="539" t="n"/>
      <c r="T30" s="539" t="n"/>
      <c r="U30" s="27" t="n"/>
      <c r="V30" s="601"/>
      <c r="W30" s="602">
        <f>($V$5-J30)/365</f>
      </c>
      <c r="X30" s="127">
        <f>(V30-W30)/V30</f>
      </c>
      <c r="Y30" s="603" t="n"/>
      <c r="Z30" s="604">
        <f>Y30</f>
      </c>
      <c r="AA30" s="583" t="n"/>
      <c r="AB30" s="583" t="n"/>
      <c r="AC30" s="583">
        <f>Z30*0.13/(1+0.13)</f>
      </c>
      <c r="AD30" s="605">
        <f>Z30-AC30</f>
      </c>
      <c r="AE30" s="605">
        <f>Z30*H30</f>
      </c>
      <c r="AF30" s="583">
        <f>ROUND(AD30*H30,-2)</f>
      </c>
    </row>
    <row r="31" ht="15.5" customHeight="1">
      <c r="A31" s="23" t="n"/>
      <c r="B31" s="24" t="n"/>
      <c r="C31" s="24" t="n"/>
      <c r="D31" s="23" t="n"/>
      <c r="E31" s="24" t="n"/>
      <c r="F31" s="24" t="n"/>
      <c r="G31" s="23" t="n"/>
      <c r="H31" s="23" t="n"/>
      <c r="I31" s="558" t="n"/>
      <c r="J31" s="558" t="n"/>
      <c r="K31" s="539" t="n"/>
      <c r="L31" s="539" t="n"/>
      <c r="M31" s="539" t="n"/>
      <c r="N31" s="539" t="n"/>
      <c r="O31" s="539" t="n"/>
      <c r="P31" s="539" t="n"/>
      <c r="Q31" s="539" t="n"/>
      <c r="R31" s="23" t="n"/>
      <c r="S31" s="539" t="n"/>
      <c r="T31" s="539" t="n"/>
      <c r="U31" s="27" t="n"/>
      <c r="V31" s="601"/>
      <c r="W31" s="602">
        <f>($V$5-J31)/365</f>
      </c>
      <c r="X31" s="127">
        <f>(V31-W31)/V31</f>
      </c>
      <c r="Y31" s="603" t="n"/>
      <c r="Z31" s="604">
        <f>Y31</f>
      </c>
      <c r="AA31" s="583" t="n"/>
      <c r="AB31" s="583" t="n"/>
      <c r="AC31" s="583">
        <f>Z31*0.13/(1+0.13)</f>
      </c>
      <c r="AD31" s="605">
        <f>Z31-AC31</f>
      </c>
      <c r="AE31" s="605">
        <f>Z31*H31</f>
      </c>
      <c r="AF31" s="583">
        <f>ROUND(AD31*H31,-2)</f>
      </c>
    </row>
    <row r="32" ht="15.5" customHeight="1">
      <c r="A32" s="23" t="n"/>
      <c r="B32" s="24" t="n"/>
      <c r="C32" s="24" t="n"/>
      <c r="D32" s="23" t="n"/>
      <c r="E32" s="24" t="n"/>
      <c r="F32" s="24" t="n"/>
      <c r="G32" s="23" t="n"/>
      <c r="H32" s="23" t="n"/>
      <c r="I32" s="558" t="n"/>
      <c r="J32" s="558" t="n"/>
      <c r="K32" s="539" t="n"/>
      <c r="L32" s="539" t="n"/>
      <c r="M32" s="539" t="n"/>
      <c r="N32" s="539" t="n"/>
      <c r="O32" s="539" t="n"/>
      <c r="P32" s="539" t="n"/>
      <c r="Q32" s="539" t="n"/>
      <c r="R32" s="23" t="n"/>
      <c r="S32" s="539" t="n"/>
      <c r="T32" s="539" t="n"/>
      <c r="U32" s="27" t="n"/>
      <c r="V32" s="601"/>
      <c r="W32" s="602">
        <f>($V$5-J32)/365</f>
      </c>
      <c r="X32" s="127">
        <f>(V32-W32)/V32</f>
      </c>
      <c r="Y32" s="603" t="n"/>
      <c r="Z32" s="604">
        <f>Y32</f>
      </c>
      <c r="AA32" s="583" t="n"/>
      <c r="AB32" s="583" t="n"/>
      <c r="AC32" s="583">
        <f>Z32*0.13/(1+0.13)</f>
      </c>
      <c r="AD32" s="605">
        <f>Z32-AC32</f>
      </c>
      <c r="AE32" s="605">
        <f>Z32*H32</f>
      </c>
      <c r="AF32" s="583">
        <f>ROUND(AD32*H32,-2)</f>
      </c>
    </row>
    <row r="33" ht="15.5" customHeight="1">
      <c r="A33" s="23" t="n"/>
      <c r="B33" s="24" t="n"/>
      <c r="C33" s="24" t="n"/>
      <c r="D33" s="23" t="n"/>
      <c r="E33" s="24" t="n"/>
      <c r="F33" s="24" t="n"/>
      <c r="G33" s="23" t="n"/>
      <c r="H33" s="23" t="n"/>
      <c r="I33" s="558" t="n"/>
      <c r="J33" s="558" t="n"/>
      <c r="K33" s="539" t="n"/>
      <c r="L33" s="539" t="n"/>
      <c r="M33" s="539" t="n"/>
      <c r="N33" s="539" t="n"/>
      <c r="O33" s="539" t="n"/>
      <c r="P33" s="539" t="n"/>
      <c r="Q33" s="539" t="n"/>
      <c r="R33" s="23" t="n"/>
      <c r="S33" s="539" t="n"/>
      <c r="T33" s="539" t="n"/>
      <c r="U33" s="27" t="n"/>
      <c r="V33" s="601"/>
      <c r="W33" s="602">
        <f>($V$5-J33)/365</f>
      </c>
      <c r="X33" s="127">
        <f>(V33-W33)/V33</f>
      </c>
      <c r="Y33" s="603" t="n"/>
      <c r="Z33" s="604">
        <f>Y33</f>
      </c>
      <c r="AA33" s="583" t="n"/>
      <c r="AB33" s="583" t="n"/>
      <c r="AC33" s="583">
        <f>Z33*0.13/(1+0.13)</f>
      </c>
      <c r="AD33" s="605">
        <f>Z33-AC33</f>
      </c>
      <c r="AE33" s="605">
        <f>Z33*H33</f>
      </c>
      <c r="AF33" s="583">
        <f>ROUND(AD33*H33,-2)</f>
      </c>
    </row>
    <row r="34" ht="15.5" customHeight="1">
      <c r="A34" s="23" t="n"/>
      <c r="B34" s="24" t="n"/>
      <c r="C34" s="24" t="n"/>
      <c r="D34" s="23" t="n"/>
      <c r="E34" s="24" t="n"/>
      <c r="F34" s="24" t="n"/>
      <c r="G34" s="23" t="n"/>
      <c r="H34" s="23" t="n"/>
      <c r="I34" s="558" t="n"/>
      <c r="J34" s="558" t="n"/>
      <c r="K34" s="539" t="n"/>
      <c r="L34" s="539" t="n"/>
      <c r="M34" s="539" t="n"/>
      <c r="N34" s="539" t="n"/>
      <c r="O34" s="539" t="n"/>
      <c r="P34" s="539" t="n"/>
      <c r="Q34" s="539" t="n"/>
      <c r="R34" s="23" t="n"/>
      <c r="S34" s="539" t="n"/>
      <c r="T34" s="539" t="n"/>
      <c r="U34" s="27" t="n"/>
      <c r="V34" s="601"/>
      <c r="W34" s="602">
        <f>($V$5-J34)/365</f>
      </c>
      <c r="X34" s="127">
        <f>(V34-W34)/V34</f>
      </c>
      <c r="Y34" s="603" t="n"/>
      <c r="Z34" s="604">
        <f>Y34</f>
      </c>
      <c r="AA34" s="583" t="n"/>
      <c r="AB34" s="583" t="n"/>
      <c r="AC34" s="583">
        <f>Z34*0.13/(1+0.13)</f>
      </c>
      <c r="AD34" s="605">
        <f>Z34-AC34</f>
      </c>
      <c r="AE34" s="605">
        <f>Z34*H34</f>
      </c>
      <c r="AF34" s="583">
        <f>ROUND(AD34*H34,-2)</f>
      </c>
    </row>
    <row r="35" ht="15.5" customHeight="1">
      <c r="A35" s="23" t="n"/>
      <c r="B35" s="24" t="n"/>
      <c r="C35" s="24" t="n"/>
      <c r="D35" s="23" t="n"/>
      <c r="E35" s="24" t="n"/>
      <c r="F35" s="24" t="n"/>
      <c r="G35" s="23" t="n"/>
      <c r="H35" s="23" t="n"/>
      <c r="I35" s="558" t="n"/>
      <c r="J35" s="558" t="n"/>
      <c r="K35" s="539" t="n"/>
      <c r="L35" s="539" t="n"/>
      <c r="M35" s="539" t="n"/>
      <c r="N35" s="539" t="n"/>
      <c r="O35" s="539" t="n"/>
      <c r="P35" s="539" t="n"/>
      <c r="Q35" s="539" t="n"/>
      <c r="R35" s="23" t="n"/>
      <c r="S35" s="539" t="n"/>
      <c r="T35" s="539" t="n"/>
      <c r="U35" s="27" t="n"/>
      <c r="V35" s="601"/>
      <c r="W35" s="602">
        <f>($V$5-J35)/365</f>
      </c>
      <c r="X35" s="127">
        <f>(V35-W35)/V35</f>
      </c>
      <c r="Y35" s="603" t="n"/>
      <c r="Z35" s="604">
        <f>Y35</f>
      </c>
      <c r="AA35" s="583" t="n"/>
      <c r="AB35" s="583" t="n"/>
      <c r="AC35" s="583">
        <f>Z35*0.13/(1+0.13)</f>
      </c>
      <c r="AD35" s="605">
        <f>Z35-AC35</f>
      </c>
      <c r="AE35" s="605">
        <f>Z35*H35</f>
      </c>
      <c r="AF35" s="583">
        <f>ROUND(AD35*H35,-2)</f>
      </c>
    </row>
    <row r="36" ht="15.5" customHeight="1">
      <c r="A36" s="23" t="n"/>
      <c r="B36" s="24" t="n"/>
      <c r="C36" s="24" t="n"/>
      <c r="D36" s="23" t="n"/>
      <c r="E36" s="24" t="n"/>
      <c r="F36" s="24" t="n"/>
      <c r="G36" s="23" t="n"/>
      <c r="H36" s="23" t="n"/>
      <c r="I36" s="558" t="n"/>
      <c r="J36" s="558" t="n"/>
      <c r="K36" s="539" t="n"/>
      <c r="L36" s="539" t="n"/>
      <c r="M36" s="539" t="n"/>
      <c r="N36" s="539" t="n"/>
      <c r="O36" s="539" t="n"/>
      <c r="P36" s="539" t="n"/>
      <c r="Q36" s="539" t="n"/>
      <c r="R36" s="23" t="n"/>
      <c r="S36" s="539" t="n"/>
      <c r="T36" s="539" t="n"/>
      <c r="U36" s="27" t="n"/>
      <c r="V36" s="601"/>
      <c r="W36" s="602">
        <f>($V$5-J36)/365</f>
      </c>
      <c r="X36" s="127">
        <f>(V36-W36)/V36</f>
      </c>
      <c r="Y36" s="603" t="n"/>
      <c r="Z36" s="604">
        <f>Y36</f>
      </c>
      <c r="AA36" s="583" t="n"/>
      <c r="AB36" s="583" t="n"/>
      <c r="AC36" s="583">
        <f>Z36*0.13/(1+0.13)</f>
      </c>
      <c r="AD36" s="605">
        <f>Z36-AC36</f>
      </c>
      <c r="AE36" s="605">
        <f>Z36*H36</f>
      </c>
      <c r="AF36" s="583">
        <f>ROUND(AD36*H36,-2)</f>
      </c>
    </row>
    <row r="37" ht="15.5" customHeight="1">
      <c r="A37" s="23" t="n"/>
      <c r="B37" s="24" t="n"/>
      <c r="C37" s="24" t="n"/>
      <c r="D37" s="23" t="n"/>
      <c r="E37" s="24" t="n"/>
      <c r="F37" s="24" t="n"/>
      <c r="G37" s="23" t="n"/>
      <c r="H37" s="23" t="n"/>
      <c r="I37" s="558" t="n"/>
      <c r="J37" s="558" t="n"/>
      <c r="K37" s="539" t="n"/>
      <c r="L37" s="539" t="n"/>
      <c r="M37" s="539" t="n"/>
      <c r="N37" s="539" t="n"/>
      <c r="O37" s="539" t="n"/>
      <c r="P37" s="539" t="n"/>
      <c r="Q37" s="539" t="n"/>
      <c r="R37" s="23" t="n"/>
      <c r="S37" s="539" t="n"/>
      <c r="T37" s="539" t="n"/>
      <c r="U37" s="27" t="n"/>
      <c r="V37" s="601"/>
      <c r="W37" s="602">
        <f>($V$5-J37)/365</f>
      </c>
      <c r="X37" s="127">
        <f>(V37-W37)/V37</f>
      </c>
      <c r="Y37" s="603" t="n"/>
      <c r="Z37" s="604">
        <f>Y37</f>
      </c>
      <c r="AA37" s="583" t="n"/>
      <c r="AB37" s="583" t="n"/>
      <c r="AC37" s="583">
        <f>Z37*0.13/(1+0.13)</f>
      </c>
      <c r="AD37" s="605">
        <f>Z37-AC37</f>
      </c>
      <c r="AE37" s="605">
        <f>Z37*H37</f>
      </c>
      <c r="AF37" s="583">
        <f>ROUND(AD37*H37,-2)</f>
      </c>
    </row>
    <row r="38" ht="15.5" customHeight="1">
      <c r="A38" s="23" t="n"/>
      <c r="B38" s="24" t="n"/>
      <c r="C38" s="24" t="n"/>
      <c r="D38" s="23" t="n"/>
      <c r="E38" s="24" t="n"/>
      <c r="F38" s="24" t="n"/>
      <c r="G38" s="23" t="n"/>
      <c r="H38" s="23" t="n"/>
      <c r="I38" s="558" t="n"/>
      <c r="J38" s="558" t="n"/>
      <c r="K38" s="539" t="n"/>
      <c r="L38" s="539" t="n"/>
      <c r="M38" s="539" t="n"/>
      <c r="N38" s="539" t="n"/>
      <c r="O38" s="539" t="n"/>
      <c r="P38" s="539" t="n"/>
      <c r="Q38" s="539" t="n"/>
      <c r="R38" s="23" t="n"/>
      <c r="S38" s="539" t="n"/>
      <c r="T38" s="539" t="n"/>
      <c r="U38" s="27" t="n"/>
      <c r="V38" s="601"/>
      <c r="W38" s="602">
        <f>($V$5-J38)/365</f>
      </c>
      <c r="X38" s="127">
        <f>(V38-W38)/V38</f>
      </c>
      <c r="Y38" s="603" t="n"/>
      <c r="Z38" s="604">
        <f>Y38</f>
      </c>
      <c r="AA38" s="583" t="n"/>
      <c r="AB38" s="583" t="n"/>
      <c r="AC38" s="583">
        <f>Z38*0.13/(1+0.13)</f>
      </c>
      <c r="AD38" s="605">
        <f>Z38-AC38</f>
      </c>
      <c r="AE38" s="605">
        <f>Z38*H38</f>
      </c>
      <c r="AF38" s="583">
        <f>ROUND(AD38*H38,-2)</f>
      </c>
    </row>
    <row r="39" ht="15.5" customHeight="1">
      <c r="A39" s="23" t="n"/>
      <c r="B39" s="24" t="n"/>
      <c r="C39" s="24" t="n"/>
      <c r="D39" s="23" t="n"/>
      <c r="E39" s="24" t="n"/>
      <c r="F39" s="24" t="n"/>
      <c r="G39" s="23" t="n"/>
      <c r="H39" s="23" t="n"/>
      <c r="I39" s="558" t="n"/>
      <c r="J39" s="558" t="n"/>
      <c r="K39" s="539" t="n"/>
      <c r="L39" s="539" t="n"/>
      <c r="M39" s="539" t="n"/>
      <c r="N39" s="539" t="n"/>
      <c r="O39" s="539" t="n"/>
      <c r="P39" s="539" t="n"/>
      <c r="Q39" s="539" t="n"/>
      <c r="R39" s="23" t="n"/>
      <c r="S39" s="539" t="n"/>
      <c r="T39" s="539" t="n"/>
      <c r="U39" s="27" t="n"/>
      <c r="V39" s="601"/>
      <c r="W39" s="602">
        <f>($V$5-J39)/365</f>
      </c>
      <c r="X39" s="127">
        <f>(V39-W39)/V39</f>
      </c>
      <c r="Y39" s="603" t="n"/>
      <c r="Z39" s="604">
        <f>Y39</f>
      </c>
      <c r="AA39" s="583" t="n"/>
      <c r="AB39" s="583" t="n"/>
      <c r="AC39" s="583">
        <f>Z39*0.13/(1+0.13)</f>
      </c>
      <c r="AD39" s="605">
        <f>Z39-AC39</f>
      </c>
      <c r="AE39" s="605">
        <f>Z39*H39</f>
      </c>
      <c r="AF39" s="583">
        <f>ROUND(AD39*H39,-2)</f>
      </c>
    </row>
    <row r="40" ht="15.5" customHeight="1">
      <c r="A40" s="23" t="n"/>
      <c r="B40" s="24" t="n"/>
      <c r="C40" s="24" t="n"/>
      <c r="D40" s="23" t="n"/>
      <c r="E40" s="24" t="n"/>
      <c r="F40" s="24" t="n"/>
      <c r="G40" s="23" t="n"/>
      <c r="H40" s="23" t="n"/>
      <c r="I40" s="558" t="n"/>
      <c r="J40" s="558" t="n"/>
      <c r="K40" s="539" t="n"/>
      <c r="L40" s="539" t="n"/>
      <c r="M40" s="539" t="n"/>
      <c r="N40" s="539" t="n"/>
      <c r="O40" s="539" t="n"/>
      <c r="P40" s="539" t="n"/>
      <c r="Q40" s="539" t="n"/>
      <c r="R40" s="23" t="n"/>
      <c r="S40" s="539" t="n"/>
      <c r="T40" s="539" t="n"/>
      <c r="U40" s="27" t="n"/>
      <c r="V40" s="601"/>
      <c r="W40" s="602">
        <f>($V$5-J40)/365</f>
      </c>
      <c r="X40" s="127">
        <f>(V40-W40)/V40</f>
      </c>
      <c r="Y40" s="603" t="n"/>
      <c r="Z40" s="604">
        <f>Y40</f>
      </c>
      <c r="AA40" s="583" t="n"/>
      <c r="AB40" s="583" t="n"/>
      <c r="AC40" s="583">
        <f>Z40*0.13/(1+0.13)</f>
      </c>
      <c r="AD40" s="605">
        <f>Z40-AC40</f>
      </c>
      <c r="AE40" s="605">
        <f>Z40*H40</f>
      </c>
      <c r="AF40" s="583">
        <f>ROUND(AD40*H40,-2)</f>
      </c>
    </row>
    <row r="41" ht="15.5" customHeight="1">
      <c r="A41" s="23" t="n"/>
      <c r="B41" s="24" t="n"/>
      <c r="C41" s="24" t="n"/>
      <c r="D41" s="23" t="n"/>
      <c r="E41" s="24" t="n"/>
      <c r="F41" s="24" t="n"/>
      <c r="G41" s="23" t="n"/>
      <c r="H41" s="23" t="n"/>
      <c r="I41" s="558" t="n"/>
      <c r="J41" s="558" t="n"/>
      <c r="K41" s="539" t="n"/>
      <c r="L41" s="539" t="n"/>
      <c r="M41" s="539" t="n"/>
      <c r="N41" s="539" t="n"/>
      <c r="O41" s="539" t="n"/>
      <c r="P41" s="539" t="n"/>
      <c r="Q41" s="539" t="n"/>
      <c r="R41" s="23" t="n"/>
      <c r="S41" s="539" t="n"/>
      <c r="T41" s="539" t="n"/>
      <c r="U41" s="27" t="n"/>
      <c r="V41" s="601"/>
      <c r="W41" s="602">
        <f>($V$5-J41)/365</f>
      </c>
      <c r="X41" s="127">
        <f>(V41-W41)/V41</f>
      </c>
      <c r="Y41" s="603" t="n"/>
      <c r="Z41" s="604">
        <f>Y41</f>
      </c>
      <c r="AA41" s="583" t="n"/>
      <c r="AB41" s="583" t="n"/>
      <c r="AC41" s="583">
        <f>Z41*0.13/(1+0.13)</f>
      </c>
      <c r="AD41" s="605">
        <f>Z41-AC41</f>
      </c>
      <c r="AE41" s="605">
        <f>Z41*H41</f>
      </c>
      <c r="AF41" s="583">
        <f>ROUND(AD41*H41,-2)</f>
      </c>
    </row>
    <row r="42" ht="15.5" customHeight="1">
      <c r="A42" s="23" t="n"/>
      <c r="B42" s="24" t="n"/>
      <c r="C42" s="24" t="n"/>
      <c r="D42" s="23" t="n"/>
      <c r="E42" s="24" t="n"/>
      <c r="F42" s="24" t="n"/>
      <c r="G42" s="23" t="n"/>
      <c r="H42" s="23" t="n"/>
      <c r="I42" s="558" t="n"/>
      <c r="J42" s="558" t="n"/>
      <c r="K42" s="539" t="n"/>
      <c r="L42" s="539" t="n"/>
      <c r="M42" s="539" t="n"/>
      <c r="N42" s="539" t="n"/>
      <c r="O42" s="539" t="n"/>
      <c r="P42" s="539" t="n"/>
      <c r="Q42" s="539" t="n"/>
      <c r="R42" s="23" t="n"/>
      <c r="S42" s="539" t="n"/>
      <c r="T42" s="539" t="n"/>
      <c r="U42" s="27" t="n"/>
      <c r="V42" s="601"/>
      <c r="W42" s="602">
        <f>($V$5-J42)/365</f>
      </c>
      <c r="X42" s="127">
        <f>(V42-W42)/V42</f>
      </c>
      <c r="Y42" s="603" t="n"/>
      <c r="Z42" s="604">
        <f>Y42</f>
      </c>
      <c r="AA42" s="583" t="n"/>
      <c r="AB42" s="583" t="n"/>
      <c r="AC42" s="583">
        <f>Z42*0.13/(1+0.13)</f>
      </c>
      <c r="AD42" s="605">
        <f>Z42-AC42</f>
      </c>
      <c r="AE42" s="605">
        <f>Z42*H42</f>
      </c>
      <c r="AF42" s="583">
        <f>ROUND(AD42*H42,-2)</f>
      </c>
    </row>
    <row r="43" ht="15.5" customHeight="1">
      <c r="A43" s="23" t="n"/>
      <c r="B43" s="24" t="n"/>
      <c r="C43" s="24" t="n"/>
      <c r="D43" s="23" t="n"/>
      <c r="E43" s="24" t="n"/>
      <c r="F43" s="24" t="n"/>
      <c r="G43" s="23" t="n"/>
      <c r="H43" s="23" t="n"/>
      <c r="I43" s="558" t="n"/>
      <c r="J43" s="558" t="n"/>
      <c r="K43" s="539" t="n"/>
      <c r="L43" s="539" t="n"/>
      <c r="M43" s="539" t="n"/>
      <c r="N43" s="539" t="n"/>
      <c r="O43" s="539" t="n"/>
      <c r="P43" s="539" t="n"/>
      <c r="Q43" s="539" t="n"/>
      <c r="R43" s="23" t="n"/>
      <c r="S43" s="539" t="n"/>
      <c r="T43" s="539" t="n"/>
      <c r="U43" s="27" t="n"/>
      <c r="V43" s="601"/>
      <c r="W43" s="602">
        <f>($V$5-J43)/365</f>
      </c>
      <c r="X43" s="127">
        <f>(V43-W43)/V43</f>
      </c>
      <c r="Y43" s="603" t="n"/>
      <c r="Z43" s="604">
        <f>Y43</f>
      </c>
      <c r="AA43" s="583" t="n"/>
      <c r="AB43" s="583" t="n"/>
      <c r="AC43" s="583">
        <f>Z43*0.13/(1+0.13)</f>
      </c>
      <c r="AD43" s="605">
        <f>Z43-AC43</f>
      </c>
      <c r="AE43" s="605">
        <f>Z43*H43</f>
      </c>
      <c r="AF43" s="583">
        <f>ROUND(AD43*H43,-2)</f>
      </c>
    </row>
    <row r="44" ht="15.5" customHeight="1">
      <c r="A44" s="23" t="n"/>
      <c r="B44" s="24" t="n"/>
      <c r="C44" s="24" t="n"/>
      <c r="D44" s="23" t="n"/>
      <c r="E44" s="24" t="n"/>
      <c r="F44" s="24" t="n"/>
      <c r="G44" s="23" t="n"/>
      <c r="H44" s="23" t="n"/>
      <c r="I44" s="558" t="n"/>
      <c r="J44" s="558" t="n"/>
      <c r="K44" s="539" t="n"/>
      <c r="L44" s="539" t="n"/>
      <c r="M44" s="539" t="n"/>
      <c r="N44" s="539" t="n"/>
      <c r="O44" s="539" t="n"/>
      <c r="P44" s="539" t="n"/>
      <c r="Q44" s="539" t="n"/>
      <c r="R44" s="23" t="n"/>
      <c r="S44" s="539" t="n"/>
      <c r="T44" s="539" t="n"/>
      <c r="U44" s="27" t="n"/>
      <c r="V44" s="601"/>
      <c r="W44" s="602">
        <f>($V$5-J44)/365</f>
      </c>
      <c r="X44" s="127">
        <f>(V44-W44)/V44</f>
      </c>
      <c r="Y44" s="603" t="n"/>
      <c r="Z44" s="604">
        <f>Y44</f>
      </c>
      <c r="AA44" s="583" t="n"/>
      <c r="AB44" s="583" t="n"/>
      <c r="AC44" s="583">
        <f>Z44*0.13/(1+0.13)</f>
      </c>
      <c r="AD44" s="605">
        <f>Z44-AC44</f>
      </c>
      <c r="AE44" s="605">
        <f>Z44*H44</f>
      </c>
      <c r="AF44" s="583">
        <f>ROUND(AD44*H44,-2)</f>
      </c>
    </row>
    <row r="45" ht="15.5" customHeight="1">
      <c r="A45" s="23" t="n"/>
      <c r="B45" s="24" t="n"/>
      <c r="C45" s="24" t="n"/>
      <c r="D45" s="23" t="n"/>
      <c r="E45" s="24" t="n"/>
      <c r="F45" s="24" t="n"/>
      <c r="G45" s="23" t="n"/>
      <c r="H45" s="23" t="n"/>
      <c r="I45" s="558" t="n"/>
      <c r="J45" s="558" t="n"/>
      <c r="K45" s="539" t="n"/>
      <c r="L45" s="539" t="n"/>
      <c r="M45" s="539" t="n"/>
      <c r="N45" s="539" t="n"/>
      <c r="O45" s="539" t="n"/>
      <c r="P45" s="539" t="n"/>
      <c r="Q45" s="539" t="n"/>
      <c r="R45" s="23" t="n"/>
      <c r="S45" s="539" t="n"/>
      <c r="T45" s="539" t="n"/>
      <c r="U45" s="27" t="n"/>
      <c r="V45" s="601"/>
      <c r="W45" s="602">
        <f>($V$5-J45)/365</f>
      </c>
      <c r="X45" s="127">
        <f>(V45-W45)/V45</f>
      </c>
      <c r="Y45" s="603" t="n"/>
      <c r="Z45" s="604">
        <f>Y45</f>
      </c>
      <c r="AA45" s="583" t="n"/>
      <c r="AB45" s="583" t="n"/>
      <c r="AC45" s="583">
        <f>Z45*0.13/(1+0.13)</f>
      </c>
      <c r="AD45" s="605">
        <f>Z45-AC45</f>
      </c>
      <c r="AE45" s="605">
        <f>Z45*H45</f>
      </c>
      <c r="AF45" s="583">
        <f>ROUND(AD45*H45,-2)</f>
      </c>
    </row>
    <row r="46" ht="15.5" customHeight="1">
      <c r="A46" s="23" t="n"/>
      <c r="B46" s="24" t="n"/>
      <c r="C46" s="24" t="n"/>
      <c r="D46" s="23" t="n"/>
      <c r="E46" s="24" t="n"/>
      <c r="F46" s="24" t="n"/>
      <c r="G46" s="23" t="n"/>
      <c r="H46" s="23" t="n"/>
      <c r="I46" s="558" t="n"/>
      <c r="J46" s="558" t="n"/>
      <c r="K46" s="539" t="n"/>
      <c r="L46" s="539" t="n"/>
      <c r="M46" s="539" t="n"/>
      <c r="N46" s="539" t="n"/>
      <c r="O46" s="539" t="n"/>
      <c r="P46" s="539" t="n"/>
      <c r="Q46" s="539" t="n"/>
      <c r="R46" s="23" t="n"/>
      <c r="S46" s="539" t="n"/>
      <c r="T46" s="539" t="n"/>
      <c r="U46" s="27" t="n"/>
      <c r="V46" s="601"/>
      <c r="W46" s="602">
        <f>($V$5-J46)/365</f>
      </c>
      <c r="X46" s="127">
        <f>(V46-W46)/V46</f>
      </c>
      <c r="Y46" s="603" t="n"/>
      <c r="Z46" s="604">
        <f>Y46</f>
      </c>
      <c r="AA46" s="583" t="n"/>
      <c r="AB46" s="583" t="n"/>
      <c r="AC46" s="583">
        <f>Z46*0.13/(1+0.13)</f>
      </c>
      <c r="AD46" s="605">
        <f>Z46-AC46</f>
      </c>
      <c r="AE46" s="605">
        <f>Z46*H46</f>
      </c>
      <c r="AF46" s="583">
        <f>ROUND(AD46*H46,-2)</f>
      </c>
    </row>
    <row r="47" ht="15.5" customHeight="1">
      <c r="A47" s="23" t="n"/>
      <c r="B47" s="24" t="n"/>
      <c r="C47" s="24" t="n"/>
      <c r="D47" s="23" t="n"/>
      <c r="E47" s="24" t="n"/>
      <c r="F47" s="24" t="n"/>
      <c r="G47" s="23" t="n"/>
      <c r="H47" s="23" t="n"/>
      <c r="I47" s="558" t="n"/>
      <c r="J47" s="558" t="n"/>
      <c r="K47" s="539" t="n"/>
      <c r="L47" s="539" t="n"/>
      <c r="M47" s="539" t="n"/>
      <c r="N47" s="539" t="n"/>
      <c r="O47" s="539" t="n"/>
      <c r="P47" s="539" t="n"/>
      <c r="Q47" s="539" t="n"/>
      <c r="R47" s="23" t="n"/>
      <c r="S47" s="539" t="n"/>
      <c r="T47" s="539" t="n"/>
      <c r="U47" s="27" t="n"/>
      <c r="V47" s="601"/>
      <c r="W47" s="602">
        <f>($V$5-J47)/365</f>
      </c>
      <c r="X47" s="127">
        <f>(V47-W47)/V47</f>
      </c>
      <c r="Y47" s="603" t="n"/>
      <c r="Z47" s="604">
        <f>Y47</f>
      </c>
      <c r="AA47" s="583" t="n"/>
      <c r="AB47" s="583" t="n"/>
      <c r="AC47" s="583">
        <f>Z47*0.13/(1+0.13)</f>
      </c>
      <c r="AD47" s="605">
        <f>Z47-AC47</f>
      </c>
      <c r="AE47" s="605">
        <f>Z47*H47</f>
      </c>
      <c r="AF47" s="583">
        <f>ROUND(AD47*H47,-2)</f>
      </c>
    </row>
    <row r="48" ht="15.5" customHeight="1">
      <c r="A48" s="23" t="n"/>
      <c r="B48" s="24" t="n"/>
      <c r="C48" s="24" t="n"/>
      <c r="D48" s="23" t="n"/>
      <c r="E48" s="24" t="n"/>
      <c r="F48" s="24" t="n"/>
      <c r="G48" s="23" t="n"/>
      <c r="H48" s="23" t="n"/>
      <c r="I48" s="558" t="n"/>
      <c r="J48" s="558" t="n"/>
      <c r="K48" s="539" t="n"/>
      <c r="L48" s="539" t="n"/>
      <c r="M48" s="539" t="n"/>
      <c r="N48" s="539" t="n"/>
      <c r="O48" s="539" t="n"/>
      <c r="P48" s="539" t="n"/>
      <c r="Q48" s="539" t="n"/>
      <c r="R48" s="23" t="n"/>
      <c r="S48" s="539" t="n"/>
      <c r="T48" s="539" t="n"/>
      <c r="U48" s="27" t="n"/>
      <c r="V48" s="601"/>
      <c r="W48" s="602">
        <f>($V$5-J48)/365</f>
      </c>
      <c r="X48" s="127">
        <f>(V48-W48)/V48</f>
      </c>
      <c r="Y48" s="603" t="n"/>
      <c r="Z48" s="604">
        <f>Y48</f>
      </c>
      <c r="AA48" s="583" t="n"/>
      <c r="AB48" s="583" t="n"/>
      <c r="AC48" s="583">
        <f>Z48*0.13/(1+0.13)</f>
      </c>
      <c r="AD48" s="605">
        <f>Z48-AC48</f>
      </c>
      <c r="AE48" s="605">
        <f>Z48*H48</f>
      </c>
      <c r="AF48" s="583">
        <f>ROUND(AD48*H48,-2)</f>
      </c>
    </row>
    <row r="49" ht="15.5" customHeight="1">
      <c r="A49" s="23" t="n"/>
      <c r="B49" s="24" t="n"/>
      <c r="C49" s="24" t="n"/>
      <c r="D49" s="23" t="n"/>
      <c r="E49" s="24" t="n"/>
      <c r="F49" s="24" t="n"/>
      <c r="G49" s="23" t="n"/>
      <c r="H49" s="23" t="n"/>
      <c r="I49" s="558" t="n"/>
      <c r="J49" s="558" t="n"/>
      <c r="K49" s="539" t="n"/>
      <c r="L49" s="539" t="n"/>
      <c r="M49" s="539" t="n"/>
      <c r="N49" s="539" t="n"/>
      <c r="O49" s="539" t="n"/>
      <c r="P49" s="539" t="n"/>
      <c r="Q49" s="539" t="n"/>
      <c r="R49" s="23" t="n"/>
      <c r="S49" s="539" t="n"/>
      <c r="T49" s="539" t="n"/>
      <c r="U49" s="27" t="n"/>
      <c r="V49" s="601"/>
      <c r="W49" s="602">
        <f>($V$5-J49)/365</f>
      </c>
      <c r="X49" s="127">
        <f>(V49-W49)/V49</f>
      </c>
      <c r="Y49" s="603" t="n"/>
      <c r="Z49" s="604">
        <f>Y49</f>
      </c>
      <c r="AA49" s="583" t="n"/>
      <c r="AB49" s="583" t="n"/>
      <c r="AC49" s="583">
        <f>Z49*0.13/(1+0.13)</f>
      </c>
      <c r="AD49" s="605">
        <f>Z49-AC49</f>
      </c>
      <c r="AE49" s="605">
        <f>Z49*H49</f>
      </c>
      <c r="AF49" s="583">
        <f>ROUND(AD49*H49,-2)</f>
      </c>
    </row>
    <row r="50" ht="15.5" customHeight="1">
      <c r="A50" s="23" t="n"/>
      <c r="B50" s="24" t="n"/>
      <c r="C50" s="24" t="n"/>
      <c r="D50" s="23" t="n"/>
      <c r="E50" s="24" t="n"/>
      <c r="F50" s="24" t="n"/>
      <c r="G50" s="23" t="n"/>
      <c r="H50" s="23" t="n"/>
      <c r="I50" s="558" t="n"/>
      <c r="J50" s="558" t="n"/>
      <c r="K50" s="539" t="n"/>
      <c r="L50" s="539" t="n"/>
      <c r="M50" s="539" t="n"/>
      <c r="N50" s="539" t="n"/>
      <c r="O50" s="539" t="n"/>
      <c r="P50" s="539" t="n"/>
      <c r="Q50" s="539" t="n"/>
      <c r="R50" s="23" t="n"/>
      <c r="S50" s="539" t="n"/>
      <c r="T50" s="539" t="n"/>
      <c r="U50" s="27" t="n"/>
      <c r="V50" s="601"/>
      <c r="W50" s="602">
        <f>($V$5-J50)/365</f>
      </c>
      <c r="X50" s="127">
        <f>(V50-W50)/V50</f>
      </c>
      <c r="Y50" s="603" t="n"/>
      <c r="Z50" s="604">
        <f>Y50</f>
      </c>
      <c r="AA50" s="583" t="n"/>
      <c r="AB50" s="583" t="n"/>
      <c r="AC50" s="583">
        <f>Z50*0.13/(1+0.13)</f>
      </c>
      <c r="AD50" s="605">
        <f>Z50-AC50</f>
      </c>
      <c r="AE50" s="605">
        <f>Z50*H50</f>
      </c>
      <c r="AF50" s="583">
        <f>ROUND(AD50*H50,-2)</f>
      </c>
    </row>
    <row r="51" ht="15.5" customHeight="1">
      <c r="A51" s="23" t="n"/>
      <c r="B51" s="24" t="n"/>
      <c r="C51" s="67" t="n"/>
      <c r="D51" s="23" t="n"/>
      <c r="E51" s="24" t="n"/>
      <c r="F51" s="24" t="n"/>
      <c r="G51" s="23" t="n"/>
      <c r="H51" s="23" t="n"/>
      <c r="I51" s="558" t="n"/>
      <c r="J51" s="558" t="n"/>
      <c r="K51" s="539" t="n"/>
      <c r="L51" s="539" t="n"/>
      <c r="M51" s="539" t="n"/>
      <c r="N51" s="539" t="n"/>
      <c r="O51" s="539" t="n"/>
      <c r="P51" s="539" t="n"/>
      <c r="Q51" s="539" t="n"/>
      <c r="R51" s="23" t="n"/>
      <c r="S51" s="539" t="n"/>
      <c r="T51" s="539" t="n"/>
      <c r="U51" s="27" t="n"/>
      <c r="V51" s="601"/>
      <c r="W51" s="602">
        <f>($V$5-J51)/365</f>
      </c>
      <c r="X51" s="127">
        <f>(V51-W51)/V51</f>
      </c>
      <c r="Y51" s="603" t="n"/>
      <c r="Z51" s="604">
        <f>Y51</f>
      </c>
      <c r="AA51" s="583" t="n"/>
      <c r="AB51" s="583" t="n"/>
      <c r="AC51" s="583">
        <f>Z51*0.13/(1+0.13)</f>
      </c>
      <c r="AD51" s="605">
        <f>Z51-AC51</f>
      </c>
      <c r="AE51" s="605">
        <f>Z51*H51</f>
      </c>
      <c r="AF51" s="583">
        <f>ROUND(AD51*H51,-2)</f>
      </c>
    </row>
    <row r="52" ht="15.5" customHeight="1">
      <c r="A52" s="23" t="n"/>
      <c r="B52" s="24" t="n"/>
      <c r="C52" s="24" t="n"/>
      <c r="D52" s="23" t="n"/>
      <c r="E52" s="24" t="n"/>
      <c r="F52" s="24" t="n"/>
      <c r="G52" s="23" t="n"/>
      <c r="H52" s="23" t="n"/>
      <c r="I52" s="558" t="n"/>
      <c r="J52" s="558" t="n"/>
      <c r="K52" s="539" t="n"/>
      <c r="L52" s="539" t="n"/>
      <c r="M52" s="539" t="n"/>
      <c r="N52" s="539" t="n"/>
      <c r="O52" s="539" t="n"/>
      <c r="P52" s="539" t="n"/>
      <c r="Q52" s="539" t="n"/>
      <c r="R52" s="23" t="n"/>
      <c r="S52" s="539" t="n"/>
      <c r="T52" s="539" t="n"/>
      <c r="U52" s="27" t="n"/>
      <c r="V52" s="601"/>
      <c r="W52" s="602">
        <f>($V$5-J52)/365</f>
      </c>
      <c r="X52" s="127">
        <f>(V52-W52)/V52</f>
      </c>
      <c r="Y52" s="603" t="n"/>
      <c r="Z52" s="604">
        <f>Y52</f>
      </c>
      <c r="AA52" s="583" t="n"/>
      <c r="AB52" s="583" t="n"/>
      <c r="AC52" s="583">
        <f>Z52*0.13/(1+0.13)</f>
      </c>
      <c r="AD52" s="605">
        <f>Z52-AC52</f>
      </c>
      <c r="AE52" s="605">
        <f>Z52*H52</f>
      </c>
      <c r="AF52" s="583">
        <f>ROUND(AD52*H52,-2)</f>
      </c>
    </row>
    <row r="53" ht="15.5" customHeight="1">
      <c r="A53" s="23" t="n"/>
      <c r="B53" s="24" t="n"/>
      <c r="C53" s="24" t="n"/>
      <c r="D53" s="23" t="n"/>
      <c r="E53" s="24" t="n"/>
      <c r="F53" s="24" t="n"/>
      <c r="G53" s="23" t="n"/>
      <c r="H53" s="23" t="n"/>
      <c r="I53" s="558" t="n"/>
      <c r="J53" s="558" t="n"/>
      <c r="K53" s="539" t="n"/>
      <c r="L53" s="539" t="n"/>
      <c r="M53" s="539" t="n"/>
      <c r="N53" s="539" t="n"/>
      <c r="O53" s="539" t="n"/>
      <c r="P53" s="539" t="n"/>
      <c r="Q53" s="539" t="n"/>
      <c r="R53" s="23" t="n"/>
      <c r="S53" s="539" t="n"/>
      <c r="T53" s="539" t="n"/>
      <c r="U53" s="27" t="n"/>
      <c r="V53" s="601"/>
      <c r="W53" s="602">
        <f>($V$5-J53)/365</f>
      </c>
      <c r="X53" s="127">
        <f>(V53-W53)/V53</f>
      </c>
      <c r="Y53" s="603" t="n"/>
      <c r="Z53" s="604">
        <f>Y53</f>
      </c>
      <c r="AA53" s="583" t="n"/>
      <c r="AB53" s="583" t="n"/>
      <c r="AC53" s="583">
        <f>Z53*0.13/(1+0.13)</f>
      </c>
      <c r="AD53" s="605">
        <f>Z53-AC53</f>
      </c>
      <c r="AE53" s="605">
        <f>Z53*H53</f>
      </c>
      <c r="AF53" s="583">
        <f>ROUND(AD53*H53,-2)</f>
      </c>
    </row>
    <row r="54" ht="15.5" customHeight="1">
      <c r="A54" s="23" t="n"/>
      <c r="B54" s="24" t="n"/>
      <c r="C54" s="24" t="n"/>
      <c r="D54" s="23" t="n"/>
      <c r="E54" s="24" t="n"/>
      <c r="F54" s="24" t="n"/>
      <c r="G54" s="23" t="n"/>
      <c r="H54" s="23" t="n"/>
      <c r="I54" s="558" t="n"/>
      <c r="J54" s="558" t="n"/>
      <c r="K54" s="539" t="n"/>
      <c r="L54" s="539" t="n"/>
      <c r="M54" s="539" t="n"/>
      <c r="N54" s="539" t="n"/>
      <c r="O54" s="539" t="n"/>
      <c r="P54" s="539" t="n"/>
      <c r="Q54" s="539" t="n"/>
      <c r="R54" s="23" t="n"/>
      <c r="S54" s="539" t="n"/>
      <c r="T54" s="539" t="n"/>
      <c r="U54" s="27" t="n"/>
      <c r="V54" s="601"/>
      <c r="W54" s="602">
        <f>($V$5-J54)/365</f>
      </c>
      <c r="X54" s="127">
        <f>(V54-W54)/V54</f>
      </c>
      <c r="Y54" s="603" t="n"/>
      <c r="Z54" s="604">
        <f>Y54</f>
      </c>
      <c r="AA54" s="583" t="n"/>
      <c r="AB54" s="583" t="n"/>
      <c r="AC54" s="583">
        <f>Z54*0.13/(1+0.13)</f>
      </c>
      <c r="AD54" s="605">
        <f>Z54-AC54</f>
      </c>
      <c r="AE54" s="605">
        <f>Z54*H54</f>
      </c>
      <c r="AF54" s="583">
        <f>ROUND(AD54*H54,-2)</f>
      </c>
    </row>
    <row r="55" ht="15.5" customHeight="1">
      <c r="A55" s="23" t="n"/>
      <c r="B55" s="24" t="n"/>
      <c r="C55" s="24" t="n"/>
      <c r="D55" s="23" t="n"/>
      <c r="E55" s="24" t="n"/>
      <c r="F55" s="24" t="n"/>
      <c r="G55" s="23" t="n"/>
      <c r="H55" s="23" t="n"/>
      <c r="I55" s="558" t="n"/>
      <c r="J55" s="558" t="n"/>
      <c r="K55" s="539" t="n"/>
      <c r="L55" s="539" t="n"/>
      <c r="M55" s="539" t="n"/>
      <c r="N55" s="539" t="n"/>
      <c r="O55" s="539" t="n"/>
      <c r="P55" s="539" t="n"/>
      <c r="Q55" s="539" t="n"/>
      <c r="R55" s="23" t="n"/>
      <c r="S55" s="539" t="n"/>
      <c r="T55" s="539" t="n"/>
      <c r="U55" s="27" t="n"/>
      <c r="V55" s="601"/>
      <c r="W55" s="602">
        <f>($V$5-J55)/365</f>
      </c>
      <c r="X55" s="127">
        <f>(V55-W55)/V55</f>
      </c>
      <c r="Y55" s="603" t="n"/>
      <c r="Z55" s="604">
        <f>Y55</f>
      </c>
      <c r="AA55" s="583" t="n"/>
      <c r="AB55" s="583" t="n"/>
      <c r="AC55" s="583">
        <f>Z55*0.13/(1+0.13)</f>
      </c>
      <c r="AD55" s="605">
        <f>Z55-AC55</f>
      </c>
      <c r="AE55" s="605">
        <f>Z55*H55</f>
      </c>
      <c r="AF55" s="583">
        <f>ROUND(AD55*H55,-2)</f>
      </c>
    </row>
    <row r="56" ht="15.5" customHeight="1">
      <c r="A56" s="23" t="n"/>
      <c r="B56" s="24" t="n"/>
      <c r="C56" s="24" t="n"/>
      <c r="D56" s="23" t="n"/>
      <c r="E56" s="24" t="n"/>
      <c r="F56" s="24" t="n"/>
      <c r="G56" s="23" t="n"/>
      <c r="H56" s="23" t="n"/>
      <c r="I56" s="558" t="n"/>
      <c r="J56" s="558" t="n"/>
      <c r="K56" s="539" t="n"/>
      <c r="L56" s="539" t="n"/>
      <c r="M56" s="539" t="n"/>
      <c r="N56" s="539" t="n"/>
      <c r="O56" s="539" t="n"/>
      <c r="P56" s="539" t="n"/>
      <c r="Q56" s="539" t="n"/>
      <c r="R56" s="23" t="n"/>
      <c r="S56" s="539" t="n"/>
      <c r="T56" s="539" t="n"/>
      <c r="U56" s="27" t="n"/>
      <c r="V56" s="601"/>
      <c r="W56" s="602">
        <f>($V$5-J56)/365</f>
      </c>
      <c r="X56" s="127">
        <f>(V56-W56)/V56</f>
      </c>
      <c r="Y56" s="603" t="n"/>
      <c r="Z56" s="604">
        <f>Y56</f>
      </c>
      <c r="AA56" s="583" t="n"/>
      <c r="AB56" s="583" t="n"/>
      <c r="AC56" s="583">
        <f>Z56*0.13/(1+0.13)</f>
      </c>
      <c r="AD56" s="605">
        <f>Z56-AC56</f>
      </c>
      <c r="AE56" s="605">
        <f>Z56*H56</f>
      </c>
      <c r="AF56" s="583">
        <f>ROUND(AD56*H56,-2)</f>
      </c>
    </row>
    <row r="57" ht="15.5" customHeight="1">
      <c r="A57" s="23" t="n"/>
      <c r="B57" s="24" t="n"/>
      <c r="C57" s="24" t="n"/>
      <c r="D57" s="23" t="n"/>
      <c r="E57" s="24" t="n"/>
      <c r="F57" s="24" t="n"/>
      <c r="G57" s="23" t="n"/>
      <c r="H57" s="23" t="n"/>
      <c r="I57" s="558" t="n"/>
      <c r="J57" s="558" t="n"/>
      <c r="K57" s="539" t="n"/>
      <c r="L57" s="539" t="n"/>
      <c r="M57" s="539" t="n"/>
      <c r="N57" s="539" t="n"/>
      <c r="O57" s="539" t="n"/>
      <c r="P57" s="539" t="n"/>
      <c r="Q57" s="539" t="n"/>
      <c r="R57" s="23" t="n"/>
      <c r="S57" s="539" t="n"/>
      <c r="T57" s="539" t="n"/>
      <c r="U57" s="27" t="n"/>
      <c r="V57" s="601"/>
      <c r="W57" s="602">
        <f>($V$5-J57)/365</f>
      </c>
      <c r="X57" s="127">
        <f>(V57-W57)/V57</f>
      </c>
      <c r="Y57" s="603" t="n"/>
      <c r="Z57" s="604">
        <f>Y57</f>
      </c>
      <c r="AA57" s="583" t="n"/>
      <c r="AB57" s="583" t="n"/>
      <c r="AC57" s="583">
        <f>Z57*0.13/(1+0.13)</f>
      </c>
      <c r="AD57" s="605">
        <f>Z57-AC57</f>
      </c>
      <c r="AE57" s="605">
        <f>Z57*H57</f>
      </c>
      <c r="AF57" s="583">
        <f>ROUND(AD57*H57,-2)</f>
      </c>
    </row>
    <row r="58" ht="15.5" customHeight="1">
      <c r="A58" s="23" t="n"/>
      <c r="B58" s="24" t="n"/>
      <c r="C58" s="24" t="n"/>
      <c r="D58" s="23" t="n"/>
      <c r="E58" s="24" t="n"/>
      <c r="F58" s="24" t="n"/>
      <c r="G58" s="23" t="n"/>
      <c r="H58" s="23" t="n"/>
      <c r="I58" s="558" t="n"/>
      <c r="J58" s="558" t="n"/>
      <c r="K58" s="539" t="n"/>
      <c r="L58" s="539" t="n"/>
      <c r="M58" s="539" t="n"/>
      <c r="N58" s="539" t="n"/>
      <c r="O58" s="539" t="n"/>
      <c r="P58" s="539" t="n"/>
      <c r="Q58" s="539" t="n"/>
      <c r="R58" s="23" t="n"/>
      <c r="S58" s="539" t="n"/>
      <c r="T58" s="539" t="n"/>
      <c r="U58" s="27" t="n"/>
      <c r="V58" s="601"/>
      <c r="W58" s="602">
        <f>($V$5-J58)/365</f>
      </c>
      <c r="X58" s="127">
        <f>(V58-W58)/V58</f>
      </c>
      <c r="Y58" s="603" t="n"/>
      <c r="Z58" s="604">
        <f>Y58</f>
      </c>
      <c r="AA58" s="583" t="n"/>
      <c r="AB58" s="583" t="n"/>
      <c r="AC58" s="583">
        <f>Z58*0.13/(1+0.13)</f>
      </c>
      <c r="AD58" s="605">
        <f>Z58-AC58</f>
      </c>
      <c r="AE58" s="605">
        <f>Z58*H58</f>
      </c>
      <c r="AF58" s="583">
        <f>ROUND(AD58*H58,-2)</f>
      </c>
    </row>
    <row r="59" ht="15.5" customHeight="1">
      <c r="A59" s="23" t="n"/>
      <c r="B59" s="24" t="n"/>
      <c r="C59" s="24" t="n"/>
      <c r="D59" s="23" t="n"/>
      <c r="E59" s="24" t="n"/>
      <c r="F59" s="24" t="n"/>
      <c r="G59" s="23" t="n"/>
      <c r="H59" s="23" t="n"/>
      <c r="I59" s="558" t="n"/>
      <c r="J59" s="558" t="n"/>
      <c r="K59" s="539" t="n"/>
      <c r="L59" s="539" t="n"/>
      <c r="M59" s="539" t="n"/>
      <c r="N59" s="539" t="n"/>
      <c r="O59" s="539" t="n"/>
      <c r="P59" s="539" t="n"/>
      <c r="Q59" s="539" t="n"/>
      <c r="R59" s="23" t="n"/>
      <c r="S59" s="539" t="n"/>
      <c r="T59" s="539" t="n"/>
      <c r="U59" s="27" t="n"/>
      <c r="V59" s="601"/>
      <c r="W59" s="602">
        <f>($V$5-J59)/365</f>
      </c>
      <c r="X59" s="127">
        <f>(V59-W59)/V59</f>
      </c>
      <c r="Y59" s="603" t="n"/>
      <c r="Z59" s="604">
        <f>Y59</f>
      </c>
      <c r="AA59" s="583" t="n"/>
      <c r="AB59" s="583" t="n"/>
      <c r="AC59" s="583">
        <f>Z59*0.13/(1+0.13)</f>
      </c>
      <c r="AD59" s="605">
        <f>Z59-AC59</f>
      </c>
      <c r="AE59" s="605">
        <f>Z59*H59</f>
      </c>
      <c r="AF59" s="583">
        <f>ROUND(AD59*H59,-2)</f>
      </c>
    </row>
    <row r="60" ht="15.5" customHeight="1">
      <c r="A60" s="23" t="n"/>
      <c r="B60" s="24" t="n"/>
      <c r="C60" s="24" t="n"/>
      <c r="D60" s="23" t="n"/>
      <c r="E60" s="24" t="n"/>
      <c r="F60" s="24" t="n"/>
      <c r="G60" s="23" t="n"/>
      <c r="H60" s="23" t="n"/>
      <c r="I60" s="558" t="n"/>
      <c r="J60" s="558" t="n"/>
      <c r="K60" s="539" t="n"/>
      <c r="L60" s="539" t="n"/>
      <c r="M60" s="539" t="n"/>
      <c r="N60" s="539" t="n"/>
      <c r="O60" s="539" t="n"/>
      <c r="P60" s="539" t="n"/>
      <c r="Q60" s="539" t="n"/>
      <c r="R60" s="23" t="n"/>
      <c r="S60" s="539" t="n"/>
      <c r="T60" s="539" t="n"/>
      <c r="U60" s="27" t="n"/>
      <c r="V60" s="601"/>
      <c r="W60" s="602">
        <f>($V$5-J60)/365</f>
      </c>
      <c r="X60" s="127">
        <f>(V60-W60)/V60</f>
      </c>
      <c r="Y60" s="603" t="n"/>
      <c r="Z60" s="604">
        <f>Y60</f>
      </c>
      <c r="AA60" s="583" t="n"/>
      <c r="AB60" s="583" t="n"/>
      <c r="AC60" s="583">
        <f>Z60*0.13/(1+0.13)</f>
      </c>
      <c r="AD60" s="605">
        <f>Z60-AC60</f>
      </c>
      <c r="AE60" s="605">
        <f>Z60*H60</f>
      </c>
      <c r="AF60" s="583">
        <f>ROUND(AD60*H60,-2)</f>
      </c>
    </row>
    <row r="61" ht="15.5" customHeight="1">
      <c r="A61" s="23" t="n"/>
      <c r="B61" s="24" t="n"/>
      <c r="C61" s="24" t="n"/>
      <c r="D61" s="23" t="n"/>
      <c r="E61" s="24" t="n"/>
      <c r="F61" s="24" t="n"/>
      <c r="G61" s="23" t="n"/>
      <c r="H61" s="23" t="n"/>
      <c r="I61" s="558" t="n"/>
      <c r="J61" s="558" t="n"/>
      <c r="K61" s="539" t="n"/>
      <c r="L61" s="539" t="n"/>
      <c r="M61" s="539" t="n"/>
      <c r="N61" s="539" t="n"/>
      <c r="O61" s="539" t="n"/>
      <c r="P61" s="539" t="n"/>
      <c r="Q61" s="539" t="n"/>
      <c r="R61" s="23" t="n"/>
      <c r="S61" s="539" t="n"/>
      <c r="T61" s="539" t="n"/>
      <c r="U61" s="27" t="n"/>
      <c r="V61" s="601"/>
      <c r="W61" s="602">
        <f>($V$5-J61)/365</f>
      </c>
      <c r="X61" s="127">
        <f>(V61-W61)/V61</f>
      </c>
      <c r="Y61" s="603" t="n"/>
      <c r="Z61" s="604">
        <f>Y61</f>
      </c>
      <c r="AA61" s="583" t="n"/>
      <c r="AB61" s="583" t="n"/>
      <c r="AC61" s="583">
        <f>Z61*0.13/(1+0.13)</f>
      </c>
      <c r="AD61" s="605">
        <f>Z61-AC61</f>
      </c>
      <c r="AE61" s="605">
        <f>Z61*H61</f>
      </c>
      <c r="AF61" s="583">
        <f>ROUND(AD61*H61,-2)</f>
      </c>
    </row>
    <row r="62" ht="15.5" customHeight="1">
      <c r="A62" s="23" t="n"/>
      <c r="B62" s="24" t="n"/>
      <c r="C62" s="24" t="n"/>
      <c r="D62" s="23" t="n"/>
      <c r="E62" s="24" t="n"/>
      <c r="F62" s="24" t="n"/>
      <c r="G62" s="23" t="n"/>
      <c r="H62" s="23" t="n"/>
      <c r="I62" s="558" t="n"/>
      <c r="J62" s="558" t="n"/>
      <c r="K62" s="539" t="n"/>
      <c r="L62" s="539" t="n"/>
      <c r="M62" s="539" t="n"/>
      <c r="N62" s="539" t="n"/>
      <c r="O62" s="539" t="n"/>
      <c r="P62" s="539" t="n"/>
      <c r="Q62" s="539" t="n"/>
      <c r="R62" s="23" t="n"/>
      <c r="S62" s="539" t="n"/>
      <c r="T62" s="539" t="n"/>
      <c r="U62" s="27" t="n"/>
      <c r="V62" s="601"/>
      <c r="W62" s="602">
        <f>($V$5-J62)/365</f>
      </c>
      <c r="X62" s="127">
        <f>(V62-W62)/V62</f>
      </c>
      <c r="Y62" s="603" t="n"/>
      <c r="Z62" s="604">
        <f>Y62</f>
      </c>
      <c r="AA62" s="583" t="n"/>
      <c r="AB62" s="583" t="n"/>
      <c r="AC62" s="583">
        <f>Z62*0.13/(1+0.13)</f>
      </c>
      <c r="AD62" s="605">
        <f>Z62-AC62</f>
      </c>
      <c r="AE62" s="605">
        <f>Z62*H62</f>
      </c>
      <c r="AF62" s="583">
        <f>ROUND(AD62*H62,-2)</f>
      </c>
    </row>
    <row r="63" ht="15.5" customHeight="1">
      <c r="A63" s="23" t="n"/>
      <c r="B63" s="24" t="n"/>
      <c r="C63" s="24" t="n"/>
      <c r="D63" s="23" t="n"/>
      <c r="E63" s="24" t="n"/>
      <c r="F63" s="24" t="n"/>
      <c r="G63" s="23" t="n"/>
      <c r="H63" s="23" t="n"/>
      <c r="I63" s="558" t="n"/>
      <c r="J63" s="558" t="n"/>
      <c r="K63" s="539" t="n"/>
      <c r="L63" s="539" t="n"/>
      <c r="M63" s="539" t="n"/>
      <c r="N63" s="539" t="n"/>
      <c r="O63" s="539" t="n"/>
      <c r="P63" s="539" t="n"/>
      <c r="Q63" s="539" t="n"/>
      <c r="R63" s="23" t="n"/>
      <c r="S63" s="539" t="n"/>
      <c r="T63" s="539" t="n"/>
      <c r="U63" s="27" t="n"/>
      <c r="V63" s="601"/>
      <c r="W63" s="602">
        <f>($V$5-J63)/365</f>
      </c>
      <c r="X63" s="127">
        <f>(V63-W63)/V63</f>
      </c>
      <c r="Y63" s="603" t="n"/>
      <c r="Z63" s="604">
        <f>Y63</f>
      </c>
      <c r="AA63" s="583" t="n"/>
      <c r="AB63" s="583" t="n"/>
      <c r="AC63" s="583">
        <f>Z63*0.13/(1+0.13)</f>
      </c>
      <c r="AD63" s="605">
        <f>Z63-AC63</f>
      </c>
      <c r="AE63" s="605">
        <f>Z63*H63</f>
      </c>
      <c r="AF63" s="583">
        <f>ROUND(AD63*H63,-2)</f>
      </c>
    </row>
    <row r="64" ht="15.5" customHeight="1">
      <c r="A64" s="23" t="n"/>
      <c r="B64" s="24" t="n"/>
      <c r="C64" s="24" t="n"/>
      <c r="D64" s="23" t="n"/>
      <c r="E64" s="24" t="n"/>
      <c r="F64" s="24" t="n"/>
      <c r="G64" s="23" t="n"/>
      <c r="H64" s="23" t="n"/>
      <c r="I64" s="558" t="n"/>
      <c r="J64" s="558" t="n"/>
      <c r="K64" s="539" t="n"/>
      <c r="L64" s="539" t="n"/>
      <c r="M64" s="539" t="n"/>
      <c r="N64" s="539" t="n"/>
      <c r="O64" s="539" t="n"/>
      <c r="P64" s="539" t="n"/>
      <c r="Q64" s="539" t="n"/>
      <c r="R64" s="23" t="n"/>
      <c r="S64" s="539" t="n"/>
      <c r="T64" s="539" t="n"/>
      <c r="U64" s="27" t="n"/>
      <c r="V64" s="601"/>
      <c r="W64" s="602">
        <f>($V$5-J64)/365</f>
      </c>
      <c r="X64" s="127">
        <f>(V64-W64)/V64</f>
      </c>
      <c r="Y64" s="603" t="n"/>
      <c r="Z64" s="604">
        <f>Y64</f>
      </c>
      <c r="AA64" s="583" t="n"/>
      <c r="AB64" s="583" t="n"/>
      <c r="AC64" s="583">
        <f>Z64*0.13/(1+0.13)</f>
      </c>
      <c r="AD64" s="605">
        <f>Z64-AC64</f>
      </c>
      <c r="AE64" s="605">
        <f>Z64*H64</f>
      </c>
      <c r="AF64" s="583">
        <f>ROUND(AD64*H64,-2)</f>
      </c>
    </row>
    <row r="65" ht="15.5" customHeight="1">
      <c r="A65" s="23" t="n"/>
      <c r="B65" s="24" t="n"/>
      <c r="C65" s="24" t="n"/>
      <c r="D65" s="23" t="n"/>
      <c r="E65" s="24" t="n"/>
      <c r="F65" s="24" t="n"/>
      <c r="G65" s="23" t="n"/>
      <c r="H65" s="23" t="n"/>
      <c r="I65" s="558" t="n"/>
      <c r="J65" s="558" t="n"/>
      <c r="K65" s="539" t="n"/>
      <c r="L65" s="539" t="n"/>
      <c r="M65" s="539" t="n"/>
      <c r="N65" s="539" t="n"/>
      <c r="O65" s="539" t="n"/>
      <c r="P65" s="539" t="n"/>
      <c r="Q65" s="539" t="n"/>
      <c r="R65" s="23" t="n"/>
      <c r="S65" s="539" t="n"/>
      <c r="T65" s="539" t="n"/>
      <c r="U65" s="27" t="n"/>
      <c r="V65" s="601"/>
      <c r="W65" s="602">
        <f>($V$5-J65)/365</f>
      </c>
      <c r="X65" s="127">
        <f>(V65-W65)/V65</f>
      </c>
      <c r="Y65" s="603" t="n"/>
      <c r="Z65" s="604">
        <f>Y65</f>
      </c>
      <c r="AA65" s="583" t="n"/>
      <c r="AB65" s="583" t="n"/>
      <c r="AC65" s="583">
        <f>Z65*0.13/(1+0.13)</f>
      </c>
      <c r="AD65" s="605">
        <f>Z65-AC65</f>
      </c>
      <c r="AE65" s="605">
        <f>Z65*H65</f>
      </c>
      <c r="AF65" s="583">
        <f>ROUND(AD65*H65,-2)</f>
      </c>
    </row>
    <row r="66" ht="15.5" customHeight="1">
      <c r="A66" s="23" t="n"/>
      <c r="B66" s="24" t="n"/>
      <c r="C66" s="24" t="n"/>
      <c r="D66" s="23" t="n"/>
      <c r="E66" s="24" t="n"/>
      <c r="F66" s="24" t="n"/>
      <c r="G66" s="23" t="n"/>
      <c r="H66" s="23" t="n"/>
      <c r="I66" s="558" t="n"/>
      <c r="J66" s="558" t="n"/>
      <c r="K66" s="539" t="n"/>
      <c r="L66" s="539" t="n"/>
      <c r="M66" s="539" t="n"/>
      <c r="N66" s="539" t="n"/>
      <c r="O66" s="539" t="n"/>
      <c r="P66" s="539" t="n"/>
      <c r="Q66" s="539" t="n"/>
      <c r="R66" s="23" t="n"/>
      <c r="S66" s="539" t="n"/>
      <c r="T66" s="539" t="n"/>
      <c r="U66" s="27" t="n"/>
      <c r="V66" s="601"/>
      <c r="W66" s="602">
        <f>($V$5-J66)/365</f>
      </c>
      <c r="X66" s="127">
        <f>(V66-W66)/V66</f>
      </c>
      <c r="Y66" s="603" t="n"/>
      <c r="Z66" s="604">
        <f>Y66</f>
      </c>
      <c r="AA66" s="583" t="n"/>
      <c r="AB66" s="583" t="n"/>
      <c r="AC66" s="583">
        <f>Z66*0.13/(1+0.13)</f>
      </c>
      <c r="AD66" s="605">
        <f>Z66-AC66</f>
      </c>
      <c r="AE66" s="605">
        <f>Z66*H66</f>
      </c>
      <c r="AF66" s="583">
        <f>ROUND(AD66*H66,-2)</f>
      </c>
    </row>
    <row r="67" ht="15.5" customHeight="1">
      <c r="A67" s="23" t="n"/>
      <c r="B67" s="24" t="n"/>
      <c r="C67" s="24" t="n"/>
      <c r="D67" s="23" t="n"/>
      <c r="E67" s="24" t="n"/>
      <c r="F67" s="24" t="n"/>
      <c r="G67" s="23" t="n"/>
      <c r="H67" s="23" t="n"/>
      <c r="I67" s="558" t="n"/>
      <c r="J67" s="558" t="n"/>
      <c r="K67" s="539" t="n"/>
      <c r="L67" s="539" t="n"/>
      <c r="M67" s="539" t="n"/>
      <c r="N67" s="539" t="n"/>
      <c r="O67" s="539" t="n"/>
      <c r="P67" s="539" t="n"/>
      <c r="Q67" s="539" t="n"/>
      <c r="R67" s="23" t="n"/>
      <c r="S67" s="539" t="n"/>
      <c r="T67" s="539" t="n"/>
      <c r="U67" s="27" t="n"/>
      <c r="V67" s="601"/>
      <c r="W67" s="602">
        <f>($V$5-J67)/365</f>
      </c>
      <c r="X67" s="127">
        <f>(V67-W67)/V67</f>
      </c>
      <c r="Y67" s="603" t="n"/>
      <c r="Z67" s="604">
        <f>Y67</f>
      </c>
      <c r="AA67" s="583" t="n"/>
      <c r="AB67" s="583" t="n"/>
      <c r="AC67" s="583">
        <f>Z67*0.13/(1+0.13)</f>
      </c>
      <c r="AD67" s="605">
        <f>Z67-AC67</f>
      </c>
      <c r="AE67" s="605">
        <f>Z67*H67</f>
      </c>
      <c r="AF67" s="583">
        <f>ROUND(AD67*H67,-2)</f>
      </c>
    </row>
    <row r="68" ht="15.5" customHeight="1">
      <c r="A68" s="23" t="n"/>
      <c r="B68" s="24" t="n"/>
      <c r="C68" s="24" t="n"/>
      <c r="D68" s="23" t="n"/>
      <c r="E68" s="24" t="n"/>
      <c r="F68" s="24" t="n"/>
      <c r="G68" s="23" t="n"/>
      <c r="H68" s="23" t="n"/>
      <c r="I68" s="558" t="n"/>
      <c r="J68" s="558" t="n"/>
      <c r="K68" s="539" t="n"/>
      <c r="L68" s="539" t="n"/>
      <c r="M68" s="539" t="n"/>
      <c r="N68" s="539" t="n"/>
      <c r="O68" s="539" t="n"/>
      <c r="P68" s="539" t="n"/>
      <c r="Q68" s="539" t="n"/>
      <c r="R68" s="23" t="n"/>
      <c r="S68" s="539" t="n"/>
      <c r="T68" s="539" t="n"/>
      <c r="U68" s="27" t="n"/>
      <c r="V68" s="601"/>
      <c r="W68" s="602">
        <f>($V$5-J68)/365</f>
      </c>
      <c r="X68" s="127">
        <f>(V68-W68)/V68</f>
      </c>
      <c r="Y68" s="603" t="n"/>
      <c r="Z68" s="604">
        <f>Y68</f>
      </c>
      <c r="AA68" s="583" t="n"/>
      <c r="AB68" s="583" t="n"/>
      <c r="AC68" s="583">
        <f>Z68*0.13/(1+0.13)</f>
      </c>
      <c r="AD68" s="605">
        <f>Z68-AC68</f>
      </c>
      <c r="AE68" s="605">
        <f>Z68*H68</f>
      </c>
      <c r="AF68" s="583">
        <f>ROUND(AD68*H68,-2)</f>
      </c>
    </row>
    <row r="69" ht="15.5" customHeight="1">
      <c r="A69" s="23" t="n"/>
      <c r="B69" s="24" t="n"/>
      <c r="C69" s="24" t="n"/>
      <c r="D69" s="23" t="n"/>
      <c r="E69" s="24" t="n"/>
      <c r="F69" s="24" t="n"/>
      <c r="G69" s="23" t="n"/>
      <c r="H69" s="23" t="n"/>
      <c r="I69" s="558" t="n"/>
      <c r="J69" s="558" t="n"/>
      <c r="K69" s="539" t="n"/>
      <c r="L69" s="539" t="n"/>
      <c r="M69" s="539" t="n"/>
      <c r="N69" s="539" t="n"/>
      <c r="O69" s="539" t="n"/>
      <c r="P69" s="539" t="n"/>
      <c r="Q69" s="539" t="n"/>
      <c r="R69" s="23" t="n"/>
      <c r="S69" s="539" t="n"/>
      <c r="T69" s="539" t="n"/>
      <c r="U69" s="27" t="n"/>
      <c r="V69" s="601"/>
      <c r="W69" s="602">
        <f>($V$5-J69)/365</f>
      </c>
      <c r="X69" s="127">
        <f>(V69-W69)/V69</f>
      </c>
      <c r="Y69" s="603" t="n"/>
      <c r="Z69" s="604">
        <f>Y69</f>
      </c>
      <c r="AA69" s="583" t="n"/>
      <c r="AB69" s="583" t="n"/>
      <c r="AC69" s="583">
        <f>Z69*0.13/(1+0.13)</f>
      </c>
      <c r="AD69" s="605">
        <f>Z69-AC69</f>
      </c>
      <c r="AE69" s="605">
        <f>Z69*H69</f>
      </c>
      <c r="AF69" s="583">
        <f>ROUND(AD69*H69,-2)</f>
      </c>
    </row>
    <row r="70" ht="15.5" customHeight="1">
      <c r="A70" s="23" t="n"/>
      <c r="B70" s="24" t="n"/>
      <c r="C70" s="24" t="n"/>
      <c r="D70" s="23" t="n"/>
      <c r="E70" s="24" t="n"/>
      <c r="F70" s="24" t="n"/>
      <c r="G70" s="23" t="n"/>
      <c r="H70" s="23" t="n"/>
      <c r="I70" s="558" t="n"/>
      <c r="J70" s="558" t="n"/>
      <c r="K70" s="539" t="n"/>
      <c r="L70" s="539" t="n"/>
      <c r="M70" s="539" t="n"/>
      <c r="N70" s="539" t="n"/>
      <c r="O70" s="539" t="n"/>
      <c r="P70" s="539" t="n"/>
      <c r="Q70" s="539" t="n"/>
      <c r="R70" s="23" t="n"/>
      <c r="S70" s="539" t="n"/>
      <c r="T70" s="539" t="n"/>
      <c r="U70" s="27" t="n"/>
      <c r="V70" s="601"/>
      <c r="W70" s="602">
        <f>($V$5-J70)/365</f>
      </c>
      <c r="X70" s="127">
        <f>(V70-W70)/V70</f>
      </c>
      <c r="Y70" s="603" t="n"/>
      <c r="Z70" s="604">
        <f>Y70</f>
      </c>
      <c r="AA70" s="583" t="n"/>
      <c r="AB70" s="583" t="n"/>
      <c r="AC70" s="583">
        <f>Z70*0.13/(1+0.13)</f>
      </c>
      <c r="AD70" s="605">
        <f>Z70-AC70</f>
      </c>
      <c r="AE70" s="605">
        <f>Z70*H70</f>
      </c>
      <c r="AF70" s="583">
        <f>ROUND(AD70*H70,-2)</f>
      </c>
    </row>
    <row r="71" ht="15.5" customHeight="1">
      <c r="A71" s="23" t="n"/>
      <c r="B71" s="24" t="n"/>
      <c r="C71" s="24" t="n"/>
      <c r="D71" s="23" t="n"/>
      <c r="E71" s="24" t="n"/>
      <c r="F71" s="24" t="n"/>
      <c r="G71" s="23" t="n"/>
      <c r="H71" s="23" t="n"/>
      <c r="I71" s="558" t="n"/>
      <c r="J71" s="558" t="n"/>
      <c r="K71" s="539" t="n"/>
      <c r="L71" s="539" t="n"/>
      <c r="M71" s="539" t="n"/>
      <c r="N71" s="539" t="n"/>
      <c r="O71" s="539" t="n"/>
      <c r="P71" s="539" t="n"/>
      <c r="Q71" s="539" t="n"/>
      <c r="R71" s="23" t="n"/>
      <c r="S71" s="539" t="n"/>
      <c r="T71" s="539" t="n"/>
      <c r="U71" s="27" t="n"/>
      <c r="V71" s="601"/>
      <c r="W71" s="602">
        <f>($V$5-J71)/365</f>
      </c>
      <c r="X71" s="127">
        <f>(V71-W71)/V71</f>
      </c>
      <c r="Y71" s="603" t="n"/>
      <c r="Z71" s="604">
        <f>Y71</f>
      </c>
      <c r="AA71" s="583" t="n"/>
      <c r="AB71" s="583" t="n"/>
      <c r="AC71" s="583">
        <f>Z71*0.13/(1+0.13)</f>
      </c>
      <c r="AD71" s="605">
        <f>Z71-AC71</f>
      </c>
      <c r="AE71" s="605">
        <f>Z71*H71</f>
      </c>
      <c r="AF71" s="583">
        <f>ROUND(AD71*H71,-2)</f>
      </c>
    </row>
    <row r="72" ht="15.5" customHeight="1">
      <c r="A72" s="23" t="n"/>
      <c r="B72" s="24" t="n"/>
      <c r="C72" s="24" t="n"/>
      <c r="D72" s="23" t="n"/>
      <c r="E72" s="24" t="n"/>
      <c r="F72" s="24" t="n"/>
      <c r="G72" s="23" t="n"/>
      <c r="H72" s="23" t="n"/>
      <c r="I72" s="558" t="n"/>
      <c r="J72" s="558" t="n"/>
      <c r="K72" s="539" t="n"/>
      <c r="L72" s="539" t="n"/>
      <c r="M72" s="539" t="n"/>
      <c r="N72" s="539" t="n"/>
      <c r="O72" s="539" t="n"/>
      <c r="P72" s="539" t="n"/>
      <c r="Q72" s="539" t="n"/>
      <c r="R72" s="23" t="n"/>
      <c r="S72" s="539" t="n"/>
      <c r="T72" s="539" t="n"/>
      <c r="U72" s="27" t="n"/>
      <c r="V72" s="601"/>
      <c r="W72" s="602">
        <f>($V$5-J72)/365</f>
      </c>
      <c r="X72" s="127">
        <f>(V72-W72)/V72</f>
      </c>
      <c r="Y72" s="603" t="n"/>
      <c r="Z72" s="604">
        <f>Y72</f>
      </c>
      <c r="AA72" s="583" t="n"/>
      <c r="AB72" s="583" t="n"/>
      <c r="AC72" s="583">
        <f>Z72*0.13/(1+0.13)</f>
      </c>
      <c r="AD72" s="605">
        <f>Z72-AC72</f>
      </c>
      <c r="AE72" s="605">
        <f>Z72*H72</f>
      </c>
      <c r="AF72" s="583">
        <f>ROUND(AD72*H72,-2)</f>
      </c>
    </row>
    <row r="73" ht="15.5" customHeight="1">
      <c r="A73" s="23" t="n"/>
      <c r="B73" s="24" t="n"/>
      <c r="C73" s="24" t="n"/>
      <c r="D73" s="23" t="n"/>
      <c r="E73" s="24" t="n"/>
      <c r="F73" s="24" t="n"/>
      <c r="G73" s="23" t="n"/>
      <c r="H73" s="23" t="n"/>
      <c r="I73" s="558" t="n"/>
      <c r="J73" s="558" t="n"/>
      <c r="K73" s="539" t="n"/>
      <c r="L73" s="539" t="n"/>
      <c r="M73" s="539" t="n"/>
      <c r="N73" s="539" t="n"/>
      <c r="O73" s="539" t="n"/>
      <c r="P73" s="539" t="n"/>
      <c r="Q73" s="539" t="n"/>
      <c r="R73" s="23" t="n"/>
      <c r="S73" s="539" t="n"/>
      <c r="T73" s="539" t="n"/>
      <c r="U73" s="27" t="n"/>
      <c r="V73" s="601"/>
      <c r="W73" s="602">
        <f>($V$5-J73)/365</f>
      </c>
      <c r="X73" s="127">
        <f>(V73-W73)/V73</f>
      </c>
      <c r="Y73" s="603" t="n"/>
      <c r="Z73" s="604">
        <f>Y73</f>
      </c>
      <c r="AA73" s="583" t="n"/>
      <c r="AB73" s="583" t="n"/>
      <c r="AC73" s="583">
        <f>Z73*0.13/(1+0.13)</f>
      </c>
      <c r="AD73" s="605">
        <f>Z73-AC73</f>
      </c>
      <c r="AE73" s="605">
        <f>Z73*H73</f>
      </c>
      <c r="AF73" s="583">
        <f>ROUND(AD73*H73,-2)</f>
      </c>
    </row>
    <row r="74" ht="15.5" customHeight="1">
      <c r="A74" s="23" t="n"/>
      <c r="B74" s="24" t="n"/>
      <c r="C74" s="24" t="n"/>
      <c r="D74" s="23" t="n"/>
      <c r="E74" s="24" t="n"/>
      <c r="F74" s="24" t="n"/>
      <c r="G74" s="23" t="n"/>
      <c r="H74" s="23" t="n"/>
      <c r="I74" s="558" t="n"/>
      <c r="J74" s="558" t="n"/>
      <c r="K74" s="539" t="n"/>
      <c r="L74" s="539" t="n"/>
      <c r="M74" s="539" t="n"/>
      <c r="N74" s="539" t="n"/>
      <c r="O74" s="539" t="n"/>
      <c r="P74" s="539" t="n"/>
      <c r="Q74" s="539" t="n"/>
      <c r="R74" s="23" t="n"/>
      <c r="S74" s="539" t="n"/>
      <c r="T74" s="539" t="n"/>
      <c r="U74" s="27" t="n"/>
      <c r="V74" s="601"/>
      <c r="W74" s="602">
        <f>($V$5-J74)/365</f>
      </c>
      <c r="X74" s="127">
        <f>(V74-W74)/V74</f>
      </c>
      <c r="Y74" s="603" t="n"/>
      <c r="Z74" s="604">
        <f>Y74</f>
      </c>
      <c r="AA74" s="583" t="n"/>
      <c r="AB74" s="583" t="n"/>
      <c r="AC74" s="583">
        <f>Z74*0.13/(1+0.13)</f>
      </c>
      <c r="AD74" s="605">
        <f>Z74-AC74</f>
      </c>
      <c r="AE74" s="605">
        <f>Z74*H74</f>
      </c>
      <c r="AF74" s="583">
        <f>ROUND(AD74*H74,-2)</f>
      </c>
    </row>
    <row r="75" ht="15.5" customHeight="1">
      <c r="A75" s="23" t="n"/>
      <c r="B75" s="24" t="n"/>
      <c r="C75" s="24" t="n"/>
      <c r="D75" s="23" t="n"/>
      <c r="E75" s="24" t="n"/>
      <c r="F75" s="24" t="n"/>
      <c r="G75" s="23" t="n"/>
      <c r="H75" s="23" t="n"/>
      <c r="I75" s="558" t="n"/>
      <c r="J75" s="558" t="n"/>
      <c r="K75" s="539" t="n"/>
      <c r="L75" s="539" t="n"/>
      <c r="M75" s="539" t="n"/>
      <c r="N75" s="539" t="n"/>
      <c r="O75" s="539" t="n"/>
      <c r="P75" s="539" t="n"/>
      <c r="Q75" s="539" t="n"/>
      <c r="R75" s="23" t="n"/>
      <c r="S75" s="539" t="n"/>
      <c r="T75" s="539" t="n"/>
      <c r="U75" s="27" t="n"/>
      <c r="V75" s="601"/>
      <c r="W75" s="602">
        <f>($V$5-J75)/365</f>
      </c>
      <c r="X75" s="127">
        <f>(V75-W75)/V75</f>
      </c>
      <c r="Y75" s="603" t="n"/>
      <c r="Z75" s="604">
        <f>Y75</f>
      </c>
      <c r="AA75" s="583" t="n"/>
      <c r="AB75" s="583" t="n"/>
      <c r="AC75" s="583">
        <f>Z75*0.13/(1+0.13)</f>
      </c>
      <c r="AD75" s="605">
        <f>Z75-AC75</f>
      </c>
      <c r="AE75" s="605">
        <f>Z75*H75</f>
      </c>
      <c r="AF75" s="583">
        <f>ROUND(AD75*H75,-2)</f>
      </c>
    </row>
    <row r="76" ht="15.5" customHeight="1">
      <c r="A76" s="23" t="n"/>
      <c r="B76" s="24" t="n"/>
      <c r="C76" s="24" t="n"/>
      <c r="D76" s="23" t="n"/>
      <c r="E76" s="24" t="n"/>
      <c r="F76" s="24" t="n"/>
      <c r="G76" s="23" t="n"/>
      <c r="H76" s="23" t="n"/>
      <c r="I76" s="558" t="n"/>
      <c r="J76" s="558" t="n"/>
      <c r="K76" s="539" t="n"/>
      <c r="L76" s="539" t="n"/>
      <c r="M76" s="539" t="n"/>
      <c r="N76" s="539" t="n"/>
      <c r="O76" s="539" t="n"/>
      <c r="P76" s="539" t="n"/>
      <c r="Q76" s="539" t="n"/>
      <c r="R76" s="23" t="n"/>
      <c r="S76" s="539" t="n"/>
      <c r="T76" s="539" t="n"/>
      <c r="U76" s="27" t="n"/>
      <c r="V76" s="601"/>
      <c r="W76" s="602">
        <f>($V$5-J76)/365</f>
      </c>
      <c r="X76" s="127">
        <f>(V76-W76)/V76</f>
      </c>
      <c r="Y76" s="603" t="n"/>
      <c r="Z76" s="604">
        <f>Y76</f>
      </c>
      <c r="AA76" s="583" t="n"/>
      <c r="AB76" s="583" t="n"/>
      <c r="AC76" s="583">
        <f>Z76*0.13/(1+0.13)</f>
      </c>
      <c r="AD76" s="605">
        <f>Z76-AC76</f>
      </c>
      <c r="AE76" s="605">
        <f>Z76*H76</f>
      </c>
      <c r="AF76" s="583">
        <f>ROUND(AD76*H76,-2)</f>
      </c>
    </row>
    <row r="77" ht="15.5" customHeight="1">
      <c r="A77" s="23" t="n"/>
      <c r="B77" s="24" t="n"/>
      <c r="C77" s="67" t="n"/>
      <c r="D77" s="23" t="n"/>
      <c r="E77" s="24" t="n"/>
      <c r="F77" s="24" t="n"/>
      <c r="G77" s="23" t="n"/>
      <c r="H77" s="23" t="n"/>
      <c r="I77" s="558" t="n"/>
      <c r="J77" s="558" t="n"/>
      <c r="K77" s="539" t="n"/>
      <c r="L77" s="539" t="n"/>
      <c r="M77" s="539" t="n"/>
      <c r="N77" s="539" t="n"/>
      <c r="O77" s="539" t="n"/>
      <c r="P77" s="539" t="n"/>
      <c r="Q77" s="539" t="n"/>
      <c r="R77" s="23" t="n"/>
      <c r="S77" s="539" t="n"/>
      <c r="T77" s="539" t="n"/>
      <c r="U77" s="27" t="n"/>
      <c r="V77" s="601"/>
      <c r="W77" s="602">
        <f>($V$5-J77)/365</f>
      </c>
      <c r="X77" s="127">
        <f>(V77-W77)/V77</f>
      </c>
      <c r="Y77" s="603" t="n"/>
      <c r="Z77" s="604">
        <f>Y77</f>
      </c>
      <c r="AA77" s="583" t="n"/>
      <c r="AB77" s="583" t="n"/>
      <c r="AC77" s="583">
        <f>Z77*0.13/(1+0.13)</f>
      </c>
      <c r="AD77" s="605">
        <f>Z77-AC77</f>
      </c>
      <c r="AE77" s="605">
        <f>Z77*H77</f>
      </c>
      <c r="AF77" s="583">
        <f>ROUND(AD77*H77,-2)</f>
      </c>
    </row>
    <row r="78" ht="15.5" customHeight="1">
      <c r="A78" s="23" t="n"/>
      <c r="B78" s="24" t="n"/>
      <c r="C78" s="24" t="n"/>
      <c r="D78" s="23" t="n"/>
      <c r="E78" s="24" t="n"/>
      <c r="F78" s="24" t="n"/>
      <c r="G78" s="23" t="n"/>
      <c r="H78" s="23" t="n"/>
      <c r="I78" s="558" t="n"/>
      <c r="J78" s="558" t="n"/>
      <c r="K78" s="539" t="n"/>
      <c r="L78" s="539" t="n"/>
      <c r="M78" s="539" t="n"/>
      <c r="N78" s="539" t="n"/>
      <c r="O78" s="539" t="n"/>
      <c r="P78" s="539" t="n"/>
      <c r="Q78" s="539" t="n"/>
      <c r="R78" s="23" t="n"/>
      <c r="S78" s="539" t="n"/>
      <c r="T78" s="539" t="n"/>
      <c r="U78" s="27" t="n"/>
      <c r="V78" s="601"/>
      <c r="W78" s="602">
        <f>($V$5-J78)/365</f>
      </c>
      <c r="X78" s="127">
        <f>(V78-W78)/V78</f>
      </c>
      <c r="Y78" s="603" t="n"/>
      <c r="Z78" s="604">
        <f>Y78</f>
      </c>
      <c r="AA78" s="583" t="n"/>
      <c r="AB78" s="583" t="n"/>
      <c r="AC78" s="583">
        <f>Z78*0.13/(1+0.13)</f>
      </c>
      <c r="AD78" s="605">
        <f>Z78-AC78</f>
      </c>
      <c r="AE78" s="605">
        <f>Z78*H78</f>
      </c>
      <c r="AF78" s="583">
        <f>ROUND(AD78*H78,-2)</f>
      </c>
    </row>
    <row r="79" ht="15.5" customHeight="1">
      <c r="A79" s="23" t="n"/>
      <c r="B79" s="24" t="n"/>
      <c r="C79" s="24" t="n"/>
      <c r="D79" s="23" t="n"/>
      <c r="E79" s="24" t="n"/>
      <c r="F79" s="24" t="n"/>
      <c r="G79" s="23" t="n"/>
      <c r="H79" s="23" t="n"/>
      <c r="I79" s="558" t="n"/>
      <c r="J79" s="558" t="n"/>
      <c r="K79" s="539" t="n"/>
      <c r="L79" s="539" t="n"/>
      <c r="M79" s="539" t="n"/>
      <c r="N79" s="539" t="n"/>
      <c r="O79" s="539" t="n"/>
      <c r="P79" s="539" t="n"/>
      <c r="Q79" s="539" t="n"/>
      <c r="R79" s="23" t="n"/>
      <c r="S79" s="539" t="n"/>
      <c r="T79" s="539" t="n"/>
      <c r="U79" s="27" t="n"/>
      <c r="V79" s="601"/>
      <c r="W79" s="602">
        <f>($V$5-J79)/365</f>
      </c>
      <c r="X79" s="127">
        <f>(V79-W79)/V79</f>
      </c>
      <c r="Y79" s="603" t="n"/>
      <c r="Z79" s="604">
        <f>Y79</f>
      </c>
      <c r="AA79" s="583" t="n"/>
      <c r="AB79" s="583" t="n"/>
      <c r="AC79" s="583">
        <f>Z79*0.13/(1+0.13)</f>
      </c>
      <c r="AD79" s="605">
        <f>Z79-AC79</f>
      </c>
      <c r="AE79" s="605">
        <f>Z79*H79</f>
      </c>
      <c r="AF79" s="583">
        <f>ROUND(AD79*H79,-2)</f>
      </c>
    </row>
    <row r="80" ht="15.5" customHeight="1">
      <c r="A80" s="23" t="n"/>
      <c r="B80" s="24" t="n"/>
      <c r="C80" s="24" t="n"/>
      <c r="D80" s="23" t="n"/>
      <c r="E80" s="24" t="n"/>
      <c r="F80" s="24" t="n"/>
      <c r="G80" s="23" t="n"/>
      <c r="H80" s="23" t="n"/>
      <c r="I80" s="558" t="n"/>
      <c r="J80" s="558" t="n"/>
      <c r="K80" s="539" t="n"/>
      <c r="L80" s="539" t="n"/>
      <c r="M80" s="539" t="n"/>
      <c r="N80" s="539" t="n"/>
      <c r="O80" s="539" t="n"/>
      <c r="P80" s="539" t="n"/>
      <c r="Q80" s="539" t="n"/>
      <c r="R80" s="23" t="n"/>
      <c r="S80" s="539" t="n"/>
      <c r="T80" s="539" t="n"/>
      <c r="U80" s="27" t="n"/>
      <c r="V80" s="601"/>
      <c r="W80" s="602">
        <f>($V$5-J80)/365</f>
      </c>
      <c r="X80" s="127">
        <f>(V80-W80)/V80</f>
      </c>
      <c r="Y80" s="603" t="n"/>
      <c r="Z80" s="604">
        <f>Y80</f>
      </c>
      <c r="AA80" s="583" t="n"/>
      <c r="AB80" s="583" t="n"/>
      <c r="AC80" s="583">
        <f>Z80*0.13/(1+0.13)</f>
      </c>
      <c r="AD80" s="605">
        <f>Z80-AC80</f>
      </c>
      <c r="AE80" s="605">
        <f>Z80*H80</f>
      </c>
      <c r="AF80" s="583">
        <f>ROUND(AD80*H80,-2)</f>
      </c>
    </row>
    <row r="81" ht="15.5" customHeight="1">
      <c r="A81" s="23" t="n"/>
      <c r="B81" s="24" t="n"/>
      <c r="C81" s="24" t="n"/>
      <c r="D81" s="23" t="n"/>
      <c r="E81" s="24" t="n"/>
      <c r="F81" s="24" t="n"/>
      <c r="G81" s="23" t="n"/>
      <c r="H81" s="23" t="n"/>
      <c r="I81" s="558" t="n"/>
      <c r="J81" s="558" t="n"/>
      <c r="K81" s="539" t="n"/>
      <c r="L81" s="539" t="n"/>
      <c r="M81" s="539" t="n"/>
      <c r="N81" s="539" t="n"/>
      <c r="O81" s="539" t="n"/>
      <c r="P81" s="539" t="n"/>
      <c r="Q81" s="539" t="n"/>
      <c r="R81" s="23" t="n"/>
      <c r="S81" s="539" t="n"/>
      <c r="T81" s="539" t="n"/>
      <c r="U81" s="27" t="n"/>
      <c r="V81" s="601"/>
      <c r="W81" s="602">
        <f>($V$5-J81)/365</f>
      </c>
      <c r="X81" s="127">
        <f>(V81-W81)/V81</f>
      </c>
      <c r="Y81" s="603" t="n"/>
      <c r="Z81" s="604">
        <f>Y81</f>
      </c>
      <c r="AA81" s="583" t="n"/>
      <c r="AB81" s="583" t="n"/>
      <c r="AC81" s="583">
        <f>Z81*0.13/(1+0.13)</f>
      </c>
      <c r="AD81" s="605">
        <f>Z81-AC81</f>
      </c>
      <c r="AE81" s="605">
        <f>Z81*H81</f>
      </c>
      <c r="AF81" s="583">
        <f>ROUND(AD81*H81,-2)</f>
      </c>
    </row>
    <row r="82" ht="15.5" customHeight="1">
      <c r="A82" s="23" t="n"/>
      <c r="B82" s="24" t="n"/>
      <c r="C82" s="24" t="n"/>
      <c r="D82" s="23" t="n"/>
      <c r="E82" s="24" t="n"/>
      <c r="F82" s="24" t="n"/>
      <c r="G82" s="23" t="n"/>
      <c r="H82" s="23" t="n"/>
      <c r="I82" s="558" t="n"/>
      <c r="J82" s="558" t="n"/>
      <c r="K82" s="539" t="n"/>
      <c r="L82" s="539" t="n"/>
      <c r="M82" s="539" t="n"/>
      <c r="N82" s="539" t="n"/>
      <c r="O82" s="539" t="n"/>
      <c r="P82" s="539" t="n"/>
      <c r="Q82" s="539" t="n"/>
      <c r="R82" s="23" t="n"/>
      <c r="S82" s="539" t="n"/>
      <c r="T82" s="539" t="n"/>
      <c r="U82" s="27" t="n"/>
      <c r="V82" s="601"/>
      <c r="W82" s="602">
        <f>($V$5-J82)/365</f>
      </c>
      <c r="X82" s="127">
        <f>(V82-W82)/V82</f>
      </c>
      <c r="Y82" s="603" t="n"/>
      <c r="Z82" s="604">
        <f>Y82</f>
      </c>
      <c r="AA82" s="583" t="n"/>
      <c r="AB82" s="583" t="n"/>
      <c r="AC82" s="583">
        <f>Z82*0.13/(1+0.13)</f>
      </c>
      <c r="AD82" s="605">
        <f>Z82-AC82</f>
      </c>
      <c r="AE82" s="605">
        <f>Z82*H82</f>
      </c>
      <c r="AF82" s="583">
        <f>ROUND(AD82*H82,-2)</f>
      </c>
    </row>
    <row r="83" ht="15.5" customHeight="1">
      <c r="A83" s="23" t="n"/>
      <c r="B83" s="24" t="n"/>
      <c r="C83" s="24" t="n"/>
      <c r="D83" s="23" t="n"/>
      <c r="E83" s="24" t="n"/>
      <c r="F83" s="24" t="n"/>
      <c r="G83" s="23" t="n"/>
      <c r="H83" s="23" t="n"/>
      <c r="I83" s="558" t="n"/>
      <c r="J83" s="558" t="n"/>
      <c r="K83" s="539" t="n"/>
      <c r="L83" s="539" t="n"/>
      <c r="M83" s="539" t="n"/>
      <c r="N83" s="539" t="n"/>
      <c r="O83" s="539" t="n"/>
      <c r="P83" s="539" t="n"/>
      <c r="Q83" s="539" t="n"/>
      <c r="R83" s="23" t="n"/>
      <c r="S83" s="539" t="n"/>
      <c r="T83" s="539" t="n"/>
      <c r="U83" s="27" t="n"/>
      <c r="V83" s="601"/>
      <c r="W83" s="602">
        <f>($V$5-J83)/365</f>
      </c>
      <c r="X83" s="127">
        <f>(V83-W83)/V83</f>
      </c>
      <c r="Y83" s="603" t="n"/>
      <c r="Z83" s="604">
        <f>Y83</f>
      </c>
      <c r="AA83" s="583" t="n"/>
      <c r="AB83" s="583" t="n"/>
      <c r="AC83" s="583">
        <f>Z83*0.13/(1+0.13)</f>
      </c>
      <c r="AD83" s="605">
        <f>Z83-AC83</f>
      </c>
      <c r="AE83" s="605">
        <f>Z83*H83</f>
      </c>
      <c r="AF83" s="583">
        <f>ROUND(AD83*H83,-2)</f>
      </c>
    </row>
    <row r="84" ht="15.5" customHeight="1">
      <c r="A84" s="23" t="n"/>
      <c r="B84" s="24" t="n"/>
      <c r="C84" s="24" t="n"/>
      <c r="D84" s="23" t="n"/>
      <c r="E84" s="24" t="n"/>
      <c r="F84" s="24" t="n"/>
      <c r="G84" s="23" t="n"/>
      <c r="H84" s="23" t="n"/>
      <c r="I84" s="558" t="n"/>
      <c r="J84" s="558" t="n"/>
      <c r="K84" s="539" t="n"/>
      <c r="L84" s="539" t="n"/>
      <c r="M84" s="539" t="n"/>
      <c r="N84" s="539" t="n"/>
      <c r="O84" s="539" t="n"/>
      <c r="P84" s="539" t="n"/>
      <c r="Q84" s="539" t="n"/>
      <c r="R84" s="23" t="n"/>
      <c r="S84" s="539" t="n"/>
      <c r="T84" s="539" t="n"/>
      <c r="U84" s="27" t="n"/>
      <c r="V84" s="601"/>
      <c r="W84" s="602">
        <f>($V$5-J84)/365</f>
      </c>
      <c r="X84" s="127">
        <f>(V84-W84)/V84</f>
      </c>
      <c r="Y84" s="603" t="n"/>
      <c r="Z84" s="604">
        <f>Y84</f>
      </c>
      <c r="AA84" s="583" t="n"/>
      <c r="AB84" s="583" t="n"/>
      <c r="AC84" s="583">
        <f>Z84*0.13/(1+0.13)</f>
      </c>
      <c r="AD84" s="605">
        <f>Z84-AC84</f>
      </c>
      <c r="AE84" s="605">
        <f>Z84*H84</f>
      </c>
      <c r="AF84" s="583">
        <f>ROUND(AD84*H84,-2)</f>
      </c>
    </row>
    <row r="85" ht="15.5" customHeight="1">
      <c r="A85" s="23" t="n"/>
      <c r="B85" s="24" t="n"/>
      <c r="C85" s="24" t="n"/>
      <c r="D85" s="23" t="n"/>
      <c r="E85" s="24" t="n"/>
      <c r="F85" s="24" t="n"/>
      <c r="G85" s="23" t="n"/>
      <c r="H85" s="23" t="n"/>
      <c r="I85" s="558" t="n"/>
      <c r="J85" s="558" t="n"/>
      <c r="K85" s="539" t="n"/>
      <c r="L85" s="539" t="n"/>
      <c r="M85" s="539" t="n"/>
      <c r="N85" s="539" t="n"/>
      <c r="O85" s="539" t="n"/>
      <c r="P85" s="539" t="n"/>
      <c r="Q85" s="539" t="n"/>
      <c r="R85" s="23" t="n"/>
      <c r="S85" s="539" t="n"/>
      <c r="T85" s="539" t="n"/>
      <c r="U85" s="27" t="n"/>
      <c r="V85" s="601"/>
      <c r="W85" s="602">
        <f>($V$5-J85)/365</f>
      </c>
      <c r="X85" s="127">
        <f>(V85-W85)/V85</f>
      </c>
      <c r="Y85" s="603" t="n"/>
      <c r="Z85" s="604">
        <f>Y85</f>
      </c>
      <c r="AA85" s="583" t="n"/>
      <c r="AB85" s="583" t="n"/>
      <c r="AC85" s="583">
        <f>Z85*0.13/(1+0.13)</f>
      </c>
      <c r="AD85" s="605">
        <f>Z85-AC85</f>
      </c>
      <c r="AE85" s="605">
        <f>Z85*H85</f>
      </c>
      <c r="AF85" s="583">
        <f>ROUND(AD85*H85,-2)</f>
      </c>
    </row>
    <row r="86" ht="15.5" customHeight="1">
      <c r="A86" s="23" t="n"/>
      <c r="B86" s="24" t="n"/>
      <c r="C86" s="24" t="n"/>
      <c r="D86" s="23" t="n"/>
      <c r="E86" s="24" t="n"/>
      <c r="F86" s="24" t="n"/>
      <c r="G86" s="23" t="n"/>
      <c r="H86" s="23" t="n"/>
      <c r="I86" s="558" t="n"/>
      <c r="J86" s="558" t="n"/>
      <c r="K86" s="539" t="n"/>
      <c r="L86" s="539" t="n"/>
      <c r="M86" s="539" t="n"/>
      <c r="N86" s="539" t="n"/>
      <c r="O86" s="539" t="n"/>
      <c r="P86" s="539" t="n"/>
      <c r="Q86" s="539" t="n"/>
      <c r="R86" s="23" t="n"/>
      <c r="S86" s="539" t="n"/>
      <c r="T86" s="539" t="n"/>
      <c r="U86" s="27" t="n"/>
      <c r="V86" s="601"/>
      <c r="W86" s="602">
        <f>($V$5-J86)/365</f>
      </c>
      <c r="X86" s="127">
        <f>(V86-W86)/V86</f>
      </c>
      <c r="Y86" s="603" t="n"/>
      <c r="Z86" s="604">
        <f>Y86</f>
      </c>
      <c r="AA86" s="583" t="n"/>
      <c r="AB86" s="583" t="n"/>
      <c r="AC86" s="583">
        <f>Z86*0.13/(1+0.13)</f>
      </c>
      <c r="AD86" s="605">
        <f>Z86-AC86</f>
      </c>
      <c r="AE86" s="605">
        <f>Z86*H86</f>
      </c>
      <c r="AF86" s="583">
        <f>ROUND(AD86*H86,-2)</f>
      </c>
    </row>
    <row r="87" ht="15.5" customHeight="1">
      <c r="A87" s="23" t="n"/>
      <c r="B87" s="24" t="n"/>
      <c r="C87" s="24" t="n"/>
      <c r="D87" s="23" t="n"/>
      <c r="E87" s="24" t="n"/>
      <c r="F87" s="24" t="n"/>
      <c r="G87" s="23" t="n"/>
      <c r="H87" s="23" t="n"/>
      <c r="I87" s="558" t="n"/>
      <c r="J87" s="558" t="n"/>
      <c r="K87" s="539" t="n"/>
      <c r="L87" s="539" t="n"/>
      <c r="M87" s="539" t="n"/>
      <c r="N87" s="539" t="n"/>
      <c r="O87" s="539" t="n"/>
      <c r="P87" s="539" t="n"/>
      <c r="Q87" s="539" t="n"/>
      <c r="R87" s="23" t="n"/>
      <c r="S87" s="539" t="n"/>
      <c r="T87" s="539" t="n"/>
      <c r="U87" s="27" t="n"/>
      <c r="V87" s="601"/>
      <c r="W87" s="602">
        <f>($V$5-J87)/365</f>
      </c>
      <c r="X87" s="127">
        <f>(V87-W87)/V87</f>
      </c>
      <c r="Y87" s="603" t="n"/>
      <c r="Z87" s="604">
        <f>Y87</f>
      </c>
      <c r="AA87" s="583" t="n"/>
      <c r="AB87" s="583" t="n"/>
      <c r="AC87" s="583">
        <f>Z87*0.13/(1+0.13)</f>
      </c>
      <c r="AD87" s="605">
        <f>Z87-AC87</f>
      </c>
      <c r="AE87" s="605">
        <f>Z87*H87</f>
      </c>
      <c r="AF87" s="583">
        <f>ROUND(AD87*H87,-2)</f>
      </c>
    </row>
    <row r="88" ht="15.5" customHeight="1">
      <c r="A88" s="23" t="n"/>
      <c r="B88" s="24" t="n"/>
      <c r="C88" s="24" t="n"/>
      <c r="D88" s="23" t="n"/>
      <c r="E88" s="24" t="n"/>
      <c r="F88" s="24" t="n"/>
      <c r="G88" s="23" t="n"/>
      <c r="H88" s="23" t="n"/>
      <c r="I88" s="558" t="n"/>
      <c r="J88" s="558" t="n"/>
      <c r="K88" s="539" t="n"/>
      <c r="L88" s="539" t="n"/>
      <c r="M88" s="539" t="n"/>
      <c r="N88" s="539" t="n"/>
      <c r="O88" s="539" t="n"/>
      <c r="P88" s="539" t="n"/>
      <c r="Q88" s="539" t="n"/>
      <c r="R88" s="23" t="n"/>
      <c r="S88" s="539" t="n"/>
      <c r="T88" s="539" t="n"/>
      <c r="U88" s="27" t="n"/>
      <c r="V88" s="601"/>
      <c r="W88" s="602">
        <f>($V$5-J88)/365</f>
      </c>
      <c r="X88" s="127">
        <f>(V88-W88)/V88</f>
      </c>
      <c r="Y88" s="603" t="n"/>
      <c r="Z88" s="604">
        <f>Y88</f>
      </c>
      <c r="AA88" s="583" t="n"/>
      <c r="AB88" s="583" t="n"/>
      <c r="AC88" s="583">
        <f>Z88*0.13/(1+0.13)</f>
      </c>
      <c r="AD88" s="605">
        <f>Z88-AC88</f>
      </c>
      <c r="AE88" s="605">
        <f>Z88*H88</f>
      </c>
      <c r="AF88" s="583">
        <f>ROUND(AD88*H88,-2)</f>
      </c>
    </row>
    <row r="89" ht="15.5" customHeight="1">
      <c r="A89" s="23" t="n"/>
      <c r="B89" s="24" t="n"/>
      <c r="C89" s="24" t="n"/>
      <c r="D89" s="23" t="n"/>
      <c r="E89" s="24" t="n"/>
      <c r="F89" s="24" t="n"/>
      <c r="G89" s="23" t="n"/>
      <c r="H89" s="23" t="n"/>
      <c r="I89" s="558" t="n"/>
      <c r="J89" s="558" t="n"/>
      <c r="K89" s="539" t="n"/>
      <c r="L89" s="539" t="n"/>
      <c r="M89" s="539" t="n"/>
      <c r="N89" s="539" t="n"/>
      <c r="O89" s="539" t="n"/>
      <c r="P89" s="539" t="n"/>
      <c r="Q89" s="539" t="n"/>
      <c r="R89" s="23" t="n"/>
      <c r="S89" s="539" t="n"/>
      <c r="T89" s="539" t="n"/>
      <c r="U89" s="27" t="n"/>
      <c r="V89" s="601"/>
      <c r="W89" s="602">
        <f>($V$5-J89)/365</f>
      </c>
      <c r="X89" s="127">
        <f>(V89-W89)/V89</f>
      </c>
      <c r="Y89" s="603" t="n"/>
      <c r="Z89" s="604">
        <f>Y89</f>
      </c>
      <c r="AA89" s="583" t="n"/>
      <c r="AB89" s="583" t="n"/>
      <c r="AC89" s="583">
        <f>Z89*0.13/(1+0.13)</f>
      </c>
      <c r="AD89" s="605">
        <f>Z89-AC89</f>
      </c>
      <c r="AE89" s="605">
        <f>Z89*H89</f>
      </c>
      <c r="AF89" s="583">
        <f>ROUND(AD89*H89,-2)</f>
      </c>
    </row>
    <row r="90" ht="15.5" customHeight="1">
      <c r="A90" s="23" t="n"/>
      <c r="B90" s="24" t="n"/>
      <c r="C90" s="67" t="n"/>
      <c r="D90" s="23" t="n"/>
      <c r="E90" s="24" t="n"/>
      <c r="F90" s="24" t="n"/>
      <c r="G90" s="23" t="n"/>
      <c r="H90" s="23" t="n"/>
      <c r="I90" s="558" t="n"/>
      <c r="J90" s="558" t="n"/>
      <c r="K90" s="539" t="n"/>
      <c r="L90" s="539" t="n"/>
      <c r="M90" s="539" t="n"/>
      <c r="N90" s="539" t="n"/>
      <c r="O90" s="539" t="n"/>
      <c r="P90" s="539" t="n"/>
      <c r="Q90" s="539" t="n"/>
      <c r="R90" s="23" t="n"/>
      <c r="S90" s="539" t="n"/>
      <c r="T90" s="539" t="n"/>
      <c r="U90" s="27" t="n"/>
      <c r="V90" s="601"/>
      <c r="W90" s="602">
        <f>($V$5-J90)/365</f>
      </c>
      <c r="X90" s="127">
        <f>(V90-W90)/V90</f>
      </c>
      <c r="Y90" s="603" t="n"/>
      <c r="Z90" s="604">
        <f>Y90</f>
      </c>
      <c r="AA90" s="583" t="n"/>
      <c r="AB90" s="583" t="n"/>
      <c r="AC90" s="583">
        <f>Z90*0.13/(1+0.13)</f>
      </c>
      <c r="AD90" s="605">
        <f>Z90-AC90</f>
      </c>
      <c r="AE90" s="605">
        <f>Z90*H90</f>
      </c>
      <c r="AF90" s="583">
        <f>ROUND(AD90*H90,-2)</f>
      </c>
    </row>
    <row r="91" ht="15.5" customHeight="1">
      <c r="A91" s="23" t="n"/>
      <c r="B91" s="24" t="n"/>
      <c r="C91" s="24" t="n"/>
      <c r="D91" s="23" t="n"/>
      <c r="E91" s="24" t="n"/>
      <c r="F91" s="24" t="n"/>
      <c r="G91" s="23" t="n"/>
      <c r="H91" s="23" t="n"/>
      <c r="I91" s="558" t="n"/>
      <c r="J91" s="558" t="n"/>
      <c r="K91" s="539" t="n"/>
      <c r="L91" s="539" t="n"/>
      <c r="M91" s="539" t="n"/>
      <c r="N91" s="539" t="n"/>
      <c r="O91" s="539" t="n"/>
      <c r="P91" s="539" t="n"/>
      <c r="Q91" s="539" t="n"/>
      <c r="R91" s="23" t="n"/>
      <c r="S91" s="539" t="n"/>
      <c r="T91" s="539" t="n"/>
      <c r="U91" s="27" t="n"/>
      <c r="V91" s="601"/>
      <c r="W91" s="602">
        <f>($V$5-J91)/365</f>
      </c>
      <c r="X91" s="127">
        <f>(V91-W91)/V91</f>
      </c>
      <c r="Y91" s="603" t="n"/>
      <c r="Z91" s="604">
        <f>Y91</f>
      </c>
      <c r="AA91" s="583" t="n"/>
      <c r="AB91" s="583" t="n"/>
      <c r="AC91" s="583">
        <f>Z91*0.13/(1+0.13)</f>
      </c>
      <c r="AD91" s="605">
        <f>Z91-AC91</f>
      </c>
      <c r="AE91" s="605">
        <f>Z91*H91</f>
      </c>
      <c r="AF91" s="583">
        <f>ROUND(AD91*H91,-2)</f>
      </c>
    </row>
    <row r="92" ht="15.5" customHeight="1">
      <c r="A92" s="23" t="n"/>
      <c r="B92" s="24" t="n"/>
      <c r="C92" s="24" t="n"/>
      <c r="D92" s="23" t="n"/>
      <c r="E92" s="24" t="n"/>
      <c r="F92" s="24" t="n"/>
      <c r="G92" s="23" t="n"/>
      <c r="H92" s="23" t="n"/>
      <c r="I92" s="558" t="n"/>
      <c r="J92" s="558" t="n"/>
      <c r="K92" s="539" t="n"/>
      <c r="L92" s="539" t="n"/>
      <c r="M92" s="539" t="n"/>
      <c r="N92" s="539" t="n"/>
      <c r="O92" s="539" t="n"/>
      <c r="P92" s="539" t="n"/>
      <c r="Q92" s="539" t="n"/>
      <c r="R92" s="23" t="n"/>
      <c r="S92" s="539" t="n"/>
      <c r="T92" s="539" t="n"/>
      <c r="U92" s="27" t="n"/>
      <c r="V92" s="601"/>
      <c r="W92" s="602">
        <f>($V$5-J92)/365</f>
      </c>
      <c r="X92" s="127">
        <f>(V92-W92)/V92</f>
      </c>
      <c r="Y92" s="603" t="n"/>
      <c r="Z92" s="604">
        <f>Y92</f>
      </c>
      <c r="AA92" s="583" t="n"/>
      <c r="AB92" s="583" t="n"/>
      <c r="AC92" s="583">
        <f>Z92*0.13/(1+0.13)</f>
      </c>
      <c r="AD92" s="605">
        <f>Z92-AC92</f>
      </c>
      <c r="AE92" s="605">
        <f>Z92*H92</f>
      </c>
      <c r="AF92" s="583">
        <f>ROUND(AD92*H92,-2)</f>
      </c>
    </row>
    <row r="93" ht="15.5" customHeight="1">
      <c r="A93" s="23" t="n"/>
      <c r="B93" s="24" t="n"/>
      <c r="C93" s="24" t="n"/>
      <c r="D93" s="23" t="n"/>
      <c r="E93" s="24" t="n"/>
      <c r="F93" s="24" t="n"/>
      <c r="G93" s="23" t="n"/>
      <c r="H93" s="23" t="n"/>
      <c r="I93" s="558" t="n"/>
      <c r="J93" s="558" t="n"/>
      <c r="K93" s="539" t="n"/>
      <c r="L93" s="539" t="n"/>
      <c r="M93" s="539" t="n"/>
      <c r="N93" s="539" t="n"/>
      <c r="O93" s="539" t="n"/>
      <c r="P93" s="539" t="n"/>
      <c r="Q93" s="539" t="n"/>
      <c r="R93" s="23" t="n"/>
      <c r="S93" s="539" t="n"/>
      <c r="T93" s="539" t="n"/>
      <c r="U93" s="27" t="n"/>
      <c r="V93" s="601"/>
      <c r="W93" s="602">
        <f>($V$5-J93)/365</f>
      </c>
      <c r="X93" s="127">
        <f>(V93-W93)/V93</f>
      </c>
      <c r="Y93" s="603" t="n"/>
      <c r="Z93" s="604">
        <f>Y93</f>
      </c>
      <c r="AA93" s="583" t="n"/>
      <c r="AB93" s="583" t="n"/>
      <c r="AC93" s="583">
        <f>Z93*0.13/(1+0.13)</f>
      </c>
      <c r="AD93" s="605">
        <f>Z93-AC93</f>
      </c>
      <c r="AE93" s="605">
        <f>Z93*H93</f>
      </c>
      <c r="AF93" s="583">
        <f>ROUND(AD93*H93,-2)</f>
      </c>
    </row>
    <row r="94" ht="15.5" customHeight="1">
      <c r="A94" s="23" t="n"/>
      <c r="B94" s="24" t="n"/>
      <c r="C94" s="24" t="n"/>
      <c r="D94" s="23" t="n"/>
      <c r="E94" s="24" t="n"/>
      <c r="F94" s="24" t="n"/>
      <c r="G94" s="23" t="n"/>
      <c r="H94" s="23" t="n"/>
      <c r="I94" s="558" t="n"/>
      <c r="J94" s="558" t="n"/>
      <c r="K94" s="539" t="n"/>
      <c r="L94" s="539" t="n"/>
      <c r="M94" s="539" t="n"/>
      <c r="N94" s="539" t="n"/>
      <c r="O94" s="539" t="n"/>
      <c r="P94" s="539" t="n"/>
      <c r="Q94" s="539" t="n"/>
      <c r="R94" s="23" t="n"/>
      <c r="S94" s="539" t="n"/>
      <c r="T94" s="539" t="n"/>
      <c r="U94" s="27" t="n"/>
      <c r="V94" s="601"/>
      <c r="W94" s="602">
        <f>($V$5-J94)/365</f>
      </c>
      <c r="X94" s="127">
        <f>(V94-W94)/V94</f>
      </c>
      <c r="Y94" s="603" t="n"/>
      <c r="Z94" s="604">
        <f>Y94</f>
      </c>
      <c r="AA94" s="583" t="n"/>
      <c r="AB94" s="583" t="n"/>
      <c r="AC94" s="583">
        <f>Z94*0.13/(1+0.13)</f>
      </c>
      <c r="AD94" s="605">
        <f>Z94-AC94</f>
      </c>
      <c r="AE94" s="605">
        <f>Z94*H94</f>
      </c>
      <c r="AF94" s="583">
        <f>ROUND(AD94*H94,-2)</f>
      </c>
    </row>
    <row r="95" ht="15.5" customHeight="1">
      <c r="A95" s="23" t="n"/>
      <c r="B95" s="24" t="n"/>
      <c r="C95" s="24" t="n"/>
      <c r="D95" s="23" t="n"/>
      <c r="E95" s="24" t="n"/>
      <c r="F95" s="24" t="n"/>
      <c r="G95" s="23" t="n"/>
      <c r="H95" s="23" t="n"/>
      <c r="I95" s="558" t="n"/>
      <c r="J95" s="558" t="n"/>
      <c r="K95" s="539" t="n"/>
      <c r="L95" s="539" t="n"/>
      <c r="M95" s="539" t="n"/>
      <c r="N95" s="539" t="n"/>
      <c r="O95" s="539" t="n"/>
      <c r="P95" s="539" t="n"/>
      <c r="Q95" s="539" t="n"/>
      <c r="R95" s="23" t="n"/>
      <c r="S95" s="539" t="n"/>
      <c r="T95" s="539" t="n"/>
      <c r="U95" s="27" t="n"/>
      <c r="V95" s="601"/>
      <c r="W95" s="602">
        <f>($V$5-J95)/365</f>
      </c>
      <c r="X95" s="127">
        <f>(V95-W95)/V95</f>
      </c>
      <c r="Y95" s="603" t="n"/>
      <c r="Z95" s="604">
        <f>Y95</f>
      </c>
      <c r="AA95" s="583" t="n"/>
      <c r="AB95" s="583" t="n"/>
      <c r="AC95" s="583">
        <f>Z95*0.13/(1+0.13)</f>
      </c>
      <c r="AD95" s="605">
        <f>Z95-AC95</f>
      </c>
      <c r="AE95" s="605">
        <f>Z95*H95</f>
      </c>
      <c r="AF95" s="583">
        <f>ROUND(AD95*H95,-2)</f>
      </c>
    </row>
    <row r="96" ht="15.5" customHeight="1">
      <c r="A96" s="23" t="n"/>
      <c r="B96" s="24" t="n"/>
      <c r="C96" s="24" t="n"/>
      <c r="D96" s="23" t="n"/>
      <c r="E96" s="24" t="n"/>
      <c r="F96" s="24" t="n"/>
      <c r="G96" s="23" t="n"/>
      <c r="H96" s="23" t="n"/>
      <c r="I96" s="558" t="n"/>
      <c r="J96" s="558" t="n"/>
      <c r="K96" s="539" t="n"/>
      <c r="L96" s="539" t="n"/>
      <c r="M96" s="539" t="n"/>
      <c r="N96" s="539" t="n"/>
      <c r="O96" s="539" t="n"/>
      <c r="P96" s="539" t="n"/>
      <c r="Q96" s="539" t="n"/>
      <c r="R96" s="23" t="n"/>
      <c r="S96" s="539" t="n"/>
      <c r="T96" s="539" t="n"/>
      <c r="U96" s="27" t="n"/>
      <c r="V96" s="601"/>
      <c r="W96" s="602">
        <f>($V$5-J96)/365</f>
      </c>
      <c r="X96" s="127">
        <f>(V96-W96)/V96</f>
      </c>
      <c r="Y96" s="603" t="n"/>
      <c r="Z96" s="604">
        <f>Y96</f>
      </c>
      <c r="AA96" s="583" t="n"/>
      <c r="AB96" s="583" t="n"/>
      <c r="AC96" s="583">
        <f>Z96*0.13/(1+0.13)</f>
      </c>
      <c r="AD96" s="605">
        <f>Z96-AC96</f>
      </c>
      <c r="AE96" s="605">
        <f>Z96*H96</f>
      </c>
      <c r="AF96" s="583">
        <f>ROUND(AD96*H96,-2)</f>
      </c>
    </row>
    <row r="97" ht="15.5" customHeight="1">
      <c r="A97" s="23" t="n"/>
      <c r="B97" s="24" t="n"/>
      <c r="C97" s="24" t="n"/>
      <c r="D97" s="23" t="n"/>
      <c r="E97" s="24" t="n"/>
      <c r="F97" s="24" t="n"/>
      <c r="G97" s="23" t="n"/>
      <c r="H97" s="23" t="n"/>
      <c r="I97" s="558" t="n"/>
      <c r="J97" s="558" t="n"/>
      <c r="K97" s="539" t="n"/>
      <c r="L97" s="539" t="n"/>
      <c r="M97" s="539" t="n"/>
      <c r="N97" s="539" t="n"/>
      <c r="O97" s="539" t="n"/>
      <c r="P97" s="539" t="n"/>
      <c r="Q97" s="539" t="n"/>
      <c r="R97" s="23" t="n"/>
      <c r="S97" s="539" t="n"/>
      <c r="T97" s="539" t="n"/>
      <c r="U97" s="27" t="n"/>
      <c r="V97" s="601"/>
      <c r="W97" s="602">
        <f>($V$5-J97)/365</f>
      </c>
      <c r="X97" s="127">
        <f>(V97-W97)/V97</f>
      </c>
      <c r="Y97" s="603" t="n"/>
      <c r="Z97" s="604">
        <f>Y97</f>
      </c>
      <c r="AA97" s="583" t="n"/>
      <c r="AB97" s="583" t="n"/>
      <c r="AC97" s="583">
        <f>Z97*0.13/(1+0.13)</f>
      </c>
      <c r="AD97" s="605">
        <f>Z97-AC97</f>
      </c>
      <c r="AE97" s="605">
        <f>Z97*H97</f>
      </c>
      <c r="AF97" s="583">
        <f>ROUND(AD97*H97,-2)</f>
      </c>
    </row>
    <row r="98" ht="15.5" customHeight="1">
      <c r="A98" s="23" t="n"/>
      <c r="B98" s="24" t="n"/>
      <c r="C98" s="24" t="n"/>
      <c r="D98" s="23" t="n"/>
      <c r="E98" s="24" t="n"/>
      <c r="F98" s="24" t="n"/>
      <c r="G98" s="23" t="n"/>
      <c r="H98" s="23" t="n"/>
      <c r="I98" s="558" t="n"/>
      <c r="J98" s="558" t="n"/>
      <c r="K98" s="539" t="n"/>
      <c r="L98" s="539" t="n"/>
      <c r="M98" s="539" t="n"/>
      <c r="N98" s="539" t="n"/>
      <c r="O98" s="539" t="n"/>
      <c r="P98" s="539" t="n"/>
      <c r="Q98" s="539" t="n"/>
      <c r="R98" s="23" t="n"/>
      <c r="S98" s="539" t="n"/>
      <c r="T98" s="539" t="n"/>
      <c r="U98" s="27" t="n"/>
      <c r="V98" s="601"/>
      <c r="W98" s="602">
        <f>($V$5-J98)/365</f>
      </c>
      <c r="X98" s="127">
        <f>(V98-W98)/V98</f>
      </c>
      <c r="Y98" s="603" t="n"/>
      <c r="Z98" s="604">
        <f>Y98</f>
      </c>
      <c r="AA98" s="583" t="n"/>
      <c r="AB98" s="583" t="n"/>
      <c r="AC98" s="583">
        <f>Z98*0.13/(1+0.13)</f>
      </c>
      <c r="AD98" s="605">
        <f>Z98-AC98</f>
      </c>
      <c r="AE98" s="605">
        <f>Z98*H98</f>
      </c>
      <c r="AF98" s="583">
        <f>ROUND(AD98*H98,-2)</f>
      </c>
    </row>
    <row r="99" ht="15.5" customHeight="1">
      <c r="A99" s="23" t="n"/>
      <c r="B99" s="24" t="n"/>
      <c r="C99" s="24" t="n"/>
      <c r="D99" s="23" t="n"/>
      <c r="E99" s="24" t="n"/>
      <c r="F99" s="24" t="n"/>
      <c r="G99" s="23" t="n"/>
      <c r="H99" s="23" t="n"/>
      <c r="I99" s="558" t="n"/>
      <c r="J99" s="558" t="n"/>
      <c r="K99" s="539" t="n"/>
      <c r="L99" s="539" t="n"/>
      <c r="M99" s="539" t="n"/>
      <c r="N99" s="539" t="n"/>
      <c r="O99" s="539" t="n"/>
      <c r="P99" s="539" t="n"/>
      <c r="Q99" s="539" t="n"/>
      <c r="R99" s="23" t="n"/>
      <c r="S99" s="539" t="n"/>
      <c r="T99" s="539" t="n"/>
      <c r="U99" s="27" t="n"/>
      <c r="V99" s="601"/>
      <c r="W99" s="602">
        <f>($V$5-J99)/365</f>
      </c>
      <c r="X99" s="127">
        <f>(V99-W99)/V99</f>
      </c>
      <c r="Y99" s="603" t="n"/>
      <c r="Z99" s="604">
        <f>Y99</f>
      </c>
      <c r="AA99" s="583" t="n"/>
      <c r="AB99" s="583" t="n"/>
      <c r="AC99" s="583">
        <f>Z99*0.13/(1+0.13)</f>
      </c>
      <c r="AD99" s="605">
        <f>Z99-AC99</f>
      </c>
      <c r="AE99" s="605">
        <f>Z99*H99</f>
      </c>
      <c r="AF99" s="583">
        <f>ROUND(AD99*H99,-2)</f>
      </c>
    </row>
    <row r="100" ht="15.5" customHeight="1">
      <c r="A100" s="23" t="n"/>
      <c r="B100" s="24" t="n"/>
      <c r="C100" s="24" t="n"/>
      <c r="D100" s="23" t="n"/>
      <c r="E100" s="24" t="n"/>
      <c r="F100" s="24" t="n"/>
      <c r="G100" s="23" t="n"/>
      <c r="H100" s="23" t="n"/>
      <c r="I100" s="558" t="n"/>
      <c r="J100" s="558" t="n"/>
      <c r="K100" s="539" t="n"/>
      <c r="L100" s="539" t="n"/>
      <c r="M100" s="539" t="n"/>
      <c r="N100" s="539" t="n"/>
      <c r="O100" s="539" t="n"/>
      <c r="P100" s="539" t="n"/>
      <c r="Q100" s="539" t="n"/>
      <c r="R100" s="23" t="n"/>
      <c r="S100" s="539" t="n"/>
      <c r="T100" s="539" t="n"/>
      <c r="U100" s="27" t="n"/>
      <c r="V100" s="601"/>
      <c r="W100" s="602">
        <f>($V$5-J100)/365</f>
      </c>
      <c r="X100" s="127">
        <f>(V100-W100)/V100</f>
      </c>
      <c r="Y100" s="603" t="n"/>
      <c r="Z100" s="604">
        <f>Y100</f>
      </c>
      <c r="AA100" s="583" t="n"/>
      <c r="AB100" s="583" t="n"/>
      <c r="AC100" s="583">
        <f>Z100*0.13/(1+0.13)</f>
      </c>
      <c r="AD100" s="605">
        <f>Z100-AC100</f>
      </c>
      <c r="AE100" s="605">
        <f>Z100*H100</f>
      </c>
      <c r="AF100" s="583">
        <f>ROUND(AD100*H100,-2)</f>
      </c>
    </row>
    <row r="101" ht="15.5" customHeight="1">
      <c r="A101" s="23" t="n"/>
      <c r="B101" s="24" t="n"/>
      <c r="C101" s="24" t="n"/>
      <c r="D101" s="23" t="n"/>
      <c r="E101" s="24" t="n"/>
      <c r="F101" s="24" t="n"/>
      <c r="G101" s="23" t="n"/>
      <c r="H101" s="23" t="n"/>
      <c r="I101" s="558" t="n"/>
      <c r="J101" s="558" t="n"/>
      <c r="K101" s="539" t="n"/>
      <c r="L101" s="539" t="n"/>
      <c r="M101" s="539" t="n"/>
      <c r="N101" s="539" t="n"/>
      <c r="O101" s="539" t="n"/>
      <c r="P101" s="539" t="n"/>
      <c r="Q101" s="539" t="n"/>
      <c r="R101" s="23" t="n"/>
      <c r="S101" s="539" t="n"/>
      <c r="T101" s="539" t="n"/>
      <c r="U101" s="27" t="n"/>
      <c r="V101" s="601"/>
      <c r="W101" s="602">
        <f>($V$5-J101)/365</f>
      </c>
      <c r="X101" s="127">
        <f>(V101-W101)/V101</f>
      </c>
      <c r="Y101" s="603" t="n"/>
      <c r="Z101" s="604">
        <f>Y101</f>
      </c>
      <c r="AA101" s="583" t="n"/>
      <c r="AB101" s="583" t="n"/>
      <c r="AC101" s="583">
        <f>Z101*0.13/(1+0.13)</f>
      </c>
      <c r="AD101" s="605">
        <f>Z101-AC101</f>
      </c>
      <c r="AE101" s="605">
        <f>Z101*H101</f>
      </c>
      <c r="AF101" s="583">
        <f>ROUND(AD101*H101,-2)</f>
      </c>
    </row>
    <row r="102" ht="15.5" customHeight="1">
      <c r="A102" s="23" t="n"/>
      <c r="B102" s="24" t="n"/>
      <c r="C102" s="24" t="n"/>
      <c r="D102" s="23" t="n"/>
      <c r="E102" s="24" t="n"/>
      <c r="F102" s="24" t="n"/>
      <c r="G102" s="23" t="n"/>
      <c r="H102" s="23" t="n"/>
      <c r="I102" s="558" t="n"/>
      <c r="J102" s="558" t="n"/>
      <c r="K102" s="539" t="n"/>
      <c r="L102" s="539" t="n"/>
      <c r="M102" s="539" t="n"/>
      <c r="N102" s="539" t="n"/>
      <c r="O102" s="539" t="n"/>
      <c r="P102" s="539" t="n"/>
      <c r="Q102" s="539" t="n"/>
      <c r="R102" s="23" t="n"/>
      <c r="S102" s="539" t="n"/>
      <c r="T102" s="539" t="n"/>
      <c r="U102" s="27" t="n"/>
      <c r="V102" s="601"/>
      <c r="W102" s="602">
        <f>($V$5-J102)/365</f>
      </c>
      <c r="X102" s="127">
        <f>(V102-W102)/V102</f>
      </c>
      <c r="Y102" s="603" t="n"/>
      <c r="Z102" s="604">
        <f>Y102</f>
      </c>
      <c r="AA102" s="583" t="n"/>
      <c r="AB102" s="583" t="n"/>
      <c r="AC102" s="583">
        <f>Z102*0.13/(1+0.13)</f>
      </c>
      <c r="AD102" s="605">
        <f>Z102-AC102</f>
      </c>
      <c r="AE102" s="605">
        <f>Z102*H102</f>
      </c>
      <c r="AF102" s="583">
        <f>ROUND(AD102*H102,-2)</f>
      </c>
    </row>
    <row r="103" ht="15.5" customHeight="1">
      <c r="A103" s="23" t="n"/>
      <c r="B103" s="24" t="n"/>
      <c r="C103" s="24" t="n"/>
      <c r="D103" s="23" t="n"/>
      <c r="E103" s="24" t="n"/>
      <c r="F103" s="24" t="n"/>
      <c r="G103" s="23" t="n"/>
      <c r="H103" s="23" t="n"/>
      <c r="I103" s="558" t="n"/>
      <c r="J103" s="558" t="n"/>
      <c r="K103" s="539" t="n"/>
      <c r="L103" s="539" t="n"/>
      <c r="M103" s="539" t="n"/>
      <c r="N103" s="539" t="n"/>
      <c r="O103" s="539" t="n"/>
      <c r="P103" s="539" t="n"/>
      <c r="Q103" s="539" t="n"/>
      <c r="R103" s="23" t="n"/>
      <c r="S103" s="539" t="n"/>
      <c r="T103" s="539" t="n"/>
      <c r="U103" s="27" t="n"/>
      <c r="V103" s="601"/>
      <c r="W103" s="602">
        <f>($V$5-J103)/365</f>
      </c>
      <c r="X103" s="127">
        <f>(V103-W103)/V103</f>
      </c>
      <c r="Y103" s="603" t="n"/>
      <c r="Z103" s="604">
        <f>Y103</f>
      </c>
      <c r="AA103" s="583" t="n"/>
      <c r="AB103" s="583" t="n"/>
      <c r="AC103" s="583">
        <f>Z103*0.13/(1+0.13)</f>
      </c>
      <c r="AD103" s="605">
        <f>Z103-AC103</f>
      </c>
      <c r="AE103" s="605">
        <f>Z103*H103</f>
      </c>
      <c r="AF103" s="583">
        <f>ROUND(AD103*H103,-2)</f>
      </c>
    </row>
    <row r="104" ht="15.5" customHeight="1">
      <c r="A104" s="23" t="n"/>
      <c r="B104" s="24" t="n"/>
      <c r="C104" s="24" t="n"/>
      <c r="D104" s="23" t="n"/>
      <c r="E104" s="24" t="n"/>
      <c r="F104" s="24" t="n"/>
      <c r="G104" s="23" t="n"/>
      <c r="H104" s="23" t="n"/>
      <c r="I104" s="558" t="n"/>
      <c r="J104" s="558" t="n"/>
      <c r="K104" s="539" t="n"/>
      <c r="L104" s="539" t="n"/>
      <c r="M104" s="539" t="n"/>
      <c r="N104" s="539" t="n"/>
      <c r="O104" s="539" t="n"/>
      <c r="P104" s="539" t="n"/>
      <c r="Q104" s="539" t="n"/>
      <c r="R104" s="23" t="n"/>
      <c r="S104" s="539" t="n"/>
      <c r="T104" s="539" t="n"/>
      <c r="U104" s="27" t="n"/>
      <c r="V104" s="601"/>
      <c r="W104" s="602">
        <f>($V$5-J104)/365</f>
      </c>
      <c r="X104" s="127">
        <f>(V104-W104)/V104</f>
      </c>
      <c r="Y104" s="603" t="n"/>
      <c r="Z104" s="604">
        <f>Y104</f>
      </c>
      <c r="AA104" s="583" t="n"/>
      <c r="AB104" s="583" t="n"/>
      <c r="AC104" s="583">
        <f>Z104*0.13/(1+0.13)</f>
      </c>
      <c r="AD104" s="605">
        <f>Z104-AC104</f>
      </c>
      <c r="AE104" s="605">
        <f>Z104*H104</f>
      </c>
      <c r="AF104" s="583">
        <f>ROUND(AD104*H104,-2)</f>
      </c>
    </row>
    <row r="105" ht="15.5" customHeight="1">
      <c r="A105" s="23" t="n"/>
      <c r="B105" s="24" t="n"/>
      <c r="C105" s="24" t="n"/>
      <c r="D105" s="23" t="n"/>
      <c r="E105" s="24" t="n"/>
      <c r="F105" s="24" t="n"/>
      <c r="G105" s="23" t="n"/>
      <c r="H105" s="23" t="n"/>
      <c r="I105" s="558" t="n"/>
      <c r="J105" s="558" t="n"/>
      <c r="K105" s="539" t="n"/>
      <c r="L105" s="539" t="n"/>
      <c r="M105" s="539" t="n"/>
      <c r="N105" s="539" t="n"/>
      <c r="O105" s="539" t="n"/>
      <c r="P105" s="539" t="n"/>
      <c r="Q105" s="539" t="n"/>
      <c r="R105" s="23" t="n"/>
      <c r="S105" s="539" t="n"/>
      <c r="T105" s="539" t="n"/>
      <c r="U105" s="27" t="n"/>
      <c r="V105" s="601"/>
      <c r="W105" s="602">
        <f>($V$5-J105)/365</f>
      </c>
      <c r="X105" s="127">
        <f>(V105-W105)/V105</f>
      </c>
      <c r="Y105" s="603" t="n"/>
      <c r="Z105" s="604">
        <f>Y105</f>
      </c>
      <c r="AA105" s="583" t="n"/>
      <c r="AB105" s="583" t="n"/>
      <c r="AC105" s="583">
        <f>Z105*0.13/(1+0.13)</f>
      </c>
      <c r="AD105" s="605">
        <f>Z105-AC105</f>
      </c>
      <c r="AE105" s="605">
        <f>Z105*H105</f>
      </c>
      <c r="AF105" s="583">
        <f>ROUND(AD105*H105,-2)</f>
      </c>
    </row>
    <row r="106" ht="15.5" customHeight="1">
      <c r="A106" s="23" t="n"/>
      <c r="B106" s="24" t="n"/>
      <c r="C106" s="24" t="n"/>
      <c r="D106" s="23" t="n"/>
      <c r="E106" s="24" t="n"/>
      <c r="F106" s="24" t="n"/>
      <c r="G106" s="23" t="n"/>
      <c r="H106" s="23" t="n"/>
      <c r="I106" s="558" t="n"/>
      <c r="J106" s="558" t="n"/>
      <c r="K106" s="539" t="n"/>
      <c r="L106" s="539" t="n"/>
      <c r="M106" s="539" t="n"/>
      <c r="N106" s="539" t="n"/>
      <c r="O106" s="539" t="n"/>
      <c r="P106" s="539" t="n"/>
      <c r="Q106" s="539" t="n"/>
      <c r="R106" s="23" t="n"/>
      <c r="S106" s="539" t="n"/>
      <c r="T106" s="539" t="n"/>
      <c r="U106" s="27" t="n"/>
      <c r="V106" s="601"/>
      <c r="W106" s="602">
        <f>($V$5-J106)/365</f>
      </c>
      <c r="X106" s="127">
        <f>(V106-W106)/V106</f>
      </c>
      <c r="Y106" s="603" t="n"/>
      <c r="Z106" s="604">
        <f>Y106</f>
      </c>
      <c r="AA106" s="583" t="n"/>
      <c r="AB106" s="583" t="n"/>
      <c r="AC106" s="583">
        <f>Z106*0.13/(1+0.13)</f>
      </c>
      <c r="AD106" s="605">
        <f>Z106-AC106</f>
      </c>
      <c r="AE106" s="605">
        <f>Z106*H106</f>
      </c>
      <c r="AF106" s="583">
        <f>ROUND(AD106*H106,-2)</f>
      </c>
    </row>
    <row r="107" ht="15.5" customHeight="1">
      <c r="A107" s="23" t="n"/>
      <c r="B107" s="24" t="n"/>
      <c r="C107" s="24" t="n"/>
      <c r="D107" s="23" t="n"/>
      <c r="E107" s="24" t="n"/>
      <c r="F107" s="24" t="n"/>
      <c r="G107" s="23" t="n"/>
      <c r="H107" s="23" t="n"/>
      <c r="I107" s="558" t="n"/>
      <c r="J107" s="558" t="n"/>
      <c r="K107" s="539" t="n"/>
      <c r="L107" s="539" t="n"/>
      <c r="M107" s="539" t="n"/>
      <c r="N107" s="539" t="n"/>
      <c r="O107" s="539" t="n"/>
      <c r="P107" s="539" t="n"/>
      <c r="Q107" s="539" t="n"/>
      <c r="R107" s="23" t="n"/>
      <c r="S107" s="539" t="n"/>
      <c r="T107" s="539" t="n"/>
      <c r="U107" s="27" t="n"/>
      <c r="V107" s="601"/>
      <c r="W107" s="602">
        <f>($V$5-J107)/365</f>
      </c>
      <c r="X107" s="127">
        <f>(V107-W107)/V107</f>
      </c>
      <c r="Y107" s="603" t="n"/>
      <c r="Z107" s="604">
        <f>Y107</f>
      </c>
      <c r="AA107" s="583" t="n"/>
      <c r="AB107" s="583" t="n"/>
      <c r="AC107" s="583">
        <f>Z107*0.13/(1+0.13)</f>
      </c>
      <c r="AD107" s="605">
        <f>Z107-AC107</f>
      </c>
      <c r="AE107" s="605">
        <f>Z107*H107</f>
      </c>
      <c r="AF107" s="583">
        <f>ROUND(AD107*H107,-2)</f>
      </c>
    </row>
    <row r="108" ht="15.5" customHeight="1">
      <c r="A108" s="23" t="n"/>
      <c r="B108" s="24" t="n"/>
      <c r="C108" s="24" t="n"/>
      <c r="D108" s="23" t="n"/>
      <c r="E108" s="24" t="n"/>
      <c r="F108" s="24" t="n"/>
      <c r="G108" s="23" t="n"/>
      <c r="H108" s="23" t="n"/>
      <c r="I108" s="558" t="n"/>
      <c r="J108" s="558" t="n"/>
      <c r="K108" s="539" t="n"/>
      <c r="L108" s="539" t="n"/>
      <c r="M108" s="539" t="n"/>
      <c r="N108" s="539" t="n"/>
      <c r="O108" s="539" t="n"/>
      <c r="P108" s="539" t="n"/>
      <c r="Q108" s="539" t="n"/>
      <c r="R108" s="23" t="n"/>
      <c r="S108" s="539" t="n"/>
      <c r="T108" s="539" t="n"/>
      <c r="U108" s="27" t="n"/>
      <c r="V108" s="601"/>
      <c r="W108" s="602">
        <f>($V$5-J108)/365</f>
      </c>
      <c r="X108" s="127">
        <f>(V108-W108)/V108</f>
      </c>
      <c r="Y108" s="603" t="n"/>
      <c r="Z108" s="604">
        <f>Y108</f>
      </c>
      <c r="AA108" s="583" t="n"/>
      <c r="AB108" s="583" t="n"/>
      <c r="AC108" s="583">
        <f>Z108*0.13/(1+0.13)</f>
      </c>
      <c r="AD108" s="605">
        <f>Z108-AC108</f>
      </c>
      <c r="AE108" s="605">
        <f>Z108*H108</f>
      </c>
      <c r="AF108" s="583">
        <f>ROUND(AD108*H108,-2)</f>
      </c>
    </row>
    <row r="109" ht="15.5" customHeight="1">
      <c r="A109" s="23" t="n"/>
      <c r="B109" s="24" t="n"/>
      <c r="C109" s="24" t="n"/>
      <c r="D109" s="23" t="n"/>
      <c r="E109" s="24" t="n"/>
      <c r="F109" s="24" t="n"/>
      <c r="G109" s="23" t="n"/>
      <c r="H109" s="23" t="n"/>
      <c r="I109" s="558" t="n"/>
      <c r="J109" s="558" t="n"/>
      <c r="K109" s="539" t="n"/>
      <c r="L109" s="539" t="n"/>
      <c r="M109" s="539" t="n"/>
      <c r="N109" s="539" t="n"/>
      <c r="O109" s="539" t="n"/>
      <c r="P109" s="539" t="n"/>
      <c r="Q109" s="539" t="n"/>
      <c r="R109" s="23" t="n"/>
      <c r="S109" s="539" t="n"/>
      <c r="T109" s="539" t="n"/>
      <c r="U109" s="27" t="n"/>
      <c r="V109" s="601"/>
      <c r="W109" s="602">
        <f>($V$5-J109)/365</f>
      </c>
      <c r="X109" s="127">
        <f>(V109-W109)/V109</f>
      </c>
      <c r="Y109" s="603" t="n"/>
      <c r="Z109" s="604">
        <f>Y109</f>
      </c>
      <c r="AA109" s="583" t="n"/>
      <c r="AB109" s="583" t="n"/>
      <c r="AC109" s="583">
        <f>Z109*0.13/(1+0.13)</f>
      </c>
      <c r="AD109" s="605">
        <f>Z109-AC109</f>
      </c>
      <c r="AE109" s="605">
        <f>Z109*H109</f>
      </c>
      <c r="AF109" s="583">
        <f>ROUND(AD109*H109,-2)</f>
      </c>
    </row>
    <row r="110" ht="15.5" customHeight="1">
      <c r="A110" s="23" t="n"/>
      <c r="B110" s="24" t="n"/>
      <c r="C110" s="24" t="n"/>
      <c r="D110" s="23" t="n"/>
      <c r="E110" s="24" t="n"/>
      <c r="F110" s="24" t="n"/>
      <c r="G110" s="23" t="n"/>
      <c r="H110" s="23" t="n"/>
      <c r="I110" s="558" t="n"/>
      <c r="J110" s="558" t="n"/>
      <c r="K110" s="539" t="n"/>
      <c r="L110" s="539" t="n"/>
      <c r="M110" s="539" t="n"/>
      <c r="N110" s="539" t="n"/>
      <c r="O110" s="539" t="n"/>
      <c r="P110" s="539" t="n"/>
      <c r="Q110" s="539" t="n"/>
      <c r="R110" s="23" t="n"/>
      <c r="S110" s="539" t="n"/>
      <c r="T110" s="539" t="n"/>
      <c r="U110" s="27" t="n"/>
      <c r="V110" s="601"/>
      <c r="W110" s="602">
        <f>($V$5-J110)/365</f>
      </c>
      <c r="X110" s="127">
        <f>(V110-W110)/V110</f>
      </c>
      <c r="Y110" s="603" t="n"/>
      <c r="Z110" s="604">
        <f>Y110</f>
      </c>
      <c r="AA110" s="583" t="n"/>
      <c r="AB110" s="583" t="n"/>
      <c r="AC110" s="583">
        <f>Z110*0.13/(1+0.13)</f>
      </c>
      <c r="AD110" s="605">
        <f>Z110-AC110</f>
      </c>
      <c r="AE110" s="605">
        <f>Z110*H110</f>
      </c>
      <c r="AF110" s="583">
        <f>ROUND(AD110*H110,-2)</f>
      </c>
    </row>
    <row r="111" ht="15.5" customHeight="1">
      <c r="A111" s="23" t="n"/>
      <c r="B111" s="24" t="n"/>
      <c r="C111" s="24" t="n"/>
      <c r="D111" s="23" t="n"/>
      <c r="E111" s="24" t="n"/>
      <c r="F111" s="24" t="n"/>
      <c r="G111" s="23" t="n"/>
      <c r="H111" s="23" t="n"/>
      <c r="I111" s="558" t="n"/>
      <c r="J111" s="558" t="n"/>
      <c r="K111" s="539" t="n"/>
      <c r="L111" s="539" t="n"/>
      <c r="M111" s="539" t="n"/>
      <c r="N111" s="539" t="n"/>
      <c r="O111" s="539" t="n"/>
      <c r="P111" s="539" t="n"/>
      <c r="Q111" s="539" t="n"/>
      <c r="R111" s="23" t="n"/>
      <c r="S111" s="539" t="n"/>
      <c r="T111" s="539" t="n"/>
      <c r="U111" s="27" t="n"/>
      <c r="V111" s="601"/>
      <c r="W111" s="602">
        <f>($V$5-J111)/365</f>
      </c>
      <c r="X111" s="127">
        <f>(V111-W111)/V111</f>
      </c>
      <c r="Y111" s="603" t="n"/>
      <c r="Z111" s="604">
        <f>Y111</f>
      </c>
      <c r="AA111" s="583" t="n"/>
      <c r="AB111" s="583" t="n"/>
      <c r="AC111" s="583">
        <f>Z111*0.13/(1+0.13)</f>
      </c>
      <c r="AD111" s="605">
        <f>Z111-AC111</f>
      </c>
      <c r="AE111" s="605">
        <f>Z111*H111</f>
      </c>
      <c r="AF111" s="583">
        <f>ROUND(AD111*H111,-2)</f>
      </c>
    </row>
    <row r="112" ht="15.5" customHeight="1">
      <c r="A112" s="23" t="n"/>
      <c r="B112" s="24" t="n"/>
      <c r="C112" s="24" t="n"/>
      <c r="D112" s="23" t="n"/>
      <c r="E112" s="24" t="n"/>
      <c r="F112" s="24" t="n"/>
      <c r="G112" s="23" t="n"/>
      <c r="H112" s="23" t="n"/>
      <c r="I112" s="558" t="n"/>
      <c r="J112" s="558" t="n"/>
      <c r="K112" s="539" t="n"/>
      <c r="L112" s="539" t="n"/>
      <c r="M112" s="539" t="n"/>
      <c r="N112" s="539" t="n"/>
      <c r="O112" s="539" t="n"/>
      <c r="P112" s="539" t="n"/>
      <c r="Q112" s="539" t="n"/>
      <c r="R112" s="23" t="n"/>
      <c r="S112" s="539" t="n"/>
      <c r="T112" s="539" t="n"/>
      <c r="U112" s="27" t="n"/>
      <c r="V112" s="601"/>
      <c r="W112" s="602">
        <f>($V$5-J112)/365</f>
      </c>
      <c r="X112" s="127">
        <f>(V112-W112)/V112</f>
      </c>
      <c r="Y112" s="603" t="n"/>
      <c r="Z112" s="604">
        <f>Y112</f>
      </c>
      <c r="AA112" s="583" t="n"/>
      <c r="AB112" s="583" t="n"/>
      <c r="AC112" s="583">
        <f>Z112*0.13/(1+0.13)</f>
      </c>
      <c r="AD112" s="605">
        <f>Z112-AC112</f>
      </c>
      <c r="AE112" s="605">
        <f>Z112*H112</f>
      </c>
      <c r="AF112" s="583">
        <f>ROUND(AD112*H112,-2)</f>
      </c>
    </row>
    <row r="113" ht="15.5" customHeight="1">
      <c r="A113" s="23" t="n"/>
      <c r="B113" s="24" t="n"/>
      <c r="C113" s="24" t="n"/>
      <c r="D113" s="23" t="n"/>
      <c r="E113" s="24" t="n"/>
      <c r="F113" s="24" t="n"/>
      <c r="G113" s="23" t="n"/>
      <c r="H113" s="23" t="n"/>
      <c r="I113" s="558" t="n"/>
      <c r="J113" s="558" t="n"/>
      <c r="K113" s="539" t="n"/>
      <c r="L113" s="539" t="n"/>
      <c r="M113" s="539" t="n"/>
      <c r="N113" s="539" t="n"/>
      <c r="O113" s="539" t="n"/>
      <c r="P113" s="539" t="n"/>
      <c r="Q113" s="539" t="n"/>
      <c r="R113" s="23" t="n"/>
      <c r="S113" s="539" t="n"/>
      <c r="T113" s="539" t="n"/>
      <c r="U113" s="27" t="n"/>
      <c r="V113" s="601"/>
      <c r="W113" s="602">
        <f>($V$5-J113)/365</f>
      </c>
      <c r="X113" s="127">
        <f>(V113-W113)/V113</f>
      </c>
      <c r="Y113" s="603" t="n"/>
      <c r="Z113" s="604">
        <f>Y113</f>
      </c>
      <c r="AA113" s="583" t="n"/>
      <c r="AB113" s="583" t="n"/>
      <c r="AC113" s="583">
        <f>Z113*0.13/(1+0.13)</f>
      </c>
      <c r="AD113" s="605">
        <f>Z113-AC113</f>
      </c>
      <c r="AE113" s="605">
        <f>Z113*H113</f>
      </c>
      <c r="AF113" s="583">
        <f>ROUND(AD113*H113,-2)</f>
      </c>
    </row>
    <row r="114" ht="15.5" customHeight="1">
      <c r="A114" s="23" t="n"/>
      <c r="B114" s="24" t="n"/>
      <c r="C114" s="24" t="n"/>
      <c r="D114" s="23" t="n"/>
      <c r="E114" s="24" t="n"/>
      <c r="F114" s="24" t="n"/>
      <c r="G114" s="23" t="n"/>
      <c r="H114" s="23" t="n"/>
      <c r="I114" s="558" t="n"/>
      <c r="J114" s="558" t="n"/>
      <c r="K114" s="539" t="n"/>
      <c r="L114" s="539" t="n"/>
      <c r="M114" s="539" t="n"/>
      <c r="N114" s="539" t="n"/>
      <c r="O114" s="539" t="n"/>
      <c r="P114" s="539" t="n"/>
      <c r="Q114" s="539" t="n"/>
      <c r="R114" s="23" t="n"/>
      <c r="S114" s="539" t="n"/>
      <c r="T114" s="539" t="n"/>
      <c r="U114" s="27" t="n"/>
      <c r="V114" s="601"/>
      <c r="W114" s="602">
        <f>($V$5-J114)/365</f>
      </c>
      <c r="X114" s="127">
        <f>(V114-W114)/V114</f>
      </c>
      <c r="Y114" s="603" t="n"/>
      <c r="Z114" s="604">
        <f>Y114</f>
      </c>
      <c r="AA114" s="583" t="n"/>
      <c r="AB114" s="583" t="n"/>
      <c r="AC114" s="583">
        <f>Z114*0.13/(1+0.13)</f>
      </c>
      <c r="AD114" s="605">
        <f>Z114-AC114</f>
      </c>
      <c r="AE114" s="605">
        <f>Z114*H114</f>
      </c>
      <c r="AF114" s="583">
        <f>ROUND(AD114*H114,-2)</f>
      </c>
    </row>
    <row r="115" ht="15.5" customHeight="1">
      <c r="A115" s="23" t="n"/>
      <c r="B115" s="24" t="n"/>
      <c r="C115" s="24" t="n"/>
      <c r="D115" s="23" t="n"/>
      <c r="E115" s="24" t="n"/>
      <c r="F115" s="24" t="n"/>
      <c r="G115" s="23" t="n"/>
      <c r="H115" s="23" t="n"/>
      <c r="I115" s="558" t="n"/>
      <c r="J115" s="558" t="n"/>
      <c r="K115" s="539" t="n"/>
      <c r="L115" s="539" t="n"/>
      <c r="M115" s="539" t="n"/>
      <c r="N115" s="539" t="n"/>
      <c r="O115" s="539" t="n"/>
      <c r="P115" s="539" t="n"/>
      <c r="Q115" s="539" t="n"/>
      <c r="R115" s="23" t="n"/>
      <c r="S115" s="539" t="n"/>
      <c r="T115" s="539" t="n"/>
      <c r="U115" s="27" t="n"/>
      <c r="V115" s="601"/>
      <c r="W115" s="602">
        <f>($V$5-J115)/365</f>
      </c>
      <c r="X115" s="127">
        <f>(V115-W115)/V115</f>
      </c>
      <c r="Y115" s="603" t="n"/>
      <c r="Z115" s="604">
        <f>Y115</f>
      </c>
      <c r="AA115" s="583" t="n"/>
      <c r="AB115" s="583" t="n"/>
      <c r="AC115" s="583">
        <f>Z115*0.13/(1+0.13)</f>
      </c>
      <c r="AD115" s="605">
        <f>Z115-AC115</f>
      </c>
      <c r="AE115" s="605">
        <f>Z115*H115</f>
      </c>
      <c r="AF115" s="583">
        <f>ROUND(AD115*H115,-2)</f>
      </c>
    </row>
    <row r="116" ht="15.5" customHeight="1">
      <c r="A116" s="23" t="n"/>
      <c r="B116" s="24" t="n"/>
      <c r="C116" s="24" t="n"/>
      <c r="D116" s="23" t="n"/>
      <c r="E116" s="24" t="n"/>
      <c r="F116" s="24" t="n"/>
      <c r="G116" s="23" t="n"/>
      <c r="H116" s="23" t="n"/>
      <c r="I116" s="558" t="n"/>
      <c r="J116" s="558" t="n"/>
      <c r="K116" s="539" t="n"/>
      <c r="L116" s="539" t="n"/>
      <c r="M116" s="539" t="n"/>
      <c r="N116" s="539" t="n"/>
      <c r="O116" s="539" t="n"/>
      <c r="P116" s="539" t="n"/>
      <c r="Q116" s="539" t="n"/>
      <c r="R116" s="23" t="n"/>
      <c r="S116" s="539" t="n"/>
      <c r="T116" s="539" t="n"/>
      <c r="U116" s="27" t="n"/>
      <c r="V116" s="601"/>
      <c r="W116" s="602">
        <f>($V$5-J116)/365</f>
      </c>
      <c r="X116" s="127">
        <f>(V116-W116)/V116</f>
      </c>
      <c r="Y116" s="603" t="n"/>
      <c r="Z116" s="604">
        <f>Y116</f>
      </c>
      <c r="AA116" s="583" t="n"/>
      <c r="AB116" s="583" t="n"/>
      <c r="AC116" s="583">
        <f>Z116*0.13/(1+0.13)</f>
      </c>
      <c r="AD116" s="605">
        <f>Z116-AC116</f>
      </c>
      <c r="AE116" s="605">
        <f>Z116*H116</f>
      </c>
      <c r="AF116" s="583">
        <f>ROUND(AD116*H116,-2)</f>
      </c>
    </row>
    <row r="117" ht="15.5" customHeight="1">
      <c r="A117" s="23" t="n"/>
      <c r="B117" s="24" t="n"/>
      <c r="C117" s="24" t="n"/>
      <c r="D117" s="23" t="n"/>
      <c r="E117" s="24" t="n"/>
      <c r="F117" s="24" t="n"/>
      <c r="G117" s="23" t="n"/>
      <c r="H117" s="23" t="n"/>
      <c r="I117" s="558" t="n"/>
      <c r="J117" s="558" t="n"/>
      <c r="K117" s="539" t="n"/>
      <c r="L117" s="539" t="n"/>
      <c r="M117" s="539" t="n"/>
      <c r="N117" s="539" t="n"/>
      <c r="O117" s="539" t="n"/>
      <c r="P117" s="539" t="n"/>
      <c r="Q117" s="539" t="n"/>
      <c r="R117" s="23" t="n"/>
      <c r="S117" s="539" t="n"/>
      <c r="T117" s="539" t="n"/>
      <c r="U117" s="27" t="n"/>
      <c r="V117" s="601"/>
      <c r="W117" s="602">
        <f>($V$5-J117)/365</f>
      </c>
      <c r="X117" s="127">
        <f>(V117-W117)/V117</f>
      </c>
      <c r="Y117" s="603" t="n"/>
      <c r="Z117" s="604">
        <f>Y117</f>
      </c>
      <c r="AA117" s="583" t="n"/>
      <c r="AB117" s="583" t="n"/>
      <c r="AC117" s="583">
        <f>Z117*0.13/(1+0.13)</f>
      </c>
      <c r="AD117" s="605">
        <f>Z117-AC117</f>
      </c>
      <c r="AE117" s="605">
        <f>Z117*H117</f>
      </c>
      <c r="AF117" s="583">
        <f>ROUND(AD117*H117,-2)</f>
      </c>
    </row>
    <row r="118" ht="15.5" customHeight="1">
      <c r="A118" s="23" t="n"/>
      <c r="B118" s="24" t="n"/>
      <c r="C118" s="24" t="n"/>
      <c r="D118" s="23" t="n"/>
      <c r="E118" s="24" t="n"/>
      <c r="F118" s="24" t="n"/>
      <c r="G118" s="23" t="n"/>
      <c r="H118" s="23" t="n"/>
      <c r="I118" s="558" t="n"/>
      <c r="J118" s="558" t="n"/>
      <c r="K118" s="539" t="n"/>
      <c r="L118" s="539" t="n"/>
      <c r="M118" s="539" t="n"/>
      <c r="N118" s="539" t="n"/>
      <c r="O118" s="539" t="n"/>
      <c r="P118" s="539" t="n"/>
      <c r="Q118" s="539" t="n"/>
      <c r="R118" s="23" t="n"/>
      <c r="S118" s="539" t="n"/>
      <c r="T118" s="539" t="n"/>
      <c r="U118" s="27" t="n"/>
      <c r="V118" s="601"/>
      <c r="W118" s="602">
        <f>($V$5-J118)/365</f>
      </c>
      <c r="X118" s="127">
        <f>(V118-W118)/V118</f>
      </c>
      <c r="Y118" s="603" t="n"/>
      <c r="Z118" s="604">
        <f>Y118</f>
      </c>
      <c r="AA118" s="583" t="n"/>
      <c r="AB118" s="583" t="n"/>
      <c r="AC118" s="583">
        <f>Z118*0.13/(1+0.13)</f>
      </c>
      <c r="AD118" s="605">
        <f>Z118-AC118</f>
      </c>
      <c r="AE118" s="605">
        <f>Z118*H118</f>
      </c>
      <c r="AF118" s="583">
        <f>ROUND(AD118*H118,-2)</f>
      </c>
    </row>
    <row r="119" ht="15.5" customHeight="1">
      <c r="A119" s="23" t="n"/>
      <c r="B119" s="24" t="n"/>
      <c r="C119" s="24" t="n"/>
      <c r="D119" s="23" t="n"/>
      <c r="E119" s="24" t="n"/>
      <c r="F119" s="24" t="n"/>
      <c r="G119" s="23" t="n"/>
      <c r="H119" s="23" t="n"/>
      <c r="I119" s="558" t="n"/>
      <c r="J119" s="558" t="n"/>
      <c r="K119" s="539" t="n"/>
      <c r="L119" s="539" t="n"/>
      <c r="M119" s="539" t="n"/>
      <c r="N119" s="539" t="n"/>
      <c r="O119" s="539" t="n"/>
      <c r="P119" s="539" t="n"/>
      <c r="Q119" s="539" t="n"/>
      <c r="R119" s="23" t="n"/>
      <c r="S119" s="539" t="n"/>
      <c r="T119" s="539" t="n"/>
      <c r="U119" s="27" t="n"/>
      <c r="V119" s="601"/>
      <c r="W119" s="602">
        <f>($V$5-J119)/365</f>
      </c>
      <c r="X119" s="127">
        <f>(V119-W119)/V119</f>
      </c>
      <c r="Y119" s="603" t="n"/>
      <c r="Z119" s="604">
        <f>Y119</f>
      </c>
      <c r="AA119" s="583" t="n"/>
      <c r="AB119" s="583" t="n"/>
      <c r="AC119" s="583">
        <f>Z119*0.13/(1+0.13)</f>
      </c>
      <c r="AD119" s="605">
        <f>Z119-AC119</f>
      </c>
      <c r="AE119" s="605">
        <f>Z119*H119</f>
      </c>
      <c r="AF119" s="583">
        <f>ROUND(AD119*H119,-2)</f>
      </c>
    </row>
    <row r="120" ht="15.5" customHeight="1">
      <c r="A120" s="23" t="n"/>
      <c r="B120" s="24" t="n"/>
      <c r="C120" s="24" t="n"/>
      <c r="D120" s="23" t="n"/>
      <c r="E120" s="24" t="n"/>
      <c r="F120" s="24" t="n"/>
      <c r="G120" s="23" t="n"/>
      <c r="H120" s="23" t="n"/>
      <c r="I120" s="558" t="n"/>
      <c r="J120" s="558" t="n"/>
      <c r="K120" s="539" t="n"/>
      <c r="L120" s="539" t="n"/>
      <c r="M120" s="539" t="n"/>
      <c r="N120" s="539" t="n"/>
      <c r="O120" s="539" t="n"/>
      <c r="P120" s="539" t="n"/>
      <c r="Q120" s="539" t="n"/>
      <c r="R120" s="23" t="n"/>
      <c r="S120" s="539" t="n"/>
      <c r="T120" s="539" t="n"/>
      <c r="U120" s="27" t="n"/>
      <c r="V120" s="601"/>
      <c r="W120" s="602">
        <f>($V$5-J120)/365</f>
      </c>
      <c r="X120" s="127">
        <f>(V120-W120)/V120</f>
      </c>
      <c r="Y120" s="603" t="n"/>
      <c r="Z120" s="604">
        <f>Y120</f>
      </c>
      <c r="AA120" s="583" t="n"/>
      <c r="AB120" s="583" t="n"/>
      <c r="AC120" s="583">
        <f>Z120*0.13/(1+0.13)</f>
      </c>
      <c r="AD120" s="605">
        <f>Z120-AC120</f>
      </c>
      <c r="AE120" s="605">
        <f>Z120*H120</f>
      </c>
      <c r="AF120" s="583">
        <f>ROUND(AD120*H120,-2)</f>
      </c>
    </row>
    <row r="121" ht="15.5" customHeight="1">
      <c r="A121" s="23" t="n"/>
      <c r="B121" s="24" t="n"/>
      <c r="C121" s="24" t="n"/>
      <c r="D121" s="23" t="n"/>
      <c r="E121" s="24" t="n"/>
      <c r="F121" s="24" t="n"/>
      <c r="G121" s="23" t="n"/>
      <c r="H121" s="23" t="n"/>
      <c r="I121" s="558" t="n"/>
      <c r="J121" s="558" t="n"/>
      <c r="K121" s="539" t="n"/>
      <c r="L121" s="539" t="n"/>
      <c r="M121" s="539" t="n"/>
      <c r="N121" s="539" t="n"/>
      <c r="O121" s="539" t="n"/>
      <c r="P121" s="539" t="n"/>
      <c r="Q121" s="539" t="n"/>
      <c r="R121" s="23" t="n"/>
      <c r="S121" s="539" t="n"/>
      <c r="T121" s="539" t="n"/>
      <c r="U121" s="27" t="n"/>
      <c r="V121" s="601"/>
      <c r="W121" s="602">
        <f>($V$5-J121)/365</f>
      </c>
      <c r="X121" s="127">
        <f>(V121-W121)/V121</f>
      </c>
      <c r="Y121" s="603" t="n"/>
      <c r="Z121" s="604">
        <f>Y121</f>
      </c>
      <c r="AA121" s="583" t="n"/>
      <c r="AB121" s="583" t="n"/>
      <c r="AC121" s="583">
        <f>Z121*0.13/(1+0.13)</f>
      </c>
      <c r="AD121" s="605">
        <f>Z121-AC121</f>
      </c>
      <c r="AE121" s="605">
        <f>Z121*H121</f>
      </c>
      <c r="AF121" s="583">
        <f>ROUND(AD121*H121,-2)</f>
      </c>
    </row>
    <row r="122" ht="15.5" customHeight="1">
      <c r="A122" s="23" t="n"/>
      <c r="B122" s="24" t="n"/>
      <c r="C122" s="24" t="n"/>
      <c r="D122" s="23" t="n"/>
      <c r="E122" s="24" t="n"/>
      <c r="F122" s="24" t="n"/>
      <c r="G122" s="23" t="n"/>
      <c r="H122" s="23" t="n"/>
      <c r="I122" s="558" t="n"/>
      <c r="J122" s="558" t="n"/>
      <c r="K122" s="539" t="n"/>
      <c r="L122" s="539" t="n"/>
      <c r="M122" s="539" t="n"/>
      <c r="N122" s="539" t="n"/>
      <c r="O122" s="539" t="n"/>
      <c r="P122" s="539" t="n"/>
      <c r="Q122" s="539" t="n"/>
      <c r="R122" s="23" t="n"/>
      <c r="S122" s="539" t="n"/>
      <c r="T122" s="539" t="n"/>
      <c r="U122" s="27" t="n"/>
      <c r="V122" s="601"/>
      <c r="W122" s="602">
        <f>($V$5-J122)/365</f>
      </c>
      <c r="X122" s="127">
        <f>(V122-W122)/V122</f>
      </c>
      <c r="Y122" s="603" t="n"/>
      <c r="Z122" s="604">
        <f>Y122</f>
      </c>
      <c r="AA122" s="583" t="n"/>
      <c r="AB122" s="583" t="n"/>
      <c r="AC122" s="583">
        <f>Z122*0.13/(1+0.13)</f>
      </c>
      <c r="AD122" s="605">
        <f>Z122-AC122</f>
      </c>
      <c r="AE122" s="605">
        <f>Z122*H122</f>
      </c>
      <c r="AF122" s="583">
        <f>ROUND(AD122*H122,-2)</f>
      </c>
    </row>
    <row r="123" ht="15.5" customHeight="1">
      <c r="A123" s="23" t="n"/>
      <c r="B123" s="24" t="n"/>
      <c r="C123" s="24" t="n"/>
      <c r="D123" s="23" t="n"/>
      <c r="E123" s="24" t="n"/>
      <c r="F123" s="24" t="n"/>
      <c r="G123" s="23" t="n"/>
      <c r="H123" s="23" t="n"/>
      <c r="I123" s="558" t="n"/>
      <c r="J123" s="558" t="n"/>
      <c r="K123" s="539" t="n"/>
      <c r="L123" s="539" t="n"/>
      <c r="M123" s="539" t="n"/>
      <c r="N123" s="539" t="n"/>
      <c r="O123" s="539" t="n"/>
      <c r="P123" s="539" t="n"/>
      <c r="Q123" s="539" t="n"/>
      <c r="R123" s="23" t="n"/>
      <c r="S123" s="539" t="n"/>
      <c r="T123" s="539" t="n"/>
      <c r="U123" s="27" t="n"/>
      <c r="V123" s="601"/>
      <c r="W123" s="602">
        <f>($V$5-J123)/365</f>
      </c>
      <c r="X123" s="127">
        <f>(V123-W123)/V123</f>
      </c>
      <c r="Y123" s="603" t="n"/>
      <c r="Z123" s="604">
        <f>Y123</f>
      </c>
      <c r="AA123" s="583" t="n"/>
      <c r="AB123" s="583" t="n"/>
      <c r="AC123" s="583">
        <f>Z123*0.13/(1+0.13)</f>
      </c>
      <c r="AD123" s="605">
        <f>Z123-AC123</f>
      </c>
      <c r="AE123" s="605">
        <f>Z123*H123</f>
      </c>
      <c r="AF123" s="583">
        <f>ROUND(AD123*H123,-2)</f>
      </c>
    </row>
    <row r="124" ht="15.5" customHeight="1">
      <c r="A124" s="23" t="n"/>
      <c r="B124" s="24" t="n"/>
      <c r="C124" s="24" t="n"/>
      <c r="D124" s="23" t="n"/>
      <c r="E124" s="24" t="n"/>
      <c r="F124" s="24" t="n"/>
      <c r="G124" s="23" t="n"/>
      <c r="H124" s="23" t="n"/>
      <c r="I124" s="558" t="n"/>
      <c r="J124" s="558" t="n"/>
      <c r="K124" s="539" t="n"/>
      <c r="L124" s="539" t="n"/>
      <c r="M124" s="539" t="n"/>
      <c r="N124" s="539" t="n"/>
      <c r="O124" s="539" t="n"/>
      <c r="P124" s="539" t="n"/>
      <c r="Q124" s="539" t="n"/>
      <c r="R124" s="23" t="n"/>
      <c r="S124" s="539" t="n"/>
      <c r="T124" s="539" t="n"/>
      <c r="U124" s="27" t="n"/>
      <c r="V124" s="601"/>
      <c r="W124" s="602">
        <f>($V$5-J124)/365</f>
      </c>
      <c r="X124" s="127">
        <f>(V124-W124)/V124</f>
      </c>
      <c r="Y124" s="603" t="n"/>
      <c r="Z124" s="604">
        <f>Y124</f>
      </c>
      <c r="AA124" s="583" t="n"/>
      <c r="AB124" s="583" t="n"/>
      <c r="AC124" s="583">
        <f>Z124*0.13/(1+0.13)</f>
      </c>
      <c r="AD124" s="605">
        <f>Z124-AC124</f>
      </c>
      <c r="AE124" s="605">
        <f>Z124*H124</f>
      </c>
      <c r="AF124" s="583">
        <f>ROUND(AD124*H124,-2)</f>
      </c>
    </row>
    <row r="125" ht="15.5" customHeight="1">
      <c r="A125" s="23" t="n"/>
      <c r="B125" s="24" t="n"/>
      <c r="C125" s="24" t="n"/>
      <c r="D125" s="23" t="n"/>
      <c r="E125" s="24" t="n"/>
      <c r="F125" s="24" t="n"/>
      <c r="G125" s="23" t="n"/>
      <c r="H125" s="23" t="n"/>
      <c r="I125" s="558" t="n"/>
      <c r="J125" s="558" t="n"/>
      <c r="K125" s="539" t="n"/>
      <c r="L125" s="539" t="n"/>
      <c r="M125" s="539" t="n"/>
      <c r="N125" s="539" t="n"/>
      <c r="O125" s="539" t="n"/>
      <c r="P125" s="539" t="n"/>
      <c r="Q125" s="539" t="n"/>
      <c r="R125" s="23" t="n"/>
      <c r="S125" s="539" t="n"/>
      <c r="T125" s="539" t="n"/>
      <c r="U125" s="27" t="n"/>
      <c r="V125" s="601"/>
      <c r="W125" s="602">
        <f>($V$5-J125)/365</f>
      </c>
      <c r="X125" s="127">
        <f>(V125-W125)/V125</f>
      </c>
      <c r="Y125" s="603" t="n"/>
      <c r="Z125" s="604">
        <f>Y125</f>
      </c>
      <c r="AA125" s="583" t="n"/>
      <c r="AB125" s="583" t="n"/>
      <c r="AC125" s="583">
        <f>Z125*0.13/(1+0.13)</f>
      </c>
      <c r="AD125" s="605">
        <f>Z125-AC125</f>
      </c>
      <c r="AE125" s="605">
        <f>Z125*H125</f>
      </c>
      <c r="AF125" s="583">
        <f>ROUND(AD125*H125,-2)</f>
      </c>
    </row>
    <row r="126" ht="15.5" customHeight="1">
      <c r="A126" s="23" t="n"/>
      <c r="B126" s="24" t="n"/>
      <c r="C126" s="24" t="n"/>
      <c r="D126" s="23" t="n"/>
      <c r="E126" s="24" t="n"/>
      <c r="F126" s="24" t="n"/>
      <c r="G126" s="23" t="n"/>
      <c r="H126" s="23" t="n"/>
      <c r="I126" s="558" t="n"/>
      <c r="J126" s="558" t="n"/>
      <c r="K126" s="539" t="n"/>
      <c r="L126" s="539" t="n"/>
      <c r="M126" s="539" t="n"/>
      <c r="N126" s="539" t="n"/>
      <c r="O126" s="539" t="n"/>
      <c r="P126" s="539" t="n"/>
      <c r="Q126" s="539" t="n"/>
      <c r="R126" s="23" t="n"/>
      <c r="S126" s="539" t="n"/>
      <c r="T126" s="539" t="n"/>
      <c r="U126" s="27" t="n"/>
      <c r="V126" s="601"/>
      <c r="W126" s="602">
        <f>($V$5-J126)/365</f>
      </c>
      <c r="X126" s="127">
        <f>(V126-W126)/V126</f>
      </c>
      <c r="Y126" s="603" t="n"/>
      <c r="Z126" s="604">
        <f>Y126</f>
      </c>
      <c r="AA126" s="583" t="n"/>
      <c r="AB126" s="583" t="n"/>
      <c r="AC126" s="583">
        <f>Z126*0.13/(1+0.13)</f>
      </c>
      <c r="AD126" s="605">
        <f>Z126-AC126</f>
      </c>
      <c r="AE126" s="605">
        <f>Z126*H126</f>
      </c>
      <c r="AF126" s="583">
        <f>ROUND(AD126*H126,-2)</f>
      </c>
    </row>
    <row r="127" ht="15.5" customHeight="1">
      <c r="A127" s="23" t="n"/>
      <c r="B127" s="24" t="n"/>
      <c r="C127" s="24" t="n"/>
      <c r="D127" s="23" t="n"/>
      <c r="E127" s="24" t="n"/>
      <c r="F127" s="24" t="n"/>
      <c r="G127" s="23" t="n"/>
      <c r="H127" s="23" t="n"/>
      <c r="I127" s="558" t="n"/>
      <c r="J127" s="558" t="n"/>
      <c r="K127" s="539" t="n"/>
      <c r="L127" s="539" t="n"/>
      <c r="M127" s="539" t="n"/>
      <c r="N127" s="539" t="n"/>
      <c r="O127" s="539" t="n"/>
      <c r="P127" s="539" t="n"/>
      <c r="Q127" s="539" t="n"/>
      <c r="R127" s="23" t="n"/>
      <c r="S127" s="539" t="n"/>
      <c r="T127" s="539" t="n"/>
      <c r="U127" s="27" t="n"/>
      <c r="V127" s="601"/>
      <c r="W127" s="602">
        <f>($V$5-J127)/365</f>
      </c>
      <c r="X127" s="127">
        <f>(V127-W127)/V127</f>
      </c>
      <c r="Y127" s="603" t="n"/>
      <c r="Z127" s="604">
        <f>Y127</f>
      </c>
      <c r="AA127" s="583" t="n"/>
      <c r="AB127" s="583" t="n"/>
      <c r="AC127" s="583">
        <f>Z127*0.13/(1+0.13)</f>
      </c>
      <c r="AD127" s="605">
        <f>Z127-AC127</f>
      </c>
      <c r="AE127" s="605">
        <f>Z127*H127</f>
      </c>
      <c r="AF127" s="583">
        <f>ROUND(AD127*H127,-2)</f>
      </c>
    </row>
    <row r="128" ht="15.5" customHeight="1">
      <c r="A128" s="23" t="n"/>
      <c r="B128" s="24" t="n"/>
      <c r="C128" s="24" t="n"/>
      <c r="D128" s="23" t="n"/>
      <c r="E128" s="24" t="n"/>
      <c r="F128" s="24" t="n"/>
      <c r="G128" s="23" t="n"/>
      <c r="H128" s="23" t="n"/>
      <c r="I128" s="558" t="n"/>
      <c r="J128" s="558" t="n"/>
      <c r="K128" s="539" t="n"/>
      <c r="L128" s="539" t="n"/>
      <c r="M128" s="539" t="n"/>
      <c r="N128" s="539" t="n"/>
      <c r="O128" s="539" t="n"/>
      <c r="P128" s="539" t="n"/>
      <c r="Q128" s="539" t="n"/>
      <c r="R128" s="23" t="n"/>
      <c r="S128" s="539" t="n"/>
      <c r="T128" s="539" t="n"/>
      <c r="U128" s="27" t="n"/>
      <c r="V128" s="601"/>
      <c r="W128" s="602">
        <f>($V$5-J128)/365</f>
      </c>
      <c r="X128" s="127">
        <f>(V128-W128)/V128</f>
      </c>
      <c r="Y128" s="603" t="n"/>
      <c r="Z128" s="604">
        <f>Y128</f>
      </c>
      <c r="AA128" s="583" t="n"/>
      <c r="AB128" s="583" t="n"/>
      <c r="AC128" s="583">
        <f>Z128*0.13/(1+0.13)</f>
      </c>
      <c r="AD128" s="605">
        <f>Z128-AC128</f>
      </c>
      <c r="AE128" s="605">
        <f>Z128*H128</f>
      </c>
      <c r="AF128" s="583">
        <f>ROUND(AD128*H128,-2)</f>
      </c>
    </row>
    <row r="129" ht="15.5" customHeight="1">
      <c r="A129" s="23" t="n"/>
      <c r="B129" s="24" t="n"/>
      <c r="C129" s="24" t="n"/>
      <c r="D129" s="23" t="n"/>
      <c r="E129" s="24" t="n"/>
      <c r="F129" s="24" t="n"/>
      <c r="G129" s="23" t="n"/>
      <c r="H129" s="23" t="n"/>
      <c r="I129" s="558" t="n"/>
      <c r="J129" s="558" t="n"/>
      <c r="K129" s="539" t="n"/>
      <c r="L129" s="539" t="n"/>
      <c r="M129" s="539" t="n"/>
      <c r="N129" s="539" t="n"/>
      <c r="O129" s="539" t="n"/>
      <c r="P129" s="539" t="n"/>
      <c r="Q129" s="539" t="n"/>
      <c r="R129" s="23" t="n"/>
      <c r="S129" s="539" t="n"/>
      <c r="T129" s="539" t="n"/>
      <c r="U129" s="27" t="n"/>
      <c r="V129" s="601"/>
      <c r="W129" s="602">
        <f>($V$5-J129)/365</f>
      </c>
      <c r="X129" s="127">
        <f>(V129-W129)/V129</f>
      </c>
      <c r="Y129" s="603" t="n"/>
      <c r="Z129" s="604">
        <f>Y129</f>
      </c>
      <c r="AA129" s="583" t="n"/>
      <c r="AB129" s="583" t="n"/>
      <c r="AC129" s="583">
        <f>Z129*0.13/(1+0.13)</f>
      </c>
      <c r="AD129" s="605">
        <f>Z129-AC129</f>
      </c>
      <c r="AE129" s="605">
        <f>Z129*H129</f>
      </c>
      <c r="AF129" s="583">
        <f>ROUND(AD129*H129,-2)</f>
      </c>
    </row>
    <row r="130" ht="15.5" customHeight="1">
      <c r="A130" s="23" t="n"/>
      <c r="B130" s="24" t="n"/>
      <c r="C130" s="24" t="n"/>
      <c r="D130" s="23" t="n"/>
      <c r="E130" s="24" t="n"/>
      <c r="F130" s="24" t="n"/>
      <c r="G130" s="23" t="n"/>
      <c r="H130" s="23" t="n"/>
      <c r="I130" s="558" t="n"/>
      <c r="J130" s="558" t="n"/>
      <c r="K130" s="539" t="n"/>
      <c r="L130" s="539" t="n"/>
      <c r="M130" s="539" t="n"/>
      <c r="N130" s="539" t="n"/>
      <c r="O130" s="539" t="n"/>
      <c r="P130" s="539" t="n"/>
      <c r="Q130" s="539" t="n"/>
      <c r="R130" s="23" t="n"/>
      <c r="S130" s="539" t="n"/>
      <c r="T130" s="539" t="n"/>
      <c r="U130" s="27" t="n"/>
      <c r="V130" s="601"/>
      <c r="W130" s="602">
        <f>($V$5-J130)/365</f>
      </c>
      <c r="X130" s="127">
        <f>(V130-W130)/V130</f>
      </c>
      <c r="Y130" s="603" t="n"/>
      <c r="Z130" s="604">
        <f>Y130</f>
      </c>
      <c r="AA130" s="583" t="n"/>
      <c r="AB130" s="583" t="n"/>
      <c r="AC130" s="583">
        <f>Z130*0.13/(1+0.13)</f>
      </c>
      <c r="AD130" s="605">
        <f>Z130-AC130</f>
      </c>
      <c r="AE130" s="605">
        <f>Z130*H130</f>
      </c>
      <c r="AF130" s="583">
        <f>ROUND(AD130*H130,-2)</f>
      </c>
    </row>
    <row r="131" ht="15.5" customHeight="1">
      <c r="A131" s="23" t="n"/>
      <c r="B131" s="24" t="n"/>
      <c r="C131" s="24" t="n"/>
      <c r="D131" s="23" t="n"/>
      <c r="E131" s="24" t="n"/>
      <c r="F131" s="24" t="n"/>
      <c r="G131" s="23" t="n"/>
      <c r="H131" s="23" t="n"/>
      <c r="I131" s="558" t="n"/>
      <c r="J131" s="558" t="n"/>
      <c r="K131" s="539" t="n"/>
      <c r="L131" s="539" t="n"/>
      <c r="M131" s="539" t="n"/>
      <c r="N131" s="539" t="n"/>
      <c r="O131" s="539" t="n"/>
      <c r="P131" s="539" t="n"/>
      <c r="Q131" s="539" t="n"/>
      <c r="R131" s="23" t="n"/>
      <c r="S131" s="539" t="n"/>
      <c r="T131" s="539" t="n"/>
      <c r="U131" s="27" t="n"/>
      <c r="V131" s="601"/>
      <c r="W131" s="602">
        <f>($V$5-J131)/365</f>
      </c>
      <c r="X131" s="127">
        <f>(V131-W131)/V131</f>
      </c>
      <c r="Y131" s="603" t="n"/>
      <c r="Z131" s="604">
        <f>Y131</f>
      </c>
      <c r="AA131" s="583" t="n"/>
      <c r="AB131" s="583" t="n"/>
      <c r="AC131" s="583">
        <f>Z131*0.13/(1+0.13)</f>
      </c>
      <c r="AD131" s="605">
        <f>Z131-AC131</f>
      </c>
      <c r="AE131" s="605">
        <f>Z131*H131</f>
      </c>
      <c r="AF131" s="583">
        <f>ROUND(AD131*H131,-2)</f>
      </c>
    </row>
    <row r="132" ht="15.5" customHeight="1">
      <c r="A132" s="23" t="n"/>
      <c r="B132" s="24" t="n"/>
      <c r="C132" s="24" t="n"/>
      <c r="D132" s="23" t="n"/>
      <c r="E132" s="24" t="n"/>
      <c r="F132" s="24" t="n"/>
      <c r="G132" s="23" t="n"/>
      <c r="H132" s="23" t="n"/>
      <c r="I132" s="558" t="n"/>
      <c r="J132" s="558" t="n"/>
      <c r="K132" s="539" t="n"/>
      <c r="L132" s="539" t="n"/>
      <c r="M132" s="539" t="n"/>
      <c r="N132" s="539" t="n"/>
      <c r="O132" s="539" t="n"/>
      <c r="P132" s="539" t="n"/>
      <c r="Q132" s="539" t="n"/>
      <c r="R132" s="23" t="n"/>
      <c r="S132" s="539" t="n"/>
      <c r="T132" s="539" t="n"/>
      <c r="U132" s="27" t="n"/>
      <c r="V132" s="601"/>
      <c r="W132" s="602">
        <f>($V$5-J132)/365</f>
      </c>
      <c r="X132" s="127">
        <f>(V132-W132)/V132</f>
      </c>
      <c r="Y132" s="603" t="n"/>
      <c r="Z132" s="604">
        <f>Y132</f>
      </c>
      <c r="AA132" s="583" t="n"/>
      <c r="AB132" s="583" t="n"/>
      <c r="AC132" s="583">
        <f>Z132*0.13/(1+0.13)</f>
      </c>
      <c r="AD132" s="605">
        <f>Z132-AC132</f>
      </c>
      <c r="AE132" s="605">
        <f>Z132*H132</f>
      </c>
      <c r="AF132" s="583">
        <f>ROUND(AD132*H132,-2)</f>
      </c>
    </row>
    <row r="133" ht="15.5" customHeight="1">
      <c r="A133" s="23" t="n"/>
      <c r="B133" s="24" t="n"/>
      <c r="C133" s="24" t="n"/>
      <c r="D133" s="23" t="n"/>
      <c r="E133" s="24" t="n"/>
      <c r="F133" s="24" t="n"/>
      <c r="G133" s="23" t="n"/>
      <c r="H133" s="23" t="n"/>
      <c r="I133" s="558" t="n"/>
      <c r="J133" s="558" t="n"/>
      <c r="K133" s="539" t="n"/>
      <c r="L133" s="539" t="n"/>
      <c r="M133" s="539" t="n"/>
      <c r="N133" s="539" t="n"/>
      <c r="O133" s="539" t="n"/>
      <c r="P133" s="539" t="n"/>
      <c r="Q133" s="539" t="n"/>
      <c r="R133" s="23" t="n"/>
      <c r="S133" s="539" t="n"/>
      <c r="T133" s="539" t="n"/>
      <c r="U133" s="27" t="n"/>
      <c r="V133" s="601"/>
      <c r="W133" s="602">
        <f>($V$5-J133)/365</f>
      </c>
      <c r="X133" s="127">
        <f>(V133-W133)/V133</f>
      </c>
      <c r="Y133" s="603" t="n"/>
      <c r="Z133" s="604">
        <f>Y133</f>
      </c>
      <c r="AA133" s="583" t="n"/>
      <c r="AB133" s="583" t="n"/>
      <c r="AC133" s="583">
        <f>Z133*0.13/(1+0.13)</f>
      </c>
      <c r="AD133" s="605">
        <f>Z133-AC133</f>
      </c>
      <c r="AE133" s="605">
        <f>Z133*H133</f>
      </c>
      <c r="AF133" s="583">
        <f>ROUND(AD133*H133,-2)</f>
      </c>
    </row>
    <row r="134" ht="15.5" customHeight="1">
      <c r="A134" s="23" t="n"/>
      <c r="B134" s="24" t="n"/>
      <c r="C134" s="24" t="n"/>
      <c r="D134" s="23" t="n"/>
      <c r="E134" s="24" t="n"/>
      <c r="F134" s="24" t="n"/>
      <c r="G134" s="23" t="n"/>
      <c r="H134" s="23" t="n"/>
      <c r="I134" s="558" t="n"/>
      <c r="J134" s="558" t="n"/>
      <c r="K134" s="539" t="n"/>
      <c r="L134" s="539" t="n"/>
      <c r="M134" s="539" t="n"/>
      <c r="N134" s="539" t="n"/>
      <c r="O134" s="539" t="n"/>
      <c r="P134" s="539" t="n"/>
      <c r="Q134" s="539" t="n"/>
      <c r="R134" s="23" t="n"/>
      <c r="S134" s="539" t="n"/>
      <c r="T134" s="539" t="n"/>
      <c r="U134" s="27" t="n"/>
      <c r="V134" s="601"/>
      <c r="W134" s="602">
        <f>($V$5-J134)/365</f>
      </c>
      <c r="X134" s="127">
        <f>(V134-W134)/V134</f>
      </c>
      <c r="Y134" s="603" t="n"/>
      <c r="Z134" s="604">
        <f>Y134</f>
      </c>
      <c r="AA134" s="583" t="n"/>
      <c r="AB134" s="583" t="n"/>
      <c r="AC134" s="583">
        <f>Z134*0.13/(1+0.13)</f>
      </c>
      <c r="AD134" s="605">
        <f>Z134-AC134</f>
      </c>
      <c r="AE134" s="605">
        <f>Z134*H134</f>
      </c>
      <c r="AF134" s="583">
        <f>ROUND(AD134*H134,-2)</f>
      </c>
    </row>
    <row r="135" ht="15.5" customHeight="1">
      <c r="A135" s="23" t="n"/>
      <c r="B135" s="24" t="n"/>
      <c r="C135" s="24" t="n"/>
      <c r="D135" s="23" t="n"/>
      <c r="E135" s="24" t="n"/>
      <c r="F135" s="24" t="n"/>
      <c r="G135" s="23" t="n"/>
      <c r="H135" s="23" t="n"/>
      <c r="I135" s="558" t="n"/>
      <c r="J135" s="558" t="n"/>
      <c r="K135" s="539" t="n"/>
      <c r="L135" s="539" t="n"/>
      <c r="M135" s="539" t="n"/>
      <c r="N135" s="539" t="n"/>
      <c r="O135" s="539" t="n"/>
      <c r="P135" s="539" t="n"/>
      <c r="Q135" s="539" t="n"/>
      <c r="R135" s="23" t="n"/>
      <c r="S135" s="539" t="n"/>
      <c r="T135" s="539" t="n"/>
      <c r="U135" s="27" t="n"/>
      <c r="V135" s="601"/>
      <c r="W135" s="602">
        <f>($V$5-J135)/365</f>
      </c>
      <c r="X135" s="127">
        <f>(V135-W135)/V135</f>
      </c>
      <c r="Y135" s="603" t="n"/>
      <c r="Z135" s="604">
        <f>Y135</f>
      </c>
      <c r="AA135" s="583" t="n"/>
      <c r="AB135" s="583" t="n"/>
      <c r="AC135" s="583">
        <f>Z135*0.13/(1+0.13)</f>
      </c>
      <c r="AD135" s="605">
        <f>Z135-AC135</f>
      </c>
      <c r="AE135" s="605">
        <f>Z135*H135</f>
      </c>
      <c r="AF135" s="583">
        <f>ROUND(AD135*H135,-2)</f>
      </c>
    </row>
    <row r="136" ht="15.5" customHeight="1">
      <c r="A136" s="23" t="n"/>
      <c r="B136" s="24" t="n"/>
      <c r="C136" s="24" t="n"/>
      <c r="D136" s="23" t="n"/>
      <c r="E136" s="24" t="n"/>
      <c r="F136" s="24" t="n"/>
      <c r="G136" s="23" t="n"/>
      <c r="H136" s="23" t="n"/>
      <c r="I136" s="558" t="n"/>
      <c r="J136" s="558" t="n"/>
      <c r="K136" s="539" t="n"/>
      <c r="L136" s="539" t="n"/>
      <c r="M136" s="539" t="n"/>
      <c r="N136" s="539" t="n"/>
      <c r="O136" s="539" t="n"/>
      <c r="P136" s="539" t="n"/>
      <c r="Q136" s="539" t="n"/>
      <c r="R136" s="23" t="n"/>
      <c r="S136" s="539" t="n"/>
      <c r="T136" s="539" t="n"/>
      <c r="U136" s="27" t="n"/>
      <c r="V136" s="601"/>
      <c r="W136" s="602">
        <f>($V$5-J136)/365</f>
      </c>
      <c r="X136" s="127">
        <f>(V136-W136)/V136</f>
      </c>
      <c r="Y136" s="603" t="n"/>
      <c r="Z136" s="604">
        <f>Y136</f>
      </c>
      <c r="AA136" s="583" t="n"/>
      <c r="AB136" s="583" t="n"/>
      <c r="AC136" s="583">
        <f>Z136*0.13/(1+0.13)</f>
      </c>
      <c r="AD136" s="605">
        <f>Z136-AC136</f>
      </c>
      <c r="AE136" s="605">
        <f>Z136*H136</f>
      </c>
      <c r="AF136" s="583">
        <f>ROUND(AD136*H136,-2)</f>
      </c>
    </row>
    <row r="137" ht="15.5" customHeight="1">
      <c r="A137" s="23" t="n"/>
      <c r="B137" s="24" t="n"/>
      <c r="C137" s="24" t="n"/>
      <c r="D137" s="23" t="n"/>
      <c r="E137" s="24" t="n"/>
      <c r="F137" s="24" t="n"/>
      <c r="G137" s="23" t="n"/>
      <c r="H137" s="23" t="n"/>
      <c r="I137" s="558" t="n"/>
      <c r="J137" s="558" t="n"/>
      <c r="K137" s="539" t="n"/>
      <c r="L137" s="539" t="n"/>
      <c r="M137" s="539" t="n"/>
      <c r="N137" s="539" t="n"/>
      <c r="O137" s="539" t="n"/>
      <c r="P137" s="539" t="n"/>
      <c r="Q137" s="539" t="n"/>
      <c r="R137" s="23" t="n"/>
      <c r="S137" s="539" t="n"/>
      <c r="T137" s="539" t="n"/>
      <c r="U137" s="27" t="n"/>
      <c r="V137" s="601"/>
      <c r="W137" s="602">
        <f>($V$5-J137)/365</f>
      </c>
      <c r="X137" s="127">
        <f>(V137-W137)/V137</f>
      </c>
      <c r="Y137" s="603" t="n"/>
      <c r="Z137" s="604">
        <f>Y137</f>
      </c>
      <c r="AA137" s="583" t="n"/>
      <c r="AB137" s="583" t="n"/>
      <c r="AC137" s="583">
        <f>Z137*0.13/(1+0.13)</f>
      </c>
      <c r="AD137" s="605">
        <f>Z137-AC137</f>
      </c>
      <c r="AE137" s="605">
        <f>Z137*H137</f>
      </c>
      <c r="AF137" s="583">
        <f>ROUND(AD137*H137,-2)</f>
      </c>
    </row>
    <row r="138" ht="15.5" customHeight="1">
      <c r="A138" s="23" t="n"/>
      <c r="B138" s="24" t="n"/>
      <c r="C138" s="24" t="n"/>
      <c r="D138" s="23" t="n"/>
      <c r="E138" s="24" t="n"/>
      <c r="F138" s="24" t="n"/>
      <c r="G138" s="23" t="n"/>
      <c r="H138" s="23" t="n"/>
      <c r="I138" s="558" t="n"/>
      <c r="J138" s="558" t="n"/>
      <c r="K138" s="539" t="n"/>
      <c r="L138" s="539" t="n"/>
      <c r="M138" s="539" t="n"/>
      <c r="N138" s="539" t="n"/>
      <c r="O138" s="539" t="n"/>
      <c r="P138" s="539" t="n"/>
      <c r="Q138" s="539" t="n"/>
      <c r="R138" s="23" t="n"/>
      <c r="S138" s="539" t="n"/>
      <c r="T138" s="539" t="n"/>
      <c r="U138" s="27" t="n"/>
      <c r="V138" s="601"/>
      <c r="W138" s="602">
        <f>($V$5-J138)/365</f>
      </c>
      <c r="X138" s="127">
        <f>(V138-W138)/V138</f>
      </c>
      <c r="Y138" s="603" t="n"/>
      <c r="Z138" s="604">
        <f>Y138</f>
      </c>
      <c r="AA138" s="583" t="n"/>
      <c r="AB138" s="583" t="n"/>
      <c r="AC138" s="583">
        <f>Z138*0.13/(1+0.13)</f>
      </c>
      <c r="AD138" s="605">
        <f>Z138-AC138</f>
      </c>
      <c r="AE138" s="605">
        <f>Z138*H138</f>
      </c>
      <c r="AF138" s="583">
        <f>ROUND(AD138*H138,-2)</f>
      </c>
    </row>
    <row r="139" ht="15.5" customHeight="1">
      <c r="A139" s="23" t="n"/>
      <c r="B139" s="24" t="n"/>
      <c r="C139" s="24" t="n"/>
      <c r="D139" s="23" t="n"/>
      <c r="E139" s="24" t="n"/>
      <c r="F139" s="24" t="n"/>
      <c r="G139" s="23" t="n"/>
      <c r="H139" s="23" t="n"/>
      <c r="I139" s="558" t="n"/>
      <c r="J139" s="558" t="n"/>
      <c r="K139" s="539" t="n"/>
      <c r="L139" s="539" t="n"/>
      <c r="M139" s="539" t="n"/>
      <c r="N139" s="539" t="n"/>
      <c r="O139" s="539" t="n"/>
      <c r="P139" s="539" t="n"/>
      <c r="Q139" s="539" t="n"/>
      <c r="R139" s="23" t="n"/>
      <c r="S139" s="539" t="n"/>
      <c r="T139" s="539" t="n"/>
      <c r="U139" s="27" t="n"/>
      <c r="V139" s="601"/>
      <c r="W139" s="602">
        <f>($V$5-J139)/365</f>
      </c>
      <c r="X139" s="127">
        <f>(V139-W139)/V139</f>
      </c>
      <c r="Y139" s="603" t="n"/>
      <c r="Z139" s="604">
        <f>Y139</f>
      </c>
      <c r="AA139" s="583" t="n"/>
      <c r="AB139" s="583" t="n"/>
      <c r="AC139" s="583">
        <f>Z139*0.13/(1+0.13)</f>
      </c>
      <c r="AD139" s="605">
        <f>Z139-AC139</f>
      </c>
      <c r="AE139" s="605">
        <f>Z139*H139</f>
      </c>
      <c r="AF139" s="583">
        <f>ROUND(AD139*H139,-2)</f>
      </c>
    </row>
    <row r="140" ht="15.5" customHeight="1">
      <c r="A140" s="23" t="n"/>
      <c r="B140" s="24" t="n"/>
      <c r="C140" s="24" t="n"/>
      <c r="D140" s="23" t="n"/>
      <c r="E140" s="24" t="n"/>
      <c r="F140" s="24" t="n"/>
      <c r="G140" s="23" t="n"/>
      <c r="H140" s="23" t="n"/>
      <c r="I140" s="558" t="n"/>
      <c r="J140" s="558" t="n"/>
      <c r="K140" s="539" t="n"/>
      <c r="L140" s="539" t="n"/>
      <c r="M140" s="539" t="n"/>
      <c r="N140" s="539" t="n"/>
      <c r="O140" s="539" t="n"/>
      <c r="P140" s="539" t="n"/>
      <c r="Q140" s="539" t="n"/>
      <c r="R140" s="23" t="n"/>
      <c r="S140" s="539" t="n"/>
      <c r="T140" s="539" t="n"/>
      <c r="U140" s="27" t="n"/>
      <c r="V140" s="601"/>
      <c r="W140" s="602">
        <f>($V$5-J140)/365</f>
      </c>
      <c r="X140" s="127">
        <f>(V140-W140)/V140</f>
      </c>
      <c r="Y140" s="603" t="n"/>
      <c r="Z140" s="604">
        <f>Y140</f>
      </c>
      <c r="AA140" s="583" t="n"/>
      <c r="AB140" s="583" t="n"/>
      <c r="AC140" s="583">
        <f>Z140*0.13/(1+0.13)</f>
      </c>
      <c r="AD140" s="605">
        <f>Z140-AC140</f>
      </c>
      <c r="AE140" s="605">
        <f>Z140*H140</f>
      </c>
      <c r="AF140" s="583">
        <f>ROUND(AD140*H140,-2)</f>
      </c>
    </row>
    <row r="141" ht="15.5" customHeight="1">
      <c r="A141" s="23" t="n"/>
      <c r="B141" s="24" t="n"/>
      <c r="C141" s="24" t="n"/>
      <c r="D141" s="23" t="n"/>
      <c r="E141" s="24" t="n"/>
      <c r="F141" s="24" t="n"/>
      <c r="G141" s="23" t="n"/>
      <c r="H141" s="23" t="n"/>
      <c r="I141" s="558" t="n"/>
      <c r="J141" s="558" t="n"/>
      <c r="K141" s="539" t="n"/>
      <c r="L141" s="539" t="n"/>
      <c r="M141" s="539" t="n"/>
      <c r="N141" s="539" t="n"/>
      <c r="O141" s="539" t="n"/>
      <c r="P141" s="539" t="n"/>
      <c r="Q141" s="539" t="n"/>
      <c r="R141" s="23" t="n"/>
      <c r="S141" s="539" t="n"/>
      <c r="T141" s="539" t="n"/>
      <c r="U141" s="27" t="n"/>
      <c r="V141" s="601"/>
      <c r="W141" s="602">
        <f>($V$5-J141)/365</f>
      </c>
      <c r="X141" s="127">
        <f>(V141-W141)/V141</f>
      </c>
      <c r="Y141" s="603" t="n"/>
      <c r="Z141" s="604">
        <f>Y141</f>
      </c>
      <c r="AA141" s="583" t="n"/>
      <c r="AB141" s="583" t="n"/>
      <c r="AC141" s="583">
        <f>Z141*0.13/(1+0.13)</f>
      </c>
      <c r="AD141" s="605">
        <f>Z141-AC141</f>
      </c>
      <c r="AE141" s="605">
        <f>Z141*H141</f>
      </c>
      <c r="AF141" s="583">
        <f>ROUND(AD141*H141,-2)</f>
      </c>
    </row>
    <row r="142" ht="15.5" customHeight="1">
      <c r="A142" s="23" t="n"/>
      <c r="B142" s="24" t="n"/>
      <c r="C142" s="24" t="n"/>
      <c r="D142" s="23" t="n"/>
      <c r="E142" s="24" t="n"/>
      <c r="F142" s="24" t="n"/>
      <c r="G142" s="23" t="n"/>
      <c r="H142" s="23" t="n"/>
      <c r="I142" s="558" t="n"/>
      <c r="J142" s="558" t="n"/>
      <c r="K142" s="539" t="n"/>
      <c r="L142" s="539" t="n"/>
      <c r="M142" s="539" t="n"/>
      <c r="N142" s="539" t="n"/>
      <c r="O142" s="539" t="n"/>
      <c r="P142" s="539" t="n"/>
      <c r="Q142" s="539" t="n"/>
      <c r="R142" s="23" t="n"/>
      <c r="S142" s="539" t="n"/>
      <c r="T142" s="539" t="n"/>
      <c r="U142" s="27" t="n"/>
      <c r="V142" s="601"/>
      <c r="W142" s="602">
        <f>($V$5-J142)/365</f>
      </c>
      <c r="X142" s="127">
        <f>(V142-W142)/V142</f>
      </c>
      <c r="Y142" s="603" t="n"/>
      <c r="Z142" s="604">
        <f>Y142</f>
      </c>
      <c r="AA142" s="583" t="n"/>
      <c r="AB142" s="583" t="n"/>
      <c r="AC142" s="583">
        <f>Z142*0.13/(1+0.13)</f>
      </c>
      <c r="AD142" s="605">
        <f>Z142-AC142</f>
      </c>
      <c r="AE142" s="605">
        <f>Z142*H142</f>
      </c>
      <c r="AF142" s="583">
        <f>ROUND(AD142*H142,-2)</f>
      </c>
    </row>
    <row r="143" ht="15.5" customHeight="1">
      <c r="A143" s="23" t="n"/>
      <c r="B143" s="24" t="n"/>
      <c r="C143" s="24" t="n"/>
      <c r="D143" s="23" t="n"/>
      <c r="E143" s="24" t="n"/>
      <c r="F143" s="24" t="n"/>
      <c r="G143" s="23" t="n"/>
      <c r="H143" s="23" t="n"/>
      <c r="I143" s="558" t="n"/>
      <c r="J143" s="558" t="n"/>
      <c r="K143" s="539" t="n"/>
      <c r="L143" s="539" t="n"/>
      <c r="M143" s="539" t="n"/>
      <c r="N143" s="539" t="n"/>
      <c r="O143" s="539" t="n"/>
      <c r="P143" s="539" t="n"/>
      <c r="Q143" s="539" t="n"/>
      <c r="R143" s="23" t="n"/>
      <c r="S143" s="539" t="n"/>
      <c r="T143" s="539" t="n"/>
      <c r="U143" s="27" t="n"/>
      <c r="V143" s="601"/>
      <c r="W143" s="602">
        <f>($V$5-J143)/365</f>
      </c>
      <c r="X143" s="127">
        <f>(V143-W143)/V143</f>
      </c>
      <c r="Y143" s="603" t="n"/>
      <c r="Z143" s="604">
        <f>Y143</f>
      </c>
      <c r="AA143" s="583" t="n"/>
      <c r="AB143" s="583" t="n"/>
      <c r="AC143" s="583">
        <f>Z143*0.13/(1+0.13)</f>
      </c>
      <c r="AD143" s="605">
        <f>Z143-AC143</f>
      </c>
      <c r="AE143" s="605">
        <f>Z143*H143</f>
      </c>
      <c r="AF143" s="583">
        <f>ROUND(AD143*H143,-2)</f>
      </c>
    </row>
    <row r="144" ht="15.5" customHeight="1">
      <c r="A144" s="23" t="n"/>
      <c r="B144" s="24" t="n"/>
      <c r="C144" s="24" t="n"/>
      <c r="D144" s="23" t="n"/>
      <c r="E144" s="24" t="n"/>
      <c r="F144" s="24" t="n"/>
      <c r="G144" s="23" t="n"/>
      <c r="H144" s="23" t="n"/>
      <c r="I144" s="558" t="n"/>
      <c r="J144" s="558" t="n"/>
      <c r="K144" s="539" t="n"/>
      <c r="L144" s="539" t="n"/>
      <c r="M144" s="539" t="n"/>
      <c r="N144" s="539" t="n"/>
      <c r="O144" s="539" t="n"/>
      <c r="P144" s="539" t="n"/>
      <c r="Q144" s="539" t="n"/>
      <c r="R144" s="23" t="n"/>
      <c r="S144" s="539" t="n"/>
      <c r="T144" s="539" t="n"/>
      <c r="U144" s="27" t="n"/>
      <c r="V144" s="601"/>
      <c r="W144" s="602">
        <f>($V$5-J144)/365</f>
      </c>
      <c r="X144" s="127">
        <f>(V144-W144)/V144</f>
      </c>
      <c r="Y144" s="603" t="n"/>
      <c r="Z144" s="604">
        <f>Y144</f>
      </c>
      <c r="AA144" s="583" t="n"/>
      <c r="AB144" s="583" t="n"/>
      <c r="AC144" s="583">
        <f>Z144*0.13/(1+0.13)</f>
      </c>
      <c r="AD144" s="605">
        <f>Z144-AC144</f>
      </c>
      <c r="AE144" s="605">
        <f>Z144*H144</f>
      </c>
      <c r="AF144" s="583">
        <f>ROUND(AD144*H144,-2)</f>
      </c>
    </row>
    <row r="145" ht="15.5" customHeight="1">
      <c r="A145" s="23" t="n"/>
      <c r="B145" s="24" t="n"/>
      <c r="C145" s="24" t="n"/>
      <c r="D145" s="23" t="n"/>
      <c r="E145" s="24" t="n"/>
      <c r="F145" s="24" t="n"/>
      <c r="G145" s="23" t="n"/>
      <c r="H145" s="23" t="n"/>
      <c r="I145" s="558" t="n"/>
      <c r="J145" s="558" t="n"/>
      <c r="K145" s="539" t="n"/>
      <c r="L145" s="539" t="n"/>
      <c r="M145" s="539" t="n"/>
      <c r="N145" s="539" t="n"/>
      <c r="O145" s="539" t="n"/>
      <c r="P145" s="539" t="n"/>
      <c r="Q145" s="539" t="n"/>
      <c r="R145" s="23" t="n"/>
      <c r="S145" s="539" t="n"/>
      <c r="T145" s="539" t="n"/>
      <c r="U145" s="27" t="n"/>
      <c r="V145" s="601"/>
      <c r="W145" s="602">
        <f>($V$5-J145)/365</f>
      </c>
      <c r="X145" s="127">
        <f>(V145-W145)/V145</f>
      </c>
      <c r="Y145" s="603" t="n"/>
      <c r="Z145" s="604">
        <f>Y145</f>
      </c>
      <c r="AA145" s="583" t="n"/>
      <c r="AB145" s="583" t="n"/>
      <c r="AC145" s="583">
        <f>Z145*0.13/(1+0.13)</f>
      </c>
      <c r="AD145" s="605">
        <f>Z145-AC145</f>
      </c>
      <c r="AE145" s="605">
        <f>Z145*H145</f>
      </c>
      <c r="AF145" s="583">
        <f>ROUND(AD145*H145,-2)</f>
      </c>
    </row>
    <row r="146" ht="15.5" customHeight="1">
      <c r="A146" s="23" t="n"/>
      <c r="B146" s="24" t="n"/>
      <c r="C146" s="24" t="n"/>
      <c r="D146" s="23" t="n"/>
      <c r="E146" s="24" t="n"/>
      <c r="F146" s="24" t="n"/>
      <c r="G146" s="23" t="n"/>
      <c r="H146" s="23" t="n"/>
      <c r="I146" s="558" t="n"/>
      <c r="J146" s="558" t="n"/>
      <c r="K146" s="539" t="n"/>
      <c r="L146" s="539" t="n"/>
      <c r="M146" s="539" t="n"/>
      <c r="N146" s="539" t="n"/>
      <c r="O146" s="539" t="n"/>
      <c r="P146" s="539" t="n"/>
      <c r="Q146" s="539" t="n"/>
      <c r="R146" s="23" t="n"/>
      <c r="S146" s="539" t="n"/>
      <c r="T146" s="539" t="n"/>
      <c r="U146" s="27" t="n"/>
      <c r="V146" s="601"/>
      <c r="W146" s="602">
        <f>($V$5-J146)/365</f>
      </c>
      <c r="X146" s="127">
        <f>(V146-W146)/V146</f>
      </c>
      <c r="Y146" s="603" t="n"/>
      <c r="Z146" s="604">
        <f>Y146</f>
      </c>
      <c r="AA146" s="583" t="n"/>
      <c r="AB146" s="583" t="n"/>
      <c r="AC146" s="583">
        <f>Z146*0.13/(1+0.13)</f>
      </c>
      <c r="AD146" s="605">
        <f>Z146-AC146</f>
      </c>
      <c r="AE146" s="605">
        <f>Z146*H146</f>
      </c>
      <c r="AF146" s="583">
        <f>ROUND(AD146*H146,-2)</f>
      </c>
    </row>
    <row r="147" ht="15.5" customHeight="1">
      <c r="A147" s="23" t="n"/>
      <c r="B147" s="24" t="n"/>
      <c r="C147" s="24" t="n"/>
      <c r="D147" s="23" t="n"/>
      <c r="E147" s="24" t="n"/>
      <c r="F147" s="24" t="n"/>
      <c r="G147" s="23" t="n"/>
      <c r="H147" s="23" t="n"/>
      <c r="I147" s="558" t="n"/>
      <c r="J147" s="558" t="n"/>
      <c r="K147" s="539" t="n"/>
      <c r="L147" s="539" t="n"/>
      <c r="M147" s="539" t="n"/>
      <c r="N147" s="539" t="n"/>
      <c r="O147" s="539" t="n"/>
      <c r="P147" s="539" t="n"/>
      <c r="Q147" s="539" t="n"/>
      <c r="R147" s="23" t="n"/>
      <c r="S147" s="539" t="n"/>
      <c r="T147" s="539" t="n"/>
      <c r="U147" s="27" t="n"/>
      <c r="V147" s="601"/>
      <c r="W147" s="602">
        <f>($V$5-J147)/365</f>
      </c>
      <c r="X147" s="127">
        <f>(V147-W147)/V147</f>
      </c>
      <c r="Y147" s="603" t="n"/>
      <c r="Z147" s="604">
        <f>Y147</f>
      </c>
      <c r="AA147" s="583" t="n"/>
      <c r="AB147" s="583" t="n"/>
      <c r="AC147" s="583">
        <f>Z147*0.13/(1+0.13)</f>
      </c>
      <c r="AD147" s="605">
        <f>Z147-AC147</f>
      </c>
      <c r="AE147" s="605">
        <f>Z147*H147</f>
      </c>
      <c r="AF147" s="583">
        <f>ROUND(AD147*H147,-2)</f>
      </c>
    </row>
    <row r="148" ht="15.5" customHeight="1">
      <c r="A148" s="23" t="n"/>
      <c r="B148" s="24" t="n"/>
      <c r="C148" s="24" t="n"/>
      <c r="D148" s="23" t="n"/>
      <c r="E148" s="24" t="n"/>
      <c r="F148" s="24" t="n"/>
      <c r="G148" s="23" t="n"/>
      <c r="H148" s="23" t="n"/>
      <c r="I148" s="558" t="n"/>
      <c r="J148" s="558" t="n"/>
      <c r="K148" s="539" t="n"/>
      <c r="L148" s="539" t="n"/>
      <c r="M148" s="539" t="n"/>
      <c r="N148" s="539" t="n"/>
      <c r="O148" s="539" t="n"/>
      <c r="P148" s="539" t="n"/>
      <c r="Q148" s="539" t="n"/>
      <c r="R148" s="23" t="n"/>
      <c r="S148" s="539" t="n"/>
      <c r="T148" s="539" t="n"/>
      <c r="U148" s="27" t="n"/>
      <c r="V148" s="601"/>
      <c r="W148" s="602">
        <f>($V$5-J148)/365</f>
      </c>
      <c r="X148" s="127">
        <f>(V148-W148)/V148</f>
      </c>
      <c r="Y148" s="603" t="n"/>
      <c r="Z148" s="604">
        <f>Y148</f>
      </c>
      <c r="AA148" s="583" t="n"/>
      <c r="AB148" s="583" t="n"/>
      <c r="AC148" s="583">
        <f>Z148*0.13/(1+0.13)</f>
      </c>
      <c r="AD148" s="605">
        <f>Z148-AC148</f>
      </c>
      <c r="AE148" s="605">
        <f>Z148*H148</f>
      </c>
      <c r="AF148" s="583">
        <f>ROUND(AD148*H148,-2)</f>
      </c>
    </row>
    <row r="149" ht="15.5" customHeight="1">
      <c r="A149" s="23" t="n"/>
      <c r="B149" s="24" t="n"/>
      <c r="C149" s="24" t="n"/>
      <c r="D149" s="23" t="n"/>
      <c r="E149" s="24" t="n"/>
      <c r="F149" s="24" t="n"/>
      <c r="G149" s="23" t="n"/>
      <c r="H149" s="23" t="n"/>
      <c r="I149" s="558" t="n"/>
      <c r="J149" s="558" t="n"/>
      <c r="K149" s="539" t="n"/>
      <c r="L149" s="539" t="n"/>
      <c r="M149" s="539" t="n"/>
      <c r="N149" s="539" t="n"/>
      <c r="O149" s="539" t="n"/>
      <c r="P149" s="539" t="n"/>
      <c r="Q149" s="539" t="n"/>
      <c r="R149" s="23" t="n"/>
      <c r="S149" s="539" t="n"/>
      <c r="T149" s="539" t="n"/>
      <c r="U149" s="27" t="n"/>
      <c r="V149" s="601"/>
      <c r="W149" s="602">
        <f>($V$5-J149)/365</f>
      </c>
      <c r="X149" s="127">
        <f>(V149-W149)/V149</f>
      </c>
      <c r="Y149" s="603" t="n"/>
      <c r="Z149" s="604">
        <f>Y149</f>
      </c>
      <c r="AA149" s="583" t="n"/>
      <c r="AB149" s="583" t="n"/>
      <c r="AC149" s="583">
        <f>Z149*0.13/(1+0.13)</f>
      </c>
      <c r="AD149" s="605">
        <f>Z149-AC149</f>
      </c>
      <c r="AE149" s="605">
        <f>Z149*H149</f>
      </c>
      <c r="AF149" s="583">
        <f>ROUND(AD149*H149,-2)</f>
      </c>
    </row>
    <row r="150" ht="15.5" customHeight="1">
      <c r="A150" s="23" t="n"/>
      <c r="B150" s="24" t="n"/>
      <c r="C150" s="24" t="n"/>
      <c r="D150" s="23" t="n"/>
      <c r="E150" s="24" t="n"/>
      <c r="F150" s="24" t="n"/>
      <c r="G150" s="23" t="n"/>
      <c r="H150" s="23" t="n"/>
      <c r="I150" s="558" t="n"/>
      <c r="J150" s="558" t="n"/>
      <c r="K150" s="539" t="n"/>
      <c r="L150" s="539" t="n"/>
      <c r="M150" s="539" t="n"/>
      <c r="N150" s="539" t="n"/>
      <c r="O150" s="539" t="n"/>
      <c r="P150" s="539" t="n"/>
      <c r="Q150" s="539" t="n"/>
      <c r="R150" s="23" t="n"/>
      <c r="S150" s="539" t="n"/>
      <c r="T150" s="539" t="n"/>
      <c r="U150" s="27" t="n"/>
      <c r="V150" s="601"/>
      <c r="W150" s="602">
        <f>($V$5-J150)/365</f>
      </c>
      <c r="X150" s="127">
        <f>(V150-W150)/V150</f>
      </c>
      <c r="Y150" s="603" t="n"/>
      <c r="Z150" s="604">
        <f>Y150</f>
      </c>
      <c r="AA150" s="583" t="n"/>
      <c r="AB150" s="583" t="n"/>
      <c r="AC150" s="583">
        <f>Z150*0.13/(1+0.13)</f>
      </c>
      <c r="AD150" s="605">
        <f>Z150-AC150</f>
      </c>
      <c r="AE150" s="605">
        <f>Z150*H150</f>
      </c>
      <c r="AF150" s="583">
        <f>ROUND(AD150*H150,-2)</f>
      </c>
    </row>
    <row r="151" ht="15.5" customHeight="1">
      <c r="A151" s="23" t="n"/>
      <c r="B151" s="24" t="n"/>
      <c r="C151" s="24" t="n"/>
      <c r="D151" s="23" t="n"/>
      <c r="E151" s="24" t="n"/>
      <c r="F151" s="24" t="n"/>
      <c r="G151" s="23" t="n"/>
      <c r="H151" s="23" t="n"/>
      <c r="I151" s="558" t="n"/>
      <c r="J151" s="558" t="n"/>
      <c r="K151" s="539" t="n"/>
      <c r="L151" s="539" t="n"/>
      <c r="M151" s="539" t="n"/>
      <c r="N151" s="539" t="n"/>
      <c r="O151" s="539" t="n"/>
      <c r="P151" s="539" t="n"/>
      <c r="Q151" s="539" t="n"/>
      <c r="R151" s="23" t="n"/>
      <c r="S151" s="539" t="n"/>
      <c r="T151" s="539" t="n"/>
      <c r="U151" s="27" t="n"/>
      <c r="V151" s="601"/>
      <c r="W151" s="602">
        <f>($V$5-J151)/365</f>
      </c>
      <c r="X151" s="127">
        <f>(V151-W151)/V151</f>
      </c>
      <c r="Y151" s="603" t="n"/>
      <c r="Z151" s="604">
        <f>Y151</f>
      </c>
      <c r="AA151" s="583" t="n"/>
      <c r="AB151" s="583" t="n"/>
      <c r="AC151" s="583">
        <f>Z151*0.13/(1+0.13)</f>
      </c>
      <c r="AD151" s="605">
        <f>Z151-AC151</f>
      </c>
      <c r="AE151" s="605">
        <f>Z151*H151</f>
      </c>
      <c r="AF151" s="583">
        <f>ROUND(AD151*H151,-2)</f>
      </c>
    </row>
    <row r="152" ht="15.5" customHeight="1">
      <c r="A152" s="23" t="n"/>
      <c r="B152" s="24" t="n"/>
      <c r="C152" s="24" t="n"/>
      <c r="D152" s="23" t="n"/>
      <c r="E152" s="24" t="n"/>
      <c r="F152" s="24" t="n"/>
      <c r="G152" s="23" t="n"/>
      <c r="H152" s="23" t="n"/>
      <c r="I152" s="558" t="n"/>
      <c r="J152" s="558" t="n"/>
      <c r="K152" s="539" t="n"/>
      <c r="L152" s="539" t="n"/>
      <c r="M152" s="539" t="n"/>
      <c r="N152" s="539" t="n"/>
      <c r="O152" s="539" t="n"/>
      <c r="P152" s="539" t="n"/>
      <c r="Q152" s="539" t="n"/>
      <c r="R152" s="23" t="n"/>
      <c r="S152" s="539" t="n"/>
      <c r="T152" s="539" t="n"/>
      <c r="U152" s="27" t="n"/>
      <c r="V152" s="601"/>
      <c r="W152" s="602">
        <f>($V$5-J152)/365</f>
      </c>
      <c r="X152" s="127">
        <f>(V152-W152)/V152</f>
      </c>
      <c r="Y152" s="603" t="n"/>
      <c r="Z152" s="604">
        <f>Y152</f>
      </c>
      <c r="AA152" s="583" t="n"/>
      <c r="AB152" s="583" t="n"/>
      <c r="AC152" s="583">
        <f>Z152*0.13/(1+0.13)</f>
      </c>
      <c r="AD152" s="605">
        <f>Z152-AC152</f>
      </c>
      <c r="AE152" s="605">
        <f>Z152*H152</f>
      </c>
      <c r="AF152" s="583">
        <f>ROUND(AD152*H152,-2)</f>
      </c>
    </row>
    <row r="153" ht="15.5" customHeight="1">
      <c r="A153" s="23" t="n"/>
      <c r="B153" s="24" t="n"/>
      <c r="C153" s="24" t="n"/>
      <c r="D153" s="23" t="n"/>
      <c r="E153" s="24" t="n"/>
      <c r="F153" s="24" t="n"/>
      <c r="G153" s="23" t="n"/>
      <c r="H153" s="23" t="n"/>
      <c r="I153" s="558" t="n"/>
      <c r="J153" s="558" t="n"/>
      <c r="K153" s="539" t="n"/>
      <c r="L153" s="539" t="n"/>
      <c r="M153" s="539" t="n"/>
      <c r="N153" s="539" t="n"/>
      <c r="O153" s="539" t="n"/>
      <c r="P153" s="539" t="n"/>
      <c r="Q153" s="539" t="n"/>
      <c r="R153" s="23" t="n"/>
      <c r="S153" s="539" t="n"/>
      <c r="T153" s="539" t="n"/>
      <c r="U153" s="27" t="n"/>
      <c r="V153" s="601"/>
      <c r="W153" s="602">
        <f>($V$5-J153)/365</f>
      </c>
      <c r="X153" s="127">
        <f>(V153-W153)/V153</f>
      </c>
      <c r="Y153" s="603" t="n"/>
      <c r="Z153" s="604">
        <f>Y153</f>
      </c>
      <c r="AA153" s="583" t="n"/>
      <c r="AB153" s="583" t="n"/>
      <c r="AC153" s="583">
        <f>Z153*0.13/(1+0.13)</f>
      </c>
      <c r="AD153" s="605">
        <f>Z153-AC153</f>
      </c>
      <c r="AE153" s="605">
        <f>Z153*H153</f>
      </c>
      <c r="AF153" s="583">
        <f>ROUND(AD153*H153,-2)</f>
      </c>
    </row>
    <row r="154" ht="15.5" customHeight="1">
      <c r="A154" s="23" t="n"/>
      <c r="B154" s="24" t="n"/>
      <c r="C154" s="24" t="n"/>
      <c r="D154" s="23" t="n"/>
      <c r="E154" s="24" t="n"/>
      <c r="F154" s="24" t="n"/>
      <c r="G154" s="23" t="n"/>
      <c r="H154" s="23" t="n"/>
      <c r="I154" s="558" t="n"/>
      <c r="J154" s="558" t="n"/>
      <c r="K154" s="539" t="n"/>
      <c r="L154" s="539" t="n"/>
      <c r="M154" s="539" t="n"/>
      <c r="N154" s="539" t="n"/>
      <c r="O154" s="539" t="n"/>
      <c r="P154" s="539" t="n"/>
      <c r="Q154" s="539" t="n"/>
      <c r="R154" s="23" t="n"/>
      <c r="S154" s="539" t="n"/>
      <c r="T154" s="539" t="n"/>
      <c r="U154" s="27" t="n"/>
      <c r="V154" s="601"/>
      <c r="W154" s="602">
        <f>($V$5-J154)/365</f>
      </c>
      <c r="X154" s="127">
        <f>(V154-W154)/V154</f>
      </c>
      <c r="Y154" s="603" t="n"/>
      <c r="Z154" s="604">
        <f>Y154</f>
      </c>
      <c r="AA154" s="583" t="n"/>
      <c r="AB154" s="583" t="n"/>
      <c r="AC154" s="583">
        <f>Z154*0.13/(1+0.13)</f>
      </c>
      <c r="AD154" s="605">
        <f>Z154-AC154</f>
      </c>
      <c r="AE154" s="605">
        <f>Z154*H154</f>
      </c>
      <c r="AF154" s="583">
        <f>ROUND(AD154*H154,-2)</f>
      </c>
    </row>
    <row r="155" ht="15.5" customHeight="1">
      <c r="A155" s="23" t="n"/>
      <c r="B155" s="24" t="n"/>
      <c r="C155" s="24" t="n"/>
      <c r="D155" s="23" t="n"/>
      <c r="E155" s="24" t="n"/>
      <c r="F155" s="24" t="n"/>
      <c r="G155" s="23" t="n"/>
      <c r="H155" s="23" t="n"/>
      <c r="I155" s="558" t="n"/>
      <c r="J155" s="558" t="n"/>
      <c r="K155" s="539" t="n"/>
      <c r="L155" s="539" t="n"/>
      <c r="M155" s="539" t="n"/>
      <c r="N155" s="539" t="n"/>
      <c r="O155" s="539" t="n"/>
      <c r="P155" s="539" t="n"/>
      <c r="Q155" s="539" t="n"/>
      <c r="R155" s="23" t="n"/>
      <c r="S155" s="539" t="n"/>
      <c r="T155" s="539" t="n"/>
      <c r="U155" s="27" t="n"/>
      <c r="V155" s="601"/>
      <c r="W155" s="602">
        <f>($V$5-J155)/365</f>
      </c>
      <c r="X155" s="127">
        <f>(V155-W155)/V155</f>
      </c>
      <c r="Y155" s="603" t="n"/>
      <c r="Z155" s="604">
        <f>Y155</f>
      </c>
      <c r="AA155" s="583" t="n"/>
      <c r="AB155" s="583" t="n"/>
      <c r="AC155" s="583">
        <f>Z155*0.13/(1+0.13)</f>
      </c>
      <c r="AD155" s="605">
        <f>Z155-AC155</f>
      </c>
      <c r="AE155" s="605">
        <f>Z155*H155</f>
      </c>
      <c r="AF155" s="583">
        <f>ROUND(AD155*H155,-2)</f>
      </c>
    </row>
    <row r="156" ht="15.5" customHeight="1">
      <c r="A156" s="23" t="n"/>
      <c r="B156" s="24" t="n"/>
      <c r="C156" s="24" t="n"/>
      <c r="D156" s="23" t="n"/>
      <c r="E156" s="24" t="n"/>
      <c r="F156" s="24" t="n"/>
      <c r="G156" s="23" t="n"/>
      <c r="H156" s="23" t="n"/>
      <c r="I156" s="558" t="n"/>
      <c r="J156" s="558" t="n"/>
      <c r="K156" s="539" t="n"/>
      <c r="L156" s="539" t="n"/>
      <c r="M156" s="539" t="n"/>
      <c r="N156" s="539" t="n"/>
      <c r="O156" s="539" t="n"/>
      <c r="P156" s="539" t="n"/>
      <c r="Q156" s="539" t="n"/>
      <c r="R156" s="23" t="n"/>
      <c r="S156" s="539" t="n"/>
      <c r="T156" s="539" t="n"/>
      <c r="U156" s="27" t="n"/>
      <c r="V156" s="601"/>
      <c r="W156" s="602">
        <f>($V$5-J156)/365</f>
      </c>
      <c r="X156" s="127">
        <f>(V156-W156)/V156</f>
      </c>
      <c r="Y156" s="603" t="n"/>
      <c r="Z156" s="604">
        <f>Y156</f>
      </c>
      <c r="AA156" s="583" t="n"/>
      <c r="AB156" s="583" t="n"/>
      <c r="AC156" s="583">
        <f>Z156*0.13/(1+0.13)</f>
      </c>
      <c r="AD156" s="605">
        <f>Z156-AC156</f>
      </c>
      <c r="AE156" s="605">
        <f>Z156*H156</f>
      </c>
      <c r="AF156" s="583">
        <f>ROUND(AD156*H156,-2)</f>
      </c>
    </row>
    <row r="157" ht="15.5" customHeight="1">
      <c r="A157" s="23" t="n"/>
      <c r="B157" s="24" t="n"/>
      <c r="C157" s="24" t="n"/>
      <c r="D157" s="23" t="n"/>
      <c r="E157" s="24" t="n"/>
      <c r="F157" s="24" t="n"/>
      <c r="G157" s="23" t="n"/>
      <c r="H157" s="23" t="n"/>
      <c r="I157" s="558" t="n"/>
      <c r="J157" s="558" t="n"/>
      <c r="K157" s="539" t="n"/>
      <c r="L157" s="539" t="n"/>
      <c r="M157" s="539" t="n"/>
      <c r="N157" s="539" t="n"/>
      <c r="O157" s="539" t="n"/>
      <c r="P157" s="539" t="n"/>
      <c r="Q157" s="539" t="n"/>
      <c r="R157" s="23" t="n"/>
      <c r="S157" s="539" t="n"/>
      <c r="T157" s="539" t="n"/>
      <c r="U157" s="27" t="n"/>
      <c r="V157" s="601"/>
      <c r="W157" s="602">
        <f>($V$5-J157)/365</f>
      </c>
      <c r="X157" s="127">
        <f>(V157-W157)/V157</f>
      </c>
      <c r="Y157" s="603" t="n"/>
      <c r="Z157" s="604">
        <f>Y157</f>
      </c>
      <c r="AA157" s="583" t="n"/>
      <c r="AB157" s="583" t="n"/>
      <c r="AC157" s="583">
        <f>Z157*0.13/(1+0.13)</f>
      </c>
      <c r="AD157" s="605">
        <f>Z157-AC157</f>
      </c>
      <c r="AE157" s="605">
        <f>Z157*H157</f>
      </c>
      <c r="AF157" s="583">
        <f>ROUND(AD157*H157,-2)</f>
      </c>
    </row>
    <row r="158" ht="15.5" customHeight="1">
      <c r="A158" s="23" t="n"/>
      <c r="B158" s="24" t="n"/>
      <c r="C158" s="24" t="n"/>
      <c r="D158" s="23" t="n"/>
      <c r="E158" s="24" t="n"/>
      <c r="F158" s="24" t="n"/>
      <c r="G158" s="23" t="n"/>
      <c r="H158" s="23" t="n"/>
      <c r="I158" s="558" t="n"/>
      <c r="J158" s="558" t="n"/>
      <c r="K158" s="539" t="n"/>
      <c r="L158" s="539" t="n"/>
      <c r="M158" s="539" t="n"/>
      <c r="N158" s="539" t="n"/>
      <c r="O158" s="539" t="n"/>
      <c r="P158" s="539" t="n"/>
      <c r="Q158" s="539" t="n"/>
      <c r="R158" s="23" t="n"/>
      <c r="S158" s="539" t="n"/>
      <c r="T158" s="539" t="n"/>
      <c r="U158" s="27" t="n"/>
      <c r="V158" s="601"/>
      <c r="W158" s="602">
        <f>($V$5-J158)/365</f>
      </c>
      <c r="X158" s="127">
        <f>(V158-W158)/V158</f>
      </c>
      <c r="Y158" s="603" t="n"/>
      <c r="Z158" s="604">
        <f>Y158</f>
      </c>
      <c r="AA158" s="583" t="n"/>
      <c r="AB158" s="583" t="n"/>
      <c r="AC158" s="583">
        <f>Z158*0.13/(1+0.13)</f>
      </c>
      <c r="AD158" s="605">
        <f>Z158-AC158</f>
      </c>
      <c r="AE158" s="605">
        <f>Z158*H158</f>
      </c>
      <c r="AF158" s="583">
        <f>ROUND(AD158*H158,-2)</f>
      </c>
    </row>
    <row r="159" ht="15.5" customHeight="1">
      <c r="A159" s="23" t="n"/>
      <c r="B159" s="24" t="n"/>
      <c r="C159" s="24" t="n"/>
      <c r="D159" s="23" t="n"/>
      <c r="E159" s="24" t="n"/>
      <c r="F159" s="24" t="n"/>
      <c r="G159" s="23" t="n"/>
      <c r="H159" s="23" t="n"/>
      <c r="I159" s="558" t="n"/>
      <c r="J159" s="558" t="n"/>
      <c r="K159" s="539" t="n"/>
      <c r="L159" s="539" t="n"/>
      <c r="M159" s="539" t="n"/>
      <c r="N159" s="539" t="n"/>
      <c r="O159" s="539" t="n"/>
      <c r="P159" s="539" t="n"/>
      <c r="Q159" s="539" t="n"/>
      <c r="R159" s="23" t="n"/>
      <c r="S159" s="539" t="n"/>
      <c r="T159" s="539" t="n"/>
      <c r="U159" s="27" t="n"/>
      <c r="V159" s="601"/>
      <c r="W159" s="602">
        <f>($V$5-J159)/365</f>
      </c>
      <c r="X159" s="127">
        <f>(V159-W159)/V159</f>
      </c>
      <c r="Y159" s="603" t="n"/>
      <c r="Z159" s="604">
        <f>Y159</f>
      </c>
      <c r="AA159" s="583" t="n"/>
      <c r="AB159" s="583" t="n"/>
      <c r="AC159" s="583">
        <f>Z159*0.13/(1+0.13)</f>
      </c>
      <c r="AD159" s="605">
        <f>Z159-AC159</f>
      </c>
      <c r="AE159" s="605">
        <f>Z159*H159</f>
      </c>
      <c r="AF159" s="583">
        <f>ROUND(AD159*H159,-2)</f>
      </c>
    </row>
    <row r="160" ht="15.5" customHeight="1">
      <c r="A160" s="23" t="n"/>
      <c r="B160" s="24" t="n"/>
      <c r="C160" s="24" t="n"/>
      <c r="D160" s="23" t="n"/>
      <c r="E160" s="24" t="n"/>
      <c r="F160" s="24" t="n"/>
      <c r="G160" s="23" t="n"/>
      <c r="H160" s="23" t="n"/>
      <c r="I160" s="558" t="n"/>
      <c r="J160" s="558" t="n"/>
      <c r="K160" s="539" t="n"/>
      <c r="L160" s="539" t="n"/>
      <c r="M160" s="539" t="n"/>
      <c r="N160" s="539" t="n"/>
      <c r="O160" s="539" t="n"/>
      <c r="P160" s="539" t="n"/>
      <c r="Q160" s="539" t="n"/>
      <c r="R160" s="23" t="n"/>
      <c r="S160" s="539" t="n"/>
      <c r="T160" s="539" t="n"/>
      <c r="U160" s="27" t="n"/>
      <c r="V160" s="601"/>
      <c r="W160" s="602">
        <f>($V$5-J160)/365</f>
      </c>
      <c r="X160" s="127">
        <f>(V160-W160)/V160</f>
      </c>
      <c r="Y160" s="603" t="n"/>
      <c r="Z160" s="604">
        <f>Y160</f>
      </c>
      <c r="AA160" s="583" t="n"/>
      <c r="AB160" s="583" t="n"/>
      <c r="AC160" s="583">
        <f>Z160*0.13/(1+0.13)</f>
      </c>
      <c r="AD160" s="605">
        <f>Z160-AC160</f>
      </c>
      <c r="AE160" s="605">
        <f>Z160*H160</f>
      </c>
      <c r="AF160" s="583">
        <f>ROUND(AD160*H160,-2)</f>
      </c>
    </row>
    <row r="161" ht="15.5" customHeight="1">
      <c r="A161" s="23" t="n"/>
      <c r="B161" s="24" t="n"/>
      <c r="C161" s="24" t="n"/>
      <c r="D161" s="23" t="n"/>
      <c r="E161" s="24" t="n"/>
      <c r="F161" s="24" t="n"/>
      <c r="G161" s="23" t="n"/>
      <c r="H161" s="23" t="n"/>
      <c r="I161" s="558" t="n"/>
      <c r="J161" s="558" t="n"/>
      <c r="K161" s="539" t="n"/>
      <c r="L161" s="539" t="n"/>
      <c r="M161" s="539" t="n"/>
      <c r="N161" s="539" t="n"/>
      <c r="O161" s="539" t="n"/>
      <c r="P161" s="539" t="n"/>
      <c r="Q161" s="539" t="n"/>
      <c r="R161" s="23" t="n"/>
      <c r="S161" s="539" t="n"/>
      <c r="T161" s="539" t="n"/>
      <c r="U161" s="27" t="n"/>
      <c r="V161" s="601"/>
      <c r="W161" s="602">
        <f>($V$5-J161)/365</f>
      </c>
      <c r="X161" s="127">
        <f>(V161-W161)/V161</f>
      </c>
      <c r="Y161" s="603" t="n"/>
      <c r="Z161" s="604">
        <f>Y161</f>
      </c>
      <c r="AA161" s="583" t="n"/>
      <c r="AB161" s="583" t="n"/>
      <c r="AC161" s="583">
        <f>Z161*0.13/(1+0.13)</f>
      </c>
      <c r="AD161" s="605">
        <f>Z161-AC161</f>
      </c>
      <c r="AE161" s="605">
        <f>Z161*H161</f>
      </c>
      <c r="AF161" s="583">
        <f>ROUND(AD161*H161,-2)</f>
      </c>
    </row>
    <row r="162" ht="15.5" customHeight="1">
      <c r="A162" s="23" t="n"/>
      <c r="B162" s="24" t="n"/>
      <c r="C162" s="24" t="n"/>
      <c r="D162" s="23" t="n"/>
      <c r="E162" s="24" t="n"/>
      <c r="F162" s="24" t="n"/>
      <c r="G162" s="23" t="n"/>
      <c r="H162" s="23" t="n"/>
      <c r="I162" s="558" t="n"/>
      <c r="J162" s="558" t="n"/>
      <c r="K162" s="539" t="n"/>
      <c r="L162" s="539" t="n"/>
      <c r="M162" s="539" t="n"/>
      <c r="N162" s="539" t="n"/>
      <c r="O162" s="539" t="n"/>
      <c r="P162" s="539" t="n"/>
      <c r="Q162" s="539" t="n"/>
      <c r="R162" s="23" t="n"/>
      <c r="S162" s="539" t="n"/>
      <c r="T162" s="539" t="n"/>
      <c r="U162" s="27" t="n"/>
      <c r="V162" s="601"/>
      <c r="W162" s="602">
        <f>($V$5-J162)/365</f>
      </c>
      <c r="X162" s="127">
        <f>(V162-W162)/V162</f>
      </c>
      <c r="Y162" s="603" t="n"/>
      <c r="Z162" s="604">
        <f>Y162</f>
      </c>
      <c r="AA162" s="583" t="n"/>
      <c r="AB162" s="583" t="n"/>
      <c r="AC162" s="583">
        <f>Z162*0.13/(1+0.13)</f>
      </c>
      <c r="AD162" s="605">
        <f>Z162-AC162</f>
      </c>
      <c r="AE162" s="605">
        <f>Z162*H162</f>
      </c>
      <c r="AF162" s="583">
        <f>ROUND(AD162*H162,-2)</f>
      </c>
    </row>
    <row r="163" ht="15.5" customHeight="1">
      <c r="A163" s="23" t="n"/>
      <c r="B163" s="24" t="n"/>
      <c r="C163" s="24" t="n"/>
      <c r="D163" s="23" t="n"/>
      <c r="E163" s="24" t="n"/>
      <c r="F163" s="24" t="n"/>
      <c r="G163" s="23" t="n"/>
      <c r="H163" s="23" t="n"/>
      <c r="I163" s="558" t="n"/>
      <c r="J163" s="558" t="n"/>
      <c r="K163" s="539" t="n"/>
      <c r="L163" s="539" t="n"/>
      <c r="M163" s="539" t="n"/>
      <c r="N163" s="539" t="n"/>
      <c r="O163" s="539" t="n"/>
      <c r="P163" s="539" t="n"/>
      <c r="Q163" s="539" t="n"/>
      <c r="R163" s="23" t="n"/>
      <c r="S163" s="539" t="n"/>
      <c r="T163" s="539" t="n"/>
      <c r="U163" s="27" t="n"/>
      <c r="V163" s="601"/>
      <c r="W163" s="602">
        <f>($V$5-J163)/365</f>
      </c>
      <c r="X163" s="127">
        <f>(V163-W163)/V163</f>
      </c>
      <c r="Y163" s="603" t="n"/>
      <c r="Z163" s="604">
        <f>Y163</f>
      </c>
      <c r="AA163" s="583" t="n"/>
      <c r="AB163" s="583" t="n"/>
      <c r="AC163" s="583">
        <f>Z163*0.13/(1+0.13)</f>
      </c>
      <c r="AD163" s="605">
        <f>Z163-AC163</f>
      </c>
      <c r="AE163" s="605">
        <f>Z163*H163</f>
      </c>
      <c r="AF163" s="583">
        <f>ROUND(AD163*H163,-2)</f>
      </c>
    </row>
    <row r="164" ht="15.5" customHeight="1">
      <c r="A164" s="23" t="n"/>
      <c r="B164" s="24" t="n"/>
      <c r="C164" s="24" t="n"/>
      <c r="D164" s="23" t="n"/>
      <c r="E164" s="24" t="n"/>
      <c r="F164" s="24" t="n"/>
      <c r="G164" s="23" t="n"/>
      <c r="H164" s="23" t="n"/>
      <c r="I164" s="558" t="n"/>
      <c r="J164" s="558" t="n"/>
      <c r="K164" s="539" t="n"/>
      <c r="L164" s="539" t="n"/>
      <c r="M164" s="539" t="n"/>
      <c r="N164" s="539" t="n"/>
      <c r="O164" s="539" t="n"/>
      <c r="P164" s="539" t="n"/>
      <c r="Q164" s="539" t="n"/>
      <c r="R164" s="23" t="n"/>
      <c r="S164" s="539" t="n"/>
      <c r="T164" s="539" t="n"/>
      <c r="U164" s="27" t="n"/>
      <c r="V164" s="601"/>
      <c r="W164" s="602">
        <f>($V$5-J164)/365</f>
      </c>
      <c r="X164" s="127">
        <f>(V164-W164)/V164</f>
      </c>
      <c r="Y164" s="603" t="n"/>
      <c r="Z164" s="604">
        <f>Y164</f>
      </c>
      <c r="AA164" s="583" t="n"/>
      <c r="AB164" s="583" t="n"/>
      <c r="AC164" s="583">
        <f>Z164*0.13/(1+0.13)</f>
      </c>
      <c r="AD164" s="605">
        <f>Z164-AC164</f>
      </c>
      <c r="AE164" s="605">
        <f>Z164*H164</f>
      </c>
      <c r="AF164" s="583">
        <f>ROUND(AD164*H164,-2)</f>
      </c>
    </row>
    <row r="165" ht="15.5" customHeight="1">
      <c r="A165" s="23" t="n"/>
      <c r="B165" s="24" t="n"/>
      <c r="C165" s="24" t="n"/>
      <c r="D165" s="23" t="n"/>
      <c r="E165" s="24" t="n"/>
      <c r="F165" s="24" t="n"/>
      <c r="G165" s="23" t="n"/>
      <c r="H165" s="23" t="n"/>
      <c r="I165" s="558" t="n"/>
      <c r="J165" s="558" t="n"/>
      <c r="K165" s="539" t="n"/>
      <c r="L165" s="539" t="n"/>
      <c r="M165" s="539" t="n"/>
      <c r="N165" s="539" t="n"/>
      <c r="O165" s="539" t="n"/>
      <c r="P165" s="539" t="n"/>
      <c r="Q165" s="539" t="n"/>
      <c r="R165" s="23" t="n"/>
      <c r="S165" s="539" t="n"/>
      <c r="T165" s="539" t="n"/>
      <c r="U165" s="27" t="n"/>
      <c r="V165" s="601"/>
      <c r="W165" s="602">
        <f>($V$5-J165)/365</f>
      </c>
      <c r="X165" s="127">
        <f>(V165-W165)/V165</f>
      </c>
      <c r="Y165" s="603" t="n"/>
      <c r="Z165" s="604">
        <f>Y165</f>
      </c>
      <c r="AA165" s="583" t="n"/>
      <c r="AB165" s="583" t="n"/>
      <c r="AC165" s="583">
        <f>Z165*0.13/(1+0.13)</f>
      </c>
      <c r="AD165" s="605">
        <f>Z165-AC165</f>
      </c>
      <c r="AE165" s="605">
        <f>Z165*H165</f>
      </c>
      <c r="AF165" s="583">
        <f>ROUND(AD165*H165,-2)</f>
      </c>
    </row>
    <row r="166" ht="15.5" customHeight="1">
      <c r="A166" s="23" t="n"/>
      <c r="B166" s="24" t="n"/>
      <c r="C166" s="24" t="n"/>
      <c r="D166" s="23" t="n"/>
      <c r="E166" s="24" t="n"/>
      <c r="F166" s="24" t="n"/>
      <c r="G166" s="23" t="n"/>
      <c r="H166" s="23" t="n"/>
      <c r="I166" s="558" t="n"/>
      <c r="J166" s="558" t="n"/>
      <c r="K166" s="539" t="n"/>
      <c r="L166" s="539" t="n"/>
      <c r="M166" s="539" t="n"/>
      <c r="N166" s="539" t="n"/>
      <c r="O166" s="539" t="n"/>
      <c r="P166" s="539" t="n"/>
      <c r="Q166" s="539" t="n"/>
      <c r="R166" s="23" t="n"/>
      <c r="S166" s="539" t="n"/>
      <c r="T166" s="539" t="n"/>
      <c r="U166" s="27" t="n"/>
      <c r="V166" s="601"/>
      <c r="W166" s="602">
        <f>($V$5-J166)/365</f>
      </c>
      <c r="X166" s="127">
        <f>(V166-W166)/V166</f>
      </c>
      <c r="Y166" s="603" t="n"/>
      <c r="Z166" s="604">
        <f>Y166</f>
      </c>
      <c r="AA166" s="583" t="n"/>
      <c r="AB166" s="583" t="n"/>
      <c r="AC166" s="583">
        <f>Z166*0.13/(1+0.13)</f>
      </c>
      <c r="AD166" s="605">
        <f>Z166-AC166</f>
      </c>
      <c r="AE166" s="605">
        <f>Z166*H166</f>
      </c>
      <c r="AF166" s="583">
        <f>ROUND(AD166*H166,-2)</f>
      </c>
    </row>
    <row r="167" ht="15.5" customHeight="1">
      <c r="A167" s="23" t="n"/>
      <c r="B167" s="24" t="n"/>
      <c r="C167" s="24" t="n"/>
      <c r="D167" s="23" t="n"/>
      <c r="E167" s="24" t="n"/>
      <c r="F167" s="24" t="n"/>
      <c r="G167" s="23" t="n"/>
      <c r="H167" s="23" t="n"/>
      <c r="I167" s="558" t="n"/>
      <c r="J167" s="558" t="n"/>
      <c r="K167" s="539" t="n"/>
      <c r="L167" s="539" t="n"/>
      <c r="M167" s="539" t="n"/>
      <c r="N167" s="539" t="n"/>
      <c r="O167" s="539" t="n"/>
      <c r="P167" s="539" t="n"/>
      <c r="Q167" s="539" t="n"/>
      <c r="R167" s="23" t="n"/>
      <c r="S167" s="539" t="n"/>
      <c r="T167" s="539" t="n"/>
      <c r="U167" s="27" t="n"/>
      <c r="V167" s="601"/>
      <c r="W167" s="602">
        <f>($V$5-J167)/365</f>
      </c>
      <c r="X167" s="127">
        <f>(V167-W167)/V167</f>
      </c>
      <c r="Y167" s="603" t="n"/>
      <c r="Z167" s="604">
        <f>Y167</f>
      </c>
      <c r="AA167" s="583" t="n"/>
      <c r="AB167" s="583" t="n"/>
      <c r="AC167" s="583">
        <f>Z167*0.13/(1+0.13)</f>
      </c>
      <c r="AD167" s="605">
        <f>Z167-AC167</f>
      </c>
      <c r="AE167" s="605">
        <f>Z167*H167</f>
      </c>
      <c r="AF167" s="583">
        <f>ROUND(AD167*H167,-2)</f>
      </c>
    </row>
    <row r="168" ht="15.5" customHeight="1">
      <c r="A168" s="23" t="n"/>
      <c r="B168" s="24" t="n"/>
      <c r="C168" s="24" t="n"/>
      <c r="D168" s="23" t="n"/>
      <c r="E168" s="24" t="n"/>
      <c r="F168" s="24" t="n"/>
      <c r="G168" s="23" t="n"/>
      <c r="H168" s="23" t="n"/>
      <c r="I168" s="558" t="n"/>
      <c r="J168" s="558" t="n"/>
      <c r="K168" s="539" t="n"/>
      <c r="L168" s="539" t="n"/>
      <c r="M168" s="539" t="n"/>
      <c r="N168" s="539" t="n"/>
      <c r="O168" s="539" t="n"/>
      <c r="P168" s="539" t="n"/>
      <c r="Q168" s="539" t="n"/>
      <c r="R168" s="23" t="n"/>
      <c r="S168" s="539" t="n"/>
      <c r="T168" s="539" t="n"/>
      <c r="U168" s="27" t="n"/>
      <c r="V168" s="601"/>
      <c r="W168" s="602">
        <f>($V$5-J168)/365</f>
      </c>
      <c r="X168" s="127">
        <f>(V168-W168)/V168</f>
      </c>
      <c r="Y168" s="603" t="n"/>
      <c r="Z168" s="604">
        <f>Y168</f>
      </c>
      <c r="AA168" s="583" t="n"/>
      <c r="AB168" s="583" t="n"/>
      <c r="AC168" s="583">
        <f>Z168*0.13/(1+0.13)</f>
      </c>
      <c r="AD168" s="605">
        <f>Z168-AC168</f>
      </c>
      <c r="AE168" s="605">
        <f>Z168*H168</f>
      </c>
      <c r="AF168" s="583">
        <f>ROUND(AD168*H168,-2)</f>
      </c>
    </row>
    <row r="169" ht="15.5" customHeight="1">
      <c r="A169" s="23" t="n"/>
      <c r="B169" s="24" t="n"/>
      <c r="C169" s="24" t="n"/>
      <c r="D169" s="23" t="n"/>
      <c r="E169" s="24" t="n"/>
      <c r="F169" s="24" t="n"/>
      <c r="G169" s="23" t="n"/>
      <c r="H169" s="23" t="n"/>
      <c r="I169" s="558" t="n"/>
      <c r="J169" s="558" t="n"/>
      <c r="K169" s="539" t="n"/>
      <c r="L169" s="539" t="n"/>
      <c r="M169" s="539" t="n"/>
      <c r="N169" s="539" t="n"/>
      <c r="O169" s="539" t="n"/>
      <c r="P169" s="539" t="n"/>
      <c r="Q169" s="539" t="n"/>
      <c r="R169" s="23" t="n"/>
      <c r="S169" s="539" t="n"/>
      <c r="T169" s="539" t="n"/>
      <c r="U169" s="27" t="n"/>
      <c r="V169" s="601"/>
      <c r="W169" s="602">
        <f>($V$5-J169)/365</f>
      </c>
      <c r="X169" s="127">
        <f>(V169-W169)/V169</f>
      </c>
      <c r="Y169" s="603" t="n"/>
      <c r="Z169" s="604">
        <f>Y169</f>
      </c>
      <c r="AA169" s="583" t="n"/>
      <c r="AB169" s="583" t="n"/>
      <c r="AC169" s="583">
        <f>Z169*0.13/(1+0.13)</f>
      </c>
      <c r="AD169" s="605">
        <f>Z169-AC169</f>
      </c>
      <c r="AE169" s="605">
        <f>Z169*H169</f>
      </c>
      <c r="AF169" s="583">
        <f>ROUND(AD169*H169,-2)</f>
      </c>
    </row>
    <row r="170" ht="15.5" customHeight="1">
      <c r="A170" s="23" t="n"/>
      <c r="B170" s="24" t="n"/>
      <c r="C170" s="24" t="n"/>
      <c r="D170" s="23" t="n"/>
      <c r="E170" s="24" t="n"/>
      <c r="F170" s="24" t="n"/>
      <c r="G170" s="23" t="n"/>
      <c r="H170" s="23" t="n"/>
      <c r="I170" s="558" t="n"/>
      <c r="J170" s="558" t="n"/>
      <c r="K170" s="539" t="n"/>
      <c r="L170" s="539" t="n"/>
      <c r="M170" s="539" t="n"/>
      <c r="N170" s="539" t="n"/>
      <c r="O170" s="539" t="n"/>
      <c r="P170" s="539" t="n"/>
      <c r="Q170" s="539" t="n"/>
      <c r="R170" s="23" t="n"/>
      <c r="S170" s="539" t="n"/>
      <c r="T170" s="539" t="n"/>
      <c r="U170" s="27" t="n"/>
      <c r="V170" s="601"/>
      <c r="W170" s="602">
        <f>($V$5-J170)/365</f>
      </c>
      <c r="X170" s="127">
        <f>(V170-W170)/V170</f>
      </c>
      <c r="Y170" s="603" t="n"/>
      <c r="Z170" s="604">
        <f>Y170</f>
      </c>
      <c r="AA170" s="583" t="n"/>
      <c r="AB170" s="583" t="n"/>
      <c r="AC170" s="583">
        <f>Z170*0.13/(1+0.13)</f>
      </c>
      <c r="AD170" s="605">
        <f>Z170-AC170</f>
      </c>
      <c r="AE170" s="605">
        <f>Z170*H170</f>
      </c>
      <c r="AF170" s="583">
        <f>ROUND(AD170*H170,-2)</f>
      </c>
    </row>
    <row r="171" ht="15.5" customHeight="1">
      <c r="A171" s="23" t="n"/>
      <c r="B171" s="24" t="n"/>
      <c r="C171" s="24" t="n"/>
      <c r="D171" s="23" t="n"/>
      <c r="E171" s="24" t="n"/>
      <c r="F171" s="24" t="n"/>
      <c r="G171" s="23" t="n"/>
      <c r="H171" s="23" t="n"/>
      <c r="I171" s="558" t="n"/>
      <c r="J171" s="558" t="n"/>
      <c r="K171" s="539" t="n"/>
      <c r="L171" s="539" t="n"/>
      <c r="M171" s="539" t="n"/>
      <c r="N171" s="539" t="n"/>
      <c r="O171" s="539" t="n"/>
      <c r="P171" s="539" t="n"/>
      <c r="Q171" s="539" t="n"/>
      <c r="R171" s="23" t="n"/>
      <c r="S171" s="539" t="n"/>
      <c r="T171" s="539" t="n"/>
      <c r="U171" s="27" t="n"/>
      <c r="V171" s="601"/>
      <c r="W171" s="602">
        <f>($V$5-J171)/365</f>
      </c>
      <c r="X171" s="127">
        <f>(V171-W171)/V171</f>
      </c>
      <c r="Y171" s="603" t="n"/>
      <c r="Z171" s="604">
        <f>Y171</f>
      </c>
      <c r="AA171" s="583" t="n"/>
      <c r="AB171" s="583" t="n"/>
      <c r="AC171" s="583">
        <f>Z171*0.13/(1+0.13)</f>
      </c>
      <c r="AD171" s="605">
        <f>Z171-AC171</f>
      </c>
      <c r="AE171" s="605">
        <f>Z171*H171</f>
      </c>
      <c r="AF171" s="583">
        <f>ROUND(AD171*H171,-2)</f>
      </c>
    </row>
    <row r="172" ht="15.5" customHeight="1">
      <c r="A172" s="23" t="n"/>
      <c r="B172" s="24" t="n"/>
      <c r="C172" s="24" t="n"/>
      <c r="D172" s="23" t="n"/>
      <c r="E172" s="24" t="n"/>
      <c r="F172" s="24" t="n"/>
      <c r="G172" s="23" t="n"/>
      <c r="H172" s="23" t="n"/>
      <c r="I172" s="558" t="n"/>
      <c r="J172" s="558" t="n"/>
      <c r="K172" s="539" t="n"/>
      <c r="L172" s="539" t="n"/>
      <c r="M172" s="539" t="n"/>
      <c r="N172" s="539" t="n"/>
      <c r="O172" s="539" t="n"/>
      <c r="P172" s="539" t="n"/>
      <c r="Q172" s="539" t="n"/>
      <c r="R172" s="23" t="n"/>
      <c r="S172" s="539" t="n"/>
      <c r="T172" s="539" t="n"/>
      <c r="U172" s="27" t="n"/>
      <c r="V172" s="601"/>
      <c r="W172" s="602">
        <f>($V$5-J172)/365</f>
      </c>
      <c r="X172" s="127">
        <f>(V172-W172)/V172</f>
      </c>
      <c r="Y172" s="603" t="n"/>
      <c r="Z172" s="604">
        <f>Y172</f>
      </c>
      <c r="AA172" s="583" t="n"/>
      <c r="AB172" s="583" t="n"/>
      <c r="AC172" s="583">
        <f>Z172*0.13/(1+0.13)</f>
      </c>
      <c r="AD172" s="605">
        <f>Z172-AC172</f>
      </c>
      <c r="AE172" s="605">
        <f>Z172*H172</f>
      </c>
      <c r="AF172" s="583">
        <f>ROUND(AD172*H172,-2)</f>
      </c>
    </row>
    <row r="173" ht="15.5" customHeight="1">
      <c r="A173" s="23" t="n"/>
      <c r="B173" s="24" t="n"/>
      <c r="C173" s="24" t="n"/>
      <c r="D173" s="23" t="n"/>
      <c r="E173" s="24" t="n"/>
      <c r="F173" s="24" t="n"/>
      <c r="G173" s="23" t="n"/>
      <c r="H173" s="23" t="n"/>
      <c r="I173" s="558" t="n"/>
      <c r="J173" s="558" t="n"/>
      <c r="K173" s="539" t="n"/>
      <c r="L173" s="539" t="n"/>
      <c r="M173" s="539" t="n"/>
      <c r="N173" s="539" t="n"/>
      <c r="O173" s="539" t="n"/>
      <c r="P173" s="539" t="n"/>
      <c r="Q173" s="539" t="n"/>
      <c r="R173" s="23" t="n"/>
      <c r="S173" s="539" t="n"/>
      <c r="T173" s="539" t="n"/>
      <c r="U173" s="27" t="n"/>
      <c r="V173" s="601"/>
      <c r="W173" s="602">
        <f>($V$5-J173)/365</f>
      </c>
      <c r="X173" s="127">
        <f>(V173-W173)/V173</f>
      </c>
      <c r="Y173" s="603" t="n"/>
      <c r="Z173" s="604">
        <f>Y173</f>
      </c>
      <c r="AA173" s="583" t="n"/>
      <c r="AB173" s="583" t="n"/>
      <c r="AC173" s="583">
        <f>Z173*0.13/(1+0.13)</f>
      </c>
      <c r="AD173" s="605">
        <f>Z173-AC173</f>
      </c>
      <c r="AE173" s="605">
        <f>Z173*H173</f>
      </c>
      <c r="AF173" s="583">
        <f>ROUND(AD173*H173,-2)</f>
      </c>
    </row>
    <row r="174" ht="15.5" customHeight="1">
      <c r="A174" s="23" t="n"/>
      <c r="B174" s="24" t="n"/>
      <c r="C174" s="24" t="n"/>
      <c r="D174" s="23" t="n"/>
      <c r="E174" s="24" t="n"/>
      <c r="F174" s="24" t="n"/>
      <c r="G174" s="23" t="n"/>
      <c r="H174" s="23" t="n"/>
      <c r="I174" s="558" t="n"/>
      <c r="J174" s="558" t="n"/>
      <c r="K174" s="539" t="n"/>
      <c r="L174" s="539" t="n"/>
      <c r="M174" s="539" t="n"/>
      <c r="N174" s="539" t="n"/>
      <c r="O174" s="539" t="n"/>
      <c r="P174" s="539" t="n"/>
      <c r="Q174" s="539" t="n"/>
      <c r="R174" s="23" t="n"/>
      <c r="S174" s="539" t="n"/>
      <c r="T174" s="539" t="n"/>
      <c r="U174" s="27" t="n"/>
      <c r="V174" s="601"/>
      <c r="W174" s="602">
        <f>($V$5-J174)/365</f>
      </c>
      <c r="X174" s="127">
        <f>(V174-W174)/V174</f>
      </c>
      <c r="Y174" s="603" t="n"/>
      <c r="Z174" s="604">
        <f>Y174</f>
      </c>
      <c r="AA174" s="583" t="n"/>
      <c r="AB174" s="583" t="n"/>
      <c r="AC174" s="583">
        <f>Z174*0.13/(1+0.13)</f>
      </c>
      <c r="AD174" s="605">
        <f>Z174-AC174</f>
      </c>
      <c r="AE174" s="605">
        <f>Z174*H174</f>
      </c>
      <c r="AF174" s="583">
        <f>ROUND(AD174*H174,-2)</f>
      </c>
    </row>
    <row r="175" ht="15.5" customHeight="1">
      <c r="A175" s="23" t="n"/>
      <c r="B175" s="24" t="n"/>
      <c r="C175" s="24" t="n"/>
      <c r="D175" s="23" t="n"/>
      <c r="E175" s="24" t="n"/>
      <c r="F175" s="24" t="n"/>
      <c r="G175" s="23" t="n"/>
      <c r="H175" s="23" t="n"/>
      <c r="I175" s="558" t="n"/>
      <c r="J175" s="558" t="n"/>
      <c r="K175" s="539" t="n"/>
      <c r="L175" s="539" t="n"/>
      <c r="M175" s="539" t="n"/>
      <c r="N175" s="539" t="n"/>
      <c r="O175" s="539" t="n"/>
      <c r="P175" s="539" t="n"/>
      <c r="Q175" s="539" t="n"/>
      <c r="R175" s="23" t="n"/>
      <c r="S175" s="539" t="n"/>
      <c r="T175" s="539" t="n"/>
      <c r="U175" s="27" t="n"/>
      <c r="V175" s="601"/>
      <c r="W175" s="602">
        <f>($V$5-J175)/365</f>
      </c>
      <c r="X175" s="127">
        <f>(V175-W175)/V175</f>
      </c>
      <c r="Y175" s="603" t="n"/>
      <c r="Z175" s="604">
        <f>Y175</f>
      </c>
      <c r="AA175" s="583" t="n"/>
      <c r="AB175" s="583" t="n"/>
      <c r="AC175" s="583">
        <f>Z175*0.13/(1+0.13)</f>
      </c>
      <c r="AD175" s="605">
        <f>Z175-AC175</f>
      </c>
      <c r="AE175" s="605">
        <f>Z175*H175</f>
      </c>
      <c r="AF175" s="583">
        <f>ROUND(AD175*H175,-2)</f>
      </c>
    </row>
    <row r="176" ht="15.5" customHeight="1">
      <c r="A176" s="23" t="n"/>
      <c r="B176" s="24" t="n"/>
      <c r="C176" s="24" t="n"/>
      <c r="D176" s="23" t="n"/>
      <c r="E176" s="24" t="n"/>
      <c r="F176" s="24" t="n"/>
      <c r="G176" s="23" t="n"/>
      <c r="H176" s="23" t="n"/>
      <c r="I176" s="558" t="n"/>
      <c r="J176" s="558" t="n"/>
      <c r="K176" s="539" t="n"/>
      <c r="L176" s="539" t="n"/>
      <c r="M176" s="539" t="n"/>
      <c r="N176" s="539" t="n"/>
      <c r="O176" s="539" t="n"/>
      <c r="P176" s="539" t="n"/>
      <c r="Q176" s="539" t="n"/>
      <c r="R176" s="23" t="n"/>
      <c r="S176" s="539" t="n"/>
      <c r="T176" s="539" t="n"/>
      <c r="U176" s="27" t="n"/>
      <c r="V176" s="601"/>
      <c r="W176" s="602">
        <f>($V$5-J176)/365</f>
      </c>
      <c r="X176" s="127">
        <f>(V176-W176)/V176</f>
      </c>
      <c r="Y176" s="603" t="n"/>
      <c r="Z176" s="604">
        <f>Y176</f>
      </c>
      <c r="AA176" s="583" t="n"/>
      <c r="AB176" s="583" t="n"/>
      <c r="AC176" s="583">
        <f>Z176*0.13/(1+0.13)</f>
      </c>
      <c r="AD176" s="605">
        <f>Z176-AC176</f>
      </c>
      <c r="AE176" s="605">
        <f>Z176*H176</f>
      </c>
      <c r="AF176" s="583">
        <f>ROUND(AD176*H176,-2)</f>
      </c>
    </row>
    <row r="177" ht="15.5" customHeight="1">
      <c r="A177" s="23" t="n"/>
      <c r="B177" s="24" t="n"/>
      <c r="C177" s="24" t="n"/>
      <c r="D177" s="23" t="n"/>
      <c r="E177" s="24" t="n"/>
      <c r="F177" s="24" t="n"/>
      <c r="G177" s="23" t="n"/>
      <c r="H177" s="23" t="n"/>
      <c r="I177" s="558" t="n"/>
      <c r="J177" s="558" t="n"/>
      <c r="K177" s="539" t="n"/>
      <c r="L177" s="539" t="n"/>
      <c r="M177" s="539" t="n"/>
      <c r="N177" s="539" t="n"/>
      <c r="O177" s="539" t="n"/>
      <c r="P177" s="539" t="n"/>
      <c r="Q177" s="539" t="n"/>
      <c r="R177" s="23" t="n"/>
      <c r="S177" s="539" t="n"/>
      <c r="T177" s="539" t="n"/>
      <c r="U177" s="27" t="n"/>
      <c r="V177" s="601"/>
      <c r="W177" s="602">
        <f>($V$5-J177)/365</f>
      </c>
      <c r="X177" s="127">
        <f>(V177-W177)/V177</f>
      </c>
      <c r="Y177" s="603" t="n"/>
      <c r="Z177" s="604">
        <f>Y177</f>
      </c>
      <c r="AA177" s="583" t="n"/>
      <c r="AB177" s="583" t="n"/>
      <c r="AC177" s="583">
        <f>Z177*0.13/(1+0.13)</f>
      </c>
      <c r="AD177" s="605">
        <f>Z177-AC177</f>
      </c>
      <c r="AE177" s="605">
        <f>Z177*H177</f>
      </c>
      <c r="AF177" s="583">
        <f>ROUND(AD177*H177,-2)</f>
      </c>
    </row>
    <row r="178" ht="15.5" customHeight="1">
      <c r="A178" s="23" t="n"/>
      <c r="B178" s="24" t="n"/>
      <c r="C178" s="24" t="n"/>
      <c r="D178" s="23" t="n"/>
      <c r="E178" s="24" t="n"/>
      <c r="F178" s="24" t="n"/>
      <c r="G178" s="23" t="n"/>
      <c r="H178" s="23" t="n"/>
      <c r="I178" s="558" t="n"/>
      <c r="J178" s="558" t="n"/>
      <c r="K178" s="539" t="n"/>
      <c r="L178" s="539" t="n"/>
      <c r="M178" s="539" t="n"/>
      <c r="N178" s="539" t="n"/>
      <c r="O178" s="539" t="n"/>
      <c r="P178" s="539" t="n"/>
      <c r="Q178" s="539" t="n"/>
      <c r="R178" s="23" t="n"/>
      <c r="S178" s="539" t="n"/>
      <c r="T178" s="539" t="n"/>
      <c r="U178" s="27" t="n"/>
      <c r="V178" s="601"/>
      <c r="W178" s="602">
        <f>($V$5-J178)/365</f>
      </c>
      <c r="X178" s="127">
        <f>(V178-W178)/V178</f>
      </c>
      <c r="Y178" s="603" t="n"/>
      <c r="Z178" s="604">
        <f>Y178</f>
      </c>
      <c r="AA178" s="583" t="n"/>
      <c r="AB178" s="583" t="n"/>
      <c r="AC178" s="583">
        <f>Z178*0.13/(1+0.13)</f>
      </c>
      <c r="AD178" s="605">
        <f>Z178-AC178</f>
      </c>
      <c r="AE178" s="605">
        <f>Z178*H178</f>
      </c>
      <c r="AF178" s="583">
        <f>ROUND(AD178*H178,-2)</f>
      </c>
    </row>
    <row r="179" ht="15.5" customHeight="1">
      <c r="A179" s="23" t="n"/>
      <c r="B179" s="24" t="n"/>
      <c r="C179" s="24" t="n"/>
      <c r="D179" s="23" t="n"/>
      <c r="E179" s="24" t="n"/>
      <c r="F179" s="24" t="n"/>
      <c r="G179" s="23" t="n"/>
      <c r="H179" s="23" t="n"/>
      <c r="I179" s="558" t="n"/>
      <c r="J179" s="558" t="n"/>
      <c r="K179" s="539" t="n"/>
      <c r="L179" s="539" t="n"/>
      <c r="M179" s="539" t="n"/>
      <c r="N179" s="539" t="n"/>
      <c r="O179" s="539" t="n"/>
      <c r="P179" s="539" t="n"/>
      <c r="Q179" s="539" t="n"/>
      <c r="R179" s="23" t="n"/>
      <c r="S179" s="539" t="n"/>
      <c r="T179" s="539" t="n"/>
      <c r="U179" s="27" t="n"/>
      <c r="V179" s="601"/>
      <c r="W179" s="602">
        <f>($V$5-J179)/365</f>
      </c>
      <c r="X179" s="127">
        <f>(V179-W179)/V179</f>
      </c>
      <c r="Y179" s="603" t="n"/>
      <c r="Z179" s="604">
        <f>Y179</f>
      </c>
      <c r="AA179" s="583" t="n"/>
      <c r="AB179" s="583" t="n"/>
      <c r="AC179" s="583">
        <f>Z179*0.13/(1+0.13)</f>
      </c>
      <c r="AD179" s="605">
        <f>Z179-AC179</f>
      </c>
      <c r="AE179" s="605">
        <f>Z179*H179</f>
      </c>
      <c r="AF179" s="583">
        <f>ROUND(AD179*H179,-2)</f>
      </c>
    </row>
    <row r="180" ht="15.5" customHeight="1">
      <c r="A180" s="23" t="n"/>
      <c r="B180" s="24" t="n"/>
      <c r="C180" s="24" t="n"/>
      <c r="D180" s="23" t="n"/>
      <c r="E180" s="24" t="n"/>
      <c r="F180" s="24" t="n"/>
      <c r="G180" s="23" t="n"/>
      <c r="H180" s="23" t="n"/>
      <c r="I180" s="558" t="n"/>
      <c r="J180" s="558" t="n"/>
      <c r="K180" s="539" t="n"/>
      <c r="L180" s="539" t="n"/>
      <c r="M180" s="539" t="n"/>
      <c r="N180" s="539" t="n"/>
      <c r="O180" s="539" t="n"/>
      <c r="P180" s="539" t="n"/>
      <c r="Q180" s="539" t="n"/>
      <c r="R180" s="23" t="n"/>
      <c r="S180" s="539" t="n"/>
      <c r="T180" s="539" t="n"/>
      <c r="U180" s="27" t="n"/>
      <c r="V180" s="601"/>
      <c r="W180" s="602">
        <f>($V$5-J180)/365</f>
      </c>
      <c r="X180" s="127">
        <f>(V180-W180)/V180</f>
      </c>
      <c r="Y180" s="603" t="n"/>
      <c r="Z180" s="604">
        <f>Y180</f>
      </c>
      <c r="AA180" s="583" t="n"/>
      <c r="AB180" s="583" t="n"/>
      <c r="AC180" s="583">
        <f>Z180*0.13/(1+0.13)</f>
      </c>
      <c r="AD180" s="605">
        <f>Z180-AC180</f>
      </c>
      <c r="AE180" s="605">
        <f>Z180*H180</f>
      </c>
      <c r="AF180" s="583">
        <f>ROUND(AD180*H180,-2)</f>
      </c>
    </row>
    <row r="181" ht="15.5" customHeight="1">
      <c r="A181" s="23" t="n"/>
      <c r="B181" s="24" t="n"/>
      <c r="C181" s="24" t="n"/>
      <c r="D181" s="23" t="n"/>
      <c r="E181" s="24" t="n"/>
      <c r="F181" s="24" t="n"/>
      <c r="G181" s="23" t="n"/>
      <c r="H181" s="23" t="n"/>
      <c r="I181" s="558" t="n"/>
      <c r="J181" s="558" t="n"/>
      <c r="K181" s="539" t="n"/>
      <c r="L181" s="539" t="n"/>
      <c r="M181" s="539" t="n"/>
      <c r="N181" s="539" t="n"/>
      <c r="O181" s="539" t="n"/>
      <c r="P181" s="539" t="n"/>
      <c r="Q181" s="539" t="n"/>
      <c r="R181" s="23" t="n"/>
      <c r="S181" s="539" t="n"/>
      <c r="T181" s="539" t="n"/>
      <c r="U181" s="27" t="n"/>
      <c r="V181" s="601"/>
      <c r="W181" s="602">
        <f>($V$5-J181)/365</f>
      </c>
      <c r="X181" s="127">
        <f>(V181-W181)/V181</f>
      </c>
      <c r="Y181" s="603" t="n"/>
      <c r="Z181" s="604">
        <f>Y181</f>
      </c>
      <c r="AA181" s="583" t="n"/>
      <c r="AB181" s="583" t="n"/>
      <c r="AC181" s="583">
        <f>Z181*0.13/(1+0.13)</f>
      </c>
      <c r="AD181" s="605">
        <f>Z181-AC181</f>
      </c>
      <c r="AE181" s="605">
        <f>Z181*H181</f>
      </c>
      <c r="AF181" s="583">
        <f>ROUND(AD181*H181,-2)</f>
      </c>
    </row>
    <row r="182" ht="15.5" customHeight="1">
      <c r="A182" s="23" t="n"/>
      <c r="B182" s="24" t="n"/>
      <c r="C182" s="24" t="n"/>
      <c r="D182" s="23" t="n"/>
      <c r="E182" s="24" t="n"/>
      <c r="F182" s="24" t="n"/>
      <c r="G182" s="23" t="n"/>
      <c r="H182" s="23" t="n"/>
      <c r="I182" s="558" t="n"/>
      <c r="J182" s="558" t="n"/>
      <c r="K182" s="539" t="n"/>
      <c r="L182" s="539" t="n"/>
      <c r="M182" s="539" t="n"/>
      <c r="N182" s="539" t="n"/>
      <c r="O182" s="539" t="n"/>
      <c r="P182" s="539" t="n"/>
      <c r="Q182" s="539" t="n"/>
      <c r="R182" s="23" t="n"/>
      <c r="S182" s="539" t="n"/>
      <c r="T182" s="539" t="n"/>
      <c r="U182" s="27" t="n"/>
      <c r="V182" s="601"/>
      <c r="W182" s="602">
        <f>($V$5-J182)/365</f>
      </c>
      <c r="X182" s="127">
        <f>(V182-W182)/V182</f>
      </c>
      <c r="Y182" s="603" t="n"/>
      <c r="Z182" s="604">
        <f>Y182</f>
      </c>
      <c r="AA182" s="583" t="n"/>
      <c r="AB182" s="583" t="n"/>
      <c r="AC182" s="583">
        <f>Z182*0.13/(1+0.13)</f>
      </c>
      <c r="AD182" s="605">
        <f>Z182-AC182</f>
      </c>
      <c r="AE182" s="605">
        <f>Z182*H182</f>
      </c>
      <c r="AF182" s="583">
        <f>ROUND(AD182*H182,-2)</f>
      </c>
    </row>
    <row r="183" ht="15.5" customHeight="1">
      <c r="A183" s="23" t="n"/>
      <c r="B183" s="24" t="n"/>
      <c r="C183" s="24" t="n"/>
      <c r="D183" s="23" t="n"/>
      <c r="E183" s="24" t="n"/>
      <c r="F183" s="24" t="n"/>
      <c r="G183" s="23" t="n"/>
      <c r="H183" s="23" t="n"/>
      <c r="I183" s="558" t="n"/>
      <c r="J183" s="558" t="n"/>
      <c r="K183" s="539" t="n"/>
      <c r="L183" s="539" t="n"/>
      <c r="M183" s="539" t="n"/>
      <c r="N183" s="539" t="n"/>
      <c r="O183" s="539" t="n"/>
      <c r="P183" s="539" t="n"/>
      <c r="Q183" s="539" t="n"/>
      <c r="R183" s="23" t="n"/>
      <c r="S183" s="539" t="n"/>
      <c r="T183" s="539" t="n"/>
      <c r="U183" s="27" t="n"/>
      <c r="V183" s="601"/>
      <c r="W183" s="602">
        <f>($V$5-J183)/365</f>
      </c>
      <c r="X183" s="127">
        <f>(V183-W183)/V183</f>
      </c>
      <c r="Y183" s="603" t="n"/>
      <c r="Z183" s="604">
        <f>Y183</f>
      </c>
      <c r="AA183" s="583" t="n"/>
      <c r="AB183" s="583" t="n"/>
      <c r="AC183" s="583">
        <f>Z183*0.13/(1+0.13)</f>
      </c>
      <c r="AD183" s="605">
        <f>Z183-AC183</f>
      </c>
      <c r="AE183" s="605">
        <f>Z183*H183</f>
      </c>
      <c r="AF183" s="583">
        <f>ROUND(AD183*H183,-2)</f>
      </c>
    </row>
    <row r="184" ht="15.5" customHeight="1">
      <c r="A184" s="23" t="n"/>
      <c r="B184" s="24" t="n"/>
      <c r="C184" s="24" t="n"/>
      <c r="D184" s="23" t="n"/>
      <c r="E184" s="24" t="n"/>
      <c r="F184" s="24" t="n"/>
      <c r="G184" s="23" t="n"/>
      <c r="H184" s="23" t="n"/>
      <c r="I184" s="558" t="n"/>
      <c r="J184" s="558" t="n"/>
      <c r="K184" s="539" t="n"/>
      <c r="L184" s="539" t="n"/>
      <c r="M184" s="539" t="n"/>
      <c r="N184" s="539" t="n"/>
      <c r="O184" s="539" t="n"/>
      <c r="P184" s="539" t="n"/>
      <c r="Q184" s="539" t="n"/>
      <c r="R184" s="23" t="n"/>
      <c r="S184" s="539" t="n"/>
      <c r="T184" s="539" t="n"/>
      <c r="U184" s="27" t="n"/>
      <c r="V184" s="601"/>
      <c r="W184" s="602">
        <f>($V$5-J184)/365</f>
      </c>
      <c r="X184" s="127">
        <f>(V184-W184)/V184</f>
      </c>
      <c r="Y184" s="603" t="n"/>
      <c r="Z184" s="604">
        <f>Y184</f>
      </c>
      <c r="AA184" s="583" t="n"/>
      <c r="AB184" s="583" t="n"/>
      <c r="AC184" s="583">
        <f>Z184*0.13/(1+0.13)</f>
      </c>
      <c r="AD184" s="605">
        <f>Z184-AC184</f>
      </c>
      <c r="AE184" s="605">
        <f>Z184*H184</f>
      </c>
      <c r="AF184" s="583">
        <f>ROUND(AD184*H184,-2)</f>
      </c>
    </row>
    <row r="185" ht="15.5" customHeight="1">
      <c r="A185" s="23" t="n"/>
      <c r="B185" s="24" t="n"/>
      <c r="C185" s="24" t="n"/>
      <c r="D185" s="23" t="n"/>
      <c r="E185" s="24" t="n"/>
      <c r="F185" s="24" t="n"/>
      <c r="G185" s="23" t="n"/>
      <c r="H185" s="23" t="n"/>
      <c r="I185" s="558" t="n"/>
      <c r="J185" s="558" t="n"/>
      <c r="K185" s="539" t="n"/>
      <c r="L185" s="539" t="n"/>
      <c r="M185" s="539" t="n"/>
      <c r="N185" s="539" t="n"/>
      <c r="O185" s="539" t="n"/>
      <c r="P185" s="539" t="n"/>
      <c r="Q185" s="539" t="n"/>
      <c r="R185" s="23" t="n"/>
      <c r="S185" s="539" t="n"/>
      <c r="T185" s="539" t="n"/>
      <c r="U185" s="27" t="n"/>
      <c r="V185" s="601"/>
      <c r="W185" s="602">
        <f>($V$5-J185)/365</f>
      </c>
      <c r="X185" s="127">
        <f>(V185-W185)/V185</f>
      </c>
      <c r="Y185" s="603" t="n"/>
      <c r="Z185" s="604">
        <f>Y185</f>
      </c>
      <c r="AA185" s="583" t="n"/>
      <c r="AB185" s="583" t="n"/>
      <c r="AC185" s="583">
        <f>Z185*0.13/(1+0.13)</f>
      </c>
      <c r="AD185" s="605">
        <f>Z185-AC185</f>
      </c>
      <c r="AE185" s="605">
        <f>Z185*H185</f>
      </c>
      <c r="AF185" s="583">
        <f>ROUND(AD185*H185,-2)</f>
      </c>
    </row>
    <row r="186" ht="15.5" customHeight="1">
      <c r="A186" s="23" t="n"/>
      <c r="B186" s="24" t="n"/>
      <c r="C186" s="24" t="n"/>
      <c r="D186" s="23" t="n"/>
      <c r="E186" s="24" t="n"/>
      <c r="F186" s="24" t="n"/>
      <c r="G186" s="23" t="n"/>
      <c r="H186" s="23" t="n"/>
      <c r="I186" s="558" t="n"/>
      <c r="J186" s="558" t="n"/>
      <c r="K186" s="539" t="n"/>
      <c r="L186" s="539" t="n"/>
      <c r="M186" s="539" t="n"/>
      <c r="N186" s="539" t="n"/>
      <c r="O186" s="539" t="n"/>
      <c r="P186" s="539" t="n"/>
      <c r="Q186" s="539" t="n"/>
      <c r="R186" s="23" t="n"/>
      <c r="S186" s="539" t="n"/>
      <c r="T186" s="539" t="n"/>
      <c r="U186" s="27" t="n"/>
      <c r="V186" s="601"/>
      <c r="W186" s="602">
        <f>($V$5-J186)/365</f>
      </c>
      <c r="X186" s="127">
        <f>(V186-W186)/V186</f>
      </c>
      <c r="Y186" s="603" t="n"/>
      <c r="Z186" s="604">
        <f>Y186</f>
      </c>
      <c r="AA186" s="583" t="n"/>
      <c r="AB186" s="583" t="n"/>
      <c r="AC186" s="583">
        <f>Z186*0.13/(1+0.13)</f>
      </c>
      <c r="AD186" s="605">
        <f>Z186-AC186</f>
      </c>
      <c r="AE186" s="605">
        <f>Z186*H186</f>
      </c>
      <c r="AF186" s="583">
        <f>ROUND(AD186*H186,-2)</f>
      </c>
    </row>
    <row r="187" ht="15.5" customHeight="1">
      <c r="A187" s="23" t="n"/>
      <c r="B187" s="24" t="n"/>
      <c r="C187" s="24" t="n"/>
      <c r="D187" s="23" t="n"/>
      <c r="E187" s="24" t="n"/>
      <c r="F187" s="24" t="n"/>
      <c r="G187" s="23" t="n"/>
      <c r="H187" s="23" t="n"/>
      <c r="I187" s="558" t="n"/>
      <c r="J187" s="558" t="n"/>
      <c r="K187" s="539" t="n"/>
      <c r="L187" s="539" t="n"/>
      <c r="M187" s="539" t="n"/>
      <c r="N187" s="539" t="n"/>
      <c r="O187" s="539" t="n"/>
      <c r="P187" s="539" t="n"/>
      <c r="Q187" s="539" t="n"/>
      <c r="R187" s="23" t="n"/>
      <c r="S187" s="539" t="n"/>
      <c r="T187" s="539" t="n"/>
      <c r="U187" s="27" t="n"/>
      <c r="V187" s="601"/>
      <c r="W187" s="602">
        <f>($V$5-J187)/365</f>
      </c>
      <c r="X187" s="127">
        <f>(V187-W187)/V187</f>
      </c>
      <c r="Y187" s="603" t="n"/>
      <c r="Z187" s="604">
        <f>Y187</f>
      </c>
      <c r="AA187" s="583" t="n"/>
      <c r="AB187" s="583" t="n"/>
      <c r="AC187" s="583">
        <f>Z187*0.13/(1+0.13)</f>
      </c>
      <c r="AD187" s="605">
        <f>Z187-AC187</f>
      </c>
      <c r="AE187" s="605">
        <f>Z187*H187</f>
      </c>
      <c r="AF187" s="583">
        <f>ROUND(AD187*H187,-2)</f>
      </c>
    </row>
    <row r="188" ht="15.5" customHeight="1">
      <c r="A188" s="23" t="n"/>
      <c r="B188" s="24" t="n"/>
      <c r="C188" s="24" t="n"/>
      <c r="D188" s="23" t="n"/>
      <c r="E188" s="24" t="n"/>
      <c r="F188" s="24" t="n"/>
      <c r="G188" s="23" t="n"/>
      <c r="H188" s="23" t="n"/>
      <c r="I188" s="558" t="n"/>
      <c r="J188" s="558" t="n"/>
      <c r="K188" s="539" t="n"/>
      <c r="L188" s="539" t="n"/>
      <c r="M188" s="539" t="n"/>
      <c r="N188" s="539" t="n"/>
      <c r="O188" s="539" t="n"/>
      <c r="P188" s="539" t="n"/>
      <c r="Q188" s="539" t="n"/>
      <c r="R188" s="23" t="n"/>
      <c r="S188" s="539" t="n"/>
      <c r="T188" s="539" t="n"/>
      <c r="U188" s="27" t="n"/>
      <c r="V188" s="601"/>
      <c r="W188" s="602">
        <f>($V$5-J188)/365</f>
      </c>
      <c r="X188" s="127">
        <f>(V188-W188)/V188</f>
      </c>
      <c r="Y188" s="603" t="n"/>
      <c r="Z188" s="604">
        <f>Y188</f>
      </c>
      <c r="AA188" s="583" t="n"/>
      <c r="AB188" s="583" t="n"/>
      <c r="AC188" s="583">
        <f>Z188*0.13/(1+0.13)</f>
      </c>
      <c r="AD188" s="605">
        <f>Z188-AC188</f>
      </c>
      <c r="AE188" s="605">
        <f>Z188*H188</f>
      </c>
      <c r="AF188" s="583">
        <f>ROUND(AD188*H188,-2)</f>
      </c>
    </row>
    <row r="189" ht="15.5" customHeight="1">
      <c r="A189" s="23" t="n"/>
      <c r="B189" s="24" t="n"/>
      <c r="C189" s="24" t="n"/>
      <c r="D189" s="23" t="n"/>
      <c r="E189" s="24" t="n"/>
      <c r="F189" s="24" t="n"/>
      <c r="G189" s="23" t="n"/>
      <c r="H189" s="23" t="n"/>
      <c r="I189" s="558" t="n"/>
      <c r="J189" s="558" t="n"/>
      <c r="K189" s="539" t="n"/>
      <c r="L189" s="539" t="n"/>
      <c r="M189" s="539" t="n"/>
      <c r="N189" s="539" t="n"/>
      <c r="O189" s="539" t="n"/>
      <c r="P189" s="539" t="n"/>
      <c r="Q189" s="539" t="n"/>
      <c r="R189" s="23" t="n"/>
      <c r="S189" s="539" t="n"/>
      <c r="T189" s="539" t="n"/>
      <c r="U189" s="27" t="n"/>
      <c r="V189" s="601"/>
      <c r="W189" s="602">
        <f>($V$5-J189)/365</f>
      </c>
      <c r="X189" s="127">
        <f>(V189-W189)/V189</f>
      </c>
      <c r="Y189" s="603" t="n"/>
      <c r="Z189" s="604">
        <f>Y189</f>
      </c>
      <c r="AA189" s="583" t="n"/>
      <c r="AB189" s="583" t="n"/>
      <c r="AC189" s="583">
        <f>Z189*0.13/(1+0.13)</f>
      </c>
      <c r="AD189" s="605">
        <f>Z189-AC189</f>
      </c>
      <c r="AE189" s="605">
        <f>Z189*H189</f>
      </c>
      <c r="AF189" s="583">
        <f>ROUND(AD189*H189,-2)</f>
      </c>
    </row>
    <row r="190" ht="15.5" customHeight="1">
      <c r="A190" s="23" t="n"/>
      <c r="B190" s="24" t="n"/>
      <c r="C190" s="24" t="n"/>
      <c r="D190" s="23" t="n"/>
      <c r="E190" s="24" t="n"/>
      <c r="F190" s="24" t="n"/>
      <c r="G190" s="23" t="n"/>
      <c r="H190" s="23" t="n"/>
      <c r="I190" s="558" t="n"/>
      <c r="J190" s="558" t="n"/>
      <c r="K190" s="539" t="n"/>
      <c r="L190" s="539" t="n"/>
      <c r="M190" s="539" t="n"/>
      <c r="N190" s="539" t="n"/>
      <c r="O190" s="539" t="n"/>
      <c r="P190" s="539" t="n"/>
      <c r="Q190" s="539" t="n"/>
      <c r="R190" s="23" t="n"/>
      <c r="S190" s="539" t="n"/>
      <c r="T190" s="539" t="n"/>
      <c r="U190" s="27" t="n"/>
      <c r="V190" s="601"/>
      <c r="W190" s="602">
        <f>($V$5-J190)/365</f>
      </c>
      <c r="X190" s="127">
        <f>(V190-W190)/V190</f>
      </c>
      <c r="Y190" s="603" t="n"/>
      <c r="Z190" s="604">
        <f>Y190</f>
      </c>
      <c r="AA190" s="583" t="n"/>
      <c r="AB190" s="583" t="n"/>
      <c r="AC190" s="583">
        <f>Z190*0.13/(1+0.13)</f>
      </c>
      <c r="AD190" s="605">
        <f>Z190-AC190</f>
      </c>
      <c r="AE190" s="605">
        <f>Z190*H190</f>
      </c>
      <c r="AF190" s="583">
        <f>ROUND(AD190*H190,-2)</f>
      </c>
    </row>
    <row r="191" ht="15.5" customHeight="1">
      <c r="A191" s="23" t="n"/>
      <c r="B191" s="24" t="n"/>
      <c r="C191" s="24" t="n"/>
      <c r="D191" s="23" t="n"/>
      <c r="E191" s="24" t="n"/>
      <c r="F191" s="24" t="n"/>
      <c r="G191" s="23" t="n"/>
      <c r="H191" s="23" t="n"/>
      <c r="I191" s="558" t="n"/>
      <c r="J191" s="558" t="n"/>
      <c r="K191" s="539" t="n"/>
      <c r="L191" s="539" t="n"/>
      <c r="M191" s="539" t="n"/>
      <c r="N191" s="539" t="n"/>
      <c r="O191" s="539" t="n"/>
      <c r="P191" s="539" t="n"/>
      <c r="Q191" s="539" t="n"/>
      <c r="R191" s="23" t="n"/>
      <c r="S191" s="539" t="n"/>
      <c r="T191" s="539" t="n"/>
      <c r="U191" s="27" t="n"/>
      <c r="V191" s="601"/>
      <c r="W191" s="602">
        <f>($V$5-J191)/365</f>
      </c>
      <c r="X191" s="127">
        <f>(V191-W191)/V191</f>
      </c>
      <c r="Y191" s="603" t="n"/>
      <c r="Z191" s="604">
        <f>Y191</f>
      </c>
      <c r="AA191" s="583" t="n"/>
      <c r="AB191" s="583" t="n"/>
      <c r="AC191" s="583">
        <f>Z191*0.13/(1+0.13)</f>
      </c>
      <c r="AD191" s="605">
        <f>Z191-AC191</f>
      </c>
      <c r="AE191" s="605">
        <f>Z191*H191</f>
      </c>
      <c r="AF191" s="583">
        <f>ROUND(AD191*H191,-2)</f>
      </c>
    </row>
    <row r="192" ht="15.5" customHeight="1">
      <c r="A192" s="23" t="n"/>
      <c r="B192" s="24" t="n"/>
      <c r="C192" s="24" t="n"/>
      <c r="D192" s="23" t="n"/>
      <c r="E192" s="24" t="n"/>
      <c r="F192" s="24" t="n"/>
      <c r="G192" s="23" t="n"/>
      <c r="H192" s="23" t="n"/>
      <c r="I192" s="558" t="n"/>
      <c r="J192" s="558" t="n"/>
      <c r="K192" s="539" t="n"/>
      <c r="L192" s="539" t="n"/>
      <c r="M192" s="539" t="n"/>
      <c r="N192" s="539" t="n"/>
      <c r="O192" s="539" t="n"/>
      <c r="P192" s="539" t="n"/>
      <c r="Q192" s="539" t="n"/>
      <c r="R192" s="23" t="n"/>
      <c r="S192" s="539" t="n"/>
      <c r="T192" s="539" t="n"/>
      <c r="U192" s="27" t="n"/>
      <c r="V192" s="601"/>
      <c r="W192" s="602">
        <f>($V$5-J192)/365</f>
      </c>
      <c r="X192" s="127">
        <f>(V192-W192)/V192</f>
      </c>
      <c r="Y192" s="603" t="n"/>
      <c r="Z192" s="604">
        <f>Y192</f>
      </c>
      <c r="AA192" s="583" t="n"/>
      <c r="AB192" s="583" t="n"/>
      <c r="AC192" s="583">
        <f>Z192*0.13/(1+0.13)</f>
      </c>
      <c r="AD192" s="605">
        <f>Z192-AC192</f>
      </c>
      <c r="AE192" s="605">
        <f>Z192*H192</f>
      </c>
      <c r="AF192" s="583">
        <f>ROUND(AD192*H192,-2)</f>
      </c>
    </row>
    <row r="193" ht="15.5" customHeight="1">
      <c r="A193" s="23" t="n"/>
      <c r="B193" s="24" t="n"/>
      <c r="C193" s="24" t="n"/>
      <c r="D193" s="23" t="n"/>
      <c r="E193" s="24" t="n"/>
      <c r="F193" s="24" t="n"/>
      <c r="G193" s="23" t="n"/>
      <c r="H193" s="23" t="n"/>
      <c r="I193" s="558" t="n"/>
      <c r="J193" s="558" t="n"/>
      <c r="K193" s="539" t="n"/>
      <c r="L193" s="539" t="n"/>
      <c r="M193" s="539" t="n"/>
      <c r="N193" s="539" t="n"/>
      <c r="O193" s="539" t="n"/>
      <c r="P193" s="539" t="n"/>
      <c r="Q193" s="539" t="n"/>
      <c r="R193" s="23" t="n"/>
      <c r="S193" s="539" t="n"/>
      <c r="T193" s="539" t="n"/>
      <c r="U193" s="27" t="n"/>
      <c r="V193" s="601"/>
      <c r="W193" s="602">
        <f>($V$5-J193)/365</f>
      </c>
      <c r="X193" s="127">
        <f>(V193-W193)/V193</f>
      </c>
      <c r="Y193" s="603" t="n"/>
      <c r="Z193" s="604">
        <f>Y193</f>
      </c>
      <c r="AA193" s="583" t="n"/>
      <c r="AB193" s="583" t="n"/>
      <c r="AC193" s="583">
        <f>Z193*0.13/(1+0.13)</f>
      </c>
      <c r="AD193" s="605">
        <f>Z193-AC193</f>
      </c>
      <c r="AE193" s="605">
        <f>Z193*H193</f>
      </c>
      <c r="AF193" s="583">
        <f>ROUND(AD193*H193,-2)</f>
      </c>
    </row>
    <row r="194" ht="15.5" customHeight="1">
      <c r="A194" s="23" t="n"/>
      <c r="B194" s="24" t="n"/>
      <c r="C194" s="24" t="n"/>
      <c r="D194" s="23" t="n"/>
      <c r="E194" s="24" t="n"/>
      <c r="F194" s="24" t="n"/>
      <c r="G194" s="23" t="n"/>
      <c r="H194" s="23" t="n"/>
      <c r="I194" s="558" t="n"/>
      <c r="J194" s="558" t="n"/>
      <c r="K194" s="539" t="n"/>
      <c r="L194" s="539" t="n"/>
      <c r="M194" s="539" t="n"/>
      <c r="N194" s="539" t="n"/>
      <c r="O194" s="539" t="n"/>
      <c r="P194" s="539" t="n"/>
      <c r="Q194" s="539" t="n"/>
      <c r="R194" s="23" t="n"/>
      <c r="S194" s="539" t="n"/>
      <c r="T194" s="539" t="n"/>
      <c r="U194" s="27" t="n"/>
      <c r="V194" s="601"/>
      <c r="W194" s="602">
        <f>($V$5-J194)/365</f>
      </c>
      <c r="X194" s="127">
        <f>(V194-W194)/V194</f>
      </c>
      <c r="Y194" s="603" t="n"/>
      <c r="Z194" s="604">
        <f>Y194</f>
      </c>
      <c r="AA194" s="583" t="n"/>
      <c r="AB194" s="583" t="n"/>
      <c r="AC194" s="583">
        <f>Z194*0.13/(1+0.13)</f>
      </c>
      <c r="AD194" s="605">
        <f>Z194-AC194</f>
      </c>
      <c r="AE194" s="605">
        <f>Z194*H194</f>
      </c>
      <c r="AF194" s="583">
        <f>ROUND(AD194*H194,-2)</f>
      </c>
    </row>
    <row r="195" ht="15.5" customHeight="1">
      <c r="A195" s="23" t="n"/>
      <c r="B195" s="24" t="n"/>
      <c r="C195" s="24" t="n"/>
      <c r="D195" s="23" t="n"/>
      <c r="E195" s="24" t="n"/>
      <c r="F195" s="24" t="n"/>
      <c r="G195" s="23" t="n"/>
      <c r="H195" s="23" t="n"/>
      <c r="I195" s="558" t="n"/>
      <c r="J195" s="558" t="n"/>
      <c r="K195" s="539" t="n"/>
      <c r="L195" s="539" t="n"/>
      <c r="M195" s="539" t="n"/>
      <c r="N195" s="539" t="n"/>
      <c r="O195" s="539" t="n"/>
      <c r="P195" s="539" t="n"/>
      <c r="Q195" s="539" t="n"/>
      <c r="R195" s="23" t="n"/>
      <c r="S195" s="539" t="n"/>
      <c r="T195" s="539" t="n"/>
      <c r="U195" s="27" t="n"/>
      <c r="V195" s="601"/>
      <c r="W195" s="602">
        <f>($V$5-J195)/365</f>
      </c>
      <c r="X195" s="127">
        <f>(V195-W195)/V195</f>
      </c>
      <c r="Y195" s="603" t="n"/>
      <c r="Z195" s="604">
        <f>Y195</f>
      </c>
      <c r="AA195" s="583" t="n"/>
      <c r="AB195" s="583" t="n"/>
      <c r="AC195" s="583">
        <f>Z195*0.13/(1+0.13)</f>
      </c>
      <c r="AD195" s="605">
        <f>Z195-AC195</f>
      </c>
      <c r="AE195" s="605">
        <f>Z195*H195</f>
      </c>
      <c r="AF195" s="583">
        <f>ROUND(AD195*H195,-2)</f>
      </c>
    </row>
    <row r="196" ht="15.5" customHeight="1">
      <c r="A196" s="23" t="n"/>
      <c r="B196" s="24" t="n"/>
      <c r="C196" s="24" t="n"/>
      <c r="D196" s="23" t="n"/>
      <c r="E196" s="24" t="n"/>
      <c r="F196" s="24" t="n"/>
      <c r="G196" s="23" t="n"/>
      <c r="H196" s="23" t="n"/>
      <c r="I196" s="558" t="n"/>
      <c r="J196" s="558" t="n"/>
      <c r="K196" s="539" t="n"/>
      <c r="L196" s="539" t="n"/>
      <c r="M196" s="539" t="n"/>
      <c r="N196" s="539" t="n"/>
      <c r="O196" s="539" t="n"/>
      <c r="P196" s="539" t="n"/>
      <c r="Q196" s="539" t="n"/>
      <c r="R196" s="23" t="n"/>
      <c r="S196" s="539" t="n"/>
      <c r="T196" s="539" t="n"/>
      <c r="U196" s="27" t="n"/>
      <c r="V196" s="601"/>
      <c r="W196" s="602">
        <f>($V$5-J196)/365</f>
      </c>
      <c r="X196" s="127">
        <f>(V196-W196)/V196</f>
      </c>
      <c r="Y196" s="603" t="n"/>
      <c r="Z196" s="604">
        <f>Y196</f>
      </c>
      <c r="AA196" s="583" t="n"/>
      <c r="AB196" s="583" t="n"/>
      <c r="AC196" s="583">
        <f>Z196*0.13/(1+0.13)</f>
      </c>
      <c r="AD196" s="605">
        <f>Z196-AC196</f>
      </c>
      <c r="AE196" s="605">
        <f>Z196*H196</f>
      </c>
      <c r="AF196" s="583">
        <f>ROUND(AD196*H196,-2)</f>
      </c>
    </row>
    <row r="197" ht="15.5" customHeight="1">
      <c r="A197" s="23" t="n"/>
      <c r="B197" s="24" t="n"/>
      <c r="C197" s="24" t="n"/>
      <c r="D197" s="23" t="n"/>
      <c r="E197" s="24" t="n"/>
      <c r="F197" s="24" t="n"/>
      <c r="G197" s="23" t="n"/>
      <c r="H197" s="23" t="n"/>
      <c r="I197" s="558" t="n"/>
      <c r="J197" s="558" t="n"/>
      <c r="K197" s="539" t="n"/>
      <c r="L197" s="539" t="n"/>
      <c r="M197" s="539" t="n"/>
      <c r="N197" s="539" t="n"/>
      <c r="O197" s="539" t="n"/>
      <c r="P197" s="539" t="n"/>
      <c r="Q197" s="539" t="n"/>
      <c r="R197" s="23" t="n"/>
      <c r="S197" s="539" t="n"/>
      <c r="T197" s="539" t="n"/>
      <c r="U197" s="27" t="n"/>
      <c r="V197" s="601"/>
      <c r="W197" s="602">
        <f>($V$5-J197)/365</f>
      </c>
      <c r="X197" s="127">
        <f>(V197-W197)/V197</f>
      </c>
      <c r="Y197" s="603" t="n"/>
      <c r="Z197" s="604">
        <f>Y197</f>
      </c>
      <c r="AA197" s="583" t="n"/>
      <c r="AB197" s="583" t="n"/>
      <c r="AC197" s="583">
        <f>Z197*0.13/(1+0.13)</f>
      </c>
      <c r="AD197" s="605">
        <f>Z197-AC197</f>
      </c>
      <c r="AE197" s="605">
        <f>Z197*H197</f>
      </c>
      <c r="AF197" s="583">
        <f>ROUND(AD197*H197,-2)</f>
      </c>
    </row>
    <row r="198" ht="15.5" customHeight="1">
      <c r="A198" s="23" t="n"/>
      <c r="B198" s="24" t="n"/>
      <c r="C198" s="24" t="n"/>
      <c r="D198" s="23" t="n"/>
      <c r="E198" s="24" t="n"/>
      <c r="F198" s="24" t="n"/>
      <c r="G198" s="23" t="n"/>
      <c r="H198" s="23" t="n"/>
      <c r="I198" s="558" t="n"/>
      <c r="J198" s="558" t="n"/>
      <c r="K198" s="539" t="n"/>
      <c r="L198" s="539" t="n"/>
      <c r="M198" s="539" t="n"/>
      <c r="N198" s="539" t="n"/>
      <c r="O198" s="539" t="n"/>
      <c r="P198" s="539" t="n"/>
      <c r="Q198" s="539" t="n"/>
      <c r="R198" s="23" t="n"/>
      <c r="S198" s="539" t="n"/>
      <c r="T198" s="539" t="n"/>
      <c r="U198" s="27" t="n"/>
      <c r="V198" s="601"/>
      <c r="W198" s="602">
        <f>($V$5-J198)/365</f>
      </c>
      <c r="X198" s="127">
        <f>(V198-W198)/V198</f>
      </c>
      <c r="Y198" s="603" t="n"/>
      <c r="Z198" s="604">
        <f>Y198</f>
      </c>
      <c r="AA198" s="583" t="n"/>
      <c r="AB198" s="583" t="n"/>
      <c r="AC198" s="583">
        <f>Z198*0.13/(1+0.13)</f>
      </c>
      <c r="AD198" s="605">
        <f>Z198-AC198</f>
      </c>
      <c r="AE198" s="605">
        <f>Z198*H198</f>
      </c>
      <c r="AF198" s="583">
        <f>ROUND(AD198*H198,-2)</f>
      </c>
    </row>
    <row r="199" ht="15.5" customHeight="1">
      <c r="A199" s="23" t="n"/>
      <c r="B199" s="24" t="n"/>
      <c r="C199" s="24" t="n"/>
      <c r="D199" s="23" t="n"/>
      <c r="E199" s="24" t="n"/>
      <c r="F199" s="24" t="n"/>
      <c r="G199" s="23" t="n"/>
      <c r="H199" s="23" t="n"/>
      <c r="I199" s="558" t="n"/>
      <c r="J199" s="558" t="n"/>
      <c r="K199" s="539" t="n"/>
      <c r="L199" s="539" t="n"/>
      <c r="M199" s="539" t="n"/>
      <c r="N199" s="539" t="n"/>
      <c r="O199" s="539" t="n"/>
      <c r="P199" s="539" t="n"/>
      <c r="Q199" s="539" t="n"/>
      <c r="R199" s="23" t="n"/>
      <c r="S199" s="539" t="n"/>
      <c r="T199" s="539" t="n"/>
      <c r="U199" s="27" t="n"/>
      <c r="V199" s="601"/>
      <c r="W199" s="602">
        <f>($V$5-J199)/365</f>
      </c>
      <c r="X199" s="127">
        <f>(V199-W199)/V199</f>
      </c>
      <c r="Y199" s="603" t="n"/>
      <c r="Z199" s="604">
        <f>Y199</f>
      </c>
      <c r="AA199" s="583" t="n"/>
      <c r="AB199" s="583" t="n"/>
      <c r="AC199" s="583">
        <f>Z199*0.13/(1+0.13)</f>
      </c>
      <c r="AD199" s="605">
        <f>Z199-AC199</f>
      </c>
      <c r="AE199" s="605">
        <f>Z199*H199</f>
      </c>
      <c r="AF199" s="583">
        <f>ROUND(AD199*H199,-2)</f>
      </c>
    </row>
    <row r="200" ht="15.5" customHeight="1">
      <c r="A200" s="23" t="n"/>
      <c r="B200" s="24" t="n"/>
      <c r="C200" s="24" t="n"/>
      <c r="D200" s="23" t="n"/>
      <c r="E200" s="24" t="n"/>
      <c r="F200" s="24" t="n"/>
      <c r="G200" s="23" t="n"/>
      <c r="H200" s="23" t="n"/>
      <c r="I200" s="558" t="n"/>
      <c r="J200" s="558" t="n"/>
      <c r="K200" s="539" t="n"/>
      <c r="L200" s="539" t="n"/>
      <c r="M200" s="539" t="n"/>
      <c r="N200" s="539" t="n"/>
      <c r="O200" s="539" t="n"/>
      <c r="P200" s="539" t="n"/>
      <c r="Q200" s="539" t="n"/>
      <c r="R200" s="23" t="n"/>
      <c r="S200" s="539" t="n"/>
      <c r="T200" s="539" t="n"/>
      <c r="U200" s="27" t="n"/>
      <c r="V200" s="601"/>
      <c r="W200" s="602">
        <f>($V$5-J200)/365</f>
      </c>
      <c r="X200" s="127">
        <f>(V200-W200)/V200</f>
      </c>
      <c r="Y200" s="603" t="n"/>
      <c r="Z200" s="604">
        <f>Y200</f>
      </c>
      <c r="AA200" s="583" t="n"/>
      <c r="AB200" s="583" t="n"/>
      <c r="AC200" s="583">
        <f>Z200*0.13/(1+0.13)</f>
      </c>
      <c r="AD200" s="605">
        <f>Z200-AC200</f>
      </c>
      <c r="AE200" s="605">
        <f>Z200*H200</f>
      </c>
      <c r="AF200" s="583">
        <f>ROUND(AD200*H200,-2)</f>
      </c>
    </row>
    <row r="201" ht="15.5" customHeight="1">
      <c r="A201" s="23" t="n"/>
      <c r="B201" s="24" t="n"/>
      <c r="C201" s="24" t="n"/>
      <c r="D201" s="23" t="n"/>
      <c r="E201" s="24" t="n"/>
      <c r="F201" s="24" t="n"/>
      <c r="G201" s="23" t="n"/>
      <c r="H201" s="23" t="n"/>
      <c r="I201" s="558" t="n"/>
      <c r="J201" s="558" t="n"/>
      <c r="K201" s="539" t="n"/>
      <c r="L201" s="539" t="n"/>
      <c r="M201" s="539" t="n"/>
      <c r="N201" s="539" t="n"/>
      <c r="O201" s="539" t="n"/>
      <c r="P201" s="539" t="n"/>
      <c r="Q201" s="539" t="n"/>
      <c r="R201" s="23" t="n"/>
      <c r="S201" s="539" t="n"/>
      <c r="T201" s="539" t="n"/>
      <c r="U201" s="27" t="n"/>
      <c r="V201" s="601"/>
      <c r="W201" s="602">
        <f>($V$5-J201)/365</f>
      </c>
      <c r="X201" s="127">
        <f>(V201-W201)/V201</f>
      </c>
      <c r="Y201" s="603" t="n"/>
      <c r="Z201" s="604">
        <f>Y201</f>
      </c>
      <c r="AA201" s="583" t="n"/>
      <c r="AB201" s="583" t="n"/>
      <c r="AC201" s="583">
        <f>Z201*0.13/(1+0.13)</f>
      </c>
      <c r="AD201" s="605">
        <f>Z201-AC201</f>
      </c>
      <c r="AE201" s="605">
        <f>Z201*H201</f>
      </c>
      <c r="AF201" s="583">
        <f>ROUND(AD201*H201,-2)</f>
      </c>
    </row>
    <row r="202" ht="15.5" customHeight="1">
      <c r="A202" s="23" t="n"/>
      <c r="B202" s="24" t="n"/>
      <c r="C202" s="24" t="n"/>
      <c r="D202" s="23" t="n"/>
      <c r="E202" s="24" t="n"/>
      <c r="F202" s="24" t="n"/>
      <c r="G202" s="23" t="n"/>
      <c r="H202" s="23" t="n"/>
      <c r="I202" s="558" t="n"/>
      <c r="J202" s="558" t="n"/>
      <c r="K202" s="539" t="n"/>
      <c r="L202" s="539" t="n"/>
      <c r="M202" s="539" t="n"/>
      <c r="N202" s="539" t="n"/>
      <c r="O202" s="539" t="n"/>
      <c r="P202" s="539" t="n"/>
      <c r="Q202" s="539" t="n"/>
      <c r="R202" s="23" t="n"/>
      <c r="S202" s="539" t="n"/>
      <c r="T202" s="539" t="n"/>
      <c r="U202" s="27" t="n"/>
      <c r="V202" s="601"/>
      <c r="W202" s="602">
        <f>($V$5-J202)/365</f>
      </c>
      <c r="X202" s="127">
        <f>(V202-W202)/V202</f>
      </c>
      <c r="Y202" s="603" t="n"/>
      <c r="Z202" s="604">
        <f>Y202</f>
      </c>
      <c r="AA202" s="583" t="n"/>
      <c r="AB202" s="583" t="n"/>
      <c r="AC202" s="583">
        <f>Z202*0.13/(1+0.13)</f>
      </c>
      <c r="AD202" s="605">
        <f>Z202-AC202</f>
      </c>
      <c r="AE202" s="605">
        <f>Z202*H202</f>
      </c>
      <c r="AF202" s="583">
        <f>ROUND(AD202*H202,-2)</f>
      </c>
    </row>
    <row r="203" ht="15.5" customHeight="1">
      <c r="A203" s="23" t="n"/>
      <c r="B203" s="24" t="n"/>
      <c r="C203" s="24" t="n"/>
      <c r="D203" s="23" t="n"/>
      <c r="E203" s="24" t="n"/>
      <c r="F203" s="24" t="n"/>
      <c r="G203" s="23" t="n"/>
      <c r="H203" s="23" t="n"/>
      <c r="I203" s="558" t="n"/>
      <c r="J203" s="558" t="n"/>
      <c r="K203" s="539" t="n"/>
      <c r="L203" s="539" t="n"/>
      <c r="M203" s="539" t="n"/>
      <c r="N203" s="539" t="n"/>
      <c r="O203" s="539" t="n"/>
      <c r="P203" s="539" t="n"/>
      <c r="Q203" s="539" t="n"/>
      <c r="R203" s="23" t="n"/>
      <c r="S203" s="539" t="n"/>
      <c r="T203" s="539" t="n"/>
      <c r="U203" s="27" t="n"/>
      <c r="V203" s="601"/>
      <c r="W203" s="602">
        <f>($V$5-J203)/365</f>
      </c>
      <c r="X203" s="127">
        <f>(V203-W203)/V203</f>
      </c>
      <c r="Y203" s="603" t="n"/>
      <c r="Z203" s="604">
        <f>Y203</f>
      </c>
      <c r="AA203" s="583" t="n"/>
      <c r="AB203" s="583" t="n"/>
      <c r="AC203" s="583">
        <f>Z203*0.13/(1+0.13)</f>
      </c>
      <c r="AD203" s="605">
        <f>Z203-AC203</f>
      </c>
      <c r="AE203" s="605">
        <f>Z203*H203</f>
      </c>
      <c r="AF203" s="583">
        <f>ROUND(AD203*H203,-2)</f>
      </c>
    </row>
    <row r="204" ht="15.5" customHeight="1">
      <c r="A204" s="23" t="n"/>
      <c r="B204" s="24" t="n"/>
      <c r="C204" s="24" t="n"/>
      <c r="D204" s="23" t="n"/>
      <c r="E204" s="24" t="n"/>
      <c r="F204" s="24" t="n"/>
      <c r="G204" s="23" t="n"/>
      <c r="H204" s="23" t="n"/>
      <c r="I204" s="558" t="n"/>
      <c r="J204" s="558" t="n"/>
      <c r="K204" s="539" t="n"/>
      <c r="L204" s="539" t="n"/>
      <c r="M204" s="539" t="n"/>
      <c r="N204" s="539" t="n"/>
      <c r="O204" s="539" t="n"/>
      <c r="P204" s="539" t="n"/>
      <c r="Q204" s="539" t="n"/>
      <c r="R204" s="23" t="n"/>
      <c r="S204" s="539" t="n"/>
      <c r="T204" s="539" t="n"/>
      <c r="U204" s="27" t="n"/>
      <c r="V204" s="601"/>
      <c r="W204" s="602">
        <f>($V$5-J204)/365</f>
      </c>
      <c r="X204" s="127">
        <f>(V204-W204)/V204</f>
      </c>
      <c r="Y204" s="603" t="n"/>
      <c r="Z204" s="604">
        <f>Y204</f>
      </c>
      <c r="AA204" s="583" t="n"/>
      <c r="AB204" s="583" t="n"/>
      <c r="AC204" s="583">
        <f>Z204*0.13/(1+0.13)</f>
      </c>
      <c r="AD204" s="605">
        <f>Z204-AC204</f>
      </c>
      <c r="AE204" s="605">
        <f>Z204*H204</f>
      </c>
      <c r="AF204" s="583">
        <f>ROUND(AD204*H204,-2)</f>
      </c>
    </row>
    <row r="205" ht="15.5" customHeight="1">
      <c r="A205" s="23" t="n"/>
      <c r="B205" s="24" t="n"/>
      <c r="C205" s="24" t="n"/>
      <c r="D205" s="23" t="n"/>
      <c r="E205" s="24" t="n"/>
      <c r="F205" s="24" t="n"/>
      <c r="G205" s="23" t="n"/>
      <c r="H205" s="23" t="n"/>
      <c r="I205" s="558" t="n"/>
      <c r="J205" s="558" t="n"/>
      <c r="K205" s="539" t="n"/>
      <c r="L205" s="539" t="n"/>
      <c r="M205" s="539" t="n"/>
      <c r="N205" s="539" t="n"/>
      <c r="O205" s="539" t="n"/>
      <c r="P205" s="539" t="n"/>
      <c r="Q205" s="539" t="n"/>
      <c r="R205" s="23" t="n"/>
      <c r="S205" s="539" t="n"/>
      <c r="T205" s="539" t="n"/>
      <c r="U205" s="27" t="n"/>
      <c r="V205" s="601"/>
      <c r="W205" s="602">
        <f>($V$5-J205)/365</f>
      </c>
      <c r="X205" s="127">
        <f>(V205-W205)/V205</f>
      </c>
      <c r="Y205" s="603" t="n"/>
      <c r="Z205" s="604">
        <f>Y205</f>
      </c>
      <c r="AA205" s="583" t="n"/>
      <c r="AB205" s="583" t="n"/>
      <c r="AC205" s="583">
        <f>Z205*0.13/(1+0.13)</f>
      </c>
      <c r="AD205" s="605">
        <f>Z205-AC205</f>
      </c>
      <c r="AE205" s="605">
        <f>Z205*H205</f>
      </c>
      <c r="AF205" s="583">
        <f>ROUND(AD205*H205,-2)</f>
      </c>
    </row>
    <row r="206" ht="15.5" customHeight="1">
      <c r="A206" s="23" t="n"/>
      <c r="B206" s="24" t="n"/>
      <c r="C206" s="24" t="n"/>
      <c r="D206" s="23" t="n"/>
      <c r="E206" s="24" t="n"/>
      <c r="F206" s="24" t="n"/>
      <c r="G206" s="23" t="n"/>
      <c r="H206" s="23" t="n"/>
      <c r="I206" s="558" t="n"/>
      <c r="J206" s="558" t="n"/>
      <c r="K206" s="539" t="n"/>
      <c r="L206" s="539" t="n"/>
      <c r="M206" s="539" t="n"/>
      <c r="N206" s="539" t="n"/>
      <c r="O206" s="539" t="n"/>
      <c r="P206" s="539" t="n"/>
      <c r="Q206" s="539" t="n"/>
      <c r="R206" s="23" t="n"/>
      <c r="S206" s="539" t="n"/>
      <c r="T206" s="539" t="n"/>
      <c r="U206" s="27" t="n"/>
      <c r="V206" s="601"/>
      <c r="W206" s="602">
        <f>($V$5-J206)/365</f>
      </c>
      <c r="X206" s="127">
        <f>(V206-W206)/V206</f>
      </c>
      <c r="Y206" s="603" t="n"/>
      <c r="Z206" s="604">
        <f>Y206</f>
      </c>
      <c r="AA206" s="583" t="n"/>
      <c r="AB206" s="583" t="n"/>
      <c r="AC206" s="583">
        <f>Z206*0.13/(1+0.13)</f>
      </c>
      <c r="AD206" s="605">
        <f>Z206-AC206</f>
      </c>
      <c r="AE206" s="605">
        <f>Z206*H206</f>
      </c>
      <c r="AF206" s="583">
        <f>ROUND(AD206*H206,-2)</f>
      </c>
    </row>
    <row r="207" ht="15.5" customHeight="1">
      <c r="A207" s="23" t="n"/>
      <c r="B207" s="24" t="n"/>
      <c r="C207" s="24" t="n"/>
      <c r="D207" s="23" t="n"/>
      <c r="E207" s="24" t="n"/>
      <c r="F207" s="24" t="n"/>
      <c r="G207" s="23" t="n"/>
      <c r="H207" s="23" t="n"/>
      <c r="I207" s="558" t="n"/>
      <c r="J207" s="558" t="n"/>
      <c r="K207" s="539" t="n"/>
      <c r="L207" s="539" t="n"/>
      <c r="M207" s="539" t="n"/>
      <c r="N207" s="539" t="n"/>
      <c r="O207" s="539" t="n"/>
      <c r="P207" s="539" t="n"/>
      <c r="Q207" s="539" t="n"/>
      <c r="R207" s="23" t="n"/>
      <c r="S207" s="539" t="n"/>
      <c r="T207" s="539" t="n"/>
      <c r="U207" s="27" t="n"/>
      <c r="V207" s="601"/>
      <c r="W207" s="602">
        <f>($V$5-J207)/365</f>
      </c>
      <c r="X207" s="127">
        <f>(V207-W207)/V207</f>
      </c>
      <c r="Y207" s="603" t="n"/>
      <c r="Z207" s="604">
        <f>Y207</f>
      </c>
      <c r="AA207" s="583" t="n"/>
      <c r="AB207" s="583" t="n"/>
      <c r="AC207" s="583">
        <f>Z207*0.13/(1+0.13)</f>
      </c>
      <c r="AD207" s="605">
        <f>Z207-AC207</f>
      </c>
      <c r="AE207" s="605">
        <f>Z207*H207</f>
      </c>
      <c r="AF207" s="583">
        <f>ROUND(AD207*H207,-2)</f>
      </c>
    </row>
    <row r="208" ht="15.5" customHeight="1">
      <c r="A208" s="23" t="n"/>
      <c r="B208" s="24" t="n"/>
      <c r="C208" s="24" t="n"/>
      <c r="D208" s="23" t="n"/>
      <c r="E208" s="24" t="n"/>
      <c r="F208" s="24" t="n"/>
      <c r="G208" s="23" t="n"/>
      <c r="H208" s="23" t="n"/>
      <c r="I208" s="558" t="n"/>
      <c r="J208" s="558" t="n"/>
      <c r="K208" s="539" t="n"/>
      <c r="L208" s="539" t="n"/>
      <c r="M208" s="539" t="n"/>
      <c r="N208" s="539" t="n"/>
      <c r="O208" s="539" t="n"/>
      <c r="P208" s="539" t="n"/>
      <c r="Q208" s="539" t="n"/>
      <c r="R208" s="23" t="n"/>
      <c r="S208" s="539" t="n"/>
      <c r="T208" s="539" t="n"/>
      <c r="U208" s="27" t="n"/>
      <c r="V208" s="601"/>
      <c r="W208" s="602">
        <f>($V$5-J208)/365</f>
      </c>
      <c r="X208" s="127">
        <f>(V208-W208)/V208</f>
      </c>
      <c r="Y208" s="603" t="n"/>
      <c r="Z208" s="604">
        <f>Y208</f>
      </c>
      <c r="AA208" s="583" t="n"/>
      <c r="AB208" s="583" t="n"/>
      <c r="AC208" s="583">
        <f>Z208*0.13/(1+0.13)</f>
      </c>
      <c r="AD208" s="605">
        <f>Z208-AC208</f>
      </c>
      <c r="AE208" s="605">
        <f>Z208*H208</f>
      </c>
      <c r="AF208" s="583">
        <f>ROUND(AD208*H208,-2)</f>
      </c>
    </row>
    <row r="209" ht="15.5" customHeight="1">
      <c r="A209" s="23" t="n"/>
      <c r="B209" s="24" t="n"/>
      <c r="C209" s="24" t="n"/>
      <c r="D209" s="23" t="n"/>
      <c r="E209" s="24" t="n"/>
      <c r="F209" s="24" t="n"/>
      <c r="G209" s="23" t="n"/>
      <c r="H209" s="23" t="n"/>
      <c r="I209" s="558" t="n"/>
      <c r="J209" s="558" t="n"/>
      <c r="K209" s="539" t="n"/>
      <c r="L209" s="539" t="n"/>
      <c r="M209" s="539" t="n"/>
      <c r="N209" s="539" t="n"/>
      <c r="O209" s="539" t="n"/>
      <c r="P209" s="539" t="n"/>
      <c r="Q209" s="539" t="n"/>
      <c r="R209" s="23" t="n"/>
      <c r="S209" s="539" t="n"/>
      <c r="T209" s="539" t="n"/>
      <c r="U209" s="27" t="n"/>
      <c r="V209" s="601"/>
      <c r="W209" s="602">
        <f>($V$5-J209)/365</f>
      </c>
      <c r="X209" s="127">
        <f>(V209-W209)/V209</f>
      </c>
      <c r="Y209" s="603" t="n"/>
      <c r="Z209" s="604">
        <f>Y209</f>
      </c>
      <c r="AA209" s="583" t="n"/>
      <c r="AB209" s="583" t="n"/>
      <c r="AC209" s="583">
        <f>Z209*0.13/(1+0.13)</f>
      </c>
      <c r="AD209" s="605">
        <f>Z209-AC209</f>
      </c>
      <c r="AE209" s="605">
        <f>Z209*H209</f>
      </c>
      <c r="AF209" s="583">
        <f>ROUND(AD209*H209,-2)</f>
      </c>
    </row>
    <row r="210" ht="15.5" customHeight="1">
      <c r="A210" s="23" t="n"/>
      <c r="B210" s="24" t="n"/>
      <c r="C210" s="24" t="n"/>
      <c r="D210" s="23" t="n"/>
      <c r="E210" s="24" t="n"/>
      <c r="F210" s="24" t="n"/>
      <c r="G210" s="23" t="n"/>
      <c r="H210" s="23" t="n"/>
      <c r="I210" s="558" t="n"/>
      <c r="J210" s="558" t="n"/>
      <c r="K210" s="539" t="n"/>
      <c r="L210" s="539" t="n"/>
      <c r="M210" s="539" t="n"/>
      <c r="N210" s="539" t="n"/>
      <c r="O210" s="539" t="n"/>
      <c r="P210" s="539" t="n"/>
      <c r="Q210" s="539" t="n"/>
      <c r="R210" s="23" t="n"/>
      <c r="S210" s="539" t="n"/>
      <c r="T210" s="539" t="n"/>
      <c r="U210" s="27" t="n"/>
      <c r="V210" s="601"/>
      <c r="W210" s="602">
        <f>($V$5-J210)/365</f>
      </c>
      <c r="X210" s="127">
        <f>(V210-W210)/V210</f>
      </c>
      <c r="Y210" s="603" t="n"/>
      <c r="Z210" s="604">
        <f>Y210</f>
      </c>
      <c r="AA210" s="583" t="n"/>
      <c r="AB210" s="583" t="n"/>
      <c r="AC210" s="583">
        <f>Z210*0.13/(1+0.13)</f>
      </c>
      <c r="AD210" s="605">
        <f>Z210-AC210</f>
      </c>
      <c r="AE210" s="605">
        <f>Z210*H210</f>
      </c>
      <c r="AF210" s="583">
        <f>ROUND(AD210*H210,-2)</f>
      </c>
    </row>
    <row r="211" ht="15.5" customHeight="1">
      <c r="A211" s="23" t="n"/>
      <c r="B211" s="24" t="n"/>
      <c r="C211" s="24" t="n"/>
      <c r="D211" s="23" t="n"/>
      <c r="E211" s="24" t="n"/>
      <c r="F211" s="24" t="n"/>
      <c r="G211" s="23" t="n"/>
      <c r="H211" s="23" t="n"/>
      <c r="I211" s="558" t="n"/>
      <c r="J211" s="558" t="n"/>
      <c r="K211" s="539" t="n"/>
      <c r="L211" s="539" t="n"/>
      <c r="M211" s="539" t="n"/>
      <c r="N211" s="539" t="n"/>
      <c r="O211" s="539" t="n"/>
      <c r="P211" s="539" t="n"/>
      <c r="Q211" s="539" t="n"/>
      <c r="R211" s="23" t="n"/>
      <c r="S211" s="539" t="n"/>
      <c r="T211" s="539" t="n"/>
      <c r="U211" s="27" t="n"/>
      <c r="V211" s="601"/>
      <c r="W211" s="602">
        <f>($V$5-J211)/365</f>
      </c>
      <c r="X211" s="127">
        <f>(V211-W211)/V211</f>
      </c>
      <c r="Y211" s="603" t="n"/>
      <c r="Z211" s="604">
        <f>Y211</f>
      </c>
      <c r="AA211" s="583" t="n"/>
      <c r="AB211" s="583" t="n"/>
      <c r="AC211" s="583">
        <f>Z211*0.13/(1+0.13)</f>
      </c>
      <c r="AD211" s="605">
        <f>Z211-AC211</f>
      </c>
      <c r="AE211" s="605">
        <f>Z211*H211</f>
      </c>
      <c r="AF211" s="583">
        <f>ROUND(AD211*H211,-2)</f>
      </c>
    </row>
    <row r="212" ht="15.5" customHeight="1">
      <c r="A212" s="23" t="n"/>
      <c r="B212" s="24" t="n"/>
      <c r="C212" s="24" t="n"/>
      <c r="D212" s="23" t="n"/>
      <c r="E212" s="24" t="n"/>
      <c r="F212" s="24" t="n"/>
      <c r="G212" s="23" t="n"/>
      <c r="H212" s="23" t="n"/>
      <c r="I212" s="558" t="n"/>
      <c r="J212" s="558" t="n"/>
      <c r="K212" s="539" t="n"/>
      <c r="L212" s="539" t="n"/>
      <c r="M212" s="539" t="n"/>
      <c r="N212" s="539" t="n"/>
      <c r="O212" s="539" t="n"/>
      <c r="P212" s="539" t="n"/>
      <c r="Q212" s="539" t="n"/>
      <c r="R212" s="23" t="n"/>
      <c r="S212" s="539" t="n"/>
      <c r="T212" s="539" t="n"/>
      <c r="U212" s="27" t="n"/>
      <c r="V212" s="601"/>
      <c r="W212" s="602">
        <f>($V$5-J212)/365</f>
      </c>
      <c r="X212" s="127">
        <f>(V212-W212)/V212</f>
      </c>
      <c r="Y212" s="603" t="n"/>
      <c r="Z212" s="604">
        <f>Y212</f>
      </c>
      <c r="AA212" s="583" t="n"/>
      <c r="AB212" s="583" t="n"/>
      <c r="AC212" s="583">
        <f>Z212*0.13/(1+0.13)</f>
      </c>
      <c r="AD212" s="605">
        <f>Z212-AC212</f>
      </c>
      <c r="AE212" s="605">
        <f>Z212*H212</f>
      </c>
      <c r="AF212" s="583">
        <f>ROUND(AD212*H212,-2)</f>
      </c>
    </row>
    <row r="213" ht="15.5" customHeight="1">
      <c r="A213" s="23" t="n"/>
      <c r="B213" s="24" t="n"/>
      <c r="C213" s="24" t="n"/>
      <c r="D213" s="23" t="n"/>
      <c r="E213" s="24" t="n"/>
      <c r="F213" s="24" t="n"/>
      <c r="G213" s="23" t="n"/>
      <c r="H213" s="23" t="n"/>
      <c r="I213" s="558" t="n"/>
      <c r="J213" s="558" t="n"/>
      <c r="K213" s="539" t="n"/>
      <c r="L213" s="539" t="n"/>
      <c r="M213" s="539" t="n"/>
      <c r="N213" s="539" t="n"/>
      <c r="O213" s="539" t="n"/>
      <c r="P213" s="539" t="n"/>
      <c r="Q213" s="539" t="n"/>
      <c r="R213" s="23" t="n"/>
      <c r="S213" s="539" t="n"/>
      <c r="T213" s="539" t="n"/>
      <c r="U213" s="27" t="n"/>
      <c r="V213" s="601"/>
      <c r="W213" s="602">
        <f>($V$5-J213)/365</f>
      </c>
      <c r="X213" s="127">
        <f>(V213-W213)/V213</f>
      </c>
      <c r="Y213" s="603" t="n"/>
      <c r="Z213" s="604">
        <f>Y213</f>
      </c>
      <c r="AA213" s="583" t="n"/>
      <c r="AB213" s="583" t="n"/>
      <c r="AC213" s="583">
        <f>Z213*0.13/(1+0.13)</f>
      </c>
      <c r="AD213" s="605">
        <f>Z213-AC213</f>
      </c>
      <c r="AE213" s="605">
        <f>Z213*H213</f>
      </c>
      <c r="AF213" s="583">
        <f>ROUND(AD213*H213,-2)</f>
      </c>
    </row>
    <row r="214" ht="15.5" customHeight="1">
      <c r="A214" s="23" t="n"/>
      <c r="B214" s="24" t="n"/>
      <c r="C214" s="24" t="n"/>
      <c r="D214" s="23" t="n"/>
      <c r="E214" s="24" t="n"/>
      <c r="F214" s="24" t="n"/>
      <c r="G214" s="23" t="n"/>
      <c r="H214" s="23" t="n"/>
      <c r="I214" s="558" t="n"/>
      <c r="J214" s="558" t="n"/>
      <c r="K214" s="539" t="n"/>
      <c r="L214" s="539" t="n"/>
      <c r="M214" s="539" t="n"/>
      <c r="N214" s="539" t="n"/>
      <c r="O214" s="539" t="n"/>
      <c r="P214" s="539" t="n"/>
      <c r="Q214" s="539" t="n"/>
      <c r="R214" s="23" t="n"/>
      <c r="S214" s="539" t="n"/>
      <c r="T214" s="539" t="n"/>
      <c r="U214" s="27" t="n"/>
      <c r="V214" s="601"/>
      <c r="W214" s="602">
        <f>($V$5-J214)/365</f>
      </c>
      <c r="X214" s="127">
        <f>(V214-W214)/V214</f>
      </c>
      <c r="Y214" s="603" t="n"/>
      <c r="Z214" s="604">
        <f>Y214</f>
      </c>
      <c r="AA214" s="583" t="n"/>
      <c r="AB214" s="583" t="n"/>
      <c r="AC214" s="583">
        <f>Z214*0.13/(1+0.13)</f>
      </c>
      <c r="AD214" s="605">
        <f>Z214-AC214</f>
      </c>
      <c r="AE214" s="605">
        <f>Z214*H214</f>
      </c>
      <c r="AF214" s="583">
        <f>ROUND(AD214*H214,-2)</f>
      </c>
    </row>
    <row r="215" ht="15.5" customHeight="1">
      <c r="A215" s="23" t="n"/>
      <c r="B215" s="24" t="n"/>
      <c r="C215" s="24" t="n"/>
      <c r="D215" s="23" t="n"/>
      <c r="E215" s="24" t="n"/>
      <c r="F215" s="24" t="n"/>
      <c r="G215" s="23" t="n"/>
      <c r="H215" s="23" t="n"/>
      <c r="I215" s="558" t="n"/>
      <c r="J215" s="558" t="n"/>
      <c r="K215" s="539" t="n"/>
      <c r="L215" s="539" t="n"/>
      <c r="M215" s="539" t="n"/>
      <c r="N215" s="539" t="n"/>
      <c r="O215" s="539" t="n"/>
      <c r="P215" s="539" t="n"/>
      <c r="Q215" s="539" t="n"/>
      <c r="R215" s="23" t="n"/>
      <c r="S215" s="539" t="n"/>
      <c r="T215" s="539" t="n"/>
      <c r="U215" s="27" t="n"/>
      <c r="V215" s="601"/>
      <c r="W215" s="602">
        <f>($V$5-J215)/365</f>
      </c>
      <c r="X215" s="127">
        <f>(V215-W215)/V215</f>
      </c>
      <c r="Y215" s="603" t="n"/>
      <c r="Z215" s="604">
        <f>Y215</f>
      </c>
      <c r="AA215" s="583" t="n"/>
      <c r="AB215" s="583" t="n"/>
      <c r="AC215" s="583">
        <f>Z215*0.13/(1+0.13)</f>
      </c>
      <c r="AD215" s="605">
        <f>Z215-AC215</f>
      </c>
      <c r="AE215" s="605">
        <f>Z215*H215</f>
      </c>
      <c r="AF215" s="583">
        <f>ROUND(AD215*H215,-2)</f>
      </c>
    </row>
    <row r="216" ht="15.5" customHeight="1">
      <c r="A216" s="23" t="n"/>
      <c r="B216" s="24" t="n"/>
      <c r="C216" s="24" t="n"/>
      <c r="D216" s="23" t="n"/>
      <c r="E216" s="24" t="n"/>
      <c r="F216" s="24" t="n"/>
      <c r="G216" s="23" t="n"/>
      <c r="H216" s="23" t="n"/>
      <c r="I216" s="558" t="n"/>
      <c r="J216" s="558" t="n"/>
      <c r="K216" s="539" t="n"/>
      <c r="L216" s="539" t="n"/>
      <c r="M216" s="539" t="n"/>
      <c r="N216" s="539" t="n"/>
      <c r="O216" s="539" t="n"/>
      <c r="P216" s="539" t="n"/>
      <c r="Q216" s="539" t="n"/>
      <c r="R216" s="23" t="n"/>
      <c r="S216" s="539" t="n"/>
      <c r="T216" s="539" t="n"/>
      <c r="U216" s="27" t="n"/>
      <c r="V216" s="601"/>
      <c r="W216" s="602">
        <f>($V$5-J216)/365</f>
      </c>
      <c r="X216" s="127">
        <f>(V216-W216)/V216</f>
      </c>
      <c r="Y216" s="603" t="n"/>
      <c r="Z216" s="604">
        <f>Y216</f>
      </c>
      <c r="AA216" s="583" t="n"/>
      <c r="AB216" s="583" t="n"/>
      <c r="AC216" s="583">
        <f>Z216*0.13/(1+0.13)</f>
      </c>
      <c r="AD216" s="605">
        <f>Z216-AC216</f>
      </c>
      <c r="AE216" s="605">
        <f>Z216*H216</f>
      </c>
      <c r="AF216" s="583">
        <f>ROUND(AD216*H216,-2)</f>
      </c>
    </row>
    <row r="217" ht="15.5" customHeight="1">
      <c r="A217" s="23" t="n"/>
      <c r="B217" s="24" t="n"/>
      <c r="C217" s="24" t="n"/>
      <c r="D217" s="23" t="n"/>
      <c r="E217" s="24" t="n"/>
      <c r="F217" s="24" t="n"/>
      <c r="G217" s="23" t="n"/>
      <c r="H217" s="23" t="n"/>
      <c r="I217" s="558" t="n"/>
      <c r="J217" s="558" t="n"/>
      <c r="K217" s="539" t="n"/>
      <c r="L217" s="539" t="n"/>
      <c r="M217" s="539" t="n"/>
      <c r="N217" s="539" t="n"/>
      <c r="O217" s="539" t="n"/>
      <c r="P217" s="539" t="n"/>
      <c r="Q217" s="539" t="n"/>
      <c r="R217" s="23" t="n"/>
      <c r="S217" s="539" t="n"/>
      <c r="T217" s="539" t="n"/>
      <c r="U217" s="27" t="n"/>
      <c r="V217" s="601"/>
      <c r="W217" s="602">
        <f>($V$5-J217)/365</f>
      </c>
      <c r="X217" s="127">
        <f>(V217-W217)/V217</f>
      </c>
      <c r="Y217" s="603" t="n"/>
      <c r="Z217" s="604">
        <f>Y217</f>
      </c>
      <c r="AA217" s="583" t="n"/>
      <c r="AB217" s="583" t="n"/>
      <c r="AC217" s="583">
        <f>Z217*0.13/(1+0.13)</f>
      </c>
      <c r="AD217" s="605">
        <f>Z217-AC217</f>
      </c>
      <c r="AE217" s="605">
        <f>Z217*H217</f>
      </c>
      <c r="AF217" s="583">
        <f>ROUND(AD217*H217,-2)</f>
      </c>
    </row>
    <row r="218" ht="15.5" customHeight="1">
      <c r="A218" s="23" t="n"/>
      <c r="B218" s="24" t="n"/>
      <c r="C218" s="24" t="n"/>
      <c r="D218" s="23" t="n"/>
      <c r="E218" s="24" t="n"/>
      <c r="F218" s="24" t="n"/>
      <c r="G218" s="23" t="n"/>
      <c r="H218" s="23" t="n"/>
      <c r="I218" s="558" t="n"/>
      <c r="J218" s="558" t="n"/>
      <c r="K218" s="539" t="n"/>
      <c r="L218" s="539" t="n"/>
      <c r="M218" s="539" t="n"/>
      <c r="N218" s="539" t="n"/>
      <c r="O218" s="539" t="n"/>
      <c r="P218" s="539" t="n"/>
      <c r="Q218" s="539" t="n"/>
      <c r="R218" s="23" t="n"/>
      <c r="S218" s="539" t="n"/>
      <c r="T218" s="539" t="n"/>
      <c r="U218" s="27" t="n"/>
      <c r="V218" s="601"/>
      <c r="W218" s="602">
        <f>($V$5-J218)/365</f>
      </c>
      <c r="X218" s="127">
        <f>(V218-W218)/V218</f>
      </c>
      <c r="Y218" s="603" t="n"/>
      <c r="Z218" s="604">
        <f>Y218</f>
      </c>
      <c r="AA218" s="583" t="n"/>
      <c r="AB218" s="583" t="n"/>
      <c r="AC218" s="583">
        <f>Z218*0.13/(1+0.13)</f>
      </c>
      <c r="AD218" s="605">
        <f>Z218-AC218</f>
      </c>
      <c r="AE218" s="605">
        <f>Z218*H218</f>
      </c>
      <c r="AF218" s="583">
        <f>ROUND(AD218*H218,-2)</f>
      </c>
    </row>
    <row r="219" ht="15.5" customHeight="1">
      <c r="A219" s="23" t="n"/>
      <c r="B219" s="24" t="n"/>
      <c r="C219" s="24" t="n"/>
      <c r="D219" s="23" t="n"/>
      <c r="E219" s="24" t="n"/>
      <c r="F219" s="24" t="n"/>
      <c r="G219" s="23" t="n"/>
      <c r="H219" s="23" t="n"/>
      <c r="I219" s="558" t="n"/>
      <c r="J219" s="558" t="n"/>
      <c r="K219" s="539" t="n"/>
      <c r="L219" s="539" t="n"/>
      <c r="M219" s="539" t="n"/>
      <c r="N219" s="539" t="n"/>
      <c r="O219" s="539" t="n"/>
      <c r="P219" s="539" t="n"/>
      <c r="Q219" s="539" t="n"/>
      <c r="R219" s="23" t="n"/>
      <c r="S219" s="539" t="n"/>
      <c r="T219" s="539" t="n"/>
      <c r="U219" s="27" t="n"/>
      <c r="V219" s="601"/>
      <c r="W219" s="602">
        <f>($V$5-J219)/365</f>
      </c>
      <c r="X219" s="127">
        <f>(V219-W219)/V219</f>
      </c>
      <c r="Y219" s="603" t="n"/>
      <c r="Z219" s="604">
        <f>Y219</f>
      </c>
      <c r="AA219" s="583" t="n"/>
      <c r="AB219" s="583" t="n"/>
      <c r="AC219" s="583">
        <f>Z219*0.13/(1+0.13)</f>
      </c>
      <c r="AD219" s="605">
        <f>Z219-AC219</f>
      </c>
      <c r="AE219" s="605">
        <f>Z219*H219</f>
      </c>
      <c r="AF219" s="583">
        <f>ROUND(AD219*H219,-2)</f>
      </c>
    </row>
    <row r="220" ht="15.5" customHeight="1">
      <c r="A220" s="23" t="n"/>
      <c r="B220" s="24" t="n"/>
      <c r="C220" s="24" t="n"/>
      <c r="D220" s="23" t="n"/>
      <c r="E220" s="24" t="n"/>
      <c r="F220" s="24" t="n"/>
      <c r="G220" s="23" t="n"/>
      <c r="H220" s="23" t="n"/>
      <c r="I220" s="558" t="n"/>
      <c r="J220" s="558" t="n"/>
      <c r="K220" s="539" t="n"/>
      <c r="L220" s="539" t="n"/>
      <c r="M220" s="539" t="n"/>
      <c r="N220" s="539" t="n"/>
      <c r="O220" s="539" t="n"/>
      <c r="P220" s="539" t="n"/>
      <c r="Q220" s="539" t="n"/>
      <c r="R220" s="23" t="n"/>
      <c r="S220" s="539" t="n"/>
      <c r="T220" s="539" t="n"/>
      <c r="U220" s="27" t="n"/>
      <c r="V220" s="601"/>
      <c r="W220" s="602">
        <f>($V$5-J220)/365</f>
      </c>
      <c r="X220" s="127">
        <f>(V220-W220)/V220</f>
      </c>
      <c r="Y220" s="603" t="n"/>
      <c r="Z220" s="604">
        <f>Y220</f>
      </c>
      <c r="AA220" s="583" t="n"/>
      <c r="AB220" s="583" t="n"/>
      <c r="AC220" s="583">
        <f>Z220*0.13/(1+0.13)</f>
      </c>
      <c r="AD220" s="605">
        <f>Z220-AC220</f>
      </c>
      <c r="AE220" s="605">
        <f>Z220*H220</f>
      </c>
      <c r="AF220" s="583">
        <f>ROUND(AD220*H220,-2)</f>
      </c>
    </row>
    <row r="221" ht="15.5" customHeight="1">
      <c r="A221" s="23" t="n"/>
      <c r="B221" s="24" t="n"/>
      <c r="C221" s="24" t="n"/>
      <c r="D221" s="23" t="n"/>
      <c r="E221" s="24" t="n"/>
      <c r="F221" s="24" t="n"/>
      <c r="G221" s="23" t="n"/>
      <c r="H221" s="23" t="n"/>
      <c r="I221" s="558" t="n"/>
      <c r="J221" s="558" t="n"/>
      <c r="K221" s="539" t="n"/>
      <c r="L221" s="539" t="n"/>
      <c r="M221" s="539" t="n"/>
      <c r="N221" s="539" t="n"/>
      <c r="O221" s="539" t="n"/>
      <c r="P221" s="539" t="n"/>
      <c r="Q221" s="539" t="n"/>
      <c r="R221" s="23" t="n"/>
      <c r="S221" s="539" t="n"/>
      <c r="T221" s="539" t="n"/>
      <c r="U221" s="27" t="n"/>
      <c r="V221" s="601"/>
      <c r="W221" s="602">
        <f>($V$5-J221)/365</f>
      </c>
      <c r="X221" s="127">
        <f>(V221-W221)/V221</f>
      </c>
      <c r="Y221" s="603" t="n"/>
      <c r="Z221" s="604">
        <f>Y221</f>
      </c>
      <c r="AA221" s="583" t="n"/>
      <c r="AB221" s="583" t="n"/>
      <c r="AC221" s="583">
        <f>Z221*0.13/(1+0.13)</f>
      </c>
      <c r="AD221" s="605">
        <f>Z221-AC221</f>
      </c>
      <c r="AE221" s="605">
        <f>Z221*H221</f>
      </c>
      <c r="AF221" s="583">
        <f>ROUND(AD221*H221,-2)</f>
      </c>
    </row>
    <row r="222" ht="15.5" customHeight="1">
      <c r="A222" s="23" t="n"/>
      <c r="B222" s="24" t="n"/>
      <c r="C222" s="24" t="n"/>
      <c r="D222" s="23" t="n"/>
      <c r="E222" s="24" t="n"/>
      <c r="F222" s="24" t="n"/>
      <c r="G222" s="23" t="n"/>
      <c r="H222" s="23" t="n"/>
      <c r="I222" s="558" t="n"/>
      <c r="J222" s="558" t="n"/>
      <c r="K222" s="539" t="n"/>
      <c r="L222" s="539" t="n"/>
      <c r="M222" s="539" t="n"/>
      <c r="N222" s="539" t="n"/>
      <c r="O222" s="539" t="n"/>
      <c r="P222" s="539" t="n"/>
      <c r="Q222" s="539" t="n"/>
      <c r="R222" s="23" t="n"/>
      <c r="S222" s="539" t="n"/>
      <c r="T222" s="539" t="n"/>
      <c r="U222" s="27" t="n"/>
      <c r="V222" s="601"/>
      <c r="W222" s="602">
        <f>($V$5-J222)/365</f>
      </c>
      <c r="X222" s="127">
        <f>(V222-W222)/V222</f>
      </c>
      <c r="Y222" s="603" t="n"/>
      <c r="Z222" s="604">
        <f>Y222</f>
      </c>
      <c r="AA222" s="583" t="n"/>
      <c r="AB222" s="583" t="n"/>
      <c r="AC222" s="583">
        <f>Z222*0.13/(1+0.13)</f>
      </c>
      <c r="AD222" s="605">
        <f>Z222-AC222</f>
      </c>
      <c r="AE222" s="605">
        <f>Z222*H222</f>
      </c>
      <c r="AF222" s="583">
        <f>ROUND(AD222*H222,-2)</f>
      </c>
    </row>
    <row r="223" ht="15.5" customHeight="1">
      <c r="A223" s="23" t="n"/>
      <c r="B223" s="24" t="n"/>
      <c r="C223" s="24" t="n"/>
      <c r="D223" s="23" t="n"/>
      <c r="E223" s="24" t="n"/>
      <c r="F223" s="24" t="n"/>
      <c r="G223" s="23" t="n"/>
      <c r="H223" s="23" t="n"/>
      <c r="I223" s="558" t="n"/>
      <c r="J223" s="558" t="n"/>
      <c r="K223" s="539" t="n"/>
      <c r="L223" s="539" t="n"/>
      <c r="M223" s="539" t="n"/>
      <c r="N223" s="539" t="n"/>
      <c r="O223" s="539" t="n"/>
      <c r="P223" s="539" t="n"/>
      <c r="Q223" s="539" t="n"/>
      <c r="R223" s="23" t="n"/>
      <c r="S223" s="539" t="n"/>
      <c r="T223" s="539" t="n"/>
      <c r="U223" s="27" t="n"/>
      <c r="V223" s="601"/>
      <c r="W223" s="602">
        <f>($V$5-J223)/365</f>
      </c>
      <c r="X223" s="127">
        <f>(V223-W223)/V223</f>
      </c>
      <c r="Y223" s="603" t="n"/>
      <c r="Z223" s="604">
        <f>Y223</f>
      </c>
      <c r="AA223" s="583" t="n"/>
      <c r="AB223" s="583" t="n"/>
      <c r="AC223" s="583">
        <f>Z223*0.13/(1+0.13)</f>
      </c>
      <c r="AD223" s="605">
        <f>Z223-AC223</f>
      </c>
      <c r="AE223" s="605">
        <f>Z223*H223</f>
      </c>
      <c r="AF223" s="583">
        <f>ROUND(AD223*H223,-2)</f>
      </c>
    </row>
    <row r="224" ht="15.5" customHeight="1">
      <c r="A224" s="23" t="n"/>
      <c r="B224" s="24" t="n"/>
      <c r="C224" s="24" t="n"/>
      <c r="D224" s="23" t="n"/>
      <c r="E224" s="24" t="n"/>
      <c r="F224" s="24" t="n"/>
      <c r="G224" s="23" t="n"/>
      <c r="H224" s="23" t="n"/>
      <c r="I224" s="558" t="n"/>
      <c r="J224" s="558" t="n"/>
      <c r="K224" s="539" t="n"/>
      <c r="L224" s="539" t="n"/>
      <c r="M224" s="539" t="n"/>
      <c r="N224" s="539" t="n"/>
      <c r="O224" s="539" t="n"/>
      <c r="P224" s="539" t="n"/>
      <c r="Q224" s="539" t="n"/>
      <c r="R224" s="23" t="n"/>
      <c r="S224" s="539" t="n"/>
      <c r="T224" s="539" t="n"/>
      <c r="U224" s="27" t="n"/>
      <c r="V224" s="601"/>
      <c r="W224" s="602">
        <f>($V$5-J224)/365</f>
      </c>
      <c r="X224" s="127">
        <f>(V224-W224)/V224</f>
      </c>
      <c r="Y224" s="603" t="n"/>
      <c r="Z224" s="604">
        <f>Y224</f>
      </c>
      <c r="AA224" s="583" t="n"/>
      <c r="AB224" s="583" t="n"/>
      <c r="AC224" s="583">
        <f>Z224*0.13/(1+0.13)</f>
      </c>
      <c r="AD224" s="605">
        <f>Z224-AC224</f>
      </c>
      <c r="AE224" s="605">
        <f>Z224*H224</f>
      </c>
      <c r="AF224" s="583">
        <f>ROUND(AD224*H224,-2)</f>
      </c>
    </row>
    <row r="225" ht="15.5" customHeight="1">
      <c r="A225" s="23" t="n"/>
      <c r="B225" s="24" t="n"/>
      <c r="C225" s="24" t="n"/>
      <c r="D225" s="23" t="n"/>
      <c r="E225" s="24" t="n"/>
      <c r="F225" s="24" t="n"/>
      <c r="G225" s="23" t="n"/>
      <c r="H225" s="23" t="n"/>
      <c r="I225" s="558" t="n"/>
      <c r="J225" s="558" t="n"/>
      <c r="K225" s="539" t="n"/>
      <c r="L225" s="539" t="n"/>
      <c r="M225" s="539" t="n"/>
      <c r="N225" s="539" t="n"/>
      <c r="O225" s="539" t="n"/>
      <c r="P225" s="539" t="n"/>
      <c r="Q225" s="539" t="n"/>
      <c r="R225" s="23" t="n"/>
      <c r="S225" s="539" t="n"/>
      <c r="T225" s="539" t="n"/>
      <c r="U225" s="27" t="n"/>
      <c r="V225" s="601"/>
      <c r="W225" s="602">
        <f>($V$5-J225)/365</f>
      </c>
      <c r="X225" s="127">
        <f>(V225-W225)/V225</f>
      </c>
      <c r="Y225" s="603" t="n"/>
      <c r="Z225" s="604">
        <f>Y225</f>
      </c>
      <c r="AA225" s="583" t="n"/>
      <c r="AB225" s="583" t="n"/>
      <c r="AC225" s="583">
        <f>Z225*0.13/(1+0.13)</f>
      </c>
      <c r="AD225" s="605">
        <f>Z225-AC225</f>
      </c>
      <c r="AE225" s="605">
        <f>Z225*H225</f>
      </c>
      <c r="AF225" s="583">
        <f>ROUND(AD225*H225,-2)</f>
      </c>
    </row>
    <row r="226" ht="15.5" customHeight="1">
      <c r="A226" s="23" t="n"/>
      <c r="B226" s="24" t="n"/>
      <c r="C226" s="24" t="n"/>
      <c r="D226" s="23" t="n"/>
      <c r="E226" s="24" t="n"/>
      <c r="F226" s="24" t="n"/>
      <c r="G226" s="23" t="n"/>
      <c r="H226" s="23" t="n"/>
      <c r="I226" s="558" t="n"/>
      <c r="J226" s="558" t="n"/>
      <c r="K226" s="539" t="n"/>
      <c r="L226" s="539" t="n"/>
      <c r="M226" s="539" t="n"/>
      <c r="N226" s="539" t="n"/>
      <c r="O226" s="539" t="n"/>
      <c r="P226" s="539" t="n"/>
      <c r="Q226" s="539" t="n"/>
      <c r="R226" s="23" t="n"/>
      <c r="S226" s="539" t="n"/>
      <c r="T226" s="539" t="n"/>
      <c r="U226" s="27" t="n"/>
      <c r="V226" s="601"/>
      <c r="W226" s="602">
        <f>($V$5-J226)/365</f>
      </c>
      <c r="X226" s="127">
        <f>(V226-W226)/V226</f>
      </c>
      <c r="Y226" s="603" t="n"/>
      <c r="Z226" s="604">
        <f>Y226</f>
      </c>
      <c r="AA226" s="583" t="n"/>
      <c r="AB226" s="583" t="n"/>
      <c r="AC226" s="583">
        <f>Z226*0.13/(1+0.13)</f>
      </c>
      <c r="AD226" s="605">
        <f>Z226-AC226</f>
      </c>
      <c r="AE226" s="605">
        <f>Z226*H226</f>
      </c>
      <c r="AF226" s="583">
        <f>ROUND(AD226*H226,-2)</f>
      </c>
    </row>
    <row r="227" ht="15.5" customHeight="1">
      <c r="A227" s="23" t="n"/>
      <c r="B227" s="24" t="n"/>
      <c r="C227" s="24" t="n"/>
      <c r="D227" s="23" t="n"/>
      <c r="E227" s="24" t="n"/>
      <c r="F227" s="24" t="n"/>
      <c r="G227" s="23" t="n"/>
      <c r="H227" s="23" t="n"/>
      <c r="I227" s="558" t="n"/>
      <c r="J227" s="558" t="n"/>
      <c r="K227" s="539" t="n"/>
      <c r="L227" s="539" t="n"/>
      <c r="M227" s="539" t="n"/>
      <c r="N227" s="539" t="n"/>
      <c r="O227" s="539" t="n"/>
      <c r="P227" s="539" t="n"/>
      <c r="Q227" s="539" t="n"/>
      <c r="R227" s="23" t="n"/>
      <c r="S227" s="539" t="n"/>
      <c r="T227" s="539" t="n"/>
      <c r="U227" s="27" t="n"/>
      <c r="V227" s="601"/>
      <c r="W227" s="602">
        <f>($V$5-J227)/365</f>
      </c>
      <c r="X227" s="127">
        <f>(V227-W227)/V227</f>
      </c>
      <c r="Y227" s="603" t="n"/>
      <c r="Z227" s="604">
        <f>Y227</f>
      </c>
      <c r="AA227" s="583" t="n"/>
      <c r="AB227" s="583" t="n"/>
      <c r="AC227" s="583">
        <f>Z227*0.13/(1+0.13)</f>
      </c>
      <c r="AD227" s="605">
        <f>Z227-AC227</f>
      </c>
      <c r="AE227" s="605">
        <f>Z227*H227</f>
      </c>
      <c r="AF227" s="583">
        <f>ROUND(AD227*H227,-2)</f>
      </c>
    </row>
    <row r="228" ht="15.5" customHeight="1">
      <c r="A228" s="23" t="n"/>
      <c r="B228" s="24" t="n"/>
      <c r="C228" s="24" t="n"/>
      <c r="D228" s="23" t="n"/>
      <c r="E228" s="24" t="n"/>
      <c r="F228" s="24" t="n"/>
      <c r="G228" s="23" t="n"/>
      <c r="H228" s="23" t="n"/>
      <c r="I228" s="558" t="n"/>
      <c r="J228" s="558" t="n"/>
      <c r="K228" s="539" t="n"/>
      <c r="L228" s="539" t="n"/>
      <c r="M228" s="539" t="n"/>
      <c r="N228" s="539" t="n"/>
      <c r="O228" s="539" t="n"/>
      <c r="P228" s="539" t="n"/>
      <c r="Q228" s="539" t="n"/>
      <c r="R228" s="23" t="n"/>
      <c r="S228" s="539" t="n"/>
      <c r="T228" s="539" t="n"/>
      <c r="U228" s="27" t="n"/>
      <c r="V228" s="601"/>
      <c r="W228" s="602">
        <f>($V$5-J228)/365</f>
      </c>
      <c r="X228" s="127">
        <f>(V228-W228)/V228</f>
      </c>
      <c r="Y228" s="603" t="n"/>
      <c r="Z228" s="604">
        <f>Y228</f>
      </c>
      <c r="AA228" s="583" t="n"/>
      <c r="AB228" s="583" t="n"/>
      <c r="AC228" s="583">
        <f>Z228*0.13/(1+0.13)</f>
      </c>
      <c r="AD228" s="605">
        <f>Z228-AC228</f>
      </c>
      <c r="AE228" s="605">
        <f>Z228*H228</f>
      </c>
      <c r="AF228" s="583">
        <f>ROUND(AD228*H228,-2)</f>
      </c>
    </row>
    <row r="229" ht="15.5" customHeight="1">
      <c r="A229" s="23" t="n"/>
      <c r="B229" s="24" t="n"/>
      <c r="C229" s="67" t="n"/>
      <c r="D229" s="23" t="n"/>
      <c r="E229" s="24" t="n"/>
      <c r="F229" s="24" t="n"/>
      <c r="G229" s="23" t="n"/>
      <c r="H229" s="23" t="n"/>
      <c r="I229" s="558" t="n"/>
      <c r="J229" s="558" t="n"/>
      <c r="K229" s="539" t="n"/>
      <c r="L229" s="539" t="n"/>
      <c r="M229" s="539" t="n"/>
      <c r="N229" s="539" t="n"/>
      <c r="O229" s="539" t="n"/>
      <c r="P229" s="539" t="n"/>
      <c r="Q229" s="539" t="n"/>
      <c r="R229" s="23" t="n"/>
      <c r="S229" s="539" t="n"/>
      <c r="T229" s="539" t="n"/>
      <c r="U229" s="27" t="n"/>
      <c r="V229" s="601"/>
      <c r="W229" s="602">
        <f>($V$5-J229)/365</f>
      </c>
      <c r="X229" s="127">
        <f>(V229-W229)/V229</f>
      </c>
      <c r="Y229" s="603" t="n"/>
      <c r="Z229" s="604">
        <f>Y229</f>
      </c>
      <c r="AA229" s="583" t="n"/>
      <c r="AB229" s="583" t="n"/>
      <c r="AC229" s="583">
        <f>Z229*0.13/(1+0.13)</f>
      </c>
      <c r="AD229" s="605">
        <f>Z229-AC229</f>
      </c>
      <c r="AE229" s="605">
        <f>Z229*H229</f>
      </c>
      <c r="AF229" s="583">
        <f>ROUND(AD229*H229,-2)</f>
      </c>
    </row>
    <row r="230" ht="15.5" customHeight="1">
      <c r="A230" s="23" t="n"/>
      <c r="B230" s="24" t="n"/>
      <c r="C230" s="24" t="n"/>
      <c r="D230" s="23" t="n"/>
      <c r="E230" s="24" t="n"/>
      <c r="F230" s="24" t="n"/>
      <c r="G230" s="23" t="n"/>
      <c r="H230" s="23" t="n"/>
      <c r="I230" s="558" t="n"/>
      <c r="J230" s="558" t="n"/>
      <c r="K230" s="539" t="n"/>
      <c r="L230" s="539" t="n"/>
      <c r="M230" s="539" t="n"/>
      <c r="N230" s="539" t="n"/>
      <c r="O230" s="539" t="n"/>
      <c r="P230" s="539" t="n"/>
      <c r="Q230" s="539" t="n"/>
      <c r="R230" s="23" t="n"/>
      <c r="S230" s="539" t="n"/>
      <c r="T230" s="539" t="n"/>
      <c r="U230" s="27" t="n"/>
      <c r="V230" s="601"/>
      <c r="W230" s="602">
        <f>($V$5-J230)/365</f>
      </c>
      <c r="X230" s="127">
        <f>(V230-W230)/V230</f>
      </c>
      <c r="Y230" s="603" t="n"/>
      <c r="Z230" s="604">
        <f>Y230</f>
      </c>
      <c r="AA230" s="583" t="n"/>
      <c r="AB230" s="583" t="n"/>
      <c r="AC230" s="583">
        <f>Z230*0.13/(1+0.13)</f>
      </c>
      <c r="AD230" s="605">
        <f>Z230-AC230</f>
      </c>
      <c r="AE230" s="605">
        <f>Z230*H230</f>
      </c>
      <c r="AF230" s="583">
        <f>ROUND(AD230*H230,-2)</f>
      </c>
    </row>
    <row r="231" ht="15.5" customHeight="1">
      <c r="A231" s="23" t="n"/>
      <c r="B231" s="24" t="n"/>
      <c r="C231" s="24" t="n"/>
      <c r="D231" s="23" t="n"/>
      <c r="E231" s="24" t="n"/>
      <c r="F231" s="24" t="n"/>
      <c r="G231" s="23" t="n"/>
      <c r="H231" s="23" t="n"/>
      <c r="I231" s="558" t="n"/>
      <c r="J231" s="558" t="n"/>
      <c r="K231" s="539" t="n"/>
      <c r="L231" s="539" t="n"/>
      <c r="M231" s="539" t="n"/>
      <c r="N231" s="539" t="n"/>
      <c r="O231" s="539" t="n"/>
      <c r="P231" s="539" t="n"/>
      <c r="Q231" s="539" t="n"/>
      <c r="R231" s="23" t="n"/>
      <c r="S231" s="539" t="n"/>
      <c r="T231" s="539" t="n"/>
      <c r="U231" s="27" t="n"/>
      <c r="V231" s="601"/>
      <c r="W231" s="602">
        <f>($V$5-J231)/365</f>
      </c>
      <c r="X231" s="127">
        <f>(V231-W231)/V231</f>
      </c>
      <c r="Y231" s="603" t="n"/>
      <c r="Z231" s="604">
        <f>Y231</f>
      </c>
      <c r="AA231" s="583" t="n"/>
      <c r="AB231" s="583" t="n"/>
      <c r="AC231" s="583">
        <f>Z231*0.13/(1+0.13)</f>
      </c>
      <c r="AD231" s="605">
        <f>Z231-AC231</f>
      </c>
      <c r="AE231" s="605">
        <f>Z231*H231</f>
      </c>
      <c r="AF231" s="583">
        <f>ROUND(AD231*H231,-2)</f>
      </c>
    </row>
    <row r="232" ht="15.5" customHeight="1">
      <c r="A232" s="23" t="n"/>
      <c r="B232" s="24" t="n"/>
      <c r="C232" s="67" t="n"/>
      <c r="D232" s="23" t="n"/>
      <c r="E232" s="24" t="n"/>
      <c r="F232" s="24" t="n"/>
      <c r="G232" s="23" t="n"/>
      <c r="H232" s="23" t="n"/>
      <c r="I232" s="558" t="n"/>
      <c r="J232" s="558" t="n"/>
      <c r="K232" s="539" t="n"/>
      <c r="L232" s="539" t="n"/>
      <c r="M232" s="539" t="n"/>
      <c r="N232" s="539" t="n"/>
      <c r="O232" s="539" t="n"/>
      <c r="P232" s="539" t="n"/>
      <c r="Q232" s="539" t="n"/>
      <c r="R232" s="23" t="n"/>
      <c r="S232" s="539" t="n"/>
      <c r="T232" s="539" t="n"/>
      <c r="U232" s="27" t="n"/>
      <c r="V232" s="601"/>
      <c r="W232" s="602">
        <f>($V$5-J232)/365</f>
      </c>
      <c r="X232" s="127">
        <f>(V232-W232)/V232</f>
      </c>
      <c r="Y232" s="603" t="n"/>
      <c r="Z232" s="604">
        <f>Y232</f>
      </c>
      <c r="AA232" s="583" t="n"/>
      <c r="AB232" s="583" t="n"/>
      <c r="AC232" s="583">
        <f>Z232*0.13/(1+0.13)</f>
      </c>
      <c r="AD232" s="605">
        <f>Z232-AC232</f>
      </c>
      <c r="AE232" s="605">
        <f>Z232*H232</f>
      </c>
      <c r="AF232" s="583">
        <f>ROUND(AD232*H232,-2)</f>
      </c>
    </row>
    <row r="233" ht="15.5" customHeight="1">
      <c r="A233" s="23" t="n"/>
      <c r="B233" s="24" t="n"/>
      <c r="C233" s="24" t="n"/>
      <c r="D233" s="23" t="n"/>
      <c r="E233" s="103" t="n"/>
      <c r="F233" s="27" t="n"/>
      <c r="G233" s="23" t="n"/>
      <c r="H233" s="23" t="n"/>
      <c r="I233" s="558" t="n"/>
      <c r="J233" s="558" t="n"/>
      <c r="K233" s="539" t="n"/>
      <c r="L233" s="539" t="n"/>
      <c r="M233" s="539" t="n"/>
      <c r="N233" s="539" t="n"/>
      <c r="O233" s="539" t="n"/>
      <c r="P233" s="539" t="n"/>
      <c r="Q233" s="539" t="n"/>
      <c r="R233" s="23" t="n"/>
      <c r="S233" s="539" t="n"/>
      <c r="T233" s="539" t="n"/>
      <c r="U233" s="27" t="n"/>
    </row>
    <row r="234" ht="15.5" customHeight="1">
      <c r="A234" s="23" t="inlineStr">
        <is>
          <t>合            计</t>
        </is>
      </c>
      <c r="B234" s="138" t="n"/>
      <c r="C234" s="28" t="n"/>
      <c r="D234" s="23" t="n"/>
      <c r="E234" s="104" t="n"/>
      <c r="F234" s="23" t="n"/>
      <c r="G234" s="23" t="n"/>
      <c r="H234" s="23" t="n"/>
      <c r="I234" s="25" t="n"/>
      <c r="J234" s="25" t="n"/>
      <c r="K234" s="539">
        <f>SUM(K7:K233)</f>
      </c>
      <c r="L234" s="539">
        <f>SUM(L7:L233)</f>
      </c>
      <c r="M234" s="539" t="n"/>
      <c r="N234" s="539" t="n"/>
      <c r="O234" s="539">
        <f>SUM(O7:O233)</f>
      </c>
      <c r="P234" s="539">
        <f>SUM(P7:P233)</f>
      </c>
      <c r="Q234" s="539">
        <f>SUM(Q7:Q233)</f>
      </c>
      <c r="R234" s="23" t="n"/>
      <c r="S234" s="539">
        <f>SUM(S7:S233)</f>
      </c>
      <c r="T234" s="539">
        <f>IF(P234=0,"",(S234-P234)/P234*100)</f>
      </c>
      <c r="U234" s="27" t="n"/>
    </row>
    <row r="235" ht="15.5" customHeight="1">
      <c r="A235" s="29">
        <f>封面!D11&amp;封面!G11</f>
      </c>
      <c r="O235" s="29">
        <f>"评估人员："&amp;封面!G26</f>
      </c>
    </row>
    <row r="236" ht="15.5" customHeight="1">
      <c r="A236" s="29">
        <f>CONCATENATE(封面!D13,封面!F13,封面!G13,封面!H13,封面!I13,封面!J13,封面!K13)</f>
      </c>
    </row>
  </sheetData>
  <mergeCells count="26">
    <mergeCell ref="W5:W6"/>
    <mergeCell ref="Q5:S5"/>
    <mergeCell ref="Y5:Y6"/>
    <mergeCell ref="K5:L5"/>
    <mergeCell ref="M5:N5"/>
    <mergeCell ref="F5:F6"/>
    <mergeCell ref="A3:U3"/>
    <mergeCell ref="AC5:AC6"/>
    <mergeCell ref="A2:U2"/>
    <mergeCell ref="O5:P5"/>
    <mergeCell ref="AF5:AF6"/>
    <mergeCell ref="A234:C234"/>
    <mergeCell ref="X5:X6"/>
    <mergeCell ref="Z5:Z6"/>
    <mergeCell ref="I5:I6"/>
    <mergeCell ref="A5:A6"/>
    <mergeCell ref="G5:G6"/>
    <mergeCell ref="U5:U6"/>
    <mergeCell ref="B5:B6"/>
    <mergeCell ref="AE5:AE6"/>
    <mergeCell ref="D5:D6"/>
    <mergeCell ref="H5:H6"/>
    <mergeCell ref="J5:J6"/>
    <mergeCell ref="C5:C6"/>
    <mergeCell ref="T5:T6"/>
    <mergeCell ref="AD5:AD6"/>
  </mergeCells>
  <hyperlinks>
    <hyperlink ref="A1" location="索引目录!E38" display="返回索引页"/>
    <hyperlink ref="B1" location="固定资产汇总!B12" display="返回"/>
    <hyperlink xmlns:r="http://schemas.openxmlformats.org/officeDocument/2006/relationships" ref="AG7" tooltip="https://b2b.baidu.com/land?url=https%3A%2F%2Fwww.912688.com%2Fsupply%2F339710698.html%3Fbdb2b8a2d%3D2439046228181354518&amp;query=%E5%9B%9B%E6%9F%B1%E8%A3%81%E5%88%87%E6%9C%BAXclp3&amp;category=%E6%9C%BA%E6%A2%B0%E5%B7%A5%E4%B8%9A%3B%E7%9A%AE%E9%9D%A9%E5%8A%A0%E5" display="https://b2b.baidu.com/land?url=https%3A%2F%2Fwww.912688.com%2Fsupply%2F339710698.html%3Fbdb2b8a2d%3D2439046228181354518&amp;query=%E5%9B%9B%E6%9F%B1%E8%A3%81%E5%88%87%E6%9C%BAXclp3&amp;category=%E6%9C%BA%E6%A2%B0%E5%B7%A5%E4%B8%9A%3B%E7%9A%AE%E9%9D%A9%E5%8A%A0%E5%B7%A5%E8%AE%BE%E5%A4%87%3B%E8%A3%81%E6%96%AD%E6%9C%BA" r:id="rId1"/>
    <hyperlink xmlns:r="http://schemas.openxmlformats.org/officeDocument/2006/relationships" ref="AG8" display="https://b2b.baidu.com/land?url=https%3A%2F%2Fwww.china.cn%2Frongjieji%2F3740659375.html%3Fbdb2b8a2d%3D2438987942149274047&amp;query=高周波油压机8kw&amp;category=机械工业%3B电子产品制造设备%3B熔接机" r:id="rId2"/>
    <hyperlink xmlns:r="http://schemas.openxmlformats.org/officeDocument/2006/relationships" ref="AG9" tooltip="https://b2b.baidu.com/land?url=https%3A%2F%2Fwww.912688.com%2Fsupply%2F104657120.html%3Fbdb2b8a2d%3D2438915230767428949&amp;query=%E7%94%B5%E8%84%91%E8%8A%B1%E6%A0%B7%E6%9C%BA&amp;category=%E6%9C%BA%E6%A2%B0%E5%B7%A5%E4%B8%9A%3B%E6%9C%8D%E8%A3%85%E6%9C%BA%E6%A2%B" display="https://b2b.baidu.com/land?url=https%3A%2F%2Fwww.912688.com%2Fsupply%2F104657120.html%3Fbdb2b8a2d%3D2438915230767428949&amp;query=%E7%94%B5%E8%84%91%E8%8A%B1%E6%A0%B7%E6%9C%BA&amp;category=%E6%9C%BA%E6%A2%B0%E5%B7%A5%E4%B8%9A%3B%E6%9C%8D%E8%A3%85%E6%9C%BA%E6%A2%B0%E8%AE%BE%E5%A4%87%3B%E7%BC%9D%E4%B8%AD%E8%AE%BE%E5%A4%87" r:id="rId3"/>
    <hyperlink xmlns:r="http://schemas.openxmlformats.org/officeDocument/2006/relationships" ref="AG10" display="https://detail.1688.com/offer/609784199942.html?spm=a261b.2187593.1998088710.31.6dd25256uj9vDD" r:id="rId4"/>
    <hyperlink xmlns:r="http://schemas.openxmlformats.org/officeDocument/2006/relationships" ref="AG11" display="https://detail.1688.com/offer/533989812836.html?spm=a261b.2187593.1998088710.1.7fed147csppu9q&amp;tracelog=p4p&amp;clickid=e1b987a899564175a53991eb3d153598&amp;sessionid=c37e2129882030ed537098fd0c9482d8" r:id="rId5"/>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Roman,常规"&amp;P&amp;"宋体,常规"4-6-4_x000a_页</oddHeader>
    <oddFooter/>
    <evenHeader/>
    <evenFooter/>
    <firstHeader/>
    <firstFooter/>
  </headerFooter>
  <legacyDrawing xmlns:r="http://schemas.openxmlformats.org/officeDocument/2006/relationships" r:id="anysvml"/>
</worksheet>
</file>

<file path=xl/worksheets/sheet52.xml><?xml version="1.0" encoding="utf-8"?>
<worksheet xmlns="http://schemas.openxmlformats.org/spreadsheetml/2006/main">
  <sheetPr codeName="Sheet52">
    <outlinePr summaryBelow="1" summaryRight="1"/>
    <pageSetUpPr/>
  </sheetPr>
  <dimension ref="A1:AI29"/>
  <sheetViews>
    <sheetView view="pageBreakPreview" zoomScaleNormal="100" workbookViewId="0">
      <selection activeCell="G451" sqref="G451"/>
    </sheetView>
  </sheetViews>
  <sheetFormatPr baseColWidth="8" defaultColWidth="9" defaultRowHeight="15.75" customHeight="1"/>
  <cols>
    <col width="4.25" customWidth="1" style="13" min="1" max="1"/>
    <col width="8" customWidth="1" style="13" min="2" max="2"/>
    <col width="14.8333333333333" customWidth="1" style="13" min="3" max="3"/>
    <col hidden="1" outlineLevel="1" width="8" customWidth="1" style="13" min="4" max="4"/>
    <col collapsed="1" width="7.33333333333333" customWidth="1" style="13" min="5" max="5"/>
    <col width="4.33333333333333" customWidth="1" style="13" min="6" max="7"/>
    <col width="7.83333333333333" customWidth="1" style="13" min="8" max="8"/>
    <col width="8.25" customWidth="1" style="13" min="9" max="9"/>
    <col width="7.58333333333333" customWidth="1" style="13" min="10" max="10"/>
    <col hidden="1" outlineLevel="1" width="11" customWidth="1" style="13" min="11" max="14"/>
    <col collapsed="1" width="8.5" customWidth="1" style="13" min="15" max="15"/>
    <col width="9.16666666666667" customWidth="1" style="13" min="16" max="16"/>
    <col width="9.08333333333333" customWidth="1" style="13" min="17" max="17"/>
    <col width="7.33333333333333" customWidth="1" style="13" min="18" max="18"/>
    <col width="8.5" customWidth="1" style="13" min="19" max="19"/>
    <col width="6.83333333333333" customWidth="1" style="13" min="20" max="20"/>
    <col width="5.5" customWidth="1" style="13" min="21" max="21"/>
    <col hidden="1" outlineLevel="1" width="13.0833333333333" customWidth="1" style="13" min="22" max="22"/>
    <col collapsed="1" width="9.91666666666667" customWidth="1" style="13" min="23" max="23"/>
    <col width="9" customWidth="1" style="13" min="24" max="26"/>
    <col width="9.83333333333333" customWidth="1" style="13" min="27" max="27"/>
    <col width="9.41666666666667" customWidth="1" style="13" min="28" max="28"/>
    <col width="9.83333333333333" customWidth="1" style="13" min="29" max="29"/>
    <col width="16.9166666666667" customWidth="1" style="13" min="30" max="30"/>
    <col width="9" customWidth="1" style="13" min="31" max="16384"/>
  </cols>
  <sheetData>
    <row r="1" ht="15.5" customHeight="1">
      <c r="A1" s="529" t="inlineStr">
        <is>
          <t>返回索引页</t>
        </is>
      </c>
      <c r="B1" s="52" t="inlineStr">
        <is>
          <t>返回</t>
        </is>
      </c>
      <c r="C1" s="16" t="n"/>
      <c r="D1" s="16" t="n"/>
      <c r="E1" s="16" t="n"/>
      <c r="F1" s="16" t="n"/>
      <c r="G1" s="16" t="n"/>
      <c r="H1" s="16" t="n"/>
      <c r="I1" s="16" t="n"/>
      <c r="J1" s="16" t="n"/>
      <c r="K1" s="16" t="n"/>
      <c r="L1" s="16" t="n"/>
      <c r="M1" s="16" t="n"/>
      <c r="N1" s="16" t="n"/>
      <c r="O1" s="16" t="n"/>
      <c r="P1" s="16" t="n"/>
      <c r="Q1" s="16" t="n"/>
      <c r="R1" s="16" t="n"/>
      <c r="S1" s="16" t="n"/>
      <c r="T1" s="16" t="n"/>
      <c r="U1" s="16" t="n"/>
    </row>
    <row r="2" ht="30" customFormat="1" customHeight="1" s="11">
      <c r="A2" s="53" t="inlineStr">
        <is>
          <t>固定资产—车辆评估明细表</t>
        </is>
      </c>
    </row>
    <row r="3" ht="14.15" customHeight="1">
      <c r="A3" s="535">
        <f>CONCATENATE(封面!D9,封面!F9,封面!G9,封面!H9,封面!I9,封面!J9,封面!K9)</f>
      </c>
    </row>
    <row r="4" ht="15.5" customHeight="1">
      <c r="A4" s="536">
        <f>封面!D7&amp;封面!F7</f>
      </c>
      <c r="U4" s="54" t="inlineStr">
        <is>
          <t>金额单位：人民币元</t>
        </is>
      </c>
      <c r="V4" s="606" t="n"/>
    </row>
    <row r="5" ht="13" customFormat="1" customHeight="1" s="12">
      <c r="A5" s="23" t="inlineStr">
        <is>
          <t>序号</t>
        </is>
      </c>
      <c r="B5" s="23" t="inlineStr">
        <is>
          <t>车辆牌号</t>
        </is>
      </c>
      <c r="C5" s="55" t="inlineStr">
        <is>
          <t>车辆名称
及规格型号</t>
        </is>
      </c>
      <c r="D5" s="140" t="inlineStr">
        <is>
          <t>使用单位</t>
        </is>
      </c>
      <c r="E5" s="55" t="inlineStr">
        <is>
          <t>生产厂家</t>
        </is>
      </c>
      <c r="F5" s="55" t="inlineStr">
        <is>
          <t>计量单位</t>
        </is>
      </c>
      <c r="G5" s="55" t="inlineStr">
        <is>
          <t>数量</t>
        </is>
      </c>
      <c r="H5" s="55" t="inlineStr">
        <is>
          <t>购置日期</t>
        </is>
      </c>
      <c r="I5" s="55" t="inlineStr">
        <is>
          <t>启用日期</t>
        </is>
      </c>
      <c r="J5" s="55" t="inlineStr">
        <is>
          <t>已行驶里程(公里)</t>
        </is>
      </c>
      <c r="K5" s="102" t="inlineStr">
        <is>
          <t>审计前账面值</t>
        </is>
      </c>
      <c r="L5" s="28" t="n"/>
      <c r="M5" s="102" t="inlineStr">
        <is>
          <t>审计调整</t>
        </is>
      </c>
      <c r="N5" s="28" t="n"/>
      <c r="O5" s="23" t="inlineStr">
        <is>
          <t>账面价值</t>
        </is>
      </c>
      <c r="P5" s="28" t="n"/>
      <c r="Q5" s="23" t="inlineStr">
        <is>
          <t>评估价值</t>
        </is>
      </c>
      <c r="R5" s="138" t="n"/>
      <c r="S5" s="28" t="n"/>
      <c r="T5" s="55" t="inlineStr">
        <is>
          <t>增值率%</t>
        </is>
      </c>
      <c r="U5" s="55" t="inlineStr">
        <is>
          <t>备注</t>
        </is>
      </c>
      <c r="W5" s="141" t="inlineStr">
        <is>
          <t>规定行驶里程</t>
        </is>
      </c>
      <c r="X5" s="141" t="inlineStr">
        <is>
          <t>已工作里程</t>
        </is>
      </c>
      <c r="Y5" s="141" t="inlineStr">
        <is>
          <t>里程成新率（%）</t>
        </is>
      </c>
      <c r="Z5" s="141" t="inlineStr">
        <is>
          <t>观察成新率（%）</t>
        </is>
      </c>
      <c r="AA5" s="141" t="inlineStr">
        <is>
          <t>成新率（%）</t>
        </is>
      </c>
      <c r="AB5" s="141" t="inlineStr">
        <is>
          <t>购置价格（含税）</t>
        </is>
      </c>
      <c r="AC5" s="141" t="inlineStr">
        <is>
          <t>增值税进项税额</t>
        </is>
      </c>
      <c r="AD5" s="141" t="inlineStr">
        <is>
          <t>购置价格（不含税）</t>
        </is>
      </c>
      <c r="AE5" s="141" t="inlineStr">
        <is>
          <t>购置税</t>
        </is>
      </c>
      <c r="AF5" s="141" t="inlineStr">
        <is>
          <t>地区牌照费</t>
        </is>
      </c>
      <c r="AG5" s="141" t="inlineStr">
        <is>
          <t>重置全价</t>
        </is>
      </c>
    </row>
    <row r="6" ht="13" customFormat="1" customHeight="1" s="12">
      <c r="A6" s="36" t="n"/>
      <c r="B6" s="36" t="n"/>
      <c r="C6" s="36" t="n"/>
      <c r="D6" s="36" t="n"/>
      <c r="E6" s="36" t="n"/>
      <c r="F6" s="36" t="n"/>
      <c r="G6" s="36" t="n"/>
      <c r="H6" s="36" t="n"/>
      <c r="I6" s="36" t="n"/>
      <c r="J6" s="36" t="n"/>
      <c r="K6" s="23" t="inlineStr">
        <is>
          <t>原值</t>
        </is>
      </c>
      <c r="L6" s="23" t="inlineStr">
        <is>
          <t>净值</t>
        </is>
      </c>
      <c r="M6" s="23" t="inlineStr">
        <is>
          <t>原值</t>
        </is>
      </c>
      <c r="N6" s="23" t="inlineStr">
        <is>
          <t>净值</t>
        </is>
      </c>
      <c r="O6" s="23" t="inlineStr">
        <is>
          <t>原值</t>
        </is>
      </c>
      <c r="P6" s="23" t="inlineStr">
        <is>
          <t>净值</t>
        </is>
      </c>
      <c r="Q6" s="23" t="inlineStr">
        <is>
          <t>原值</t>
        </is>
      </c>
      <c r="R6" s="23" t="inlineStr">
        <is>
          <t>成新率%</t>
        </is>
      </c>
      <c r="S6" s="23" t="inlineStr">
        <is>
          <t>净值</t>
        </is>
      </c>
      <c r="T6" s="36" t="n"/>
      <c r="U6" s="36" t="n"/>
      <c r="W6" s="36" t="n"/>
      <c r="X6" s="36" t="n"/>
      <c r="Y6" s="36" t="n"/>
      <c r="Z6" s="36" t="n"/>
      <c r="AA6" s="36" t="n"/>
      <c r="AB6" s="36" t="n"/>
      <c r="AC6" s="36" t="n"/>
      <c r="AD6" s="36" t="n"/>
      <c r="AE6" s="36" t="n"/>
      <c r="AF6" s="36" t="n"/>
      <c r="AG6" s="36" t="n"/>
    </row>
    <row r="7" ht="15.5" customHeight="1">
      <c r="A7" s="63" t="n">
        <v>1</v>
      </c>
      <c r="B7" s="63" t="n"/>
      <c r="C7" s="56" t="n"/>
      <c r="D7" s="142" t="n"/>
      <c r="E7" s="56" t="n"/>
      <c r="F7" s="23" t="n"/>
      <c r="G7" s="23" t="n"/>
      <c r="H7" s="25" t="n"/>
      <c r="I7" s="25" t="n"/>
      <c r="J7" s="38" t="n"/>
      <c r="K7" s="539" t="n"/>
      <c r="L7" s="539" t="n"/>
      <c r="M7" s="539" t="n"/>
      <c r="N7" s="539" t="n"/>
      <c r="O7" s="539" t="n"/>
      <c r="P7" s="539" t="n"/>
      <c r="Q7" s="539" t="n"/>
      <c r="R7" s="23" t="n"/>
      <c r="S7" s="539">
        <f>ROUND(Q7*R7/100,-2)</f>
      </c>
      <c r="T7" s="539">
        <f>IF(P7=0,"",(S7-P7)/P7*100)</f>
      </c>
      <c r="U7" s="27" t="n"/>
      <c r="W7" s="569"/>
      <c r="X7" s="569">
        <f>J7</f>
      </c>
      <c r="Y7" s="144">
        <f>(W7-X7)/W7</f>
      </c>
      <c r="Z7" s="144">
        <f>Y7-0.1</f>
      </c>
      <c r="AA7" s="127">
        <f>(Y7*0.6+Z7*0.4)</f>
      </c>
      <c r="AB7" s="607"/>
      <c r="AC7" s="607">
        <f>AB7*0.13/(1+0.13)</f>
      </c>
      <c r="AD7" s="569">
        <f>AB7/1.13</f>
      </c>
      <c r="AE7" s="569">
        <f>AD7*10%</f>
      </c>
      <c r="AF7" s="569"/>
      <c r="AG7" s="569">
        <f>ROUND(AD7+AE7+AF7,-2)</f>
      </c>
      <c r="AH7" s="133" t="inlineStr">
        <is>
          <t>https://www.che168.com/dealer/255777/36677775.html?pvareaid=100519&amp;userpid=0&amp;usercid=0#pos=5#page=1#rtype=10#isrecom=0#filter=63a448a0_0a0_0a0_0#module=10#refreshid=0#recomid=0#queryid=1587813166$11$e48f2cbd-d2f9-467b-865a-471a44289f31$25729#cartype=10</t>
        </is>
      </c>
      <c r="AI7" s="133" t="n"/>
    </row>
    <row r="8" ht="15.5" customHeight="1">
      <c r="A8" s="63" t="n"/>
      <c r="B8" s="63" t="n"/>
      <c r="C8" s="56" t="n"/>
      <c r="D8" s="142" t="n"/>
      <c r="E8" s="56" t="n"/>
      <c r="F8" s="23" t="n"/>
      <c r="G8" s="23" t="n"/>
      <c r="H8" s="25" t="n"/>
      <c r="I8" s="25" t="n"/>
      <c r="J8" s="38" t="n"/>
      <c r="K8" s="539" t="n"/>
      <c r="L8" s="539" t="n"/>
      <c r="M8" s="539" t="n"/>
      <c r="N8" s="539" t="n"/>
      <c r="O8" s="539" t="n"/>
      <c r="P8" s="539" t="n"/>
      <c r="Q8" s="539" t="n"/>
      <c r="R8" s="23" t="n"/>
      <c r="S8" s="539" t="n"/>
      <c r="T8" s="539">
        <f>IF(P8=0,"",(S8-P8)/P8*100)</f>
      </c>
      <c r="U8" s="27" t="n"/>
      <c r="V8" s="569" t="n"/>
      <c r="W8" s="569" t="n"/>
      <c r="X8" s="144" t="n"/>
      <c r="Y8" s="144" t="n"/>
      <c r="Z8" s="127" t="n"/>
      <c r="AA8" s="607" t="n"/>
      <c r="AB8" s="607" t="n"/>
      <c r="AC8" s="569" t="n"/>
      <c r="AD8" s="569" t="n"/>
      <c r="AE8" s="569" t="n"/>
      <c r="AF8" s="569" t="n"/>
      <c r="AG8" s="146" t="n"/>
      <c r="AH8" s="134" t="n"/>
      <c r="AI8" s="133" t="n"/>
    </row>
    <row r="9" ht="15.5" customHeight="1">
      <c r="A9" s="63" t="n"/>
      <c r="B9" s="63" t="n"/>
      <c r="C9" s="56" t="n"/>
      <c r="D9" s="142" t="n"/>
      <c r="E9" s="56" t="n"/>
      <c r="F9" s="23" t="n"/>
      <c r="G9" s="23" t="n"/>
      <c r="H9" s="25" t="n"/>
      <c r="I9" s="25" t="n"/>
      <c r="J9" s="38" t="n"/>
      <c r="K9" s="539" t="n"/>
      <c r="L9" s="539" t="n"/>
      <c r="M9" s="539" t="n"/>
      <c r="N9" s="539" t="n"/>
      <c r="O9" s="539" t="n"/>
      <c r="P9" s="539" t="n"/>
      <c r="Q9" s="539" t="n"/>
      <c r="R9" s="23" t="n"/>
      <c r="S9" s="539" t="n"/>
      <c r="T9" s="539">
        <f>IF(P9=0,"",(S9-P9)/P9*100)</f>
      </c>
      <c r="U9" s="27" t="n"/>
      <c r="V9" s="569" t="n"/>
      <c r="W9" s="569" t="n"/>
      <c r="X9" s="144" t="n"/>
      <c r="Y9" s="144" t="n"/>
      <c r="Z9" s="127" t="n"/>
      <c r="AA9" s="607" t="n"/>
      <c r="AB9" s="607" t="n"/>
      <c r="AC9" s="569" t="n"/>
      <c r="AD9" s="569" t="n"/>
      <c r="AE9" s="569" t="n"/>
      <c r="AF9" s="569" t="n"/>
      <c r="AG9" s="146" t="n"/>
      <c r="AH9" s="134" t="n"/>
      <c r="AI9" s="134" t="n"/>
    </row>
    <row r="10" ht="15.5" customHeight="1">
      <c r="A10" s="63" t="n"/>
      <c r="B10" s="63" t="n"/>
      <c r="C10" s="56" t="n"/>
      <c r="D10" s="142" t="n"/>
      <c r="E10" s="56" t="n"/>
      <c r="F10" s="23" t="n"/>
      <c r="G10" s="23" t="n"/>
      <c r="H10" s="25" t="n"/>
      <c r="I10" s="25" t="n"/>
      <c r="J10" s="38" t="n"/>
      <c r="K10" s="539" t="n"/>
      <c r="L10" s="539" t="n"/>
      <c r="M10" s="539" t="n"/>
      <c r="N10" s="539" t="n"/>
      <c r="O10" s="539" t="n"/>
      <c r="P10" s="539" t="n"/>
      <c r="Q10" s="539" t="n"/>
      <c r="R10" s="23" t="n"/>
      <c r="S10" s="539" t="n"/>
      <c r="T10" s="539">
        <f>IF(P10=0,"",(S10-P10)/P10*100)</f>
      </c>
      <c r="U10" s="27" t="n"/>
      <c r="V10" s="569" t="n"/>
      <c r="W10" s="569" t="n"/>
      <c r="X10" s="144" t="n"/>
      <c r="Y10" s="144" t="n"/>
      <c r="Z10" s="127" t="n"/>
      <c r="AA10" s="607" t="n"/>
      <c r="AB10" s="607" t="n"/>
      <c r="AC10" s="569" t="n"/>
      <c r="AD10" s="569" t="n"/>
      <c r="AE10" s="569" t="n"/>
      <c r="AF10" s="569" t="n"/>
      <c r="AG10" s="146" t="n"/>
      <c r="AH10" s="134" t="n"/>
      <c r="AI10" s="133" t="n"/>
    </row>
    <row r="11" ht="15.5" customHeight="1">
      <c r="A11" s="63" t="n"/>
      <c r="B11" s="63" t="n"/>
      <c r="C11" s="56" t="n"/>
      <c r="D11" s="142" t="n"/>
      <c r="E11" s="56" t="n"/>
      <c r="F11" s="23" t="n"/>
      <c r="G11" s="23" t="n"/>
      <c r="H11" s="25" t="n"/>
      <c r="I11" s="25" t="n"/>
      <c r="J11" s="38" t="n"/>
      <c r="K11" s="539" t="n"/>
      <c r="L11" s="539" t="n"/>
      <c r="M11" s="539" t="n"/>
      <c r="N11" s="539" t="n"/>
      <c r="O11" s="539" t="n"/>
      <c r="P11" s="539" t="n"/>
      <c r="Q11" s="539" t="n"/>
      <c r="R11" s="23" t="n"/>
      <c r="S11" s="539" t="n"/>
      <c r="T11" s="539">
        <f>IF(P11=0,"",(S11-P11)/P11*100)</f>
      </c>
      <c r="U11" s="27" t="n"/>
      <c r="V11" s="569" t="n"/>
      <c r="W11" s="569" t="n"/>
      <c r="X11" s="144" t="n"/>
      <c r="Y11" s="144" t="n"/>
      <c r="Z11" s="127" t="n"/>
      <c r="AA11" s="607" t="n"/>
      <c r="AB11" s="607" t="n"/>
      <c r="AC11" s="569" t="n"/>
      <c r="AD11" s="569" t="n"/>
      <c r="AE11" s="569" t="n"/>
      <c r="AF11" s="569" t="n"/>
      <c r="AG11" s="146" t="n"/>
      <c r="AH11" s="134" t="n"/>
      <c r="AI11" s="134" t="n"/>
    </row>
    <row r="12" ht="15.5" customHeight="1">
      <c r="A12" s="63" t="n"/>
      <c r="B12" s="63" t="n"/>
      <c r="C12" s="56" t="n"/>
      <c r="D12" s="142" t="n"/>
      <c r="E12" s="56" t="n"/>
      <c r="F12" s="23" t="n"/>
      <c r="G12" s="23" t="n"/>
      <c r="H12" s="25" t="n"/>
      <c r="I12" s="25" t="n"/>
      <c r="J12" s="38" t="n"/>
      <c r="K12" s="539" t="n"/>
      <c r="L12" s="539" t="n"/>
      <c r="M12" s="539" t="n"/>
      <c r="N12" s="539" t="n"/>
      <c r="O12" s="539" t="n"/>
      <c r="P12" s="539" t="n"/>
      <c r="Q12" s="539" t="n"/>
      <c r="R12" s="23" t="n"/>
      <c r="S12" s="539" t="n"/>
      <c r="T12" s="539">
        <f>IF(P12=0,"",(S12-P12)/P12*100)</f>
      </c>
      <c r="U12" s="27" t="n"/>
      <c r="V12" s="569" t="n"/>
      <c r="W12" s="569" t="n"/>
      <c r="X12" s="144" t="n"/>
      <c r="Y12" s="144" t="n"/>
      <c r="Z12" s="127" t="n"/>
      <c r="AA12" s="607" t="n"/>
      <c r="AB12" s="607" t="n"/>
      <c r="AC12" s="569" t="n"/>
      <c r="AD12" s="569" t="n"/>
      <c r="AE12" s="569" t="n"/>
      <c r="AF12" s="569" t="n"/>
      <c r="AG12" s="146" t="n"/>
      <c r="AH12" s="134" t="n"/>
      <c r="AI12" s="133" t="n"/>
    </row>
    <row r="13" ht="15.5" customHeight="1">
      <c r="A13" s="63" t="n"/>
      <c r="B13" s="63" t="n"/>
      <c r="C13" s="56" t="n"/>
      <c r="D13" s="142" t="n"/>
      <c r="E13" s="56" t="n"/>
      <c r="F13" s="23" t="n"/>
      <c r="G13" s="23" t="n"/>
      <c r="H13" s="25" t="n"/>
      <c r="I13" s="25" t="n"/>
      <c r="J13" s="38" t="n"/>
      <c r="K13" s="539" t="n"/>
      <c r="L13" s="539" t="n"/>
      <c r="M13" s="539" t="n"/>
      <c r="N13" s="539" t="n"/>
      <c r="O13" s="539" t="n"/>
      <c r="P13" s="539" t="n"/>
      <c r="Q13" s="539" t="n"/>
      <c r="R13" s="23" t="n"/>
      <c r="S13" s="539" t="n"/>
      <c r="T13" s="539">
        <f>IF(P13=0,"",(S13-P13)/P13*100)</f>
      </c>
      <c r="U13" s="27" t="n"/>
      <c r="V13" s="569" t="n"/>
      <c r="W13" s="569" t="n"/>
      <c r="X13" s="144" t="n"/>
      <c r="Y13" s="144" t="n"/>
      <c r="Z13" s="127" t="n"/>
      <c r="AA13" s="607" t="n"/>
      <c r="AB13" s="607" t="n"/>
      <c r="AC13" s="569" t="n"/>
      <c r="AD13" s="569" t="n"/>
      <c r="AE13" s="569" t="n"/>
      <c r="AF13" s="569" t="n"/>
      <c r="AG13" s="146" t="n"/>
    </row>
    <row r="14" ht="15.5" customHeight="1">
      <c r="A14" s="63" t="n"/>
      <c r="B14" s="63" t="n"/>
      <c r="C14" s="56" t="n"/>
      <c r="D14" s="142" t="n"/>
      <c r="E14" s="56" t="n"/>
      <c r="F14" s="23" t="n"/>
      <c r="G14" s="23" t="n"/>
      <c r="H14" s="25" t="n"/>
      <c r="I14" s="25" t="n"/>
      <c r="J14" s="38" t="n"/>
      <c r="K14" s="539" t="n"/>
      <c r="L14" s="539" t="n"/>
      <c r="M14" s="539" t="n"/>
      <c r="N14" s="539" t="n"/>
      <c r="O14" s="539" t="n"/>
      <c r="P14" s="539" t="n"/>
      <c r="Q14" s="539" t="n"/>
      <c r="R14" s="23" t="n"/>
      <c r="S14" s="539" t="n"/>
      <c r="T14" s="539">
        <f>IF(P14=0,"",(S14-P14)/P14*100)</f>
      </c>
      <c r="U14" s="27" t="n"/>
      <c r="V14" s="569" t="n"/>
      <c r="W14" s="569" t="n"/>
      <c r="X14" s="144" t="n"/>
      <c r="Y14" s="144" t="n"/>
      <c r="Z14" s="127" t="n"/>
      <c r="AA14" s="607" t="n"/>
      <c r="AB14" s="607" t="n"/>
      <c r="AC14" s="569" t="n"/>
      <c r="AD14" s="569" t="n"/>
      <c r="AE14" s="569" t="n"/>
      <c r="AF14" s="569" t="n"/>
      <c r="AG14" s="146" t="n"/>
      <c r="AH14" s="134" t="n"/>
    </row>
    <row r="15" ht="15.5" customHeight="1">
      <c r="A15" s="63" t="n"/>
      <c r="B15" s="63" t="n"/>
      <c r="C15" s="56" t="n"/>
      <c r="D15" s="142" t="n"/>
      <c r="E15" s="56" t="n"/>
      <c r="F15" s="23" t="n"/>
      <c r="G15" s="23" t="n"/>
      <c r="H15" s="25" t="n"/>
      <c r="I15" s="25" t="n"/>
      <c r="J15" s="38" t="n"/>
      <c r="K15" s="539" t="n"/>
      <c r="L15" s="539" t="n"/>
      <c r="M15" s="539" t="n"/>
      <c r="N15" s="539" t="n"/>
      <c r="O15" s="539" t="n"/>
      <c r="P15" s="539" t="n"/>
      <c r="Q15" s="539" t="n"/>
      <c r="R15" s="23" t="n"/>
      <c r="S15" s="539" t="n"/>
      <c r="T15" s="539">
        <f>IF(P15=0,"",(S15-P15)/P15*100)</f>
      </c>
      <c r="U15" s="27" t="n"/>
      <c r="V15" s="569" t="n"/>
      <c r="W15" s="569" t="n"/>
      <c r="X15" s="144" t="n"/>
      <c r="Y15" s="144" t="n"/>
      <c r="Z15" s="127" t="n"/>
      <c r="AA15" s="607" t="n"/>
      <c r="AB15" s="607" t="n"/>
      <c r="AC15" s="569" t="n"/>
      <c r="AD15" s="569" t="n"/>
      <c r="AE15" s="569" t="n"/>
      <c r="AF15" s="569" t="n"/>
      <c r="AG15" s="146" t="n"/>
      <c r="AH15" s="134" t="n"/>
    </row>
    <row r="16" ht="15.5" customHeight="1">
      <c r="A16" s="63" t="n"/>
      <c r="B16" s="63" t="n"/>
      <c r="C16" s="56" t="n"/>
      <c r="D16" s="142" t="n"/>
      <c r="E16" s="56" t="n"/>
      <c r="F16" s="23" t="n"/>
      <c r="G16" s="23" t="n"/>
      <c r="H16" s="25" t="n"/>
      <c r="I16" s="25" t="n"/>
      <c r="J16" s="38" t="n"/>
      <c r="K16" s="539" t="n"/>
      <c r="L16" s="539" t="n"/>
      <c r="M16" s="539" t="n"/>
      <c r="N16" s="539" t="n"/>
      <c r="O16" s="539" t="n"/>
      <c r="P16" s="539" t="n"/>
      <c r="Q16" s="539" t="n"/>
      <c r="R16" s="23" t="n"/>
      <c r="S16" s="539" t="n"/>
      <c r="T16" s="539">
        <f>IF(P16=0,"",(S16-P16)/P16*100)</f>
      </c>
      <c r="U16" s="27" t="n"/>
      <c r="V16" s="569" t="n"/>
      <c r="W16" s="569" t="n"/>
      <c r="X16" s="144" t="n"/>
      <c r="Y16" s="144" t="n"/>
      <c r="Z16" s="127" t="n"/>
      <c r="AA16" s="607" t="n"/>
      <c r="AB16" s="607" t="n"/>
      <c r="AC16" s="569" t="n"/>
      <c r="AD16" s="569" t="n"/>
      <c r="AE16" s="569" t="n"/>
      <c r="AF16" s="569" t="n"/>
      <c r="AG16" s="146" t="n"/>
      <c r="AH16" s="134" t="n"/>
    </row>
    <row r="17" ht="15.5" customHeight="1">
      <c r="A17" s="63" t="n"/>
      <c r="B17" s="63" t="n"/>
      <c r="C17" s="56" t="n"/>
      <c r="D17" s="142" t="n"/>
      <c r="E17" s="56" t="n"/>
      <c r="F17" s="23" t="n"/>
      <c r="G17" s="23" t="n"/>
      <c r="H17" s="25" t="n"/>
      <c r="I17" s="25" t="n"/>
      <c r="J17" s="38" t="n"/>
      <c r="K17" s="539" t="n"/>
      <c r="L17" s="539" t="n"/>
      <c r="M17" s="539" t="n"/>
      <c r="N17" s="539" t="n"/>
      <c r="O17" s="539" t="n"/>
      <c r="P17" s="539" t="n"/>
      <c r="Q17" s="539" t="n"/>
      <c r="R17" s="23" t="n"/>
      <c r="S17" s="539" t="n"/>
      <c r="T17" s="539">
        <f>IF(P17=0,"",(S17-P17)/P17*100)</f>
      </c>
      <c r="U17" s="27" t="n"/>
      <c r="V17" s="569" t="n"/>
      <c r="W17" s="569" t="n"/>
      <c r="X17" s="144" t="n"/>
      <c r="Y17" s="144" t="n"/>
      <c r="Z17" s="127" t="n"/>
      <c r="AA17" s="607" t="n"/>
      <c r="AB17" s="607" t="n"/>
      <c r="AC17" s="569" t="n"/>
      <c r="AD17" s="569" t="n"/>
      <c r="AE17" s="569" t="n"/>
      <c r="AF17" s="569" t="n"/>
      <c r="AG17" s="146" t="n"/>
      <c r="AH17" s="134" t="n"/>
    </row>
    <row r="18" ht="15.5" customHeight="1">
      <c r="A18" s="63" t="n"/>
      <c r="B18" s="63" t="n"/>
      <c r="C18" s="56" t="n"/>
      <c r="D18" s="142" t="n"/>
      <c r="E18" s="56" t="n"/>
      <c r="F18" s="23" t="n"/>
      <c r="G18" s="23" t="n"/>
      <c r="H18" s="25" t="n"/>
      <c r="I18" s="25" t="n"/>
      <c r="J18" s="38" t="n"/>
      <c r="K18" s="539" t="n"/>
      <c r="L18" s="539" t="n"/>
      <c r="M18" s="539" t="n"/>
      <c r="N18" s="539" t="n"/>
      <c r="O18" s="539" t="n"/>
      <c r="P18" s="539" t="n"/>
      <c r="Q18" s="539" t="n"/>
      <c r="R18" s="23" t="n"/>
      <c r="S18" s="539" t="n"/>
      <c r="T18" s="539">
        <f>IF(P18=0,"",(S18-P18)/P18*100)</f>
      </c>
      <c r="U18" s="27" t="n"/>
      <c r="V18" s="569" t="n"/>
      <c r="W18" s="569" t="n"/>
      <c r="X18" s="144" t="n"/>
      <c r="Y18" s="144" t="n"/>
      <c r="Z18" s="127" t="n"/>
      <c r="AA18" s="607" t="n"/>
      <c r="AB18" s="607" t="n"/>
      <c r="AC18" s="569" t="n"/>
      <c r="AD18" s="569" t="n"/>
      <c r="AE18" s="569" t="n"/>
      <c r="AF18" s="569" t="n"/>
      <c r="AG18" s="146" t="n"/>
      <c r="AH18" s="134" t="n"/>
    </row>
    <row r="19" ht="15.5" customHeight="1">
      <c r="A19" s="63" t="n"/>
      <c r="B19" s="63" t="n"/>
      <c r="C19" s="56" t="n"/>
      <c r="D19" s="142" t="n"/>
      <c r="E19" s="56" t="n"/>
      <c r="F19" s="23" t="n"/>
      <c r="G19" s="23" t="n"/>
      <c r="H19" s="25" t="n"/>
      <c r="I19" s="25" t="n"/>
      <c r="J19" s="38" t="n"/>
      <c r="K19" s="539" t="n"/>
      <c r="L19" s="539" t="n"/>
      <c r="M19" s="539" t="n"/>
      <c r="N19" s="539" t="n"/>
      <c r="O19" s="539" t="n"/>
      <c r="P19" s="539" t="n"/>
      <c r="Q19" s="539" t="n"/>
      <c r="R19" s="23" t="n"/>
      <c r="S19" s="539" t="n"/>
      <c r="T19" s="539">
        <f>IF(P19=0,"",(S19-P19)/P19*100)</f>
      </c>
      <c r="U19" s="27" t="n"/>
      <c r="V19" s="569" t="n"/>
      <c r="W19" s="569" t="n"/>
      <c r="X19" s="144" t="n"/>
      <c r="Y19" s="144" t="n"/>
      <c r="Z19" s="127" t="n"/>
      <c r="AA19" s="607" t="n"/>
      <c r="AB19" s="607" t="n"/>
      <c r="AC19" s="569" t="n"/>
      <c r="AD19" s="569" t="n"/>
      <c r="AE19" s="569" t="n"/>
      <c r="AF19" s="569" t="n"/>
      <c r="AG19" s="146" t="n"/>
      <c r="AH19" s="134" t="n"/>
    </row>
    <row r="20" ht="15.5" customHeight="1">
      <c r="A20" s="63" t="n"/>
      <c r="B20" s="63" t="n"/>
      <c r="C20" s="56" t="n"/>
      <c r="D20" s="142" t="n"/>
      <c r="E20" s="56" t="n"/>
      <c r="F20" s="23" t="n"/>
      <c r="G20" s="23" t="n"/>
      <c r="H20" s="25" t="n"/>
      <c r="I20" s="25" t="n"/>
      <c r="J20" s="38" t="n"/>
      <c r="K20" s="539" t="n"/>
      <c r="L20" s="539" t="n"/>
      <c r="M20" s="539" t="n"/>
      <c r="N20" s="539" t="n"/>
      <c r="O20" s="539" t="n"/>
      <c r="P20" s="539" t="n"/>
      <c r="Q20" s="539" t="n"/>
      <c r="R20" s="23" t="n"/>
      <c r="S20" s="539" t="n"/>
      <c r="T20" s="539">
        <f>IF(P20=0,"",(S20-P20)/P20*100)</f>
      </c>
      <c r="U20" s="27" t="n"/>
      <c r="V20" s="569" t="n"/>
      <c r="W20" s="569" t="n"/>
      <c r="X20" s="144" t="n"/>
      <c r="Y20" s="144" t="n"/>
      <c r="Z20" s="127" t="n"/>
      <c r="AA20" s="607" t="n"/>
      <c r="AB20" s="607" t="n"/>
      <c r="AC20" s="569" t="n"/>
      <c r="AD20" s="569" t="n"/>
      <c r="AE20" s="569" t="n"/>
      <c r="AF20" s="569" t="n"/>
      <c r="AG20" s="146" t="n"/>
      <c r="AH20" s="134" t="n"/>
    </row>
    <row r="21" ht="15.5" customHeight="1">
      <c r="A21" s="63" t="n"/>
      <c r="B21" s="63" t="n"/>
      <c r="C21" s="56" t="n"/>
      <c r="D21" s="142" t="n"/>
      <c r="E21" s="56" t="n"/>
      <c r="F21" s="23" t="n"/>
      <c r="G21" s="23" t="n"/>
      <c r="H21" s="25" t="n"/>
      <c r="I21" s="25" t="n"/>
      <c r="J21" s="38" t="n"/>
      <c r="K21" s="539" t="n"/>
      <c r="L21" s="539" t="n"/>
      <c r="M21" s="539" t="n"/>
      <c r="N21" s="539" t="n"/>
      <c r="O21" s="539" t="n"/>
      <c r="P21" s="539" t="n"/>
      <c r="Q21" s="539" t="n"/>
      <c r="R21" s="23" t="n"/>
      <c r="S21" s="539" t="n"/>
      <c r="T21" s="539">
        <f>IF(P21=0,"",(S21-P21)/P21*100)</f>
      </c>
      <c r="U21" s="27" t="n"/>
      <c r="V21" s="569" t="n"/>
      <c r="W21" s="569" t="n"/>
      <c r="X21" s="144" t="n"/>
      <c r="Y21" s="144" t="n"/>
      <c r="Z21" s="127" t="n"/>
      <c r="AA21" s="607" t="n"/>
      <c r="AB21" s="607" t="n"/>
      <c r="AC21" s="569" t="n"/>
      <c r="AD21" s="569" t="n"/>
      <c r="AE21" s="569" t="n"/>
      <c r="AF21" s="569" t="n"/>
      <c r="AG21" s="146" t="n"/>
      <c r="AH21" s="133" t="n"/>
    </row>
    <row r="22" ht="15.5" customHeight="1">
      <c r="A22" s="63" t="n"/>
      <c r="B22" s="63" t="n"/>
      <c r="C22" s="56" t="n"/>
      <c r="D22" s="142" t="n"/>
      <c r="E22" s="56" t="n"/>
      <c r="F22" s="23" t="n"/>
      <c r="G22" s="23" t="n"/>
      <c r="H22" s="25" t="n"/>
      <c r="I22" s="25" t="n"/>
      <c r="J22" s="38" t="n"/>
      <c r="K22" s="539" t="n"/>
      <c r="L22" s="539" t="n"/>
      <c r="M22" s="539" t="n"/>
      <c r="N22" s="539" t="n"/>
      <c r="O22" s="539" t="n"/>
      <c r="P22" s="539" t="n"/>
      <c r="Q22" s="539" t="n"/>
      <c r="R22" s="23" t="n"/>
      <c r="S22" s="539" t="n"/>
      <c r="T22" s="539">
        <f>IF(P22=0,"",(S22-P22)/P22*100)</f>
      </c>
      <c r="U22" s="27" t="n"/>
      <c r="V22" s="12" t="n"/>
      <c r="W22" s="608" t="n"/>
      <c r="X22" s="608" t="n"/>
      <c r="Y22" s="12" t="n"/>
      <c r="Z22" s="127" t="n"/>
      <c r="AA22" s="607" t="n"/>
      <c r="AB22" s="607" t="n"/>
      <c r="AC22" s="569" t="n"/>
      <c r="AD22" s="569" t="n"/>
      <c r="AE22" s="569" t="n"/>
      <c r="AF22" s="569" t="n"/>
      <c r="AG22" s="146" t="n"/>
    </row>
    <row r="23" ht="15.5" customHeight="1">
      <c r="A23" s="63" t="n"/>
      <c r="B23" s="63" t="n"/>
      <c r="C23" s="56" t="n"/>
      <c r="D23" s="142" t="n"/>
      <c r="E23" s="56" t="n"/>
      <c r="F23" s="23" t="n"/>
      <c r="G23" s="23" t="n"/>
      <c r="H23" s="25" t="n"/>
      <c r="I23" s="25" t="n"/>
      <c r="J23" s="38" t="n"/>
      <c r="K23" s="539" t="n"/>
      <c r="L23" s="539" t="n"/>
      <c r="M23" s="539" t="n"/>
      <c r="N23" s="539" t="n"/>
      <c r="O23" s="539" t="n"/>
      <c r="P23" s="539" t="n"/>
      <c r="Q23" s="539" t="n"/>
      <c r="R23" s="23" t="n"/>
      <c r="S23" s="539" t="n"/>
      <c r="T23" s="539">
        <f>IF(P23=0,"",(S23-P23)/P23*100)</f>
      </c>
      <c r="U23" s="27" t="n"/>
      <c r="V23" s="12" t="n"/>
      <c r="W23" s="608" t="n"/>
      <c r="X23" s="608" t="n"/>
      <c r="Y23" s="12" t="n"/>
      <c r="Z23" s="127" t="n"/>
      <c r="AA23" s="607" t="n"/>
      <c r="AB23" s="607" t="n"/>
      <c r="AC23" s="569" t="n"/>
      <c r="AD23" s="569" t="n"/>
      <c r="AE23" s="569" t="n"/>
      <c r="AF23" s="569" t="n"/>
      <c r="AG23" s="146" t="n"/>
    </row>
    <row r="24" ht="15.5" customHeight="1">
      <c r="A24" s="63" t="n"/>
      <c r="B24" s="63" t="n"/>
      <c r="C24" s="56" t="n"/>
      <c r="D24" s="142" t="n"/>
      <c r="E24" s="56" t="n"/>
      <c r="F24" s="23" t="n"/>
      <c r="G24" s="23" t="n"/>
      <c r="H24" s="25" t="n"/>
      <c r="I24" s="25" t="n"/>
      <c r="J24" s="38" t="n"/>
      <c r="K24" s="539" t="n"/>
      <c r="L24" s="539" t="n"/>
      <c r="M24" s="539" t="n"/>
      <c r="N24" s="539" t="n"/>
      <c r="O24" s="539" t="n"/>
      <c r="P24" s="539" t="n"/>
      <c r="Q24" s="539" t="n"/>
      <c r="R24" s="23" t="n"/>
      <c r="S24" s="539" t="n"/>
      <c r="T24" s="539">
        <f>IF(P24=0,"",(S24-P24)/P24*100)</f>
      </c>
      <c r="U24" s="27" t="n"/>
      <c r="V24" s="12" t="n"/>
      <c r="W24" s="608" t="n"/>
      <c r="X24" s="608" t="n"/>
      <c r="Y24" s="12" t="n"/>
      <c r="Z24" s="127" t="n"/>
      <c r="AA24" s="607" t="n"/>
      <c r="AB24" s="607" t="n"/>
      <c r="AC24" s="569" t="n"/>
      <c r="AD24" s="569" t="n"/>
      <c r="AE24" s="569" t="n"/>
      <c r="AF24" s="569" t="n"/>
      <c r="AG24" s="146" t="n"/>
    </row>
    <row r="25" ht="15.5" customHeight="1">
      <c r="A25" s="23" t="n"/>
      <c r="B25" s="23" t="n"/>
      <c r="C25" s="24" t="n"/>
      <c r="D25" s="103" t="n"/>
      <c r="E25" s="24" t="n"/>
      <c r="F25" s="23" t="n"/>
      <c r="G25" s="23" t="n"/>
      <c r="H25" s="25" t="n"/>
      <c r="I25" s="25" t="n"/>
      <c r="J25" s="38" t="n"/>
      <c r="K25" s="539" t="n"/>
      <c r="L25" s="539" t="n"/>
      <c r="M25" s="539" t="n"/>
      <c r="N25" s="539" t="n"/>
      <c r="O25" s="539" t="n"/>
      <c r="P25" s="539" t="n"/>
      <c r="Q25" s="539" t="n"/>
      <c r="R25" s="23" t="n"/>
      <c r="S25" s="539" t="n"/>
      <c r="T25" s="539">
        <f>IF(P25=0,"",(S25-P25)/P25*100)</f>
      </c>
      <c r="U25" s="27" t="n"/>
      <c r="V25" s="12" t="n"/>
      <c r="W25" s="608" t="n"/>
      <c r="X25" s="608" t="n"/>
      <c r="Y25" s="12" t="n"/>
      <c r="Z25" s="127" t="n"/>
      <c r="AA25" s="607" t="n"/>
      <c r="AB25" s="607" t="n"/>
      <c r="AC25" s="569" t="n"/>
      <c r="AD25" s="569" t="n"/>
      <c r="AE25" s="569" t="n"/>
      <c r="AF25" s="569" t="n"/>
      <c r="AG25" s="146" t="n"/>
    </row>
    <row r="26" ht="15.5" customHeight="1">
      <c r="A26" s="23" t="n"/>
      <c r="B26" s="23" t="n"/>
      <c r="C26" s="24" t="n"/>
      <c r="D26" s="103" t="n"/>
      <c r="E26" s="24" t="n"/>
      <c r="F26" s="23" t="n"/>
      <c r="G26" s="23" t="n"/>
      <c r="H26" s="25" t="n"/>
      <c r="I26" s="25" t="n"/>
      <c r="J26" s="38" t="n"/>
      <c r="K26" s="539" t="n"/>
      <c r="L26" s="539" t="n"/>
      <c r="M26" s="539" t="n"/>
      <c r="N26" s="539" t="n"/>
      <c r="O26" s="539" t="n"/>
      <c r="P26" s="539" t="n"/>
      <c r="Q26" s="539" t="n"/>
      <c r="R26" s="23" t="n"/>
      <c r="S26" s="539" t="n"/>
      <c r="T26" s="539" t="n"/>
      <c r="U26" s="27" t="n"/>
      <c r="V26" s="12" t="n"/>
      <c r="W26" s="608" t="n"/>
      <c r="X26" s="608" t="n"/>
      <c r="Y26" s="12" t="n"/>
      <c r="Z26" s="127" t="n"/>
      <c r="AA26" s="607" t="n"/>
      <c r="AB26" s="607" t="n"/>
      <c r="AC26" s="569" t="n"/>
      <c r="AD26" s="569" t="n"/>
      <c r="AE26" s="569" t="n"/>
      <c r="AF26" s="569" t="n"/>
      <c r="AG26" s="146" t="n"/>
    </row>
    <row r="27" ht="15.5" customHeight="1">
      <c r="A27" s="23" t="inlineStr">
        <is>
          <t>合            计</t>
        </is>
      </c>
      <c r="B27" s="138" t="n"/>
      <c r="C27" s="28" t="n"/>
      <c r="D27" s="103" t="n"/>
      <c r="E27" s="24" t="n"/>
      <c r="F27" s="23" t="n"/>
      <c r="G27" s="23" t="n"/>
      <c r="H27" s="25" t="n"/>
      <c r="I27" s="25" t="n"/>
      <c r="J27" s="23" t="n"/>
      <c r="K27" s="539">
        <f>SUM(K7:K26)</f>
      </c>
      <c r="L27" s="539">
        <f>SUM(L7:L26)</f>
      </c>
      <c r="M27" s="539" t="n"/>
      <c r="N27" s="539" t="n"/>
      <c r="O27" s="539">
        <f>SUM(O7:O26)</f>
      </c>
      <c r="P27" s="539">
        <f>SUM(P7:P26)</f>
      </c>
      <c r="Q27" s="539">
        <f>SUM(Q7:Q26)</f>
      </c>
      <c r="R27" s="23" t="n"/>
      <c r="S27" s="539">
        <f>SUM(S7:S26)</f>
      </c>
      <c r="T27" s="539">
        <f>IF(P27=0,"",(S27-P27)/P27*100)</f>
      </c>
      <c r="U27" s="27" t="n"/>
      <c r="V27" s="12" t="n"/>
      <c r="W27" s="608" t="n"/>
      <c r="X27" s="608" t="n"/>
      <c r="Y27" s="12" t="n"/>
      <c r="Z27" s="127" t="n"/>
      <c r="AA27" s="607" t="n"/>
      <c r="AB27" s="607" t="n"/>
      <c r="AC27" s="569" t="n"/>
      <c r="AD27" s="569" t="n"/>
      <c r="AE27" s="569" t="n"/>
      <c r="AF27" s="569" t="n"/>
      <c r="AG27" s="146" t="n"/>
    </row>
    <row r="28" ht="15.5" customHeight="1">
      <c r="A28" s="29">
        <f>封面!D11&amp;封面!G11</f>
      </c>
      <c r="O28" s="29">
        <f>"评估人员："&amp;封面!G26</f>
      </c>
    </row>
    <row r="29" ht="15.5" customHeight="1">
      <c r="A29" s="29">
        <f>CONCATENATE(封面!D13,封面!F13,封面!G13,封面!H13,封面!I13,封面!J13,封面!K13)</f>
      </c>
    </row>
  </sheetData>
  <mergeCells count="30">
    <mergeCell ref="E5:E6"/>
    <mergeCell ref="W5:W6"/>
    <mergeCell ref="Q5:S5"/>
    <mergeCell ref="Y5:Y6"/>
    <mergeCell ref="K5:L5"/>
    <mergeCell ref="A27:C27"/>
    <mergeCell ref="M5:N5"/>
    <mergeCell ref="F5:F6"/>
    <mergeCell ref="AA5:AA6"/>
    <mergeCell ref="A3:U3"/>
    <mergeCell ref="AC5:AC6"/>
    <mergeCell ref="A2:U2"/>
    <mergeCell ref="O5:P5"/>
    <mergeCell ref="AF5:AF6"/>
    <mergeCell ref="X5:X6"/>
    <mergeCell ref="Z5:Z6"/>
    <mergeCell ref="I5:I6"/>
    <mergeCell ref="A5:A6"/>
    <mergeCell ref="G5:G6"/>
    <mergeCell ref="U5:U6"/>
    <mergeCell ref="B5:B6"/>
    <mergeCell ref="AE5:AE6"/>
    <mergeCell ref="D5:D6"/>
    <mergeCell ref="AG5:AG6"/>
    <mergeCell ref="H5:H6"/>
    <mergeCell ref="J5:J6"/>
    <mergeCell ref="C5:C6"/>
    <mergeCell ref="T5:T6"/>
    <mergeCell ref="AB5:AB6"/>
    <mergeCell ref="AD5:AD6"/>
  </mergeCells>
  <hyperlinks>
    <hyperlink ref="A1" location="索引目录!E39" display="返回索引页"/>
    <hyperlink ref="B1" location="固定资产汇总!B13" display="返回"/>
    <hyperlink xmlns:r="http://schemas.openxmlformats.org/officeDocument/2006/relationships" ref="AH7" location="pos=5#page=1#rtype=10#isrecom=0#filter=63a448a0_0a0_0a0_0#module=10#refreshid=0#recomid=0#queryid=1587813166$11$e48f2cbd-d2f9-467b-865a-471a44289f31$25729#cartype=10" display="https://www.che168.com/dealer/255777/36677775.html?pvareaid=100519&amp;userpid=0&amp;usercid=0#pos=5#page=1#rtype=10#isrecom=0#filter=63a448a0_0a0_0a0_0#module=10#refreshid=0#recomid=0#queryid=1587813166$11$e48f2cbd-d2f9-467b-865a-471a44289f31$25729#cartype=10" r:id="rId1"/>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Roman,常规"&amp;P&amp;"宋体,常规"4-6-5_x000a_页</oddHeader>
    <oddFooter/>
    <evenHeader/>
    <evenFooter/>
    <firstHeader/>
    <firstFooter/>
  </headerFooter>
  <legacyDrawing xmlns:r="http://schemas.openxmlformats.org/officeDocument/2006/relationships" r:id="anysvml"/>
</worksheet>
</file>

<file path=xl/worksheets/sheet53.xml><?xml version="1.0" encoding="utf-8"?>
<worksheet xmlns="http://schemas.openxmlformats.org/spreadsheetml/2006/main">
  <sheetPr codeName="Sheet53">
    <outlinePr summaryBelow="1" summaryRight="1"/>
    <pageSetUpPr fitToPage="1"/>
  </sheetPr>
  <dimension ref="A1:AJ451"/>
  <sheetViews>
    <sheetView view="pageBreakPreview" zoomScale="70" zoomScaleNormal="100" workbookViewId="0">
      <selection activeCell="H37" sqref="H37"/>
    </sheetView>
  </sheetViews>
  <sheetFormatPr baseColWidth="8" defaultColWidth="9" defaultRowHeight="15.75" customHeight="1"/>
  <cols>
    <col width="6.08333333333333" customWidth="1" style="13" min="1" max="1"/>
    <col width="11.5833333333333" customWidth="1" style="13" min="2" max="2"/>
    <col width="14.925" customWidth="1" style="13" min="3" max="3"/>
    <col width="12.5" customWidth="1" style="13" min="4" max="4"/>
    <col width="13.5" customWidth="1" style="13" min="5" max="5"/>
    <col hidden="1" outlineLevel="1" width="8" customWidth="1" style="13" min="6" max="6"/>
    <col collapsed="1" width="19.125" customWidth="1" style="13" min="7" max="7"/>
    <col width="4.08333333333333" customWidth="1" style="13" min="8" max="9"/>
    <col width="9.75" customWidth="1" style="13" min="10" max="11"/>
    <col hidden="1" outlineLevel="1" width="11" customWidth="1" style="13" min="12" max="15"/>
    <col collapsed="1" width="11" customWidth="1" style="13" min="16" max="16"/>
    <col width="11" customWidth="1" style="13" min="17" max="18"/>
    <col width="7" customWidth="1" style="13" min="19" max="19"/>
    <col width="11" customWidth="1" style="13" min="20" max="20"/>
    <col width="7.83333333333333" customWidth="1" style="13" min="21" max="21"/>
    <col width="6" customWidth="1" style="13" min="22" max="22"/>
    <col width="11.5" customWidth="1" style="13" min="23" max="23"/>
    <col width="9.58333333333333" customWidth="1" style="13" min="24" max="24"/>
    <col width="9" customWidth="1" style="13" min="25" max="28"/>
    <col width="10.4166666666667" customWidth="1" style="13" min="29" max="29"/>
    <col width="9" customWidth="1" style="13" min="30" max="16384"/>
  </cols>
  <sheetData>
    <row r="1" ht="15.5" customHeight="1">
      <c r="A1" s="559" t="inlineStr">
        <is>
          <t>返回索引页</t>
        </is>
      </c>
      <c r="B1" s="15" t="inlineStr">
        <is>
          <t>返回</t>
        </is>
      </c>
      <c r="C1" s="15" t="n"/>
      <c r="D1" s="16" t="n"/>
      <c r="E1" s="16" t="n"/>
      <c r="F1" s="16" t="n"/>
      <c r="G1" s="16" t="n"/>
      <c r="H1" s="16" t="n"/>
      <c r="I1" s="16" t="n"/>
      <c r="J1" s="16" t="n"/>
      <c r="K1" s="16" t="n"/>
      <c r="L1" s="16" t="n"/>
      <c r="M1" s="16" t="n"/>
      <c r="N1" s="16" t="n"/>
      <c r="O1" s="16" t="n"/>
      <c r="P1" s="16" t="n"/>
      <c r="Q1" s="16" t="n"/>
      <c r="R1" s="16" t="n"/>
      <c r="S1" s="16" t="n"/>
      <c r="T1" s="16" t="n"/>
      <c r="U1" s="16" t="n"/>
      <c r="V1" s="16" t="n"/>
    </row>
    <row r="2" ht="30" customFormat="1" customHeight="1" s="11">
      <c r="A2" s="17" t="inlineStr">
        <is>
          <t>固定资产—电子设备评估明细表</t>
        </is>
      </c>
    </row>
    <row r="3" ht="14.15" customHeight="1">
      <c r="A3" s="535">
        <f>CONCATENATE(封面!D9,封面!F9,封面!G9,封面!H9,封面!I9,封面!J9,封面!K9)</f>
      </c>
    </row>
    <row r="4">
      <c r="A4" s="536">
        <f>封面!D7&amp;封面!F7</f>
      </c>
      <c r="V4" s="20" t="inlineStr">
        <is>
          <t>金额单位：人民币元</t>
        </is>
      </c>
      <c r="W4" s="110"/>
    </row>
    <row r="5" ht="13" customFormat="1" customHeight="1" s="12">
      <c r="A5" s="21" t="inlineStr">
        <is>
          <t>序号</t>
        </is>
      </c>
      <c r="B5" s="22" t="inlineStr">
        <is>
          <t>PO号</t>
        </is>
      </c>
      <c r="C5" s="22" t="n"/>
      <c r="D5" s="22" t="inlineStr">
        <is>
          <t>设备名称</t>
        </is>
      </c>
      <c r="E5" s="22" t="inlineStr">
        <is>
          <t>规格型号</t>
        </is>
      </c>
      <c r="F5" s="100" t="inlineStr">
        <is>
          <t>使用单位</t>
        </is>
      </c>
      <c r="G5" s="22" t="inlineStr">
        <is>
          <t>生产厂家</t>
        </is>
      </c>
      <c r="H5" s="22" t="inlineStr">
        <is>
          <t>计量单位</t>
        </is>
      </c>
      <c r="I5" s="22" t="inlineStr">
        <is>
          <t>数量</t>
        </is>
      </c>
      <c r="J5" s="22" t="inlineStr">
        <is>
          <t>购置日期</t>
        </is>
      </c>
      <c r="K5" s="22" t="inlineStr">
        <is>
          <t>启用日期</t>
        </is>
      </c>
      <c r="L5" s="101" t="inlineStr">
        <is>
          <t>审计前账面值</t>
        </is>
      </c>
      <c r="M5" s="28" t="n"/>
      <c r="N5" s="102" t="inlineStr">
        <is>
          <t>审计调整</t>
        </is>
      </c>
      <c r="O5" s="28" t="n"/>
      <c r="P5" s="21" t="inlineStr">
        <is>
          <t>账面价值</t>
        </is>
      </c>
      <c r="Q5" s="28" t="n"/>
      <c r="R5" s="21" t="inlineStr">
        <is>
          <t>评估价值</t>
        </is>
      </c>
      <c r="S5" s="138" t="n"/>
      <c r="T5" s="28" t="n"/>
      <c r="U5" s="22" t="inlineStr">
        <is>
          <t>增值率%</t>
        </is>
      </c>
      <c r="V5" s="22" t="inlineStr">
        <is>
          <t>备注</t>
        </is>
      </c>
      <c r="W5" s="112"/>
      <c r="X5" s="593" t="inlineStr">
        <is>
          <t>已使用</t>
        </is>
      </c>
      <c r="Y5" s="594" t="inlineStr">
        <is>
          <t>理论成新率</t>
        </is>
      </c>
      <c r="Z5" s="609" t="inlineStr">
        <is>
          <t>年限成新率</t>
        </is>
      </c>
      <c r="AA5" s="609" t="inlineStr">
        <is>
          <t>综合成新率</t>
        </is>
      </c>
      <c r="AB5" s="595" t="inlineStr">
        <is>
          <t>账面单价</t>
        </is>
      </c>
      <c r="AC5" s="596" t="inlineStr">
        <is>
          <t>购置单价(含税)</t>
        </is>
      </c>
      <c r="AD5" s="597" t="n"/>
      <c r="AE5" s="597" t="n"/>
      <c r="AF5" s="598" t="inlineStr">
        <is>
          <t>增值税进项税额</t>
        </is>
      </c>
      <c r="AG5" s="598" t="inlineStr">
        <is>
          <t>不含税重置单价</t>
        </is>
      </c>
      <c r="AH5" s="598" t="inlineStr">
        <is>
          <t>含税重置全价</t>
        </is>
      </c>
      <c r="AI5" s="599" t="inlineStr">
        <is>
          <t>不含税重置全价</t>
        </is>
      </c>
    </row>
    <row r="6" ht="13" customFormat="1" customHeight="1" s="12">
      <c r="A6" s="36" t="n"/>
      <c r="B6" s="36" t="n"/>
      <c r="C6" s="36" t="n"/>
      <c r="D6" s="36" t="n"/>
      <c r="E6" s="36" t="n"/>
      <c r="F6" s="36" t="n"/>
      <c r="G6" s="36" t="n"/>
      <c r="H6" s="36" t="n"/>
      <c r="I6" s="36" t="n"/>
      <c r="J6" s="36" t="n"/>
      <c r="K6" s="36" t="n"/>
      <c r="L6" s="21" t="inlineStr">
        <is>
          <t>原值</t>
        </is>
      </c>
      <c r="M6" s="21" t="inlineStr">
        <is>
          <t>净值</t>
        </is>
      </c>
      <c r="N6" s="21" t="inlineStr">
        <is>
          <t>原值</t>
        </is>
      </c>
      <c r="O6" s="21" t="inlineStr">
        <is>
          <t>净值</t>
        </is>
      </c>
      <c r="P6" s="21" t="inlineStr">
        <is>
          <t>原值</t>
        </is>
      </c>
      <c r="Q6" s="21" t="inlineStr">
        <is>
          <t>净值</t>
        </is>
      </c>
      <c r="R6" s="21" t="inlineStr">
        <is>
          <t>原值</t>
        </is>
      </c>
      <c r="S6" s="21" t="inlineStr">
        <is>
          <t>成新率%</t>
        </is>
      </c>
      <c r="T6" s="21" t="inlineStr">
        <is>
          <t>净值</t>
        </is>
      </c>
      <c r="U6" s="36" t="n"/>
      <c r="V6" s="36" t="n"/>
      <c r="W6" s="600" t="inlineStr">
        <is>
          <t>经济年限</t>
        </is>
      </c>
      <c r="X6" s="36" t="n"/>
      <c r="Y6" s="36" t="n"/>
      <c r="Z6" s="36" t="n"/>
      <c r="AA6" s="36" t="n"/>
      <c r="AB6" s="36" t="n"/>
      <c r="AC6" s="36" t="n"/>
      <c r="AD6" s="597" t="inlineStr">
        <is>
          <t>物价指数</t>
        </is>
      </c>
      <c r="AE6" s="597" t="inlineStr">
        <is>
          <t>贬值率</t>
        </is>
      </c>
      <c r="AF6" s="36" t="n"/>
      <c r="AG6" s="36" t="n"/>
      <c r="AH6" s="36" t="n"/>
      <c r="AI6" s="36" t="n"/>
    </row>
    <row r="7" ht="15.5" customHeight="1">
      <c r="A7" s="63" t="n"/>
      <c r="B7" s="56"/>
      <c r="C7" s="56"/>
      <c r="D7" s="59"/>
      <c r="E7" s="63"/>
      <c r="F7" s="56" t="n"/>
      <c r="G7" s="58"/>
      <c r="H7" s="21"/>
      <c r="I7" s="23"/>
      <c r="J7" s="558"/>
      <c r="K7" s="558"/>
      <c r="L7" s="539" t="n"/>
      <c r="M7" s="539" t="n"/>
      <c r="N7" s="539" t="n"/>
      <c r="O7" s="539" t="n"/>
      <c r="P7" s="539"/>
      <c r="Q7" s="539"/>
      <c r="R7" s="539">
        <f>AI7</f>
      </c>
      <c r="S7" s="23">
        <f>Y7*100</f>
      </c>
      <c r="T7" s="539">
        <f>ROUND(R7*S7/100,-1)</f>
      </c>
      <c r="U7" s="539">
        <f>IF(Q7=0,"",(T7-Q7)/Q7*100)</f>
      </c>
      <c r="V7" s="27" t="n"/>
      <c r="W7" s="601"/>
      <c r="X7" s="602">
        <f>($W$5-K7)/365</f>
      </c>
      <c r="Y7" s="127">
        <f>(W7-X7)/W7</f>
      </c>
      <c r="Z7" s="127"/>
      <c r="AA7" s="127">
        <f>Y7/2+Z7/2</f>
      </c>
      <c r="AB7" s="603">
        <f>P7/I7</f>
      </c>
      <c r="AC7" s="604">
        <f>AB7*AD7</f>
      </c>
      <c r="AD7" s="129"/>
      <c r="AE7" s="583" t="n"/>
      <c r="AF7" s="583">
        <f>AC7*0.13/(1+0.13)</f>
      </c>
      <c r="AG7" s="605">
        <f>AC7-AF7</f>
      </c>
      <c r="AH7" s="605">
        <f>AC7*I7</f>
      </c>
      <c r="AI7" s="583">
        <f>ROUND(AG7*I7,-1)</f>
      </c>
      <c r="AJ7" s="132" t="n"/>
    </row>
    <row r="8" ht="15.5" customHeight="1">
      <c r="A8" s="63" t="n"/>
      <c r="B8" s="56"/>
      <c r="C8" s="56"/>
      <c r="D8" s="56"/>
      <c r="E8" s="63"/>
      <c r="F8" s="56" t="n"/>
      <c r="G8" s="58"/>
      <c r="H8" s="21"/>
      <c r="I8" s="23"/>
      <c r="J8" s="558"/>
      <c r="K8" s="558"/>
      <c r="L8" s="539" t="n"/>
      <c r="M8" s="539" t="n"/>
      <c r="N8" s="539" t="n"/>
      <c r="O8" s="539" t="n"/>
      <c r="P8" s="539"/>
      <c r="Q8" s="539"/>
      <c r="R8" s="539">
        <f>AI8</f>
      </c>
      <c r="S8" s="23">
        <f>Y8*100</f>
      </c>
      <c r="T8" s="539">
        <f>ROUND(R8*S8/100,-1)</f>
      </c>
      <c r="U8" s="539">
        <f>IF(Q8=0,"",(T8-Q8)/Q8*100)</f>
      </c>
      <c r="V8" s="27" t="n"/>
      <c r="W8" s="601"/>
      <c r="X8" s="602">
        <f>($W$5-K8)/365</f>
      </c>
      <c r="Y8" s="127">
        <f>(W8-X8)/W8</f>
      </c>
      <c r="Z8" s="127"/>
      <c r="AA8" s="127">
        <f>Y8/2+Z8/2</f>
      </c>
      <c r="AB8" s="603">
        <f>P8/I8</f>
      </c>
      <c r="AC8" s="604">
        <f>AB8*AD8</f>
      </c>
      <c r="AD8" s="129"/>
      <c r="AE8" s="583" t="n"/>
      <c r="AF8" s="583">
        <f>AC8*0.13/(1+0.13)</f>
      </c>
      <c r="AG8" s="605">
        <f>AC8-AF8</f>
      </c>
      <c r="AH8" s="605">
        <f>AC8*I8</f>
      </c>
      <c r="AI8" s="583">
        <f>ROUND(AG8*I8,-1)</f>
      </c>
      <c r="AJ8" s="132" t="n"/>
    </row>
    <row r="9" ht="15.5" customHeight="1">
      <c r="A9" s="63" t="n"/>
      <c r="B9" s="56"/>
      <c r="C9" s="56"/>
      <c r="D9" s="56"/>
      <c r="E9" s="63"/>
      <c r="F9" s="56" t="n"/>
      <c r="G9" s="58"/>
      <c r="H9" s="21"/>
      <c r="I9" s="23"/>
      <c r="J9" s="558"/>
      <c r="K9" s="558"/>
      <c r="L9" s="539" t="n"/>
      <c r="M9" s="539" t="n"/>
      <c r="N9" s="539" t="n"/>
      <c r="O9" s="539" t="n"/>
      <c r="P9" s="539"/>
      <c r="Q9" s="539"/>
      <c r="R9" s="539">
        <f>AI9</f>
      </c>
      <c r="S9" s="23">
        <f>Y9*100</f>
      </c>
      <c r="T9" s="539">
        <f>ROUND(R9*S9/100,-1)</f>
      </c>
      <c r="U9" s="539">
        <f>IF(Q9=0,"",(T9-Q9)/Q9*100)</f>
      </c>
      <c r="V9" s="27" t="n"/>
      <c r="W9" s="601"/>
      <c r="X9" s="602">
        <f>($W$5-K9)/365</f>
      </c>
      <c r="Y9" s="127">
        <f>(W9-X9)/W9</f>
      </c>
      <c r="Z9" s="127"/>
      <c r="AA9" s="127">
        <f>Y9/2+Z9/2</f>
      </c>
      <c r="AB9" s="603">
        <f>P9/I9</f>
      </c>
      <c r="AC9" s="604">
        <f>AB9*AD9</f>
      </c>
      <c r="AD9" s="129"/>
      <c r="AE9" s="583" t="n"/>
      <c r="AF9" s="583">
        <f>AC9*0.13/(1+0.13)</f>
      </c>
      <c r="AG9" s="605">
        <f>AC9-AF9</f>
      </c>
      <c r="AH9" s="605">
        <f>AC9*I9</f>
      </c>
      <c r="AI9" s="583">
        <f>ROUND(AG9*I9,-1)</f>
      </c>
      <c r="AJ9" s="133" t="n"/>
    </row>
    <row r="10" ht="15.5" customHeight="1">
      <c r="A10" s="63" t="n"/>
      <c r="B10" s="56"/>
      <c r="C10" s="56"/>
      <c r="D10" s="58"/>
      <c r="E10" s="58" t="n"/>
      <c r="F10" s="56" t="n"/>
      <c r="G10" s="58"/>
      <c r="H10" s="21"/>
      <c r="I10" s="23"/>
      <c r="J10" s="558"/>
      <c r="K10" s="558"/>
      <c r="L10" s="539" t="n"/>
      <c r="M10" s="539" t="n"/>
      <c r="N10" s="539" t="n"/>
      <c r="O10" s="539" t="n"/>
      <c r="P10" s="539"/>
      <c r="Q10" s="539"/>
      <c r="R10" s="539">
        <f>AI10</f>
      </c>
      <c r="S10" s="23">
        <f>Y10*100</f>
      </c>
      <c r="T10" s="539">
        <f>ROUND(R10*S10/100,-1)</f>
      </c>
      <c r="U10" s="539">
        <f>IF(Q10=0,"",(T10-Q10)/Q10*100)</f>
      </c>
      <c r="V10" s="27" t="n"/>
      <c r="W10" s="601"/>
      <c r="X10" s="602">
        <f>($W$5-K10)/365</f>
      </c>
      <c r="Y10" s="127">
        <f>(W10-X10)/W10</f>
      </c>
      <c r="Z10" s="127"/>
      <c r="AA10" s="127">
        <f>Y10/2+Z10/2</f>
      </c>
      <c r="AB10" s="603">
        <f>P10/I10</f>
      </c>
      <c r="AC10" s="604">
        <f>AB10*AD10</f>
      </c>
      <c r="AD10" s="129"/>
      <c r="AE10" s="583" t="n"/>
      <c r="AF10" s="583">
        <f>AC10*0.13/(1+0.13)</f>
      </c>
      <c r="AG10" s="605">
        <f>AC10-AF10</f>
      </c>
      <c r="AH10" s="605">
        <f>AC10*I10</f>
      </c>
      <c r="AI10" s="583">
        <f>ROUND(AG10*I10,-1)</f>
      </c>
      <c r="AJ10" s="134" t="n"/>
    </row>
    <row r="11" ht="15.5" customHeight="1">
      <c r="A11" s="63" t="n"/>
      <c r="B11" s="56"/>
      <c r="C11" s="56"/>
      <c r="D11" s="56" t="n"/>
      <c r="E11" s="63" t="n"/>
      <c r="F11" s="56" t="n"/>
      <c r="G11" s="58"/>
      <c r="H11" s="21"/>
      <c r="I11" s="23"/>
      <c r="J11" s="558"/>
      <c r="K11" s="558"/>
      <c r="L11" s="539" t="n"/>
      <c r="M11" s="539" t="n"/>
      <c r="N11" s="539" t="n"/>
      <c r="O11" s="539" t="n"/>
      <c r="P11" s="539"/>
      <c r="Q11" s="539"/>
      <c r="R11" s="539">
        <f>AI11</f>
      </c>
      <c r="S11" s="23">
        <f>Y11*100</f>
      </c>
      <c r="T11" s="539">
        <f>ROUND(R11*S11/100,-1)</f>
      </c>
      <c r="U11" s="539">
        <f>IF(Q11=0,"",(T11-Q11)/Q11*100)</f>
      </c>
      <c r="V11" s="27" t="n"/>
      <c r="W11" s="601"/>
      <c r="X11" s="602">
        <f>($W$5-K11)/365</f>
      </c>
      <c r="Y11" s="127">
        <f>(W11-X11)/W11</f>
      </c>
      <c r="Z11" s="127"/>
      <c r="AA11" s="127">
        <f>Y11/2+Z11/2</f>
      </c>
      <c r="AB11" s="603">
        <f>P11/I11</f>
      </c>
      <c r="AC11" s="604">
        <f>AB11*AD11</f>
      </c>
      <c r="AD11" s="129"/>
      <c r="AE11" s="583" t="n"/>
      <c r="AF11" s="583">
        <f>AC11*0.13/(1+0.13)</f>
      </c>
      <c r="AG11" s="605">
        <f>AC11-AF11</f>
      </c>
      <c r="AH11" s="605">
        <f>AC11*I11</f>
      </c>
      <c r="AI11" s="583">
        <f>ROUND(AG11*I11,-1)</f>
      </c>
      <c r="AJ11" s="132" t="n"/>
    </row>
    <row r="12" ht="16" customHeight="1">
      <c r="A12" s="63" t="n"/>
      <c r="B12" s="56"/>
      <c r="C12" s="56"/>
      <c r="D12" s="56" t="n"/>
      <c r="E12" s="63" t="n"/>
      <c r="F12" s="24" t="n"/>
      <c r="G12" s="58"/>
      <c r="H12" s="21"/>
      <c r="I12" s="23"/>
      <c r="J12" s="558"/>
      <c r="K12" s="558"/>
      <c r="L12" s="539" t="n"/>
      <c r="M12" s="539" t="n"/>
      <c r="N12" s="539" t="n"/>
      <c r="O12" s="539" t="n"/>
      <c r="P12" s="539"/>
      <c r="Q12" s="539"/>
      <c r="R12" s="539">
        <f>AI12</f>
      </c>
      <c r="S12" s="23">
        <f>Y12*100</f>
      </c>
      <c r="T12" s="539">
        <f>ROUND(R12*S12/100,-1)</f>
      </c>
      <c r="U12" s="539">
        <f>IF(Q12=0,"",(T12-Q12)/Q12*100)</f>
      </c>
      <c r="V12" s="27" t="n"/>
      <c r="W12" s="601"/>
      <c r="X12" s="602">
        <f>($W$5-K12)/365</f>
      </c>
      <c r="Y12" s="127">
        <f>(W12-X12)/W12</f>
      </c>
      <c r="Z12" s="127"/>
      <c r="AA12" s="127">
        <f>Y12/2+Z12/2</f>
      </c>
      <c r="AB12" s="603">
        <f>P12/I12</f>
      </c>
      <c r="AC12" s="604">
        <f>AB12*AD12</f>
      </c>
      <c r="AD12" s="129"/>
      <c r="AE12" s="583" t="n"/>
      <c r="AF12" s="583">
        <f>AC12*0.13/(1+0.13)</f>
      </c>
      <c r="AG12" s="605">
        <f>AC12-AF12</f>
      </c>
      <c r="AH12" s="605">
        <f>AC12*I12</f>
      </c>
      <c r="AI12" s="583">
        <f>ROUND(AG12*I12,-1)</f>
      </c>
    </row>
    <row r="13" ht="15.5" customHeight="1">
      <c r="A13" s="63" t="n"/>
      <c r="B13" s="56"/>
      <c r="C13" s="56"/>
      <c r="D13" s="56" t="n"/>
      <c r="E13" s="63" t="n"/>
      <c r="F13" s="24" t="n"/>
      <c r="G13" s="58"/>
      <c r="H13" s="21"/>
      <c r="I13" s="23"/>
      <c r="J13" s="558"/>
      <c r="K13" s="558"/>
      <c r="L13" s="539" t="n"/>
      <c r="M13" s="539" t="n"/>
      <c r="N13" s="539" t="n"/>
      <c r="O13" s="539" t="n"/>
      <c r="P13" s="539"/>
      <c r="Q13" s="539"/>
      <c r="R13" s="539">
        <f>AI13</f>
      </c>
      <c r="S13" s="23">
        <f>Y13*100</f>
      </c>
      <c r="T13" s="539">
        <f>ROUND(R13*S13/100,-1)</f>
      </c>
      <c r="U13" s="539">
        <f>IF(Q13=0,"",(T13-Q13)/Q13*100)</f>
      </c>
      <c r="V13" s="27" t="n"/>
      <c r="W13" s="601"/>
      <c r="X13" s="602">
        <f>($W$5-K13)/365</f>
      </c>
      <c r="Y13" s="127">
        <f>(W13-X13)/W13</f>
      </c>
      <c r="Z13" s="127"/>
      <c r="AA13" s="127">
        <f>Y13/2+Z13/2</f>
      </c>
      <c r="AB13" s="603">
        <f>P13/I13</f>
      </c>
      <c r="AC13" s="604">
        <f>AB13*AD13</f>
      </c>
      <c r="AD13" s="129"/>
      <c r="AE13" s="583" t="n"/>
      <c r="AF13" s="583">
        <f>AC13*0.13/(1+0.13)</f>
      </c>
      <c r="AG13" s="605">
        <f>AC13-AF13</f>
      </c>
      <c r="AH13" s="605">
        <f>AC13*I13</f>
      </c>
      <c r="AI13" s="583">
        <f>ROUND(AG13*I13,-1)</f>
      </c>
    </row>
    <row r="14" ht="15.5" customHeight="1">
      <c r="A14" s="63" t="n"/>
      <c r="B14" s="56"/>
      <c r="C14" s="56"/>
      <c r="D14" s="56" t="n"/>
      <c r="E14" s="63" t="n"/>
      <c r="F14" s="24" t="n"/>
      <c r="G14" s="58"/>
      <c r="H14" s="21"/>
      <c r="I14" s="23"/>
      <c r="J14" s="558"/>
      <c r="K14" s="558"/>
      <c r="L14" s="539" t="n"/>
      <c r="M14" s="539" t="n"/>
      <c r="N14" s="539" t="n"/>
      <c r="O14" s="539" t="n"/>
      <c r="P14" s="539"/>
      <c r="Q14" s="539"/>
      <c r="R14" s="539">
        <f>AI14</f>
      </c>
      <c r="S14" s="23">
        <f>Y14*100</f>
      </c>
      <c r="T14" s="539">
        <f>ROUND(R14*S14/100,-1)</f>
      </c>
      <c r="U14" s="539">
        <f>IF(Q14=0,"",(T14-Q14)/Q14*100)</f>
      </c>
      <c r="V14" s="27" t="n"/>
      <c r="W14" s="601"/>
      <c r="X14" s="602">
        <f>($W$5-K14)/365</f>
      </c>
      <c r="Y14" s="127">
        <f>(W14-X14)/W14</f>
      </c>
      <c r="Z14" s="127"/>
      <c r="AA14" s="127">
        <f>Y14/2+Z14/2</f>
      </c>
      <c r="AB14" s="603">
        <f>P14/I14</f>
      </c>
      <c r="AC14" s="604">
        <f>AB14*AD14</f>
      </c>
      <c r="AD14" s="129"/>
      <c r="AE14" s="583" t="n"/>
      <c r="AF14" s="583">
        <f>AC14*0.13/(1+0.13)</f>
      </c>
      <c r="AG14" s="605">
        <f>AC14-AF14</f>
      </c>
      <c r="AH14" s="605">
        <f>AC14*I14</f>
      </c>
      <c r="AI14" s="583">
        <f>ROUND(AG14*I14,-1)</f>
      </c>
    </row>
    <row r="15" ht="15.5" customHeight="1">
      <c r="A15" s="63" t="n"/>
      <c r="B15" s="56"/>
      <c r="C15" s="56"/>
      <c r="D15" s="56" t="n"/>
      <c r="E15" s="63" t="n"/>
      <c r="F15" s="24" t="n"/>
      <c r="G15" s="58"/>
      <c r="H15" s="21"/>
      <c r="I15" s="23"/>
      <c r="J15" s="558"/>
      <c r="K15" s="558"/>
      <c r="L15" s="539" t="n"/>
      <c r="M15" s="539" t="n"/>
      <c r="N15" s="539" t="n"/>
      <c r="O15" s="539" t="n"/>
      <c r="P15" s="539"/>
      <c r="Q15" s="539"/>
      <c r="R15" s="539">
        <f>AI15</f>
      </c>
      <c r="S15" s="23">
        <f>Y15*100</f>
      </c>
      <c r="T15" s="539">
        <f>ROUND(R15*S15/100,-1)</f>
      </c>
      <c r="U15" s="539">
        <f>IF(Q15=0,"",(T15-Q15)/Q15*100)</f>
      </c>
      <c r="V15" s="27" t="n"/>
      <c r="W15" s="601"/>
      <c r="X15" s="602">
        <f>($W$5-K15)/365</f>
      </c>
      <c r="Y15" s="127">
        <f>(W15-X15)/W15</f>
      </c>
      <c r="Z15" s="127"/>
      <c r="AA15" s="127">
        <f>Y15/2+Z15/2</f>
      </c>
      <c r="AB15" s="603">
        <f>P15/I15</f>
      </c>
      <c r="AC15" s="604">
        <f>AB15*AD15</f>
      </c>
      <c r="AD15" s="129"/>
      <c r="AE15" s="583" t="n"/>
      <c r="AF15" s="583">
        <f>AC15*0.13/(1+0.13)</f>
      </c>
      <c r="AG15" s="605">
        <f>AC15-AF15</f>
      </c>
      <c r="AH15" s="605">
        <f>AC15*I15</f>
      </c>
      <c r="AI15" s="583">
        <f>ROUND(AG15*I15,-1)</f>
      </c>
    </row>
    <row r="16" ht="15.5" customHeight="1">
      <c r="A16" s="63" t="n"/>
      <c r="B16" s="56"/>
      <c r="C16" s="56"/>
      <c r="D16" s="56" t="n"/>
      <c r="E16" s="63" t="n"/>
      <c r="F16" s="24" t="n"/>
      <c r="G16" s="58"/>
      <c r="H16" s="21"/>
      <c r="I16" s="23"/>
      <c r="J16" s="558"/>
      <c r="K16" s="558"/>
      <c r="L16" s="539" t="n"/>
      <c r="M16" s="539" t="n"/>
      <c r="N16" s="539" t="n"/>
      <c r="O16" s="539" t="n"/>
      <c r="P16" s="539"/>
      <c r="Q16" s="539"/>
      <c r="R16" s="539">
        <f>AI16</f>
      </c>
      <c r="S16" s="23">
        <f>Y16*100</f>
      </c>
      <c r="T16" s="539">
        <f>ROUND(R16*S16/100,-1)</f>
      </c>
      <c r="U16" s="539">
        <f>IF(Q16=0,"",(T16-Q16)/Q16*100)</f>
      </c>
      <c r="V16" s="27" t="n"/>
      <c r="W16" s="601"/>
      <c r="X16" s="602">
        <f>($W$5-K16)/365</f>
      </c>
      <c r="Y16" s="127">
        <f>(W16-X16)/W16</f>
      </c>
      <c r="Z16" s="127"/>
      <c r="AA16" s="127">
        <f>Y16/2+Z16/2</f>
      </c>
      <c r="AB16" s="603">
        <f>P16/I16</f>
      </c>
      <c r="AC16" s="604">
        <f>AB16*AD16</f>
      </c>
      <c r="AD16" s="129"/>
      <c r="AE16" s="583" t="n"/>
      <c r="AF16" s="583">
        <f>AC16*0.13/(1+0.13)</f>
      </c>
      <c r="AG16" s="605">
        <f>AC16-AF16</f>
      </c>
      <c r="AH16" s="605">
        <f>AC16*I16</f>
      </c>
      <c r="AI16" s="583">
        <f>ROUND(AG16*I16,-1)</f>
      </c>
    </row>
    <row r="17" ht="15.5" customHeight="1">
      <c r="A17" s="63" t="n"/>
      <c r="B17" s="56"/>
      <c r="C17" s="56"/>
      <c r="D17" s="59" t="n"/>
      <c r="E17" s="63" t="n"/>
      <c r="F17" s="24" t="n"/>
      <c r="G17" s="58"/>
      <c r="H17" s="21"/>
      <c r="I17" s="23"/>
      <c r="J17" s="558"/>
      <c r="K17" s="558"/>
      <c r="L17" s="539" t="n"/>
      <c r="M17" s="539" t="n"/>
      <c r="N17" s="539" t="n"/>
      <c r="O17" s="539" t="n"/>
      <c r="P17" s="539"/>
      <c r="Q17" s="539"/>
      <c r="R17" s="539">
        <f>AI17</f>
      </c>
      <c r="S17" s="23">
        <f>Y17*100</f>
      </c>
      <c r="T17" s="539">
        <f>ROUND(R17*S17/100,-1)</f>
      </c>
      <c r="U17" s="539">
        <f>IF(Q17=0,"",(T17-Q17)/Q17*100)</f>
      </c>
      <c r="V17" s="27" t="n"/>
      <c r="W17" s="601"/>
      <c r="X17" s="602">
        <f>($W$5-K17)/365</f>
      </c>
      <c r="Y17" s="127">
        <f>(W17-X17)/W17</f>
      </c>
      <c r="Z17" s="127"/>
      <c r="AA17" s="127">
        <f>Y17/2+Z17/2</f>
      </c>
      <c r="AB17" s="603">
        <f>P17/I17</f>
      </c>
      <c r="AC17" s="604">
        <f>AB17*AD17</f>
      </c>
      <c r="AD17" s="129"/>
      <c r="AE17" s="583" t="n"/>
      <c r="AF17" s="583">
        <f>AC17*0.13/(1+0.13)</f>
      </c>
      <c r="AG17" s="605">
        <f>AC17-AF17</f>
      </c>
      <c r="AH17" s="605">
        <f>AC17*I17</f>
      </c>
      <c r="AI17" s="583">
        <f>ROUND(AG17*I17,-1)</f>
      </c>
    </row>
    <row r="18" ht="15.5" customHeight="1">
      <c r="A18" s="63" t="n"/>
      <c r="B18" s="56"/>
      <c r="C18" s="56"/>
      <c r="D18" s="56" t="n"/>
      <c r="E18" s="63" t="n"/>
      <c r="F18" s="24" t="n"/>
      <c r="G18" s="58"/>
      <c r="H18" s="21"/>
      <c r="I18" s="23"/>
      <c r="J18" s="558"/>
      <c r="K18" s="558"/>
      <c r="L18" s="539" t="n"/>
      <c r="M18" s="539" t="n"/>
      <c r="N18" s="539" t="n"/>
      <c r="O18" s="539" t="n"/>
      <c r="P18" s="539"/>
      <c r="Q18" s="539"/>
      <c r="R18" s="539">
        <f>AI18</f>
      </c>
      <c r="S18" s="23">
        <f>Y18*100</f>
      </c>
      <c r="T18" s="539">
        <f>ROUND(R18*S18/100,-1)</f>
      </c>
      <c r="U18" s="539">
        <f>IF(Q18=0,"",(T18-Q18)/Q18*100)</f>
      </c>
      <c r="V18" s="27" t="n"/>
      <c r="W18" s="601"/>
      <c r="X18" s="602">
        <f>($W$5-K18)/365</f>
      </c>
      <c r="Y18" s="127">
        <f>(W18-X18)/W18</f>
      </c>
      <c r="Z18" s="127"/>
      <c r="AA18" s="127">
        <f>Y18/2+Z18/2</f>
      </c>
      <c r="AB18" s="603">
        <f>P18/I18</f>
      </c>
      <c r="AC18" s="604">
        <f>AB18*AD18</f>
      </c>
      <c r="AD18" s="129"/>
      <c r="AE18" s="583" t="n"/>
      <c r="AF18" s="583">
        <f>AC18*0.13/(1+0.13)</f>
      </c>
      <c r="AG18" s="605">
        <f>AC18-AF18</f>
      </c>
      <c r="AH18" s="605">
        <f>AC18*I18</f>
      </c>
      <c r="AI18" s="583">
        <f>ROUND(AG18*I18,-1)</f>
      </c>
    </row>
    <row r="19" ht="15.5" customHeight="1">
      <c r="A19" s="63" t="n"/>
      <c r="B19" s="56"/>
      <c r="C19" s="56"/>
      <c r="D19" s="56" t="n"/>
      <c r="E19" s="63" t="n"/>
      <c r="F19" s="24" t="n"/>
      <c r="G19" s="58"/>
      <c r="H19" s="21"/>
      <c r="I19" s="23"/>
      <c r="J19" s="558"/>
      <c r="K19" s="558"/>
      <c r="L19" s="539" t="n"/>
      <c r="M19" s="539" t="n"/>
      <c r="N19" s="539" t="n"/>
      <c r="O19" s="539" t="n"/>
      <c r="P19" s="539"/>
      <c r="Q19" s="539"/>
      <c r="R19" s="539">
        <f>AI19</f>
      </c>
      <c r="S19" s="23">
        <f>Y19*100</f>
      </c>
      <c r="T19" s="539">
        <f>ROUND(R19*S19/100,-1)</f>
      </c>
      <c r="U19" s="539">
        <f>IF(Q19=0,"",(T19-Q19)/Q19*100)</f>
      </c>
      <c r="V19" s="27" t="n"/>
      <c r="W19" s="601"/>
      <c r="X19" s="602">
        <f>($W$5-K19)/365</f>
      </c>
      <c r="Y19" s="127">
        <f>(W19-X19)/W19</f>
      </c>
      <c r="Z19" s="127"/>
      <c r="AA19" s="127">
        <f>Y19/2+Z19/2</f>
      </c>
      <c r="AB19" s="603">
        <f>P19/I19</f>
      </c>
      <c r="AC19" s="604">
        <f>AB19*AD19</f>
      </c>
      <c r="AD19" s="129"/>
      <c r="AE19" s="583" t="n"/>
      <c r="AF19" s="583">
        <f>AC19*0.13/(1+0.13)</f>
      </c>
      <c r="AG19" s="605">
        <f>AC19-AF19</f>
      </c>
      <c r="AH19" s="605">
        <f>AC19*I19</f>
      </c>
      <c r="AI19" s="583">
        <f>ROUND(AG19*I19,-1)</f>
      </c>
    </row>
    <row r="20" ht="15.5" customHeight="1">
      <c r="A20" s="63" t="n"/>
      <c r="B20" s="56"/>
      <c r="C20" s="56"/>
      <c r="D20" s="56" t="n"/>
      <c r="E20" s="63" t="n"/>
      <c r="F20" s="24" t="n"/>
      <c r="G20" s="58"/>
      <c r="H20" s="21"/>
      <c r="I20" s="23"/>
      <c r="J20" s="558"/>
      <c r="K20" s="558"/>
      <c r="L20" s="539" t="n"/>
      <c r="M20" s="539" t="n"/>
      <c r="N20" s="539" t="n"/>
      <c r="O20" s="539" t="n"/>
      <c r="P20" s="539"/>
      <c r="Q20" s="539"/>
      <c r="R20" s="539">
        <f>AI20</f>
      </c>
      <c r="S20" s="23">
        <f>Y20*100</f>
      </c>
      <c r="T20" s="539">
        <f>ROUND(R20*S20/100,-1)</f>
      </c>
      <c r="U20" s="539">
        <f>IF(Q20=0,"",(T20-Q20)/Q20*100)</f>
      </c>
      <c r="V20" s="27" t="n"/>
      <c r="W20" s="601"/>
      <c r="X20" s="602">
        <f>($W$5-K20)/365</f>
      </c>
      <c r="Y20" s="127">
        <f>(W20-X20)/W20</f>
      </c>
      <c r="Z20" s="127"/>
      <c r="AA20" s="127">
        <f>Y20/2+Z20/2</f>
      </c>
      <c r="AB20" s="603">
        <f>P20/I20</f>
      </c>
      <c r="AC20" s="604">
        <f>AB20*AD20</f>
      </c>
      <c r="AD20" s="129"/>
      <c r="AE20" s="583" t="n"/>
      <c r="AF20" s="583">
        <f>AC20*0.13/(1+0.13)</f>
      </c>
      <c r="AG20" s="605">
        <f>AC20-AF20</f>
      </c>
      <c r="AH20" s="605">
        <f>AC20*I20</f>
      </c>
      <c r="AI20" s="583">
        <f>ROUND(AG20*I20,-1)</f>
      </c>
    </row>
    <row r="21" ht="15.5" customHeight="1">
      <c r="A21" s="63" t="n"/>
      <c r="B21" s="56"/>
      <c r="C21" s="56"/>
      <c r="D21" s="56" t="n"/>
      <c r="E21" s="63" t="n"/>
      <c r="F21" s="24" t="n"/>
      <c r="G21" s="58"/>
      <c r="H21" s="21"/>
      <c r="I21" s="23"/>
      <c r="J21" s="558"/>
      <c r="K21" s="558"/>
      <c r="L21" s="539" t="n"/>
      <c r="M21" s="539" t="n"/>
      <c r="N21" s="539" t="n"/>
      <c r="O21" s="539" t="n"/>
      <c r="P21" s="539"/>
      <c r="Q21" s="539"/>
      <c r="R21" s="539">
        <f>AI21</f>
      </c>
      <c r="S21" s="23">
        <f>Y21*100</f>
      </c>
      <c r="T21" s="539">
        <f>ROUND(R21*S21/100,-1)</f>
      </c>
      <c r="U21" s="539">
        <f>IF(Q21=0,"",(T21-Q21)/Q21*100)</f>
      </c>
      <c r="V21" s="27" t="n"/>
      <c r="W21" s="601"/>
      <c r="X21" s="602">
        <f>($W$5-K21)/365</f>
      </c>
      <c r="Y21" s="127">
        <f>(W21-X21)/W21</f>
      </c>
      <c r="Z21" s="127"/>
      <c r="AA21" s="127">
        <f>Y21/2+Z21/2</f>
      </c>
      <c r="AB21" s="603">
        <f>P21/I21</f>
      </c>
      <c r="AC21" s="604">
        <f>AB21*AD21</f>
      </c>
      <c r="AD21" s="129"/>
      <c r="AE21" s="583" t="n"/>
      <c r="AF21" s="583">
        <f>AC21*0.13/(1+0.13)</f>
      </c>
      <c r="AG21" s="605">
        <f>AC21-AF21</f>
      </c>
      <c r="AH21" s="605">
        <f>AC21*I21</f>
      </c>
      <c r="AI21" s="583">
        <f>ROUND(AG21*I21,-1)</f>
      </c>
    </row>
    <row r="22" ht="15.5" customHeight="1">
      <c r="A22" s="63" t="n"/>
      <c r="B22" s="56"/>
      <c r="C22" s="56"/>
      <c r="D22" s="56" t="n"/>
      <c r="E22" s="63" t="n"/>
      <c r="F22" s="24" t="n"/>
      <c r="G22" s="58"/>
      <c r="H22" s="21"/>
      <c r="I22" s="23"/>
      <c r="J22" s="558"/>
      <c r="K22" s="558"/>
      <c r="L22" s="539" t="n"/>
      <c r="M22" s="539" t="n"/>
      <c r="N22" s="539" t="n"/>
      <c r="O22" s="539" t="n"/>
      <c r="P22" s="539"/>
      <c r="Q22" s="539"/>
      <c r="R22" s="539">
        <f>AI22</f>
      </c>
      <c r="S22" s="23">
        <f>Y22*100</f>
      </c>
      <c r="T22" s="539">
        <f>ROUND(R22*S22/100,-1)</f>
      </c>
      <c r="U22" s="539">
        <f>IF(Q22=0,"",(T22-Q22)/Q22*100)</f>
      </c>
      <c r="V22" s="27" t="n"/>
      <c r="W22" s="601"/>
      <c r="X22" s="602">
        <f>($W$5-K22)/365</f>
      </c>
      <c r="Y22" s="127">
        <f>(W22-X22)/W22</f>
      </c>
      <c r="Z22" s="127"/>
      <c r="AA22" s="127">
        <f>Y22/2+Z22/2</f>
      </c>
      <c r="AB22" s="603">
        <f>P22/I22</f>
      </c>
      <c r="AC22" s="604">
        <f>AB22*AD22</f>
      </c>
      <c r="AD22" s="129"/>
      <c r="AE22" s="583" t="n"/>
      <c r="AF22" s="583">
        <f>AC22*0.13/(1+0.13)</f>
      </c>
      <c r="AG22" s="605">
        <f>AC22-AF22</f>
      </c>
      <c r="AH22" s="605">
        <f>AC22*I22</f>
      </c>
      <c r="AI22" s="583">
        <f>ROUND(AG22*I22,-1)</f>
      </c>
    </row>
    <row r="23" ht="15.5" customHeight="1">
      <c r="A23" s="63" t="n"/>
      <c r="B23" s="56"/>
      <c r="C23" s="56"/>
      <c r="D23" s="56" t="n"/>
      <c r="E23" s="63" t="n"/>
      <c r="F23" s="24" t="n"/>
      <c r="G23" s="63"/>
      <c r="H23" s="21"/>
      <c r="I23" s="23"/>
      <c r="J23" s="558"/>
      <c r="K23" s="558"/>
      <c r="L23" s="539" t="n"/>
      <c r="M23" s="539" t="n"/>
      <c r="N23" s="539" t="n"/>
      <c r="O23" s="539" t="n"/>
      <c r="P23" s="539"/>
      <c r="Q23" s="539"/>
      <c r="R23" s="539">
        <f>AI23</f>
      </c>
      <c r="S23" s="23">
        <f>Y23*100</f>
      </c>
      <c r="T23" s="539">
        <f>ROUND(R23*S23/100,-1)</f>
      </c>
      <c r="U23" s="539">
        <f>IF(Q23=0,"",(T23-Q23)/Q23*100)</f>
      </c>
      <c r="V23" s="27" t="n"/>
      <c r="W23" s="601"/>
      <c r="X23" s="602">
        <f>($W$5-K23)/365</f>
      </c>
      <c r="Y23" s="127">
        <f>(W23-X23)/W23</f>
      </c>
      <c r="Z23" s="127"/>
      <c r="AA23" s="127">
        <f>Y23/2+Z23/2</f>
      </c>
      <c r="AB23" s="603">
        <f>P23/I23</f>
      </c>
      <c r="AC23" s="604">
        <f>AB23*AD23</f>
      </c>
      <c r="AD23" s="129"/>
      <c r="AE23" s="583" t="n"/>
      <c r="AF23" s="583">
        <f>AC23*0.13/(1+0.13)</f>
      </c>
      <c r="AG23" s="605">
        <f>AC23-AF23</f>
      </c>
      <c r="AH23" s="605">
        <f>AC23*I23</f>
      </c>
      <c r="AI23" s="583">
        <f>ROUND(AG23*I23,-1)</f>
      </c>
    </row>
    <row r="24" ht="15.5" customHeight="1">
      <c r="A24" s="63" t="n"/>
      <c r="B24" s="56"/>
      <c r="C24" s="56"/>
      <c r="D24" s="56" t="n"/>
      <c r="E24" s="63" t="n"/>
      <c r="F24" s="24" t="n"/>
      <c r="G24" s="58"/>
      <c r="H24" s="21"/>
      <c r="I24" s="23"/>
      <c r="J24" s="558"/>
      <c r="K24" s="558"/>
      <c r="L24" s="539" t="n"/>
      <c r="M24" s="539" t="n"/>
      <c r="N24" s="539" t="n"/>
      <c r="O24" s="539" t="n"/>
      <c r="P24" s="539"/>
      <c r="Q24" s="539"/>
      <c r="R24" s="539">
        <f>AI24</f>
      </c>
      <c r="S24" s="23">
        <f>Y24*100</f>
      </c>
      <c r="T24" s="539">
        <f>ROUND(R24*S24/100,-1)</f>
      </c>
      <c r="U24" s="539">
        <f>IF(Q24=0,"",(T24-Q24)/Q24*100)</f>
      </c>
      <c r="V24" s="27" t="n"/>
      <c r="W24" s="601"/>
      <c r="X24" s="602">
        <f>($W$5-K24)/365</f>
      </c>
      <c r="Y24" s="127">
        <f>(W24-X24)/W24</f>
      </c>
      <c r="Z24" s="127"/>
      <c r="AA24" s="127">
        <f>Y24/2+Z24/2</f>
      </c>
      <c r="AB24" s="603">
        <f>P24/I24</f>
      </c>
      <c r="AC24" s="604">
        <f>AB24*AD24</f>
      </c>
      <c r="AD24" s="129"/>
      <c r="AE24" s="583" t="n"/>
      <c r="AF24" s="583">
        <f>AC24*0.13/(1+0.13)</f>
      </c>
      <c r="AG24" s="605">
        <f>AC24-AF24</f>
      </c>
      <c r="AH24" s="605">
        <f>AC24*I24</f>
      </c>
      <c r="AI24" s="583">
        <f>ROUND(AG24*I24,-1)</f>
      </c>
      <c r="AJ24" s="135" t="n"/>
    </row>
    <row r="25" ht="15.5" customHeight="1">
      <c r="A25" s="63" t="n"/>
      <c r="B25" s="56"/>
      <c r="C25" s="56"/>
      <c r="D25" s="56" t="n"/>
      <c r="E25" s="63" t="n"/>
      <c r="F25" s="24" t="n"/>
      <c r="G25" s="63"/>
      <c r="H25" s="21"/>
      <c r="I25" s="23"/>
      <c r="J25" s="558"/>
      <c r="K25" s="558"/>
      <c r="L25" s="539" t="n"/>
      <c r="M25" s="539" t="n"/>
      <c r="N25" s="539" t="n"/>
      <c r="O25" s="539" t="n"/>
      <c r="P25" s="539"/>
      <c r="Q25" s="539"/>
      <c r="R25" s="539">
        <f>AI25</f>
      </c>
      <c r="S25" s="23">
        <f>Y25*100</f>
      </c>
      <c r="T25" s="539">
        <f>ROUND(R25*S25/100,-1)</f>
      </c>
      <c r="U25" s="539">
        <f>IF(Q25=0,"",(T25-Q25)/Q25*100)</f>
      </c>
      <c r="V25" s="27" t="n"/>
      <c r="W25" s="601"/>
      <c r="X25" s="602">
        <f>($W$5-K25)/365</f>
      </c>
      <c r="Y25" s="127">
        <f>(W25-X25)/W25</f>
      </c>
      <c r="Z25" s="127"/>
      <c r="AA25" s="127">
        <f>Y25/2+Z25/2</f>
      </c>
      <c r="AB25" s="603">
        <f>P25/I25</f>
      </c>
      <c r="AC25" s="604">
        <f>AB25*AD25</f>
      </c>
      <c r="AD25" s="129"/>
      <c r="AE25" s="583" t="n"/>
      <c r="AF25" s="583">
        <f>AC25*0.13/(1+0.13)</f>
      </c>
      <c r="AG25" s="605">
        <f>AC25-AF25</f>
      </c>
      <c r="AH25" s="605">
        <f>AC25*I25</f>
      </c>
      <c r="AI25" s="583">
        <f>ROUND(AG25*I25,-1)</f>
      </c>
      <c r="AJ25" s="132" t="n"/>
    </row>
    <row r="26" ht="15.5" customHeight="1">
      <c r="A26" s="63" t="n"/>
      <c r="B26" s="56"/>
      <c r="C26" s="56"/>
      <c r="D26" s="56" t="n"/>
      <c r="E26" s="63" t="n"/>
      <c r="F26" s="24" t="n"/>
      <c r="G26" s="58"/>
      <c r="H26" s="21"/>
      <c r="I26" s="23"/>
      <c r="J26" s="558"/>
      <c r="K26" s="558"/>
      <c r="L26" s="539" t="n"/>
      <c r="M26" s="539" t="n"/>
      <c r="N26" s="539" t="n"/>
      <c r="O26" s="539" t="n"/>
      <c r="P26" s="539"/>
      <c r="Q26" s="539"/>
      <c r="R26" s="539">
        <f>AI26</f>
      </c>
      <c r="S26" s="23">
        <f>Y26*100</f>
      </c>
      <c r="T26" s="539">
        <f>ROUND(R26*S26/100,-1)</f>
      </c>
      <c r="U26" s="539">
        <f>IF(Q26=0,"",(T26-Q26)/Q26*100)</f>
      </c>
      <c r="V26" s="27" t="n"/>
      <c r="W26" s="601"/>
      <c r="X26" s="602">
        <f>($W$5-K26)/365</f>
      </c>
      <c r="Y26" s="127">
        <f>(W26-X26)/W26</f>
      </c>
      <c r="Z26" s="127"/>
      <c r="AA26" s="127">
        <f>Y26/2+Z26/2</f>
      </c>
      <c r="AB26" s="603">
        <f>P26/I26</f>
      </c>
      <c r="AC26" s="604">
        <f>AB26*AD26</f>
      </c>
      <c r="AD26" s="129"/>
      <c r="AE26" s="583" t="n"/>
      <c r="AF26" s="583">
        <f>AC26*0.13/(1+0.13)</f>
      </c>
      <c r="AG26" s="605">
        <f>AC26-AF26</f>
      </c>
      <c r="AH26" s="605">
        <f>AC26*I26</f>
      </c>
      <c r="AI26" s="583">
        <f>ROUND(AG26*I26,-1)</f>
      </c>
      <c r="AJ26" s="132" t="n"/>
    </row>
    <row r="27" ht="15.5" customHeight="1">
      <c r="A27" s="63" t="n"/>
      <c r="B27" s="56"/>
      <c r="C27" s="56"/>
      <c r="D27" s="56" t="n"/>
      <c r="E27" s="63" t="n"/>
      <c r="F27" s="24" t="n"/>
      <c r="G27" s="58"/>
      <c r="H27" s="21"/>
      <c r="I27" s="23"/>
      <c r="J27" s="558"/>
      <c r="K27" s="558"/>
      <c r="L27" s="539" t="n"/>
      <c r="M27" s="539" t="n"/>
      <c r="N27" s="539" t="n"/>
      <c r="O27" s="539" t="n"/>
      <c r="P27" s="539"/>
      <c r="Q27" s="539"/>
      <c r="R27" s="539">
        <f>AI27</f>
      </c>
      <c r="S27" s="23">
        <f>Y27*100</f>
      </c>
      <c r="T27" s="539">
        <f>ROUND(R27*S27/100,-1)</f>
      </c>
      <c r="U27" s="539">
        <f>IF(Q27=0,"",(T27-Q27)/Q27*100)</f>
      </c>
      <c r="V27" s="27" t="n"/>
      <c r="W27" s="601"/>
      <c r="X27" s="602">
        <f>($W$5-K27)/365</f>
      </c>
      <c r="Y27" s="127">
        <f>(W27-X27)/W27</f>
      </c>
      <c r="Z27" s="127"/>
      <c r="AA27" s="127">
        <f>Y27/2+Z27/2</f>
      </c>
      <c r="AB27" s="603">
        <f>P27/I27</f>
      </c>
      <c r="AC27" s="604">
        <f>AB27*AD27</f>
      </c>
      <c r="AD27" s="129"/>
      <c r="AE27" s="583" t="n"/>
      <c r="AF27" s="583">
        <f>AC27*0.13/(1+0.13)</f>
      </c>
      <c r="AG27" s="605">
        <f>AC27-AF27</f>
      </c>
      <c r="AH27" s="605">
        <f>AC27*I27</f>
      </c>
      <c r="AI27" s="583">
        <f>ROUND(AG27*I27,-1)</f>
      </c>
    </row>
    <row r="28" ht="15.5" customHeight="1">
      <c r="A28" s="63" t="n"/>
      <c r="B28" s="56"/>
      <c r="C28" s="56"/>
      <c r="D28" s="56" t="n"/>
      <c r="E28" s="63" t="n"/>
      <c r="F28" s="24" t="n"/>
      <c r="G28" s="63"/>
      <c r="H28" s="21"/>
      <c r="I28" s="23"/>
      <c r="J28" s="558"/>
      <c r="K28" s="558"/>
      <c r="L28" s="539" t="n"/>
      <c r="M28" s="539" t="n"/>
      <c r="N28" s="539" t="n"/>
      <c r="O28" s="539" t="n"/>
      <c r="P28" s="539"/>
      <c r="Q28" s="539"/>
      <c r="R28" s="539">
        <f>AI28</f>
      </c>
      <c r="S28" s="23">
        <f>Y28*100</f>
      </c>
      <c r="T28" s="539">
        <f>ROUND(R28*S28/100,-1)</f>
      </c>
      <c r="U28" s="539">
        <f>IF(Q28=0,"",(T28-Q28)/Q28*100)</f>
      </c>
      <c r="V28" s="27" t="n"/>
      <c r="W28" s="601"/>
      <c r="X28" s="602">
        <f>($W$5-K28)/365</f>
      </c>
      <c r="Y28" s="127">
        <f>(W28-X28)/W28</f>
      </c>
      <c r="Z28" s="127"/>
      <c r="AA28" s="127">
        <f>Y28/2+Z28/2</f>
      </c>
      <c r="AB28" s="603">
        <f>P28/I28</f>
      </c>
      <c r="AC28" s="604">
        <f>AB28*AD28</f>
      </c>
      <c r="AD28" s="129"/>
      <c r="AE28" s="583" t="n"/>
      <c r="AF28" s="583">
        <f>AC28*0.13/(1+0.13)</f>
      </c>
      <c r="AG28" s="605">
        <f>AC28-AF28</f>
      </c>
      <c r="AH28" s="605">
        <f>AC28*I28</f>
      </c>
      <c r="AI28" s="583">
        <f>ROUND(AG28*I28,-1)</f>
      </c>
      <c r="AJ28" s="132" t="n"/>
    </row>
    <row r="29" ht="15.5" customHeight="1">
      <c r="A29" s="63" t="n"/>
      <c r="B29" s="56"/>
      <c r="C29" s="56"/>
      <c r="D29" s="56" t="n"/>
      <c r="E29" s="63" t="n"/>
      <c r="F29" s="24" t="n"/>
      <c r="G29" s="63"/>
      <c r="H29" s="21"/>
      <c r="I29" s="23"/>
      <c r="J29" s="558"/>
      <c r="K29" s="558"/>
      <c r="L29" s="539" t="n"/>
      <c r="M29" s="539" t="n"/>
      <c r="N29" s="539" t="n"/>
      <c r="O29" s="539" t="n"/>
      <c r="P29" s="539"/>
      <c r="Q29" s="539"/>
      <c r="R29" s="539">
        <f>AI29</f>
      </c>
      <c r="S29" s="23">
        <f>Y29*100</f>
      </c>
      <c r="T29" s="539">
        <f>ROUND(R29*S29/100,-1)</f>
      </c>
      <c r="U29" s="539">
        <f>IF(Q29=0,"",(T29-Q29)/Q29*100)</f>
      </c>
      <c r="V29" s="27" t="n"/>
      <c r="W29" s="601"/>
      <c r="X29" s="602">
        <f>($W$5-K29)/365</f>
      </c>
      <c r="Y29" s="127">
        <f>(W29-X29)/W29</f>
      </c>
      <c r="Z29" s="127"/>
      <c r="AA29" s="127">
        <f>Y29/2+Z29/2</f>
      </c>
      <c r="AB29" s="603">
        <f>P29/I29</f>
      </c>
      <c r="AC29" s="604">
        <f>AB29*AD29</f>
      </c>
      <c r="AD29" s="129"/>
      <c r="AE29" s="583" t="n"/>
      <c r="AF29" s="583">
        <f>AC29*0.13/(1+0.13)</f>
      </c>
      <c r="AG29" s="605">
        <f>AC29-AF29</f>
      </c>
      <c r="AH29" s="605">
        <f>AC29*I29</f>
      </c>
      <c r="AI29" s="583">
        <f>ROUND(AG29*I29,-1)</f>
      </c>
    </row>
    <row r="30" ht="15.5" customHeight="1">
      <c r="A30" s="63" t="n"/>
      <c r="B30" s="56"/>
      <c r="C30" s="56"/>
      <c r="D30" s="59" t="n"/>
      <c r="E30" s="63" t="n"/>
      <c r="F30" s="24" t="n"/>
      <c r="G30" s="63"/>
      <c r="H30" s="21"/>
      <c r="I30" s="23"/>
      <c r="J30" s="558"/>
      <c r="K30" s="558"/>
      <c r="L30" s="539" t="n"/>
      <c r="M30" s="539" t="n"/>
      <c r="N30" s="539" t="n"/>
      <c r="O30" s="539" t="n"/>
      <c r="P30" s="539"/>
      <c r="Q30" s="539"/>
      <c r="R30" s="539">
        <f>AI30</f>
      </c>
      <c r="S30" s="23">
        <f>Y30*100</f>
      </c>
      <c r="T30" s="539">
        <f>ROUND(R30*S30/100,-1)</f>
      </c>
      <c r="U30" s="539">
        <f>IF(Q30=0,"",(T30-Q30)/Q30*100)</f>
      </c>
      <c r="V30" s="27" t="n"/>
      <c r="W30" s="601"/>
      <c r="X30" s="602">
        <f>($W$5-K30)/365</f>
      </c>
      <c r="Y30" s="127">
        <f>(W30-X30)/W30</f>
      </c>
      <c r="Z30" s="127"/>
      <c r="AA30" s="127">
        <f>Y30/2+Z30/2</f>
      </c>
      <c r="AB30" s="603">
        <f>P30/I30</f>
      </c>
      <c r="AC30" s="604">
        <f>AB30*AD30</f>
      </c>
      <c r="AD30" s="129"/>
      <c r="AE30" s="583" t="n"/>
      <c r="AF30" s="583">
        <f>AC30*0.13/(1+0.13)</f>
      </c>
      <c r="AG30" s="605">
        <f>AC30-AF30</f>
      </c>
      <c r="AH30" s="605">
        <f>AC30*I30</f>
      </c>
      <c r="AI30" s="583">
        <f>ROUND(AG30*I30,-1)</f>
      </c>
    </row>
    <row r="31" ht="15.5" customHeight="1">
      <c r="A31" s="63" t="n"/>
      <c r="B31" s="56"/>
      <c r="C31" s="56"/>
      <c r="D31" s="59" t="n"/>
      <c r="E31" s="63" t="n"/>
      <c r="F31" s="24" t="n"/>
      <c r="G31" s="63"/>
      <c r="H31" s="21"/>
      <c r="I31" s="23"/>
      <c r="J31" s="558"/>
      <c r="K31" s="558"/>
      <c r="L31" s="539" t="n"/>
      <c r="M31" s="539" t="n"/>
      <c r="N31" s="539" t="n"/>
      <c r="O31" s="539" t="n"/>
      <c r="P31" s="539"/>
      <c r="Q31" s="539"/>
      <c r="R31" s="539">
        <f>AI31</f>
      </c>
      <c r="S31" s="23">
        <f>Y31*100</f>
      </c>
      <c r="T31" s="539">
        <f>ROUND(R31*S31/100,-1)</f>
      </c>
      <c r="U31" s="539">
        <f>IF(Q31=0,"",(T31-Q31)/Q31*100)</f>
      </c>
      <c r="V31" s="27" t="n"/>
      <c r="W31" s="601"/>
      <c r="X31" s="602">
        <f>($W$5-K31)/365</f>
      </c>
      <c r="Y31" s="127">
        <f>(W31-X31)/W31</f>
      </c>
      <c r="Z31" s="127"/>
      <c r="AA31" s="127">
        <f>Y31/2+Z31/2</f>
      </c>
      <c r="AB31" s="603">
        <f>P31/I31</f>
      </c>
      <c r="AC31" s="604">
        <f>AB31*AD31</f>
      </c>
      <c r="AD31" s="129"/>
      <c r="AE31" s="583" t="n"/>
      <c r="AF31" s="583">
        <f>AC31*0.13/(1+0.13)</f>
      </c>
      <c r="AG31" s="605">
        <f>AC31-AF31</f>
      </c>
      <c r="AH31" s="605">
        <f>AC31*I31</f>
      </c>
      <c r="AI31" s="583">
        <f>ROUND(AG31*I31,-1)</f>
      </c>
    </row>
    <row r="32" ht="15.5" customHeight="1">
      <c r="A32" s="63" t="n"/>
      <c r="B32" s="56"/>
      <c r="C32" s="56"/>
      <c r="D32" s="59" t="n"/>
      <c r="E32" s="63" t="n"/>
      <c r="F32" s="24" t="n"/>
      <c r="G32" s="63"/>
      <c r="H32" s="21"/>
      <c r="I32" s="23"/>
      <c r="J32" s="558"/>
      <c r="K32" s="558"/>
      <c r="L32" s="539" t="n"/>
      <c r="M32" s="539" t="n"/>
      <c r="N32" s="539" t="n"/>
      <c r="O32" s="539" t="n"/>
      <c r="P32" s="539"/>
      <c r="Q32" s="539"/>
      <c r="R32" s="539">
        <f>AI32</f>
      </c>
      <c r="S32" s="23">
        <f>Y32*100</f>
      </c>
      <c r="T32" s="539">
        <f>ROUND(R32*S32/100,-1)</f>
      </c>
      <c r="U32" s="539">
        <f>IF(Q32=0,"",(T32-Q32)/Q32*100)</f>
      </c>
      <c r="V32" s="27" t="n"/>
      <c r="W32" s="601"/>
      <c r="X32" s="602">
        <f>($W$5-K32)/365</f>
      </c>
      <c r="Y32" s="127">
        <f>(W32-X32)/W32</f>
      </c>
      <c r="Z32" s="127"/>
      <c r="AA32" s="127">
        <f>Y32/2+Z32/2</f>
      </c>
      <c r="AB32" s="603">
        <f>P32/I32</f>
      </c>
      <c r="AC32" s="604">
        <f>AB32*AD32</f>
      </c>
      <c r="AD32" s="129"/>
      <c r="AE32" s="583" t="n"/>
      <c r="AF32" s="583">
        <f>AC32*0.13/(1+0.13)</f>
      </c>
      <c r="AG32" s="605">
        <f>AC32-AF32</f>
      </c>
      <c r="AH32" s="605">
        <f>AC32*I32</f>
      </c>
      <c r="AI32" s="583">
        <f>ROUND(AG32*I32,-1)</f>
      </c>
    </row>
    <row r="33" ht="15.5" customHeight="1">
      <c r="A33" s="63" t="n"/>
      <c r="B33" s="56"/>
      <c r="C33" s="56"/>
      <c r="D33" s="59" t="n"/>
      <c r="E33" s="63" t="n"/>
      <c r="F33" s="24" t="n"/>
      <c r="G33" s="63"/>
      <c r="H33" s="21"/>
      <c r="I33" s="23"/>
      <c r="J33" s="558"/>
      <c r="K33" s="558"/>
      <c r="L33" s="539" t="n"/>
      <c r="M33" s="539" t="n"/>
      <c r="N33" s="539" t="n"/>
      <c r="O33" s="539" t="n"/>
      <c r="P33" s="539"/>
      <c r="Q33" s="539"/>
      <c r="R33" s="539">
        <f>AI33</f>
      </c>
      <c r="S33" s="23">
        <f>Y33*100</f>
      </c>
      <c r="T33" s="539">
        <f>ROUND(R33*S33/100,-1)</f>
      </c>
      <c r="U33" s="539">
        <f>IF(Q33=0,"",(T33-Q33)/Q33*100)</f>
      </c>
      <c r="V33" s="27" t="n"/>
      <c r="W33" s="601"/>
      <c r="X33" s="602">
        <f>($W$5-K33)/365</f>
      </c>
      <c r="Y33" s="127">
        <f>(W33-X33)/W33</f>
      </c>
      <c r="Z33" s="127"/>
      <c r="AA33" s="127">
        <f>Y33/2+Z33/2</f>
      </c>
      <c r="AB33" s="603">
        <f>P33/I33</f>
      </c>
      <c r="AC33" s="604">
        <f>AB33*AD33</f>
      </c>
      <c r="AD33" s="129"/>
      <c r="AE33" s="583" t="n"/>
      <c r="AF33" s="583">
        <f>AC33*0.13/(1+0.13)</f>
      </c>
      <c r="AG33" s="605">
        <f>AC33-AF33</f>
      </c>
      <c r="AH33" s="605">
        <f>AC33*I33</f>
      </c>
      <c r="AI33" s="583">
        <f>ROUND(AG33*I33,-1)</f>
      </c>
    </row>
    <row r="34" ht="15.5" customHeight="1">
      <c r="A34" s="63" t="n"/>
      <c r="B34" s="56"/>
      <c r="C34" s="56"/>
      <c r="D34" s="59" t="n"/>
      <c r="E34" s="63" t="n"/>
      <c r="F34" s="24" t="n"/>
      <c r="G34" s="63"/>
      <c r="H34" s="21"/>
      <c r="I34" s="23"/>
      <c r="J34" s="558"/>
      <c r="K34" s="558"/>
      <c r="L34" s="539" t="n"/>
      <c r="M34" s="539" t="n"/>
      <c r="N34" s="539" t="n"/>
      <c r="O34" s="539" t="n"/>
      <c r="P34" s="539"/>
      <c r="Q34" s="539"/>
      <c r="R34" s="539">
        <f>AI34</f>
      </c>
      <c r="S34" s="23">
        <f>Y34*100</f>
      </c>
      <c r="T34" s="539">
        <f>ROUND(R34*S34/100,-1)</f>
      </c>
      <c r="U34" s="539">
        <f>IF(Q34=0,"",(T34-Q34)/Q34*100)</f>
      </c>
      <c r="V34" s="27" t="n"/>
      <c r="W34" s="601"/>
      <c r="X34" s="602">
        <f>($W$5-K34)/365</f>
      </c>
      <c r="Y34" s="127">
        <f>(W34-X34)/W34</f>
      </c>
      <c r="Z34" s="127"/>
      <c r="AA34" s="127">
        <f>Y34/2+Z34/2</f>
      </c>
      <c r="AB34" s="603">
        <f>P34/I34</f>
      </c>
      <c r="AC34" s="604">
        <f>AB34*AD34</f>
      </c>
      <c r="AD34" s="129"/>
      <c r="AE34" s="583" t="n"/>
      <c r="AF34" s="583">
        <f>AC34*0.13/(1+0.13)</f>
      </c>
      <c r="AG34" s="605">
        <f>AC34-AF34</f>
      </c>
      <c r="AH34" s="605">
        <f>AC34*I34</f>
      </c>
      <c r="AI34" s="583">
        <f>ROUND(AG34*I34,-1)</f>
      </c>
    </row>
    <row r="35" ht="15.5" customHeight="1">
      <c r="A35" s="63" t="n"/>
      <c r="B35" s="56"/>
      <c r="C35" s="56"/>
      <c r="D35" s="59" t="n"/>
      <c r="E35" s="63" t="n"/>
      <c r="F35" s="24" t="n"/>
      <c r="G35" s="63"/>
      <c r="H35" s="21"/>
      <c r="I35" s="23"/>
      <c r="J35" s="558"/>
      <c r="K35" s="558"/>
      <c r="L35" s="539" t="n"/>
      <c r="M35" s="539" t="n"/>
      <c r="N35" s="539" t="n"/>
      <c r="O35" s="539" t="n"/>
      <c r="P35" s="539"/>
      <c r="Q35" s="539"/>
      <c r="R35" s="539">
        <f>AI35</f>
      </c>
      <c r="S35" s="23">
        <f>Y35*100</f>
      </c>
      <c r="T35" s="539">
        <f>ROUND(R35*S35/100,-1)</f>
      </c>
      <c r="U35" s="539">
        <f>IF(Q35=0,"",(T35-Q35)/Q35*100)</f>
      </c>
      <c r="V35" s="27" t="n"/>
      <c r="W35" s="601"/>
      <c r="X35" s="602">
        <f>($W$5-K35)/365</f>
      </c>
      <c r="Y35" s="127">
        <f>(W35-X35)/W35</f>
      </c>
      <c r="Z35" s="127"/>
      <c r="AA35" s="127">
        <f>Y35/2+Z35/2</f>
      </c>
      <c r="AB35" s="603">
        <f>P35/I35</f>
      </c>
      <c r="AC35" s="604">
        <f>AB35*AD35</f>
      </c>
      <c r="AD35" s="129"/>
      <c r="AE35" s="583" t="n"/>
      <c r="AF35" s="583">
        <f>AC35*0.13/(1+0.13)</f>
      </c>
      <c r="AG35" s="605">
        <f>AC35-AF35</f>
      </c>
      <c r="AH35" s="605">
        <f>AC35*I35</f>
      </c>
      <c r="AI35" s="583">
        <f>ROUND(AG35*I35,-1)</f>
      </c>
    </row>
    <row r="36" ht="15.5" customHeight="1">
      <c r="A36" s="63" t="n"/>
      <c r="B36" s="56"/>
      <c r="C36" s="56"/>
      <c r="D36" s="59" t="n"/>
      <c r="E36" s="63" t="n"/>
      <c r="F36" s="24" t="n"/>
      <c r="G36" s="63"/>
      <c r="H36" s="21"/>
      <c r="I36" s="23"/>
      <c r="J36" s="558"/>
      <c r="K36" s="558"/>
      <c r="L36" s="539" t="n"/>
      <c r="M36" s="539" t="n"/>
      <c r="N36" s="539" t="n"/>
      <c r="O36" s="539" t="n"/>
      <c r="P36" s="539"/>
      <c r="Q36" s="539"/>
      <c r="R36" s="539">
        <f>AI36</f>
      </c>
      <c r="S36" s="23">
        <f>Y36*100</f>
      </c>
      <c r="T36" s="539">
        <f>ROUND(R36*S36/100,-1)</f>
      </c>
      <c r="U36" s="539">
        <f>IF(Q36=0,"",(T36-Q36)/Q36*100)</f>
      </c>
      <c r="V36" s="27" t="n"/>
      <c r="W36" s="601"/>
      <c r="X36" s="602">
        <f>($W$5-K36)/365</f>
      </c>
      <c r="Y36" s="127">
        <f>(W36-X36)/W36</f>
      </c>
      <c r="Z36" s="127"/>
      <c r="AA36" s="127">
        <f>Y36/2+Z36/2</f>
      </c>
      <c r="AB36" s="603">
        <f>P36/I36</f>
      </c>
      <c r="AC36" s="604">
        <f>AB36*AD36</f>
      </c>
      <c r="AD36" s="129"/>
      <c r="AE36" s="583" t="n"/>
      <c r="AF36" s="583">
        <f>AC36*0.13/(1+0.13)</f>
      </c>
      <c r="AG36" s="605">
        <f>AC36-AF36</f>
      </c>
      <c r="AH36" s="605">
        <f>AC36*I36</f>
      </c>
      <c r="AI36" s="583">
        <f>ROUND(AG36*I36,-1)</f>
      </c>
    </row>
    <row r="37" ht="15.5" customHeight="1">
      <c r="A37" s="63" t="n"/>
      <c r="B37" s="56"/>
      <c r="C37" s="56"/>
      <c r="D37" s="59" t="n"/>
      <c r="E37" s="63" t="n"/>
      <c r="F37" s="24" t="n"/>
      <c r="G37" s="63"/>
      <c r="H37" s="21"/>
      <c r="I37" s="23"/>
      <c r="J37" s="558"/>
      <c r="K37" s="558"/>
      <c r="L37" s="539" t="n"/>
      <c r="M37" s="539" t="n"/>
      <c r="N37" s="539" t="n"/>
      <c r="O37" s="539" t="n"/>
      <c r="P37" s="539"/>
      <c r="Q37" s="539"/>
      <c r="R37" s="539">
        <f>AI37</f>
      </c>
      <c r="S37" s="23">
        <f>Y37*100</f>
      </c>
      <c r="T37" s="539">
        <f>ROUND(R37*S37/100,-1)</f>
      </c>
      <c r="U37" s="539">
        <f>IF(Q37=0,"",(T37-Q37)/Q37*100)</f>
      </c>
      <c r="V37" s="27" t="n"/>
      <c r="W37" s="601"/>
      <c r="X37" s="602">
        <f>($W$5-K37)/365</f>
      </c>
      <c r="Y37" s="127">
        <f>(W37-X37)/W37</f>
      </c>
      <c r="Z37" s="127"/>
      <c r="AA37" s="127">
        <f>Y37/2+Z37/2</f>
      </c>
      <c r="AB37" s="603">
        <f>P37/I37</f>
      </c>
      <c r="AC37" s="604">
        <f>AB37*AD37</f>
      </c>
      <c r="AD37" s="129"/>
      <c r="AE37" s="583" t="n"/>
      <c r="AF37" s="583">
        <f>AC37*0.13/(1+0.13)</f>
      </c>
      <c r="AG37" s="605">
        <f>AC37-AF37</f>
      </c>
      <c r="AH37" s="605">
        <f>AC37*I37</f>
      </c>
      <c r="AI37" s="583">
        <f>ROUND(AG37*I37,-1)</f>
      </c>
    </row>
    <row r="38" ht="15.5" customHeight="1">
      <c r="A38" s="63" t="n"/>
      <c r="B38" s="56"/>
      <c r="C38" s="56"/>
      <c r="D38" s="59" t="n"/>
      <c r="E38" s="63" t="n"/>
      <c r="F38" s="24" t="n"/>
      <c r="G38" s="63"/>
      <c r="H38" s="21"/>
      <c r="I38" s="23"/>
      <c r="J38" s="558"/>
      <c r="K38" s="558"/>
      <c r="L38" s="539" t="n"/>
      <c r="M38" s="539" t="n"/>
      <c r="N38" s="539" t="n"/>
      <c r="O38" s="539" t="n"/>
      <c r="P38" s="539"/>
      <c r="Q38" s="539"/>
      <c r="R38" s="539">
        <f>AI38</f>
      </c>
      <c r="S38" s="23">
        <f>Y38*100</f>
      </c>
      <c r="T38" s="539">
        <f>ROUND(R38*S38/100,-1)</f>
      </c>
      <c r="U38" s="539">
        <f>IF(Q38=0,"",(T38-Q38)/Q38*100)</f>
      </c>
      <c r="V38" s="27" t="n"/>
      <c r="W38" s="601"/>
      <c r="X38" s="602">
        <f>($W$5-K38)/365</f>
      </c>
      <c r="Y38" s="127">
        <f>(W38-X38)/W38</f>
      </c>
      <c r="Z38" s="127"/>
      <c r="AA38" s="127">
        <f>Y38/2+Z38/2</f>
      </c>
      <c r="AB38" s="603">
        <f>P38/I38</f>
      </c>
      <c r="AC38" s="604">
        <f>AB38*AD38</f>
      </c>
      <c r="AD38" s="129"/>
      <c r="AE38" s="583" t="n"/>
      <c r="AF38" s="583">
        <f>AC38*0.13/(1+0.13)</f>
      </c>
      <c r="AG38" s="605">
        <f>AC38-AF38</f>
      </c>
      <c r="AH38" s="605">
        <f>AC38*I38</f>
      </c>
      <c r="AI38" s="583">
        <f>ROUND(AG38*I38,-1)</f>
      </c>
    </row>
    <row r="39" ht="15.5" customHeight="1">
      <c r="A39" s="63" t="n"/>
      <c r="B39" s="56"/>
      <c r="C39" s="56"/>
      <c r="D39" s="59" t="n"/>
      <c r="E39" s="63" t="n"/>
      <c r="F39" s="24" t="n"/>
      <c r="G39" s="63"/>
      <c r="H39" s="21"/>
      <c r="I39" s="23"/>
      <c r="J39" s="558"/>
      <c r="K39" s="558"/>
      <c r="L39" s="539" t="n"/>
      <c r="M39" s="539" t="n"/>
      <c r="N39" s="539" t="n"/>
      <c r="O39" s="539" t="n"/>
      <c r="P39" s="539"/>
      <c r="Q39" s="539"/>
      <c r="R39" s="539">
        <f>AI39</f>
      </c>
      <c r="S39" s="23">
        <f>Y39*100</f>
      </c>
      <c r="T39" s="539">
        <f>ROUND(R39*S39/100,-1)</f>
      </c>
      <c r="U39" s="539">
        <f>IF(Q39=0,"",(T39-Q39)/Q39*100)</f>
      </c>
      <c r="V39" s="27" t="n"/>
      <c r="W39" s="601"/>
      <c r="X39" s="602">
        <f>($W$5-K39)/365</f>
      </c>
      <c r="Y39" s="127">
        <f>(W39-X39)/W39</f>
      </c>
      <c r="Z39" s="127"/>
      <c r="AA39" s="127">
        <f>Y39/2+Z39/2</f>
      </c>
      <c r="AB39" s="603">
        <f>P39/I39</f>
      </c>
      <c r="AC39" s="604">
        <f>AB39*AD39</f>
      </c>
      <c r="AD39" s="129"/>
      <c r="AE39" s="583" t="n"/>
      <c r="AF39" s="583">
        <f>AC39*0.13/(1+0.13)</f>
      </c>
      <c r="AG39" s="605">
        <f>AC39-AF39</f>
      </c>
      <c r="AH39" s="605">
        <f>AC39*I39</f>
      </c>
      <c r="AI39" s="583">
        <f>ROUND(AG39*I39,-1)</f>
      </c>
    </row>
    <row r="40" ht="15.5" customHeight="1">
      <c r="A40" s="63" t="n"/>
      <c r="B40" s="56"/>
      <c r="C40" s="56"/>
      <c r="D40" s="59" t="n"/>
      <c r="E40" s="63" t="n"/>
      <c r="F40" s="24" t="n"/>
      <c r="G40" s="63"/>
      <c r="H40" s="21"/>
      <c r="I40" s="23"/>
      <c r="J40" s="558"/>
      <c r="K40" s="558"/>
      <c r="L40" s="539" t="n"/>
      <c r="M40" s="539" t="n"/>
      <c r="N40" s="539" t="n"/>
      <c r="O40" s="539" t="n"/>
      <c r="P40" s="539"/>
      <c r="Q40" s="539"/>
      <c r="R40" s="539">
        <f>AI40</f>
      </c>
      <c r="S40" s="23">
        <f>Y40*100</f>
      </c>
      <c r="T40" s="539">
        <f>ROUND(R40*S40/100,-1)</f>
      </c>
      <c r="U40" s="539">
        <f>IF(Q40=0,"",(T40-Q40)/Q40*100)</f>
      </c>
      <c r="V40" s="27" t="n"/>
      <c r="W40" s="601"/>
      <c r="X40" s="602">
        <f>($W$5-K40)/365</f>
      </c>
      <c r="Y40" s="127">
        <f>(W40-X40)/W40</f>
      </c>
      <c r="Z40" s="127"/>
      <c r="AA40" s="127">
        <f>Y40/2+Z40/2</f>
      </c>
      <c r="AB40" s="603">
        <f>P40/I40</f>
      </c>
      <c r="AC40" s="604">
        <f>AB40*AD40</f>
      </c>
      <c r="AD40" s="129"/>
      <c r="AE40" s="583" t="n"/>
      <c r="AF40" s="583">
        <f>AC40*0.13/(1+0.13)</f>
      </c>
      <c r="AG40" s="605">
        <f>AC40-AF40</f>
      </c>
      <c r="AH40" s="605">
        <f>AC40*I40</f>
      </c>
      <c r="AI40" s="583">
        <f>ROUND(AG40*I40,-1)</f>
      </c>
    </row>
    <row r="41" ht="15.5" customHeight="1">
      <c r="A41" s="63" t="n"/>
      <c r="B41" s="56"/>
      <c r="C41" s="56"/>
      <c r="D41" s="59" t="n"/>
      <c r="E41" s="63" t="n"/>
      <c r="F41" s="24" t="n"/>
      <c r="G41" s="63"/>
      <c r="H41" s="21"/>
      <c r="I41" s="23"/>
      <c r="J41" s="558"/>
      <c r="K41" s="558"/>
      <c r="L41" s="539" t="n"/>
      <c r="M41" s="539" t="n"/>
      <c r="N41" s="539" t="n"/>
      <c r="O41" s="539" t="n"/>
      <c r="P41" s="539"/>
      <c r="Q41" s="539"/>
      <c r="R41" s="539">
        <f>AI41</f>
      </c>
      <c r="S41" s="23">
        <f>Y41*100</f>
      </c>
      <c r="T41" s="539">
        <f>ROUND(R41*S41/100,-1)</f>
      </c>
      <c r="U41" s="539">
        <f>IF(Q41=0,"",(T41-Q41)/Q41*100)</f>
      </c>
      <c r="V41" s="27" t="n"/>
      <c r="W41" s="601"/>
      <c r="X41" s="602">
        <f>($W$5-K41)/365</f>
      </c>
      <c r="Y41" s="127">
        <f>(W41-X41)/W41</f>
      </c>
      <c r="Z41" s="127"/>
      <c r="AA41" s="127">
        <f>Y41/2+Z41/2</f>
      </c>
      <c r="AB41" s="603">
        <f>P41/I41</f>
      </c>
      <c r="AC41" s="604">
        <f>AB41*AD41</f>
      </c>
      <c r="AD41" s="129"/>
      <c r="AE41" s="583" t="n"/>
      <c r="AF41" s="583">
        <f>AC41*0.13/(1+0.13)</f>
      </c>
      <c r="AG41" s="605">
        <f>AC41-AF41</f>
      </c>
      <c r="AH41" s="605">
        <f>AC41*I41</f>
      </c>
      <c r="AI41" s="583">
        <f>ROUND(AG41*I41,-1)</f>
      </c>
    </row>
    <row r="42" ht="15.5" customHeight="1">
      <c r="A42" s="63" t="n"/>
      <c r="B42" s="56"/>
      <c r="C42" s="56"/>
      <c r="D42" s="59" t="n"/>
      <c r="E42" s="63" t="n"/>
      <c r="F42" s="24" t="n"/>
      <c r="G42" s="63"/>
      <c r="H42" s="21"/>
      <c r="I42" s="23"/>
      <c r="J42" s="558"/>
      <c r="K42" s="558"/>
      <c r="L42" s="539" t="n"/>
      <c r="M42" s="539" t="n"/>
      <c r="N42" s="539" t="n"/>
      <c r="O42" s="539" t="n"/>
      <c r="P42" s="539"/>
      <c r="Q42" s="539"/>
      <c r="R42" s="539">
        <f>AI42</f>
      </c>
      <c r="S42" s="23">
        <f>Y42*100</f>
      </c>
      <c r="T42" s="539">
        <f>ROUND(R42*S42/100,-1)</f>
      </c>
      <c r="U42" s="539">
        <f>IF(Q42=0,"",(T42-Q42)/Q42*100)</f>
      </c>
      <c r="V42" s="27" t="n"/>
      <c r="W42" s="601"/>
      <c r="X42" s="602">
        <f>($W$5-K42)/365</f>
      </c>
      <c r="Y42" s="127">
        <f>(W42-X42)/W42</f>
      </c>
      <c r="Z42" s="127"/>
      <c r="AA42" s="127">
        <f>Y42/2+Z42/2</f>
      </c>
      <c r="AB42" s="603">
        <f>P42/I42</f>
      </c>
      <c r="AC42" s="604">
        <f>AB42*AD42</f>
      </c>
      <c r="AD42" s="129"/>
      <c r="AE42" s="583" t="n"/>
      <c r="AF42" s="583">
        <f>AC42*0.13/(1+0.13)</f>
      </c>
      <c r="AG42" s="605">
        <f>AC42-AF42</f>
      </c>
      <c r="AH42" s="605">
        <f>AC42*I42</f>
      </c>
      <c r="AI42" s="583">
        <f>ROUND(AG42*I42,-1)</f>
      </c>
    </row>
    <row r="43" ht="15.5" customHeight="1">
      <c r="A43" s="63" t="n"/>
      <c r="B43" s="56"/>
      <c r="C43" s="56"/>
      <c r="D43" s="59" t="n"/>
      <c r="E43" s="63" t="n"/>
      <c r="F43" s="24" t="n"/>
      <c r="G43" s="63"/>
      <c r="H43" s="21"/>
      <c r="I43" s="23"/>
      <c r="J43" s="558"/>
      <c r="K43" s="558"/>
      <c r="L43" s="539" t="n"/>
      <c r="M43" s="539" t="n"/>
      <c r="N43" s="539" t="n"/>
      <c r="O43" s="539" t="n"/>
      <c r="P43" s="539"/>
      <c r="Q43" s="539"/>
      <c r="R43" s="539">
        <f>AI43</f>
      </c>
      <c r="S43" s="23">
        <f>Y43*100</f>
      </c>
      <c r="T43" s="539">
        <f>ROUND(R43*S43/100,-1)</f>
      </c>
      <c r="U43" s="539">
        <f>IF(Q43=0,"",(T43-Q43)/Q43*100)</f>
      </c>
      <c r="V43" s="27" t="n"/>
      <c r="W43" s="601"/>
      <c r="X43" s="602">
        <f>($W$5-K43)/365</f>
      </c>
      <c r="Y43" s="127">
        <f>(W43-X43)/W43</f>
      </c>
      <c r="Z43" s="127"/>
      <c r="AA43" s="127">
        <f>Y43/2+Z43/2</f>
      </c>
      <c r="AB43" s="603">
        <f>P43/I43</f>
      </c>
      <c r="AC43" s="604">
        <f>AB43*AD43</f>
      </c>
      <c r="AD43" s="129"/>
      <c r="AE43" s="583" t="n"/>
      <c r="AF43" s="583">
        <f>AC43*0.13/(1+0.13)</f>
      </c>
      <c r="AG43" s="605">
        <f>AC43-AF43</f>
      </c>
      <c r="AH43" s="605">
        <f>AC43*I43</f>
      </c>
      <c r="AI43" s="583">
        <f>ROUND(AG43*I43,-1)</f>
      </c>
    </row>
    <row r="44" ht="15.5" customHeight="1">
      <c r="A44" s="63" t="n"/>
      <c r="B44" s="56"/>
      <c r="C44" s="56"/>
      <c r="D44" s="59" t="n"/>
      <c r="E44" s="63" t="n"/>
      <c r="F44" s="24" t="n"/>
      <c r="G44" s="63"/>
      <c r="H44" s="21"/>
      <c r="I44" s="23"/>
      <c r="J44" s="558"/>
      <c r="K44" s="558"/>
      <c r="L44" s="539" t="n"/>
      <c r="M44" s="539" t="n"/>
      <c r="N44" s="539" t="n"/>
      <c r="O44" s="539" t="n"/>
      <c r="P44" s="539"/>
      <c r="Q44" s="539"/>
      <c r="R44" s="539">
        <f>AI44</f>
      </c>
      <c r="S44" s="23">
        <f>Y44*100</f>
      </c>
      <c r="T44" s="539">
        <f>ROUND(R44*S44/100,-1)</f>
      </c>
      <c r="U44" s="539">
        <f>IF(Q44=0,"",(T44-Q44)/Q44*100)</f>
      </c>
      <c r="V44" s="27" t="n"/>
      <c r="W44" s="601"/>
      <c r="X44" s="602">
        <f>($W$5-K44)/365</f>
      </c>
      <c r="Y44" s="127">
        <f>(W44-X44)/W44</f>
      </c>
      <c r="Z44" s="127"/>
      <c r="AA44" s="127">
        <f>Y44/2+Z44/2</f>
      </c>
      <c r="AB44" s="603">
        <f>P44/I44</f>
      </c>
      <c r="AC44" s="604">
        <f>AB44*AD44</f>
      </c>
      <c r="AD44" s="129"/>
      <c r="AE44" s="583" t="n"/>
      <c r="AF44" s="583">
        <f>AC44*0.13/(1+0.13)</f>
      </c>
      <c r="AG44" s="605">
        <f>AC44-AF44</f>
      </c>
      <c r="AH44" s="605">
        <f>AC44*I44</f>
      </c>
      <c r="AI44" s="583">
        <f>ROUND(AG44*I44,-1)</f>
      </c>
    </row>
    <row r="45" ht="15.5" customHeight="1">
      <c r="A45" s="63" t="n"/>
      <c r="B45" s="56"/>
      <c r="C45" s="56"/>
      <c r="D45" s="59" t="n"/>
      <c r="E45" s="63" t="n"/>
      <c r="F45" s="24" t="n"/>
      <c r="G45" s="63"/>
      <c r="H45" s="21"/>
      <c r="I45" s="23"/>
      <c r="J45" s="558"/>
      <c r="K45" s="558"/>
      <c r="L45" s="539" t="n"/>
      <c r="M45" s="539" t="n"/>
      <c r="N45" s="539" t="n"/>
      <c r="O45" s="539" t="n"/>
      <c r="P45" s="539"/>
      <c r="Q45" s="539"/>
      <c r="R45" s="539">
        <f>AI45</f>
      </c>
      <c r="S45" s="23">
        <f>Y45*100</f>
      </c>
      <c r="T45" s="539">
        <f>ROUND(R45*S45/100,-1)</f>
      </c>
      <c r="U45" s="539">
        <f>IF(Q45=0,"",(T45-Q45)/Q45*100)</f>
      </c>
      <c r="V45" s="27" t="n"/>
      <c r="W45" s="601"/>
      <c r="X45" s="602">
        <f>($W$5-K45)/365</f>
      </c>
      <c r="Y45" s="127">
        <f>(W45-X45)/W45</f>
      </c>
      <c r="Z45" s="127"/>
      <c r="AA45" s="127">
        <f>Y45/2+Z45/2</f>
      </c>
      <c r="AB45" s="603">
        <f>P45/I45</f>
      </c>
      <c r="AC45" s="604">
        <f>AB45*AD45</f>
      </c>
      <c r="AD45" s="129"/>
      <c r="AE45" s="583" t="n"/>
      <c r="AF45" s="583">
        <f>AC45*0.13/(1+0.13)</f>
      </c>
      <c r="AG45" s="605">
        <f>AC45-AF45</f>
      </c>
      <c r="AH45" s="605">
        <f>AC45*I45</f>
      </c>
      <c r="AI45" s="583">
        <f>ROUND(AG45*I45,-1)</f>
      </c>
    </row>
    <row r="46" ht="15.5" customHeight="1">
      <c r="A46" s="63" t="n"/>
      <c r="B46" s="56"/>
      <c r="C46" s="56"/>
      <c r="D46" s="59" t="n"/>
      <c r="E46" s="63" t="n"/>
      <c r="F46" s="24" t="n"/>
      <c r="G46" s="63"/>
      <c r="H46" s="21"/>
      <c r="I46" s="23"/>
      <c r="J46" s="558"/>
      <c r="K46" s="558"/>
      <c r="L46" s="539" t="n"/>
      <c r="M46" s="539" t="n"/>
      <c r="N46" s="539" t="n"/>
      <c r="O46" s="539" t="n"/>
      <c r="P46" s="539"/>
      <c r="Q46" s="539"/>
      <c r="R46" s="539">
        <f>AI46</f>
      </c>
      <c r="S46" s="23">
        <f>Y46*100</f>
      </c>
      <c r="T46" s="539">
        <f>ROUND(R46*S46/100,-1)</f>
      </c>
      <c r="U46" s="539">
        <f>IF(Q46=0,"",(T46-Q46)/Q46*100)</f>
      </c>
      <c r="V46" s="27" t="n"/>
      <c r="W46" s="601"/>
      <c r="X46" s="602">
        <f>($W$5-K46)/365</f>
      </c>
      <c r="Y46" s="127">
        <f>(W46-X46)/W46</f>
      </c>
      <c r="Z46" s="127"/>
      <c r="AA46" s="127">
        <f>Y46/2+Z46/2</f>
      </c>
      <c r="AB46" s="603">
        <f>P46/I46</f>
      </c>
      <c r="AC46" s="604">
        <f>AB46*AD46</f>
      </c>
      <c r="AD46" s="129"/>
      <c r="AE46" s="583" t="n"/>
      <c r="AF46" s="583">
        <f>AC46*0.13/(1+0.13)</f>
      </c>
      <c r="AG46" s="605">
        <f>AC46-AF46</f>
      </c>
      <c r="AH46" s="605">
        <f>AC46*I46</f>
      </c>
      <c r="AI46" s="583">
        <f>ROUND(AG46*I46,-1)</f>
      </c>
    </row>
    <row r="47" ht="15.5" customHeight="1">
      <c r="A47" s="63" t="n"/>
      <c r="B47" s="56"/>
      <c r="C47" s="56"/>
      <c r="D47" s="59" t="n"/>
      <c r="E47" s="63" t="n"/>
      <c r="F47" s="24" t="n"/>
      <c r="G47" s="63"/>
      <c r="H47" s="21"/>
      <c r="I47" s="23"/>
      <c r="J47" s="558"/>
      <c r="K47" s="558"/>
      <c r="L47" s="539" t="n"/>
      <c r="M47" s="539" t="n"/>
      <c r="N47" s="539" t="n"/>
      <c r="O47" s="539" t="n"/>
      <c r="P47" s="539"/>
      <c r="Q47" s="539"/>
      <c r="R47" s="539">
        <f>AI47</f>
      </c>
      <c r="S47" s="23">
        <f>Y47*100</f>
      </c>
      <c r="T47" s="539">
        <f>ROUND(R47*S47/100,-1)</f>
      </c>
      <c r="U47" s="539">
        <f>IF(Q47=0,"",(T47-Q47)/Q47*100)</f>
      </c>
      <c r="V47" s="27" t="n"/>
      <c r="W47" s="601"/>
      <c r="X47" s="602">
        <f>($W$5-K47)/365</f>
      </c>
      <c r="Y47" s="127">
        <f>(W47-X47)/W47</f>
      </c>
      <c r="Z47" s="127"/>
      <c r="AA47" s="127">
        <f>Y47/2+Z47/2</f>
      </c>
      <c r="AB47" s="603">
        <f>P47/I47</f>
      </c>
      <c r="AC47" s="604">
        <f>AB47*AD47</f>
      </c>
      <c r="AD47" s="129"/>
      <c r="AE47" s="583" t="n"/>
      <c r="AF47" s="583">
        <f>AC47*0.13/(1+0.13)</f>
      </c>
      <c r="AG47" s="605">
        <f>AC47-AF47</f>
      </c>
      <c r="AH47" s="605">
        <f>AC47*I47</f>
      </c>
      <c r="AI47" s="583">
        <f>ROUND(AG47*I47,-1)</f>
      </c>
    </row>
    <row r="48" ht="15.5" customHeight="1">
      <c r="A48" s="63" t="n"/>
      <c r="B48" s="56"/>
      <c r="C48" s="56"/>
      <c r="D48" s="59" t="n"/>
      <c r="E48" s="63" t="n"/>
      <c r="F48" s="24" t="n"/>
      <c r="G48" s="63"/>
      <c r="H48" s="21"/>
      <c r="I48" s="23"/>
      <c r="J48" s="558"/>
      <c r="K48" s="558"/>
      <c r="L48" s="539" t="n"/>
      <c r="M48" s="539" t="n"/>
      <c r="N48" s="539" t="n"/>
      <c r="O48" s="539" t="n"/>
      <c r="P48" s="539"/>
      <c r="Q48" s="539"/>
      <c r="R48" s="539">
        <f>AI48</f>
      </c>
      <c r="S48" s="23">
        <f>Y48*100</f>
      </c>
      <c r="T48" s="539">
        <f>ROUND(R48*S48/100,-1)</f>
      </c>
      <c r="U48" s="539">
        <f>IF(Q48=0,"",(T48-Q48)/Q48*100)</f>
      </c>
      <c r="V48" s="27" t="n"/>
      <c r="W48" s="601"/>
      <c r="X48" s="602">
        <f>($W$5-K48)/365</f>
      </c>
      <c r="Y48" s="127">
        <f>(W48-X48)/W48</f>
      </c>
      <c r="Z48" s="127"/>
      <c r="AA48" s="127">
        <f>Y48/2+Z48/2</f>
      </c>
      <c r="AB48" s="603">
        <f>P48/I48</f>
      </c>
      <c r="AC48" s="604">
        <f>AB48*AD48</f>
      </c>
      <c r="AD48" s="129"/>
      <c r="AE48" s="583" t="n"/>
      <c r="AF48" s="583">
        <f>AC48*0.13/(1+0.13)</f>
      </c>
      <c r="AG48" s="605">
        <f>AC48-AF48</f>
      </c>
      <c r="AH48" s="605">
        <f>AC48*I48</f>
      </c>
      <c r="AI48" s="583">
        <f>ROUND(AG48*I48,-1)</f>
      </c>
    </row>
    <row r="49" ht="15.5" customHeight="1">
      <c r="A49" s="63" t="n"/>
      <c r="B49" s="56"/>
      <c r="C49" s="56"/>
      <c r="D49" s="59" t="n"/>
      <c r="E49" s="63" t="n"/>
      <c r="F49" s="24" t="n"/>
      <c r="G49" s="63"/>
      <c r="H49" s="21"/>
      <c r="I49" s="23"/>
      <c r="J49" s="558"/>
      <c r="K49" s="558"/>
      <c r="L49" s="539" t="n"/>
      <c r="M49" s="539" t="n"/>
      <c r="N49" s="539" t="n"/>
      <c r="O49" s="539" t="n"/>
      <c r="P49" s="539"/>
      <c r="Q49" s="539"/>
      <c r="R49" s="539">
        <f>AI49</f>
      </c>
      <c r="S49" s="23">
        <f>Y49*100</f>
      </c>
      <c r="T49" s="539">
        <f>ROUND(R49*S49/100,-1)</f>
      </c>
      <c r="U49" s="539">
        <f>IF(Q49=0,"",(T49-Q49)/Q49*100)</f>
      </c>
      <c r="V49" s="27" t="n"/>
      <c r="W49" s="601"/>
      <c r="X49" s="602">
        <f>($W$5-K49)/365</f>
      </c>
      <c r="Y49" s="127">
        <f>(W49-X49)/W49</f>
      </c>
      <c r="Z49" s="127"/>
      <c r="AA49" s="127">
        <f>Y49/2+Z49/2</f>
      </c>
      <c r="AB49" s="603">
        <f>P49/I49</f>
      </c>
      <c r="AC49" s="604">
        <f>AB49*AD49</f>
      </c>
      <c r="AD49" s="129"/>
      <c r="AE49" s="583" t="n"/>
      <c r="AF49" s="583">
        <f>AC49*0.13/(1+0.13)</f>
      </c>
      <c r="AG49" s="605">
        <f>AC49-AF49</f>
      </c>
      <c r="AH49" s="605">
        <f>AC49*I49</f>
      </c>
      <c r="AI49" s="583">
        <f>ROUND(AG49*I49,-1)</f>
      </c>
    </row>
    <row r="50" ht="15.5" customHeight="1">
      <c r="A50" s="63" t="n"/>
      <c r="B50" s="56"/>
      <c r="C50" s="56"/>
      <c r="D50" s="59" t="n"/>
      <c r="E50" s="63" t="n"/>
      <c r="F50" s="24" t="n"/>
      <c r="G50" s="63"/>
      <c r="H50" s="21"/>
      <c r="I50" s="23"/>
      <c r="J50" s="558"/>
      <c r="K50" s="558"/>
      <c r="L50" s="539" t="n"/>
      <c r="M50" s="539" t="n"/>
      <c r="N50" s="539" t="n"/>
      <c r="O50" s="539" t="n"/>
      <c r="P50" s="539"/>
      <c r="Q50" s="539"/>
      <c r="R50" s="539">
        <f>AI50</f>
      </c>
      <c r="S50" s="23">
        <f>Y50*100</f>
      </c>
      <c r="T50" s="539">
        <f>ROUND(R50*S50/100,-1)</f>
      </c>
      <c r="U50" s="539">
        <f>IF(Q50=0,"",(T50-Q50)/Q50*100)</f>
      </c>
      <c r="V50" s="27" t="n"/>
      <c r="W50" s="601"/>
      <c r="X50" s="602">
        <f>($W$5-K50)/365</f>
      </c>
      <c r="Y50" s="127">
        <f>(W50-X50)/W50</f>
      </c>
      <c r="Z50" s="127"/>
      <c r="AA50" s="127">
        <f>Y50/2+Z50/2</f>
      </c>
      <c r="AB50" s="603">
        <f>P50/I50</f>
      </c>
      <c r="AC50" s="604">
        <f>AB50*AD50</f>
      </c>
      <c r="AD50" s="129"/>
      <c r="AE50" s="583" t="n"/>
      <c r="AF50" s="583">
        <f>AC50*0.13/(1+0.13)</f>
      </c>
      <c r="AG50" s="605">
        <f>AC50-AF50</f>
      </c>
      <c r="AH50" s="605">
        <f>AC50*I50</f>
      </c>
      <c r="AI50" s="583">
        <f>ROUND(AG50*I50,-1)</f>
      </c>
    </row>
    <row r="51" ht="15.5" customHeight="1">
      <c r="A51" s="63" t="n"/>
      <c r="B51" s="56"/>
      <c r="C51" s="56"/>
      <c r="D51" s="59" t="n"/>
      <c r="E51" s="63" t="n"/>
      <c r="F51" s="24" t="n"/>
      <c r="G51" s="63"/>
      <c r="H51" s="21"/>
      <c r="I51" s="23"/>
      <c r="J51" s="558"/>
      <c r="K51" s="558"/>
      <c r="L51" s="539" t="n"/>
      <c r="M51" s="539" t="n"/>
      <c r="N51" s="539" t="n"/>
      <c r="O51" s="539" t="n"/>
      <c r="P51" s="539"/>
      <c r="Q51" s="539"/>
      <c r="R51" s="539">
        <f>AI51</f>
      </c>
      <c r="S51" s="23">
        <f>Y51*100</f>
      </c>
      <c r="T51" s="539">
        <f>ROUND(R51*S51/100,-1)</f>
      </c>
      <c r="U51" s="539">
        <f>IF(Q51=0,"",(T51-Q51)/Q51*100)</f>
      </c>
      <c r="V51" s="27" t="n"/>
      <c r="W51" s="601"/>
      <c r="X51" s="602">
        <f>($W$5-K51)/365</f>
      </c>
      <c r="Y51" s="127">
        <f>(W51-X51)/W51</f>
      </c>
      <c r="Z51" s="127"/>
      <c r="AA51" s="127">
        <f>Y51/2+Z51/2</f>
      </c>
      <c r="AB51" s="603">
        <f>P51/I51</f>
      </c>
      <c r="AC51" s="604">
        <f>AB51*AD51</f>
      </c>
      <c r="AD51" s="129"/>
      <c r="AE51" s="583" t="n"/>
      <c r="AF51" s="583">
        <f>AC51*0.13/(1+0.13)</f>
      </c>
      <c r="AG51" s="605">
        <f>AC51-AF51</f>
      </c>
      <c r="AH51" s="605">
        <f>AC51*I51</f>
      </c>
      <c r="AI51" s="583">
        <f>ROUND(AG51*I51,-1)</f>
      </c>
    </row>
    <row r="52" ht="15.5" customHeight="1">
      <c r="A52" s="63" t="n"/>
      <c r="B52" s="56"/>
      <c r="C52" s="56"/>
      <c r="D52" s="59" t="n"/>
      <c r="E52" s="63" t="n"/>
      <c r="F52" s="24" t="n"/>
      <c r="G52" s="63"/>
      <c r="H52" s="21"/>
      <c r="I52" s="23"/>
      <c r="J52" s="558"/>
      <c r="K52" s="558"/>
      <c r="L52" s="539" t="n"/>
      <c r="M52" s="539" t="n"/>
      <c r="N52" s="539" t="n"/>
      <c r="O52" s="539" t="n"/>
      <c r="P52" s="539"/>
      <c r="Q52" s="539"/>
      <c r="R52" s="539">
        <f>AI52</f>
      </c>
      <c r="S52" s="23">
        <f>Y52*100</f>
      </c>
      <c r="T52" s="539">
        <f>ROUND(R52*S52/100,-1)</f>
      </c>
      <c r="U52" s="539">
        <f>IF(Q52=0,"",(T52-Q52)/Q52*100)</f>
      </c>
      <c r="V52" s="27" t="n"/>
      <c r="W52" s="601"/>
      <c r="X52" s="602">
        <f>($W$5-K52)/365</f>
      </c>
      <c r="Y52" s="127">
        <f>(W52-X52)/W52</f>
      </c>
      <c r="Z52" s="127"/>
      <c r="AA52" s="127">
        <f>Y52/2+Z52/2</f>
      </c>
      <c r="AB52" s="603">
        <f>P52/I52</f>
      </c>
      <c r="AC52" s="604">
        <f>AB52*AD52</f>
      </c>
      <c r="AD52" s="129"/>
      <c r="AE52" s="583" t="n"/>
      <c r="AF52" s="583">
        <f>AC52*0.13/(1+0.13)</f>
      </c>
      <c r="AG52" s="605">
        <f>AC52-AF52</f>
      </c>
      <c r="AH52" s="605">
        <f>AC52*I52</f>
      </c>
      <c r="AI52" s="583">
        <f>ROUND(AG52*I52,-1)</f>
      </c>
    </row>
    <row r="53" ht="15.5" customHeight="1">
      <c r="A53" s="63" t="n"/>
      <c r="B53" s="56"/>
      <c r="C53" s="56"/>
      <c r="D53" s="59" t="n"/>
      <c r="E53" s="63" t="n"/>
      <c r="F53" s="24" t="n"/>
      <c r="G53" s="63"/>
      <c r="H53" s="21"/>
      <c r="I53" s="23"/>
      <c r="J53" s="558"/>
      <c r="K53" s="558"/>
      <c r="L53" s="539" t="n"/>
      <c r="M53" s="539" t="n"/>
      <c r="N53" s="539" t="n"/>
      <c r="O53" s="539" t="n"/>
      <c r="P53" s="539"/>
      <c r="Q53" s="539"/>
      <c r="R53" s="539">
        <f>AI53</f>
      </c>
      <c r="S53" s="23">
        <f>Y53*100</f>
      </c>
      <c r="T53" s="539">
        <f>ROUND(R53*S53/100,-1)</f>
      </c>
      <c r="U53" s="539">
        <f>IF(Q53=0,"",(T53-Q53)/Q53*100)</f>
      </c>
      <c r="V53" s="27" t="n"/>
      <c r="W53" s="601"/>
      <c r="X53" s="602">
        <f>($W$5-K53)/365</f>
      </c>
      <c r="Y53" s="127">
        <f>(W53-X53)/W53</f>
      </c>
      <c r="Z53" s="127"/>
      <c r="AA53" s="127">
        <f>Y53/2+Z53/2</f>
      </c>
      <c r="AB53" s="603">
        <f>P53/I53</f>
      </c>
      <c r="AC53" s="604">
        <f>AB53*AD53</f>
      </c>
      <c r="AD53" s="129"/>
      <c r="AE53" s="583" t="n"/>
      <c r="AF53" s="583">
        <f>AC53*0.13/(1+0.13)</f>
      </c>
      <c r="AG53" s="605">
        <f>AC53-AF53</f>
      </c>
      <c r="AH53" s="605">
        <f>AC53*I53</f>
      </c>
      <c r="AI53" s="583">
        <f>ROUND(AG53*I53,-1)</f>
      </c>
    </row>
    <row r="54" ht="15.5" customHeight="1">
      <c r="A54" s="63" t="n"/>
      <c r="B54" s="56"/>
      <c r="C54" s="56"/>
      <c r="D54" s="59" t="n"/>
      <c r="E54" s="63" t="n"/>
      <c r="F54" s="24" t="n"/>
      <c r="G54" s="63"/>
      <c r="H54" s="21"/>
      <c r="I54" s="23"/>
      <c r="J54" s="558"/>
      <c r="K54" s="558"/>
      <c r="L54" s="539" t="n"/>
      <c r="M54" s="539" t="n"/>
      <c r="N54" s="539" t="n"/>
      <c r="O54" s="539" t="n"/>
      <c r="P54" s="539"/>
      <c r="Q54" s="539"/>
      <c r="R54" s="539">
        <f>AI54</f>
      </c>
      <c r="S54" s="23">
        <f>Y54*100</f>
      </c>
      <c r="T54" s="539">
        <f>ROUND(R54*S54/100,-1)</f>
      </c>
      <c r="U54" s="539">
        <f>IF(Q54=0,"",(T54-Q54)/Q54*100)</f>
      </c>
      <c r="V54" s="27" t="n"/>
      <c r="W54" s="601"/>
      <c r="X54" s="602">
        <f>($W$5-K54)/365</f>
      </c>
      <c r="Y54" s="127">
        <f>(W54-X54)/W54</f>
      </c>
      <c r="Z54" s="127"/>
      <c r="AA54" s="127">
        <f>Y54/2+Z54/2</f>
      </c>
      <c r="AB54" s="603">
        <f>P54/I54</f>
      </c>
      <c r="AC54" s="604">
        <f>AB54*AD54</f>
      </c>
      <c r="AD54" s="129"/>
      <c r="AE54" s="583" t="n"/>
      <c r="AF54" s="583">
        <f>AC54*0.13/(1+0.13)</f>
      </c>
      <c r="AG54" s="605">
        <f>AC54-AF54</f>
      </c>
      <c r="AH54" s="605">
        <f>AC54*I54</f>
      </c>
      <c r="AI54" s="583">
        <f>ROUND(AG54*I54,-1)</f>
      </c>
    </row>
    <row r="55" ht="15.5" customHeight="1">
      <c r="A55" s="63" t="n"/>
      <c r="B55" s="56"/>
      <c r="C55" s="56"/>
      <c r="D55" s="59" t="n"/>
      <c r="E55" s="63" t="n"/>
      <c r="F55" s="24" t="n"/>
      <c r="G55" s="63"/>
      <c r="H55" s="21"/>
      <c r="I55" s="23"/>
      <c r="J55" s="558"/>
      <c r="K55" s="558"/>
      <c r="L55" s="539" t="n"/>
      <c r="M55" s="539" t="n"/>
      <c r="N55" s="539" t="n"/>
      <c r="O55" s="539" t="n"/>
      <c r="P55" s="539"/>
      <c r="Q55" s="539"/>
      <c r="R55" s="539">
        <f>AI55</f>
      </c>
      <c r="S55" s="23">
        <f>Y55*100</f>
      </c>
      <c r="T55" s="539">
        <f>ROUND(R55*S55/100,-1)</f>
      </c>
      <c r="U55" s="539">
        <f>IF(Q55=0,"",(T55-Q55)/Q55*100)</f>
      </c>
      <c r="V55" s="27" t="n"/>
      <c r="W55" s="601"/>
      <c r="X55" s="602">
        <f>($W$5-K55)/365</f>
      </c>
      <c r="Y55" s="127">
        <f>(W55-X55)/W55</f>
      </c>
      <c r="Z55" s="127"/>
      <c r="AA55" s="127">
        <f>Y55/2+Z55/2</f>
      </c>
      <c r="AB55" s="603">
        <f>P55/I55</f>
      </c>
      <c r="AC55" s="604">
        <f>AB55*AD55</f>
      </c>
      <c r="AD55" s="129"/>
      <c r="AE55" s="583" t="n"/>
      <c r="AF55" s="583">
        <f>AC55*0.13/(1+0.13)</f>
      </c>
      <c r="AG55" s="605">
        <f>AC55-AF55</f>
      </c>
      <c r="AH55" s="605">
        <f>AC55*I55</f>
      </c>
      <c r="AI55" s="583">
        <f>ROUND(AG55*I55,-1)</f>
      </c>
    </row>
    <row r="56" ht="15.5" customHeight="1">
      <c r="A56" s="63" t="n"/>
      <c r="B56" s="56"/>
      <c r="C56" s="56"/>
      <c r="D56" s="59" t="n"/>
      <c r="E56" s="63" t="n"/>
      <c r="F56" s="24" t="n"/>
      <c r="G56" s="63"/>
      <c r="H56" s="21"/>
      <c r="I56" s="23"/>
      <c r="J56" s="558"/>
      <c r="K56" s="558"/>
      <c r="L56" s="539" t="n"/>
      <c r="M56" s="539" t="n"/>
      <c r="N56" s="539" t="n"/>
      <c r="O56" s="539" t="n"/>
      <c r="P56" s="539"/>
      <c r="Q56" s="539"/>
      <c r="R56" s="539">
        <f>AI56</f>
      </c>
      <c r="S56" s="23">
        <f>Y56*100</f>
      </c>
      <c r="T56" s="539">
        <f>ROUND(R56*S56/100,-1)</f>
      </c>
      <c r="U56" s="539">
        <f>IF(Q56=0,"",(T56-Q56)/Q56*100)</f>
      </c>
      <c r="V56" s="27" t="n"/>
      <c r="W56" s="601"/>
      <c r="X56" s="602">
        <f>($W$5-K56)/365</f>
      </c>
      <c r="Y56" s="127">
        <f>(W56-X56)/W56</f>
      </c>
      <c r="Z56" s="127"/>
      <c r="AA56" s="127">
        <f>Y56/2+Z56/2</f>
      </c>
      <c r="AB56" s="603">
        <f>P56/I56</f>
      </c>
      <c r="AC56" s="604">
        <f>AB56*AD56</f>
      </c>
      <c r="AD56" s="129"/>
      <c r="AE56" s="583" t="n"/>
      <c r="AF56" s="583">
        <f>AC56*0.13/(1+0.13)</f>
      </c>
      <c r="AG56" s="605">
        <f>AC56-AF56</f>
      </c>
      <c r="AH56" s="605">
        <f>AC56*I56</f>
      </c>
      <c r="AI56" s="583">
        <f>ROUND(AG56*I56,-1)</f>
      </c>
    </row>
    <row r="57" ht="15.5" customHeight="1">
      <c r="A57" s="63" t="n"/>
      <c r="B57" s="56"/>
      <c r="C57" s="56"/>
      <c r="D57" s="59" t="n"/>
      <c r="E57" s="63" t="n"/>
      <c r="F57" s="24" t="n"/>
      <c r="G57" s="63"/>
      <c r="H57" s="21"/>
      <c r="I57" s="23"/>
      <c r="J57" s="558"/>
      <c r="K57" s="558"/>
      <c r="L57" s="539" t="n"/>
      <c r="M57" s="539" t="n"/>
      <c r="N57" s="539" t="n"/>
      <c r="O57" s="539" t="n"/>
      <c r="P57" s="539"/>
      <c r="Q57" s="539"/>
      <c r="R57" s="539">
        <f>AI57</f>
      </c>
      <c r="S57" s="23">
        <f>Y57*100</f>
      </c>
      <c r="T57" s="539">
        <f>ROUND(R57*S57/100,-1)</f>
      </c>
      <c r="U57" s="539">
        <f>IF(Q57=0,"",(T57-Q57)/Q57*100)</f>
      </c>
      <c r="V57" s="27" t="n"/>
      <c r="W57" s="601"/>
      <c r="X57" s="602">
        <f>($W$5-K57)/365</f>
      </c>
      <c r="Y57" s="127">
        <f>(W57-X57)/W57</f>
      </c>
      <c r="Z57" s="127"/>
      <c r="AA57" s="127">
        <f>Y57/2+Z57/2</f>
      </c>
      <c r="AB57" s="603">
        <f>P57/I57</f>
      </c>
      <c r="AC57" s="604">
        <f>AB57*AD57</f>
      </c>
      <c r="AD57" s="129"/>
      <c r="AE57" s="583" t="n"/>
      <c r="AF57" s="583">
        <f>AC57*0.13/(1+0.13)</f>
      </c>
      <c r="AG57" s="605">
        <f>AC57-AF57</f>
      </c>
      <c r="AH57" s="605">
        <f>AC57*I57</f>
      </c>
      <c r="AI57" s="583">
        <f>ROUND(AG57*I57,-1)</f>
      </c>
    </row>
    <row r="58" ht="15.5" customHeight="1">
      <c r="A58" s="63" t="n"/>
      <c r="B58" s="56"/>
      <c r="C58" s="56"/>
      <c r="D58" s="59" t="n"/>
      <c r="E58" s="63" t="n"/>
      <c r="F58" s="24" t="n"/>
      <c r="G58" s="63"/>
      <c r="H58" s="21"/>
      <c r="I58" s="23"/>
      <c r="J58" s="558"/>
      <c r="K58" s="558"/>
      <c r="L58" s="539" t="n"/>
      <c r="M58" s="539" t="n"/>
      <c r="N58" s="539" t="n"/>
      <c r="O58" s="539" t="n"/>
      <c r="P58" s="539"/>
      <c r="Q58" s="539"/>
      <c r="R58" s="539">
        <f>AI58</f>
      </c>
      <c r="S58" s="23">
        <f>Y58*100</f>
      </c>
      <c r="T58" s="539">
        <f>ROUND(R58*S58/100,-1)</f>
      </c>
      <c r="U58" s="539">
        <f>IF(Q58=0,"",(T58-Q58)/Q58*100)</f>
      </c>
      <c r="V58" s="27" t="n"/>
      <c r="W58" s="601"/>
      <c r="X58" s="602">
        <f>($W$5-K58)/365</f>
      </c>
      <c r="Y58" s="127">
        <f>(W58-X58)/W58</f>
      </c>
      <c r="Z58" s="127"/>
      <c r="AA58" s="127">
        <f>Y58/2+Z58/2</f>
      </c>
      <c r="AB58" s="603">
        <f>P58/I58</f>
      </c>
      <c r="AC58" s="604">
        <f>AB58*AD58</f>
      </c>
      <c r="AD58" s="129"/>
      <c r="AE58" s="583" t="n"/>
      <c r="AF58" s="583">
        <f>AC58*0.13/(1+0.13)</f>
      </c>
      <c r="AG58" s="605">
        <f>AC58-AF58</f>
      </c>
      <c r="AH58" s="605">
        <f>AC58*I58</f>
      </c>
      <c r="AI58" s="583">
        <f>ROUND(AG58*I58,-1)</f>
      </c>
    </row>
    <row r="59" ht="15.5" customHeight="1">
      <c r="A59" s="63" t="n"/>
      <c r="B59" s="56"/>
      <c r="C59" s="56"/>
      <c r="D59" s="59" t="n"/>
      <c r="E59" s="63" t="n"/>
      <c r="F59" s="24" t="n"/>
      <c r="G59" s="63"/>
      <c r="H59" s="21"/>
      <c r="I59" s="23"/>
      <c r="J59" s="558"/>
      <c r="K59" s="558"/>
      <c r="L59" s="539" t="n"/>
      <c r="M59" s="539" t="n"/>
      <c r="N59" s="539" t="n"/>
      <c r="O59" s="539" t="n"/>
      <c r="P59" s="539"/>
      <c r="Q59" s="539"/>
      <c r="R59" s="539">
        <f>AI59</f>
      </c>
      <c r="S59" s="23">
        <f>Y59*100</f>
      </c>
      <c r="T59" s="539">
        <f>ROUND(R59*S59/100,-1)</f>
      </c>
      <c r="U59" s="539">
        <f>IF(Q59=0,"",(T59-Q59)/Q59*100)</f>
      </c>
      <c r="V59" s="27" t="n"/>
      <c r="W59" s="601"/>
      <c r="X59" s="602">
        <f>($W$5-K59)/365</f>
      </c>
      <c r="Y59" s="127">
        <f>(W59-X59)/W59</f>
      </c>
      <c r="Z59" s="127"/>
      <c r="AA59" s="127">
        <f>Y59/2+Z59/2</f>
      </c>
      <c r="AB59" s="603">
        <f>P59/I59</f>
      </c>
      <c r="AC59" s="604">
        <f>AB59*AD59</f>
      </c>
      <c r="AD59" s="129"/>
      <c r="AE59" s="583" t="n"/>
      <c r="AF59" s="583">
        <f>AC59*0.13/(1+0.13)</f>
      </c>
      <c r="AG59" s="605">
        <f>AC59-AF59</f>
      </c>
      <c r="AH59" s="605">
        <f>AC59*I59</f>
      </c>
      <c r="AI59" s="583">
        <f>ROUND(AG59*I59,-1)</f>
      </c>
    </row>
    <row r="60" ht="15.5" customHeight="1">
      <c r="A60" s="63" t="n"/>
      <c r="B60" s="56"/>
      <c r="C60" s="56"/>
      <c r="D60" s="59" t="n"/>
      <c r="E60" s="63" t="n"/>
      <c r="F60" s="24" t="n"/>
      <c r="G60" s="63"/>
      <c r="H60" s="21"/>
      <c r="I60" s="23"/>
      <c r="J60" s="558"/>
      <c r="K60" s="558"/>
      <c r="L60" s="539" t="n"/>
      <c r="M60" s="539" t="n"/>
      <c r="N60" s="539" t="n"/>
      <c r="O60" s="539" t="n"/>
      <c r="P60" s="539"/>
      <c r="Q60" s="539"/>
      <c r="R60" s="539">
        <f>AI60</f>
      </c>
      <c r="S60" s="23">
        <f>Y60*100</f>
      </c>
      <c r="T60" s="539">
        <f>ROUND(R60*S60/100,-1)</f>
      </c>
      <c r="U60" s="539">
        <f>IF(Q60=0,"",(T60-Q60)/Q60*100)</f>
      </c>
      <c r="V60" s="27" t="n"/>
      <c r="W60" s="601"/>
      <c r="X60" s="602">
        <f>($W$5-K60)/365</f>
      </c>
      <c r="Y60" s="127">
        <f>(W60-X60)/W60</f>
      </c>
      <c r="Z60" s="127"/>
      <c r="AA60" s="127">
        <f>Y60/2+Z60/2</f>
      </c>
      <c r="AB60" s="603">
        <f>P60/I60</f>
      </c>
      <c r="AC60" s="604">
        <f>AB60*AD60</f>
      </c>
      <c r="AD60" s="129"/>
      <c r="AE60" s="583" t="n"/>
      <c r="AF60" s="583">
        <f>AC60*0.13/(1+0.13)</f>
      </c>
      <c r="AG60" s="605">
        <f>AC60-AF60</f>
      </c>
      <c r="AH60" s="605">
        <f>AC60*I60</f>
      </c>
      <c r="AI60" s="583">
        <f>ROUND(AG60*I60,-1)</f>
      </c>
    </row>
    <row r="61" ht="15.5" customHeight="1">
      <c r="A61" s="63" t="n"/>
      <c r="B61" s="56"/>
      <c r="C61" s="56"/>
      <c r="D61" s="59" t="n"/>
      <c r="E61" s="63" t="n"/>
      <c r="F61" s="24" t="n"/>
      <c r="G61" s="63"/>
      <c r="H61" s="21"/>
      <c r="I61" s="23"/>
      <c r="J61" s="558"/>
      <c r="K61" s="558"/>
      <c r="L61" s="539" t="n"/>
      <c r="M61" s="539" t="n"/>
      <c r="N61" s="539" t="n"/>
      <c r="O61" s="539" t="n"/>
      <c r="P61" s="539"/>
      <c r="Q61" s="539"/>
      <c r="R61" s="539">
        <f>AI61</f>
      </c>
      <c r="S61" s="23">
        <f>Y61*100</f>
      </c>
      <c r="T61" s="539">
        <f>ROUND(R61*S61/100,-1)</f>
      </c>
      <c r="U61" s="539">
        <f>IF(Q61=0,"",(T61-Q61)/Q61*100)</f>
      </c>
      <c r="V61" s="27" t="n"/>
      <c r="W61" s="601"/>
      <c r="X61" s="602">
        <f>($W$5-K61)/365</f>
      </c>
      <c r="Y61" s="127">
        <f>(W61-X61)/W61</f>
      </c>
      <c r="Z61" s="127"/>
      <c r="AA61" s="127">
        <f>Y61/2+Z61/2</f>
      </c>
      <c r="AB61" s="603">
        <f>P61/I61</f>
      </c>
      <c r="AC61" s="604">
        <f>AB61*AD61</f>
      </c>
      <c r="AD61" s="129"/>
      <c r="AE61" s="583" t="n"/>
      <c r="AF61" s="583">
        <f>AC61*0.13/(1+0.13)</f>
      </c>
      <c r="AG61" s="605">
        <f>AC61-AF61</f>
      </c>
      <c r="AH61" s="605">
        <f>AC61*I61</f>
      </c>
      <c r="AI61" s="583">
        <f>ROUND(AG61*I61,-1)</f>
      </c>
    </row>
    <row r="62" ht="15.5" customHeight="1">
      <c r="A62" s="63" t="n"/>
      <c r="B62" s="56"/>
      <c r="C62" s="56"/>
      <c r="D62" s="59" t="n"/>
      <c r="E62" s="63" t="n"/>
      <c r="F62" s="24" t="n"/>
      <c r="G62" s="63"/>
      <c r="H62" s="21"/>
      <c r="I62" s="23"/>
      <c r="J62" s="558"/>
      <c r="K62" s="558"/>
      <c r="L62" s="539" t="n"/>
      <c r="M62" s="539" t="n"/>
      <c r="N62" s="539" t="n"/>
      <c r="O62" s="539" t="n"/>
      <c r="P62" s="539"/>
      <c r="Q62" s="539"/>
      <c r="R62" s="539">
        <f>AI62</f>
      </c>
      <c r="S62" s="23">
        <f>Y62*100</f>
      </c>
      <c r="T62" s="539">
        <f>ROUND(R62*S62/100,-1)</f>
      </c>
      <c r="U62" s="539">
        <f>IF(Q62=0,"",(T62-Q62)/Q62*100)</f>
      </c>
      <c r="V62" s="27" t="n"/>
      <c r="W62" s="601"/>
      <c r="X62" s="602">
        <f>($W$5-K62)/365</f>
      </c>
      <c r="Y62" s="127">
        <f>(W62-X62)/W62</f>
      </c>
      <c r="Z62" s="127"/>
      <c r="AA62" s="127">
        <f>Y62/2+Z62/2</f>
      </c>
      <c r="AB62" s="603">
        <f>P62/I62</f>
      </c>
      <c r="AC62" s="604">
        <f>AB62*AD62</f>
      </c>
      <c r="AD62" s="129"/>
      <c r="AE62" s="583" t="n"/>
      <c r="AF62" s="583">
        <f>AC62*0.13/(1+0.13)</f>
      </c>
      <c r="AG62" s="605">
        <f>AC62-AF62</f>
      </c>
      <c r="AH62" s="605">
        <f>AC62*I62</f>
      </c>
      <c r="AI62" s="583">
        <f>ROUND(AG62*I62,-1)</f>
      </c>
    </row>
    <row r="63" ht="15.5" customHeight="1">
      <c r="A63" s="63" t="n"/>
      <c r="B63" s="56"/>
      <c r="C63" s="56"/>
      <c r="D63" s="59" t="n"/>
      <c r="E63" s="63" t="n"/>
      <c r="F63" s="24" t="n"/>
      <c r="G63" s="63"/>
      <c r="H63" s="21"/>
      <c r="I63" s="23"/>
      <c r="J63" s="558"/>
      <c r="K63" s="558"/>
      <c r="L63" s="539" t="n"/>
      <c r="M63" s="539" t="n"/>
      <c r="N63" s="539" t="n"/>
      <c r="O63" s="539" t="n"/>
      <c r="P63" s="539"/>
      <c r="Q63" s="539"/>
      <c r="R63" s="539">
        <f>AI63</f>
      </c>
      <c r="S63" s="23">
        <f>Y63*100</f>
      </c>
      <c r="T63" s="539">
        <f>ROUND(R63*S63/100,-1)</f>
      </c>
      <c r="U63" s="539">
        <f>IF(Q63=0,"",(T63-Q63)/Q63*100)</f>
      </c>
      <c r="V63" s="27" t="n"/>
      <c r="W63" s="601"/>
      <c r="X63" s="602">
        <f>($W$5-K63)/365</f>
      </c>
      <c r="Y63" s="127">
        <f>(W63-X63)/W63</f>
      </c>
      <c r="Z63" s="127"/>
      <c r="AA63" s="127">
        <f>Y63/2+Z63/2</f>
      </c>
      <c r="AB63" s="603">
        <f>P63/I63</f>
      </c>
      <c r="AC63" s="604">
        <f>AB63*AD63</f>
      </c>
      <c r="AD63" s="129"/>
      <c r="AE63" s="583" t="n"/>
      <c r="AF63" s="583">
        <f>AC63*0.13/(1+0.13)</f>
      </c>
      <c r="AG63" s="605">
        <f>AC63-AF63</f>
      </c>
      <c r="AH63" s="605">
        <f>AC63*I63</f>
      </c>
      <c r="AI63" s="583">
        <f>ROUND(AG63*I63,-1)</f>
      </c>
    </row>
    <row r="64" ht="15.5" customHeight="1">
      <c r="A64" s="63" t="n"/>
      <c r="B64" s="56"/>
      <c r="C64" s="56"/>
      <c r="D64" s="59" t="n"/>
      <c r="E64" s="63" t="n"/>
      <c r="F64" s="24" t="n"/>
      <c r="G64" s="63"/>
      <c r="H64" s="21"/>
      <c r="I64" s="23"/>
      <c r="J64" s="558"/>
      <c r="K64" s="558"/>
      <c r="L64" s="539" t="n"/>
      <c r="M64" s="539" t="n"/>
      <c r="N64" s="539" t="n"/>
      <c r="O64" s="539" t="n"/>
      <c r="P64" s="539"/>
      <c r="Q64" s="539"/>
      <c r="R64" s="539">
        <f>AI64</f>
      </c>
      <c r="S64" s="23">
        <f>Y64*100</f>
      </c>
      <c r="T64" s="539">
        <f>ROUND(R64*S64/100,-1)</f>
      </c>
      <c r="U64" s="539">
        <f>IF(Q64=0,"",(T64-Q64)/Q64*100)</f>
      </c>
      <c r="V64" s="27" t="n"/>
      <c r="W64" s="601"/>
      <c r="X64" s="602">
        <f>($W$5-K64)/365</f>
      </c>
      <c r="Y64" s="127">
        <f>(W64-X64)/W64</f>
      </c>
      <c r="Z64" s="127"/>
      <c r="AA64" s="127">
        <f>Y64/2+Z64/2</f>
      </c>
      <c r="AB64" s="603">
        <f>P64/I64</f>
      </c>
      <c r="AC64" s="604">
        <f>AB64*AD64</f>
      </c>
      <c r="AD64" s="129"/>
      <c r="AE64" s="583" t="n"/>
      <c r="AF64" s="583">
        <f>AC64*0.13/(1+0.13)</f>
      </c>
      <c r="AG64" s="605">
        <f>AC64-AF64</f>
      </c>
      <c r="AH64" s="605">
        <f>AC64*I64</f>
      </c>
      <c r="AI64" s="583">
        <f>ROUND(AG64*I64,-1)</f>
      </c>
    </row>
    <row r="65" ht="15.5" customHeight="1">
      <c r="A65" s="63" t="n"/>
      <c r="B65" s="56"/>
      <c r="C65" s="56"/>
      <c r="D65" s="59" t="n"/>
      <c r="E65" s="63" t="n"/>
      <c r="F65" s="24" t="n"/>
      <c r="G65" s="63"/>
      <c r="H65" s="21"/>
      <c r="I65" s="23"/>
      <c r="J65" s="558"/>
      <c r="K65" s="558"/>
      <c r="L65" s="539" t="n"/>
      <c r="M65" s="539" t="n"/>
      <c r="N65" s="539" t="n"/>
      <c r="O65" s="539" t="n"/>
      <c r="P65" s="539"/>
      <c r="Q65" s="539"/>
      <c r="R65" s="539">
        <f>AI65</f>
      </c>
      <c r="S65" s="23">
        <f>Y65*100</f>
      </c>
      <c r="T65" s="539">
        <f>ROUND(R65*S65/100,-1)</f>
      </c>
      <c r="U65" s="539">
        <f>IF(Q65=0,"",(T65-Q65)/Q65*100)</f>
      </c>
      <c r="V65" s="27" t="n"/>
      <c r="W65" s="601"/>
      <c r="X65" s="602">
        <f>($W$5-K65)/365</f>
      </c>
      <c r="Y65" s="127">
        <f>(W65-X65)/W65</f>
      </c>
      <c r="Z65" s="127"/>
      <c r="AA65" s="127">
        <f>Y65/2+Z65/2</f>
      </c>
      <c r="AB65" s="603">
        <f>P65/I65</f>
      </c>
      <c r="AC65" s="604">
        <f>AB65*AD65</f>
      </c>
      <c r="AD65" s="129"/>
      <c r="AE65" s="583" t="n"/>
      <c r="AF65" s="583">
        <f>AC65*0.13/(1+0.13)</f>
      </c>
      <c r="AG65" s="605">
        <f>AC65-AF65</f>
      </c>
      <c r="AH65" s="605">
        <f>AC65*I65</f>
      </c>
      <c r="AI65" s="583">
        <f>ROUND(AG65*I65,-1)</f>
      </c>
    </row>
    <row r="66" ht="15.5" customHeight="1">
      <c r="A66" s="63" t="n"/>
      <c r="B66" s="56"/>
      <c r="C66" s="56"/>
      <c r="D66" s="59" t="n"/>
      <c r="E66" s="63" t="n"/>
      <c r="F66" s="24" t="n"/>
      <c r="G66" s="63"/>
      <c r="H66" s="21"/>
      <c r="I66" s="23"/>
      <c r="J66" s="558"/>
      <c r="K66" s="558"/>
      <c r="L66" s="539" t="n"/>
      <c r="M66" s="539" t="n"/>
      <c r="N66" s="539" t="n"/>
      <c r="O66" s="539" t="n"/>
      <c r="P66" s="539"/>
      <c r="Q66" s="539"/>
      <c r="R66" s="539">
        <f>AI66</f>
      </c>
      <c r="S66" s="23">
        <f>Y66*100</f>
      </c>
      <c r="T66" s="539">
        <f>ROUND(R66*S66/100,-1)</f>
      </c>
      <c r="U66" s="539">
        <f>IF(Q66=0,"",(T66-Q66)/Q66*100)</f>
      </c>
      <c r="V66" s="27" t="n"/>
      <c r="W66" s="601"/>
      <c r="X66" s="602">
        <f>($W$5-K66)/365</f>
      </c>
      <c r="Y66" s="127">
        <f>(W66-X66)/W66</f>
      </c>
      <c r="Z66" s="127"/>
      <c r="AA66" s="127">
        <f>Y66/2+Z66/2</f>
      </c>
      <c r="AB66" s="603">
        <f>P66/I66</f>
      </c>
      <c r="AC66" s="604">
        <f>AB66*AD66</f>
      </c>
      <c r="AD66" s="129"/>
      <c r="AE66" s="583" t="n"/>
      <c r="AF66" s="583">
        <f>AC66*0.13/(1+0.13)</f>
      </c>
      <c r="AG66" s="605">
        <f>AC66-AF66</f>
      </c>
      <c r="AH66" s="605">
        <f>AC66*I66</f>
      </c>
      <c r="AI66" s="583">
        <f>ROUND(AG66*I66,-1)</f>
      </c>
    </row>
    <row r="67" ht="15.5" customHeight="1">
      <c r="A67" s="63" t="n"/>
      <c r="B67" s="56"/>
      <c r="C67" s="56"/>
      <c r="D67" s="59" t="n"/>
      <c r="E67" s="63" t="n"/>
      <c r="F67" s="24" t="n"/>
      <c r="G67" s="63"/>
      <c r="H67" s="21"/>
      <c r="I67" s="23"/>
      <c r="J67" s="558"/>
      <c r="K67" s="558"/>
      <c r="L67" s="539" t="n"/>
      <c r="M67" s="539" t="n"/>
      <c r="N67" s="539" t="n"/>
      <c r="O67" s="539" t="n"/>
      <c r="P67" s="539"/>
      <c r="Q67" s="539"/>
      <c r="R67" s="539">
        <f>AI67</f>
      </c>
      <c r="S67" s="23">
        <f>Y67*100</f>
      </c>
      <c r="T67" s="539">
        <f>ROUND(R67*S67/100,-1)</f>
      </c>
      <c r="U67" s="539">
        <f>IF(Q67=0,"",(T67-Q67)/Q67*100)</f>
      </c>
      <c r="V67" s="27" t="n"/>
      <c r="W67" s="601"/>
      <c r="X67" s="602">
        <f>($W$5-K67)/365</f>
      </c>
      <c r="Y67" s="127">
        <f>(W67-X67)/W67</f>
      </c>
      <c r="Z67" s="127"/>
      <c r="AA67" s="127">
        <f>Y67/2+Z67/2</f>
      </c>
      <c r="AB67" s="603">
        <f>P67/I67</f>
      </c>
      <c r="AC67" s="604">
        <f>AB67*AD67</f>
      </c>
      <c r="AD67" s="129"/>
      <c r="AE67" s="583" t="n"/>
      <c r="AF67" s="583">
        <f>AC67*0.13/(1+0.13)</f>
      </c>
      <c r="AG67" s="605">
        <f>AC67-AF67</f>
      </c>
      <c r="AH67" s="605">
        <f>AC67*I67</f>
      </c>
      <c r="AI67" s="583">
        <f>ROUND(AG67*I67,-1)</f>
      </c>
    </row>
    <row r="68" ht="15.5" customHeight="1">
      <c r="A68" s="63" t="n"/>
      <c r="B68" s="56"/>
      <c r="C68" s="56"/>
      <c r="D68" s="59" t="n"/>
      <c r="E68" s="63" t="n"/>
      <c r="F68" s="24" t="n"/>
      <c r="G68" s="63"/>
      <c r="H68" s="21"/>
      <c r="I68" s="23"/>
      <c r="J68" s="558"/>
      <c r="K68" s="558"/>
      <c r="L68" s="539" t="n"/>
      <c r="M68" s="539" t="n"/>
      <c r="N68" s="539" t="n"/>
      <c r="O68" s="539" t="n"/>
      <c r="P68" s="539"/>
      <c r="Q68" s="539"/>
      <c r="R68" s="539">
        <f>AI68</f>
      </c>
      <c r="S68" s="23">
        <f>Y68*100</f>
      </c>
      <c r="T68" s="539">
        <f>ROUND(R68*S68/100,-1)</f>
      </c>
      <c r="U68" s="539">
        <f>IF(Q68=0,"",(T68-Q68)/Q68*100)</f>
      </c>
      <c r="V68" s="27" t="n"/>
      <c r="W68" s="601"/>
      <c r="X68" s="602">
        <f>($W$5-K68)/365</f>
      </c>
      <c r="Y68" s="127">
        <f>(W68-X68)/W68</f>
      </c>
      <c r="Z68" s="127"/>
      <c r="AA68" s="127">
        <f>Y68/2+Z68/2</f>
      </c>
      <c r="AB68" s="603">
        <f>P68/I68</f>
      </c>
      <c r="AC68" s="604">
        <f>AB68*AD68</f>
      </c>
      <c r="AD68" s="129"/>
      <c r="AE68" s="583" t="n"/>
      <c r="AF68" s="583">
        <f>AC68*0.13/(1+0.13)</f>
      </c>
      <c r="AG68" s="605">
        <f>AC68-AF68</f>
      </c>
      <c r="AH68" s="605">
        <f>AC68*I68</f>
      </c>
      <c r="AI68" s="583">
        <f>ROUND(AG68*I68,-1)</f>
      </c>
    </row>
    <row r="69" ht="15.5" customHeight="1">
      <c r="A69" s="63" t="n"/>
      <c r="B69" s="56"/>
      <c r="C69" s="56"/>
      <c r="D69" s="59" t="n"/>
      <c r="E69" s="63" t="n"/>
      <c r="F69" s="24" t="n"/>
      <c r="G69" s="63"/>
      <c r="H69" s="21"/>
      <c r="I69" s="23"/>
      <c r="J69" s="558"/>
      <c r="K69" s="558"/>
      <c r="L69" s="539" t="n"/>
      <c r="M69" s="539" t="n"/>
      <c r="N69" s="539" t="n"/>
      <c r="O69" s="539" t="n"/>
      <c r="P69" s="539"/>
      <c r="Q69" s="539"/>
      <c r="R69" s="539">
        <f>AI69</f>
      </c>
      <c r="S69" s="23">
        <f>Y69*100</f>
      </c>
      <c r="T69" s="539">
        <f>ROUND(R69*S69/100,-1)</f>
      </c>
      <c r="U69" s="539">
        <f>IF(Q69=0,"",(T69-Q69)/Q69*100)</f>
      </c>
      <c r="V69" s="27" t="n"/>
      <c r="W69" s="601"/>
      <c r="X69" s="602">
        <f>($W$5-K69)/365</f>
      </c>
      <c r="Y69" s="127">
        <f>(W69-X69)/W69</f>
      </c>
      <c r="Z69" s="127"/>
      <c r="AA69" s="127">
        <f>Y69/2+Z69/2</f>
      </c>
      <c r="AB69" s="603">
        <f>P69/I69</f>
      </c>
      <c r="AC69" s="604">
        <f>AB69*AD69</f>
      </c>
      <c r="AD69" s="129"/>
      <c r="AE69" s="583" t="n"/>
      <c r="AF69" s="583">
        <f>AC69*0.13/(1+0.13)</f>
      </c>
      <c r="AG69" s="605">
        <f>AC69-AF69</f>
      </c>
      <c r="AH69" s="605">
        <f>AC69*I69</f>
      </c>
      <c r="AI69" s="583">
        <f>ROUND(AG69*I69,-1)</f>
      </c>
    </row>
    <row r="70" ht="15.5" customHeight="1">
      <c r="A70" s="63" t="n"/>
      <c r="B70" s="56"/>
      <c r="C70" s="56"/>
      <c r="D70" s="59" t="n"/>
      <c r="E70" s="63" t="n"/>
      <c r="F70" s="24" t="n"/>
      <c r="G70" s="63"/>
      <c r="H70" s="21"/>
      <c r="I70" s="23"/>
      <c r="J70" s="558"/>
      <c r="K70" s="558"/>
      <c r="L70" s="539" t="n"/>
      <c r="M70" s="539" t="n"/>
      <c r="N70" s="539" t="n"/>
      <c r="O70" s="539" t="n"/>
      <c r="P70" s="539"/>
      <c r="Q70" s="539"/>
      <c r="R70" s="539">
        <f>AI70</f>
      </c>
      <c r="S70" s="23">
        <f>Y70*100</f>
      </c>
      <c r="T70" s="539">
        <f>ROUND(R70*S70/100,-1)</f>
      </c>
      <c r="U70" s="539">
        <f>IF(Q70=0,"",(T70-Q70)/Q70*100)</f>
      </c>
      <c r="V70" s="27" t="n"/>
      <c r="W70" s="601"/>
      <c r="X70" s="602">
        <f>($W$5-K70)/365</f>
      </c>
      <c r="Y70" s="127">
        <f>(W70-X70)/W70</f>
      </c>
      <c r="Z70" s="127"/>
      <c r="AA70" s="127">
        <f>Y70/2+Z70/2</f>
      </c>
      <c r="AB70" s="603">
        <f>P70/I70</f>
      </c>
      <c r="AC70" s="604">
        <f>AB70*AD70</f>
      </c>
      <c r="AD70" s="129"/>
      <c r="AE70" s="583" t="n"/>
      <c r="AF70" s="583">
        <f>AC70*0.13/(1+0.13)</f>
      </c>
      <c r="AG70" s="605">
        <f>AC70-AF70</f>
      </c>
      <c r="AH70" s="605">
        <f>AC70*I70</f>
      </c>
      <c r="AI70" s="583">
        <f>ROUND(AG70*I70,-1)</f>
      </c>
    </row>
    <row r="71" ht="15.5" customHeight="1">
      <c r="A71" s="63" t="n"/>
      <c r="B71" s="56"/>
      <c r="C71" s="56"/>
      <c r="D71" s="59" t="n"/>
      <c r="E71" s="63" t="n"/>
      <c r="F71" s="24" t="n"/>
      <c r="G71" s="63"/>
      <c r="H71" s="21"/>
      <c r="I71" s="23"/>
      <c r="J71" s="558"/>
      <c r="K71" s="558"/>
      <c r="L71" s="539" t="n"/>
      <c r="M71" s="539" t="n"/>
      <c r="N71" s="539" t="n"/>
      <c r="O71" s="539" t="n"/>
      <c r="P71" s="539"/>
      <c r="Q71" s="539"/>
      <c r="R71" s="539">
        <f>AI71</f>
      </c>
      <c r="S71" s="23">
        <f>Y71*100</f>
      </c>
      <c r="T71" s="539">
        <f>ROUND(R71*S71/100,-1)</f>
      </c>
      <c r="U71" s="539">
        <f>IF(Q71=0,"",(T71-Q71)/Q71*100)</f>
      </c>
      <c r="V71" s="27" t="n"/>
      <c r="W71" s="601"/>
      <c r="X71" s="602">
        <f>($W$5-K71)/365</f>
      </c>
      <c r="Y71" s="127">
        <f>(W71-X71)/W71</f>
      </c>
      <c r="Z71" s="127"/>
      <c r="AA71" s="127">
        <f>Y71/2+Z71/2</f>
      </c>
      <c r="AB71" s="603">
        <f>P71/I71</f>
      </c>
      <c r="AC71" s="604">
        <f>AB71*AD71</f>
      </c>
      <c r="AD71" s="129"/>
      <c r="AE71" s="583" t="n"/>
      <c r="AF71" s="583">
        <f>AC71*0.13/(1+0.13)</f>
      </c>
      <c r="AG71" s="605">
        <f>AC71-AF71</f>
      </c>
      <c r="AH71" s="605">
        <f>AC71*I71</f>
      </c>
      <c r="AI71" s="583">
        <f>ROUND(AG71*I71,-1)</f>
      </c>
    </row>
    <row r="72" ht="15.5" customHeight="1">
      <c r="A72" s="63" t="n"/>
      <c r="B72" s="56"/>
      <c r="C72" s="56"/>
      <c r="D72" s="59" t="n"/>
      <c r="E72" s="63" t="n"/>
      <c r="F72" s="24" t="n"/>
      <c r="G72" s="63"/>
      <c r="H72" s="21"/>
      <c r="I72" s="23"/>
      <c r="J72" s="558"/>
      <c r="K72" s="558"/>
      <c r="L72" s="539" t="n"/>
      <c r="M72" s="539" t="n"/>
      <c r="N72" s="539" t="n"/>
      <c r="O72" s="539" t="n"/>
      <c r="P72" s="539"/>
      <c r="Q72" s="539"/>
      <c r="R72" s="539">
        <f>AI72</f>
      </c>
      <c r="S72" s="23">
        <f>Y72*100</f>
      </c>
      <c r="T72" s="539">
        <f>ROUND(R72*S72/100,-1)</f>
      </c>
      <c r="U72" s="539">
        <f>IF(Q72=0,"",(T72-Q72)/Q72*100)</f>
      </c>
      <c r="V72" s="27" t="n"/>
      <c r="W72" s="601"/>
      <c r="X72" s="602">
        <f>($W$5-K72)/365</f>
      </c>
      <c r="Y72" s="127">
        <f>(W72-X72)/W72</f>
      </c>
      <c r="Z72" s="127"/>
      <c r="AA72" s="127">
        <f>Y72/2+Z72/2</f>
      </c>
      <c r="AB72" s="603">
        <f>P72/I72</f>
      </c>
      <c r="AC72" s="604">
        <f>AB72*AD72</f>
      </c>
      <c r="AD72" s="129"/>
      <c r="AE72" s="583" t="n"/>
      <c r="AF72" s="583">
        <f>AC72*0.13/(1+0.13)</f>
      </c>
      <c r="AG72" s="605">
        <f>AC72-AF72</f>
      </c>
      <c r="AH72" s="605">
        <f>AC72*I72</f>
      </c>
      <c r="AI72" s="583">
        <f>ROUND(AG72*I72,-1)</f>
      </c>
    </row>
    <row r="73" ht="15.5" customHeight="1">
      <c r="A73" s="63" t="n"/>
      <c r="B73" s="56"/>
      <c r="C73" s="56"/>
      <c r="D73" s="59" t="n"/>
      <c r="E73" s="63" t="n"/>
      <c r="F73" s="24" t="n"/>
      <c r="G73" s="63"/>
      <c r="H73" s="21"/>
      <c r="I73" s="23"/>
      <c r="J73" s="558"/>
      <c r="K73" s="558"/>
      <c r="L73" s="539" t="n"/>
      <c r="M73" s="539" t="n"/>
      <c r="N73" s="539" t="n"/>
      <c r="O73" s="539" t="n"/>
      <c r="P73" s="539"/>
      <c r="Q73" s="539"/>
      <c r="R73" s="539">
        <f>AI73</f>
      </c>
      <c r="S73" s="23">
        <f>Y73*100</f>
      </c>
      <c r="T73" s="539">
        <f>ROUND(R73*S73/100,-1)</f>
      </c>
      <c r="U73" s="539">
        <f>IF(Q73=0,"",(T73-Q73)/Q73*100)</f>
      </c>
      <c r="V73" s="27" t="n"/>
      <c r="W73" s="601"/>
      <c r="X73" s="602">
        <f>($W$5-K73)/365</f>
      </c>
      <c r="Y73" s="127">
        <f>(W73-X73)/W73</f>
      </c>
      <c r="Z73" s="127"/>
      <c r="AA73" s="127">
        <f>Y73/2+Z73/2</f>
      </c>
      <c r="AB73" s="603">
        <f>P73/I73</f>
      </c>
      <c r="AC73" s="604">
        <f>AB73*AD73</f>
      </c>
      <c r="AD73" s="129"/>
      <c r="AE73" s="583" t="n"/>
      <c r="AF73" s="583">
        <f>AC73*0.13/(1+0.13)</f>
      </c>
      <c r="AG73" s="605">
        <f>AC73-AF73</f>
      </c>
      <c r="AH73" s="605">
        <f>AC73*I73</f>
      </c>
      <c r="AI73" s="583">
        <f>ROUND(AG73*I73,-1)</f>
      </c>
    </row>
    <row r="74" ht="15.5" customHeight="1">
      <c r="A74" s="63" t="n"/>
      <c r="B74" s="56"/>
      <c r="C74" s="56"/>
      <c r="D74" s="59" t="n"/>
      <c r="E74" s="63" t="n"/>
      <c r="F74" s="24" t="n"/>
      <c r="G74" s="63"/>
      <c r="H74" s="21"/>
      <c r="I74" s="23"/>
      <c r="J74" s="558"/>
      <c r="K74" s="558"/>
      <c r="L74" s="539" t="n"/>
      <c r="M74" s="539" t="n"/>
      <c r="N74" s="539" t="n"/>
      <c r="O74" s="539" t="n"/>
      <c r="P74" s="539"/>
      <c r="Q74" s="539"/>
      <c r="R74" s="539">
        <f>AI74</f>
      </c>
      <c r="S74" s="23">
        <f>Y74*100</f>
      </c>
      <c r="T74" s="539">
        <f>ROUND(R74*S74/100,-1)</f>
      </c>
      <c r="U74" s="539">
        <f>IF(Q74=0,"",(T74-Q74)/Q74*100)</f>
      </c>
      <c r="V74" s="27" t="n"/>
      <c r="W74" s="601"/>
      <c r="X74" s="602">
        <f>($W$5-K74)/365</f>
      </c>
      <c r="Y74" s="127">
        <f>(W74-X74)/W74</f>
      </c>
      <c r="Z74" s="127"/>
      <c r="AA74" s="127">
        <f>Y74/2+Z74/2</f>
      </c>
      <c r="AB74" s="603">
        <f>P74/I74</f>
      </c>
      <c r="AC74" s="604">
        <f>AB74*AD74</f>
      </c>
      <c r="AD74" s="129"/>
      <c r="AE74" s="583" t="n"/>
      <c r="AF74" s="583">
        <f>AC74*0.13/(1+0.13)</f>
      </c>
      <c r="AG74" s="605">
        <f>AC74-AF74</f>
      </c>
      <c r="AH74" s="605">
        <f>AC74*I74</f>
      </c>
      <c r="AI74" s="583">
        <f>ROUND(AG74*I74,-1)</f>
      </c>
    </row>
    <row r="75" ht="15.5" customHeight="1">
      <c r="A75" s="63" t="n"/>
      <c r="B75" s="56"/>
      <c r="C75" s="56"/>
      <c r="D75" s="59" t="n"/>
      <c r="E75" s="63" t="n"/>
      <c r="F75" s="24" t="n"/>
      <c r="G75" s="63"/>
      <c r="H75" s="21"/>
      <c r="I75" s="23"/>
      <c r="J75" s="558"/>
      <c r="K75" s="558"/>
      <c r="L75" s="539" t="n"/>
      <c r="M75" s="539" t="n"/>
      <c r="N75" s="539" t="n"/>
      <c r="O75" s="539" t="n"/>
      <c r="P75" s="539"/>
      <c r="Q75" s="539"/>
      <c r="R75" s="539">
        <f>AI75</f>
      </c>
      <c r="S75" s="23">
        <f>Y75*100</f>
      </c>
      <c r="T75" s="539">
        <f>ROUND(R75*S75/100,-1)</f>
      </c>
      <c r="U75" s="539">
        <f>IF(Q75=0,"",(T75-Q75)/Q75*100)</f>
      </c>
      <c r="V75" s="27" t="n"/>
      <c r="W75" s="601"/>
      <c r="X75" s="602">
        <f>($W$5-K75)/365</f>
      </c>
      <c r="Y75" s="127">
        <f>(W75-X75)/W75</f>
      </c>
      <c r="Z75" s="127"/>
      <c r="AA75" s="127">
        <f>Y75/2+Z75/2</f>
      </c>
      <c r="AB75" s="603">
        <f>P75/I75</f>
      </c>
      <c r="AC75" s="604">
        <f>AB75*AD75</f>
      </c>
      <c r="AD75" s="129"/>
      <c r="AE75" s="583" t="n"/>
      <c r="AF75" s="583">
        <f>AC75*0.13/(1+0.13)</f>
      </c>
      <c r="AG75" s="605">
        <f>AC75-AF75</f>
      </c>
      <c r="AH75" s="605">
        <f>AC75*I75</f>
      </c>
      <c r="AI75" s="583">
        <f>ROUND(AG75*I75,-1)</f>
      </c>
    </row>
    <row r="76" ht="15.5" customHeight="1">
      <c r="A76" s="63" t="n"/>
      <c r="B76" s="56"/>
      <c r="C76" s="56"/>
      <c r="D76" s="59" t="n"/>
      <c r="E76" s="63" t="n"/>
      <c r="F76" s="24" t="n"/>
      <c r="G76" s="63"/>
      <c r="H76" s="21"/>
      <c r="I76" s="23"/>
      <c r="J76" s="558"/>
      <c r="K76" s="558"/>
      <c r="L76" s="539" t="n"/>
      <c r="M76" s="539" t="n"/>
      <c r="N76" s="539" t="n"/>
      <c r="O76" s="539" t="n"/>
      <c r="P76" s="539"/>
      <c r="Q76" s="539"/>
      <c r="R76" s="539">
        <f>AI76</f>
      </c>
      <c r="S76" s="23">
        <f>Y76*100</f>
      </c>
      <c r="T76" s="539">
        <f>ROUND(R76*S76/100,-1)</f>
      </c>
      <c r="U76" s="539">
        <f>IF(Q76=0,"",(T76-Q76)/Q76*100)</f>
      </c>
      <c r="V76" s="27" t="n"/>
      <c r="W76" s="601"/>
      <c r="X76" s="602">
        <f>($W$5-K76)/365</f>
      </c>
      <c r="Y76" s="127">
        <f>(W76-X76)/W76</f>
      </c>
      <c r="Z76" s="127"/>
      <c r="AA76" s="127">
        <f>Y76/2+Z76/2</f>
      </c>
      <c r="AB76" s="603">
        <f>P76/I76</f>
      </c>
      <c r="AC76" s="604">
        <f>AB76*AD76</f>
      </c>
      <c r="AD76" s="129"/>
      <c r="AE76" s="583" t="n"/>
      <c r="AF76" s="583">
        <f>AC76*0.13/(1+0.13)</f>
      </c>
      <c r="AG76" s="605">
        <f>AC76-AF76</f>
      </c>
      <c r="AH76" s="605">
        <f>AC76*I76</f>
      </c>
      <c r="AI76" s="583">
        <f>ROUND(AG76*I76,-1)</f>
      </c>
    </row>
    <row r="77" ht="15.5" customHeight="1">
      <c r="A77" s="63" t="n"/>
      <c r="B77" s="56"/>
      <c r="C77" s="56"/>
      <c r="D77" s="59" t="n"/>
      <c r="E77" s="63" t="n"/>
      <c r="F77" s="24" t="n"/>
      <c r="G77" s="63"/>
      <c r="H77" s="21"/>
      <c r="I77" s="23"/>
      <c r="J77" s="558"/>
      <c r="K77" s="558"/>
      <c r="L77" s="539" t="n"/>
      <c r="M77" s="539" t="n"/>
      <c r="N77" s="539" t="n"/>
      <c r="O77" s="539" t="n"/>
      <c r="P77" s="539"/>
      <c r="Q77" s="539"/>
      <c r="R77" s="539">
        <f>AI77</f>
      </c>
      <c r="S77" s="23">
        <f>Y77*100</f>
      </c>
      <c r="T77" s="539">
        <f>ROUND(R77*S77/100,-1)</f>
      </c>
      <c r="U77" s="539">
        <f>IF(Q77=0,"",(T77-Q77)/Q77*100)</f>
      </c>
      <c r="V77" s="27" t="n"/>
      <c r="W77" s="601"/>
      <c r="X77" s="602">
        <f>($W$5-K77)/365</f>
      </c>
      <c r="Y77" s="127">
        <f>(W77-X77)/W77</f>
      </c>
      <c r="Z77" s="127"/>
      <c r="AA77" s="127">
        <f>Y77/2+Z77/2</f>
      </c>
      <c r="AB77" s="603">
        <f>P77/I77</f>
      </c>
      <c r="AC77" s="604">
        <f>AB77*AD77</f>
      </c>
      <c r="AD77" s="129"/>
      <c r="AE77" s="583" t="n"/>
      <c r="AF77" s="583">
        <f>AC77*0.13/(1+0.13)</f>
      </c>
      <c r="AG77" s="605">
        <f>AC77-AF77</f>
      </c>
      <c r="AH77" s="605">
        <f>AC77*I77</f>
      </c>
      <c r="AI77" s="583">
        <f>ROUND(AG77*I77,-1)</f>
      </c>
    </row>
    <row r="78" ht="15.5" customHeight="1">
      <c r="A78" s="63" t="n"/>
      <c r="B78" s="56"/>
      <c r="C78" s="56"/>
      <c r="D78" s="59" t="n"/>
      <c r="E78" s="63" t="n"/>
      <c r="F78" s="24" t="n"/>
      <c r="G78" s="63"/>
      <c r="H78" s="21"/>
      <c r="I78" s="23"/>
      <c r="J78" s="558"/>
      <c r="K78" s="558"/>
      <c r="L78" s="539" t="n"/>
      <c r="M78" s="539" t="n"/>
      <c r="N78" s="539" t="n"/>
      <c r="O78" s="539" t="n"/>
      <c r="P78" s="539"/>
      <c r="Q78" s="539"/>
      <c r="R78" s="539">
        <f>AI78</f>
      </c>
      <c r="S78" s="23">
        <f>Y78*100</f>
      </c>
      <c r="T78" s="539">
        <f>ROUND(R78*S78/100,-1)</f>
      </c>
      <c r="U78" s="539">
        <f>IF(Q78=0,"",(T78-Q78)/Q78*100)</f>
      </c>
      <c r="V78" s="27" t="n"/>
      <c r="W78" s="601"/>
      <c r="X78" s="602">
        <f>($W$5-K78)/365</f>
      </c>
      <c r="Y78" s="127">
        <f>(W78-X78)/W78</f>
      </c>
      <c r="Z78" s="127"/>
      <c r="AA78" s="127">
        <f>Y78/2+Z78/2</f>
      </c>
      <c r="AB78" s="603">
        <f>P78/I78</f>
      </c>
      <c r="AC78" s="604">
        <f>AB78*AD78</f>
      </c>
      <c r="AD78" s="129"/>
      <c r="AE78" s="583" t="n"/>
      <c r="AF78" s="583">
        <f>AC78*0.13/(1+0.13)</f>
      </c>
      <c r="AG78" s="605">
        <f>AC78-AF78</f>
      </c>
      <c r="AH78" s="605">
        <f>AC78*I78</f>
      </c>
      <c r="AI78" s="583">
        <f>ROUND(AG78*I78,-1)</f>
      </c>
    </row>
    <row r="79" ht="15.5" customHeight="1">
      <c r="A79" s="63" t="n"/>
      <c r="B79" s="56"/>
      <c r="C79" s="56"/>
      <c r="D79" s="59" t="n"/>
      <c r="E79" s="63" t="n"/>
      <c r="F79" s="24" t="n"/>
      <c r="G79" s="63"/>
      <c r="H79" s="21"/>
      <c r="I79" s="23"/>
      <c r="J79" s="558"/>
      <c r="K79" s="558"/>
      <c r="L79" s="539" t="n"/>
      <c r="M79" s="539" t="n"/>
      <c r="N79" s="539" t="n"/>
      <c r="O79" s="539" t="n"/>
      <c r="P79" s="539"/>
      <c r="Q79" s="539"/>
      <c r="R79" s="539">
        <f>AI79</f>
      </c>
      <c r="S79" s="23">
        <f>Y79*100</f>
      </c>
      <c r="T79" s="539">
        <f>ROUND(R79*S79/100,-1)</f>
      </c>
      <c r="U79" s="539">
        <f>IF(Q79=0,"",(T79-Q79)/Q79*100)</f>
      </c>
      <c r="V79" s="27" t="n"/>
      <c r="W79" s="601"/>
      <c r="X79" s="602">
        <f>($W$5-K79)/365</f>
      </c>
      <c r="Y79" s="127">
        <f>(W79-X79)/W79</f>
      </c>
      <c r="Z79" s="127"/>
      <c r="AA79" s="127">
        <f>Y79/2+Z79/2</f>
      </c>
      <c r="AB79" s="603">
        <f>P79/I79</f>
      </c>
      <c r="AC79" s="604">
        <f>AB79*AD79</f>
      </c>
      <c r="AD79" s="129"/>
      <c r="AE79" s="583" t="n"/>
      <c r="AF79" s="583">
        <f>AC79*0.13/(1+0.13)</f>
      </c>
      <c r="AG79" s="605">
        <f>AC79-AF79</f>
      </c>
      <c r="AH79" s="605">
        <f>AC79*I79</f>
      </c>
      <c r="AI79" s="583">
        <f>ROUND(AG79*I79,-1)</f>
      </c>
    </row>
    <row r="80" ht="15.5" customHeight="1">
      <c r="A80" s="63" t="n"/>
      <c r="B80" s="56"/>
      <c r="C80" s="56"/>
      <c r="D80" s="59" t="n"/>
      <c r="E80" s="63" t="n"/>
      <c r="F80" s="24" t="n"/>
      <c r="G80" s="63"/>
      <c r="H80" s="21"/>
      <c r="I80" s="23"/>
      <c r="J80" s="558"/>
      <c r="K80" s="558"/>
      <c r="L80" s="539" t="n"/>
      <c r="M80" s="539" t="n"/>
      <c r="N80" s="539" t="n"/>
      <c r="O80" s="539" t="n"/>
      <c r="P80" s="539"/>
      <c r="Q80" s="539"/>
      <c r="R80" s="539">
        <f>AI80</f>
      </c>
      <c r="S80" s="23">
        <f>Y80*100</f>
      </c>
      <c r="T80" s="539">
        <f>ROUND(R80*S80/100,-1)</f>
      </c>
      <c r="U80" s="539">
        <f>IF(Q80=0,"",(T80-Q80)/Q80*100)</f>
      </c>
      <c r="V80" s="27" t="n"/>
      <c r="W80" s="601"/>
      <c r="X80" s="602">
        <f>($W$5-K80)/365</f>
      </c>
      <c r="Y80" s="127">
        <f>(W80-X80)/W80</f>
      </c>
      <c r="Z80" s="127"/>
      <c r="AA80" s="127">
        <f>Y80/2+Z80/2</f>
      </c>
      <c r="AB80" s="603">
        <f>P80/I80</f>
      </c>
      <c r="AC80" s="604">
        <f>AB80*AD80</f>
      </c>
      <c r="AD80" s="129"/>
      <c r="AE80" s="583" t="n"/>
      <c r="AF80" s="583">
        <f>AC80*0.13/(1+0.13)</f>
      </c>
      <c r="AG80" s="605">
        <f>AC80-AF80</f>
      </c>
      <c r="AH80" s="605">
        <f>AC80*I80</f>
      </c>
      <c r="AI80" s="583">
        <f>ROUND(AG80*I80,-1)</f>
      </c>
    </row>
    <row r="81" ht="15.5" customHeight="1">
      <c r="A81" s="63" t="n"/>
      <c r="B81" s="56"/>
      <c r="C81" s="56"/>
      <c r="D81" s="59" t="n"/>
      <c r="E81" s="63" t="n"/>
      <c r="F81" s="24" t="n"/>
      <c r="G81" s="63"/>
      <c r="H81" s="21"/>
      <c r="I81" s="23"/>
      <c r="J81" s="558"/>
      <c r="K81" s="558"/>
      <c r="L81" s="539" t="n"/>
      <c r="M81" s="539" t="n"/>
      <c r="N81" s="539" t="n"/>
      <c r="O81" s="539" t="n"/>
      <c r="P81" s="539"/>
      <c r="Q81" s="539"/>
      <c r="R81" s="539">
        <f>AI81</f>
      </c>
      <c r="S81" s="23">
        <f>Y81*100</f>
      </c>
      <c r="T81" s="539">
        <f>ROUND(R81*S81/100,-1)</f>
      </c>
      <c r="U81" s="539">
        <f>IF(Q81=0,"",(T81-Q81)/Q81*100)</f>
      </c>
      <c r="V81" s="27" t="n"/>
      <c r="W81" s="601"/>
      <c r="X81" s="602">
        <f>($W$5-K81)/365</f>
      </c>
      <c r="Y81" s="127">
        <f>(W81-X81)/W81</f>
      </c>
      <c r="Z81" s="127"/>
      <c r="AA81" s="127">
        <f>Y81/2+Z81/2</f>
      </c>
      <c r="AB81" s="603">
        <f>P81/I81</f>
      </c>
      <c r="AC81" s="604">
        <f>AB81*AD81</f>
      </c>
      <c r="AD81" s="129"/>
      <c r="AE81" s="583" t="n"/>
      <c r="AF81" s="583">
        <f>AC81*0.13/(1+0.13)</f>
      </c>
      <c r="AG81" s="605">
        <f>AC81-AF81</f>
      </c>
      <c r="AH81" s="605">
        <f>AC81*I81</f>
      </c>
      <c r="AI81" s="583">
        <f>ROUND(AG81*I81,-1)</f>
      </c>
    </row>
    <row r="82" ht="15.5" customHeight="1">
      <c r="A82" s="63" t="n"/>
      <c r="B82" s="56"/>
      <c r="C82" s="56"/>
      <c r="D82" s="59" t="n"/>
      <c r="E82" s="63" t="n"/>
      <c r="F82" s="24" t="n"/>
      <c r="G82" s="63"/>
      <c r="H82" s="21"/>
      <c r="I82" s="23"/>
      <c r="J82" s="558"/>
      <c r="K82" s="558"/>
      <c r="L82" s="539" t="n"/>
      <c r="M82" s="539" t="n"/>
      <c r="N82" s="539" t="n"/>
      <c r="O82" s="539" t="n"/>
      <c r="P82" s="539"/>
      <c r="Q82" s="539"/>
      <c r="R82" s="539">
        <f>AI82</f>
      </c>
      <c r="S82" s="23">
        <f>Y82*100</f>
      </c>
      <c r="T82" s="539">
        <f>ROUND(R82*S82/100,-1)</f>
      </c>
      <c r="U82" s="539">
        <f>IF(Q82=0,"",(T82-Q82)/Q82*100)</f>
      </c>
      <c r="V82" s="27" t="n"/>
      <c r="W82" s="601"/>
      <c r="X82" s="602">
        <f>($W$5-K82)/365</f>
      </c>
      <c r="Y82" s="127">
        <f>(W82-X82)/W82</f>
      </c>
      <c r="Z82" s="127"/>
      <c r="AA82" s="127">
        <f>Y82/2+Z82/2</f>
      </c>
      <c r="AB82" s="603">
        <f>P82/I82</f>
      </c>
      <c r="AC82" s="604">
        <f>AB82*AD82</f>
      </c>
      <c r="AD82" s="129"/>
      <c r="AE82" s="583" t="n"/>
      <c r="AF82" s="583">
        <f>AC82*0.13/(1+0.13)</f>
      </c>
      <c r="AG82" s="605">
        <f>AC82-AF82</f>
      </c>
      <c r="AH82" s="605">
        <f>AC82*I82</f>
      </c>
      <c r="AI82" s="583">
        <f>ROUND(AG82*I82,-1)</f>
      </c>
    </row>
    <row r="83" ht="15.5" customHeight="1">
      <c r="A83" s="63" t="n"/>
      <c r="B83" s="56"/>
      <c r="C83" s="56"/>
      <c r="D83" s="59" t="n"/>
      <c r="E83" s="63" t="n"/>
      <c r="F83" s="24" t="n"/>
      <c r="G83" s="63"/>
      <c r="H83" s="21"/>
      <c r="I83" s="23"/>
      <c r="J83" s="558"/>
      <c r="K83" s="558"/>
      <c r="L83" s="539" t="n"/>
      <c r="M83" s="539" t="n"/>
      <c r="N83" s="539" t="n"/>
      <c r="O83" s="539" t="n"/>
      <c r="P83" s="539"/>
      <c r="Q83" s="539"/>
      <c r="R83" s="539">
        <f>AI83</f>
      </c>
      <c r="S83" s="23">
        <f>Y83*100</f>
      </c>
      <c r="T83" s="539">
        <f>ROUND(R83*S83/100,-1)</f>
      </c>
      <c r="U83" s="539">
        <f>IF(Q83=0,"",(T83-Q83)/Q83*100)</f>
      </c>
      <c r="V83" s="27" t="n"/>
      <c r="W83" s="601"/>
      <c r="X83" s="602">
        <f>($W$5-K83)/365</f>
      </c>
      <c r="Y83" s="127">
        <f>(W83-X83)/W83</f>
      </c>
      <c r="Z83" s="127"/>
      <c r="AA83" s="127">
        <f>Y83/2+Z83/2</f>
      </c>
      <c r="AB83" s="603">
        <f>P83/I83</f>
      </c>
      <c r="AC83" s="604">
        <f>AB83*AD83</f>
      </c>
      <c r="AD83" s="129"/>
      <c r="AE83" s="583" t="n"/>
      <c r="AF83" s="583">
        <f>AC83*0.13/(1+0.13)</f>
      </c>
      <c r="AG83" s="605">
        <f>AC83-AF83</f>
      </c>
      <c r="AH83" s="605">
        <f>AC83*I83</f>
      </c>
      <c r="AI83" s="583">
        <f>ROUND(AG83*I83,-1)</f>
      </c>
    </row>
    <row r="84" ht="15.5" customHeight="1">
      <c r="A84" s="63" t="n"/>
      <c r="B84" s="56"/>
      <c r="C84" s="56"/>
      <c r="D84" s="59" t="n"/>
      <c r="E84" s="63" t="n"/>
      <c r="F84" s="24" t="n"/>
      <c r="G84" s="63"/>
      <c r="H84" s="21"/>
      <c r="I84" s="23"/>
      <c r="J84" s="558"/>
      <c r="K84" s="558"/>
      <c r="L84" s="539" t="n"/>
      <c r="M84" s="539" t="n"/>
      <c r="N84" s="539" t="n"/>
      <c r="O84" s="539" t="n"/>
      <c r="P84" s="539"/>
      <c r="Q84" s="539"/>
      <c r="R84" s="539">
        <f>AI84</f>
      </c>
      <c r="S84" s="23">
        <f>Y84*100</f>
      </c>
      <c r="T84" s="539">
        <f>ROUND(R84*S84/100,-1)</f>
      </c>
      <c r="U84" s="539">
        <f>IF(Q84=0,"",(T84-Q84)/Q84*100)</f>
      </c>
      <c r="V84" s="27" t="n"/>
      <c r="W84" s="601"/>
      <c r="X84" s="602">
        <f>($W$5-K84)/365</f>
      </c>
      <c r="Y84" s="127">
        <f>(W84-X84)/W84</f>
      </c>
      <c r="Z84" s="127"/>
      <c r="AA84" s="127">
        <f>Y84/2+Z84/2</f>
      </c>
      <c r="AB84" s="603">
        <f>P84/I84</f>
      </c>
      <c r="AC84" s="604">
        <f>AB84*AD84</f>
      </c>
      <c r="AD84" s="129"/>
      <c r="AE84" s="583" t="n"/>
      <c r="AF84" s="583">
        <f>AC84*0.13/(1+0.13)</f>
      </c>
      <c r="AG84" s="605">
        <f>AC84-AF84</f>
      </c>
      <c r="AH84" s="605">
        <f>AC84*I84</f>
      </c>
      <c r="AI84" s="583">
        <f>ROUND(AG84*I84,-1)</f>
      </c>
    </row>
    <row r="85" ht="15.5" customHeight="1">
      <c r="A85" s="63" t="n"/>
      <c r="B85" s="56"/>
      <c r="C85" s="56"/>
      <c r="D85" s="59" t="n"/>
      <c r="E85" s="63" t="n"/>
      <c r="F85" s="24" t="n"/>
      <c r="G85" s="63"/>
      <c r="H85" s="21"/>
      <c r="I85" s="23"/>
      <c r="J85" s="558"/>
      <c r="K85" s="558"/>
      <c r="L85" s="539" t="n"/>
      <c r="M85" s="539" t="n"/>
      <c r="N85" s="539" t="n"/>
      <c r="O85" s="539" t="n"/>
      <c r="P85" s="539"/>
      <c r="Q85" s="539"/>
      <c r="R85" s="539">
        <f>AI85</f>
      </c>
      <c r="S85" s="23">
        <f>Y85*100</f>
      </c>
      <c r="T85" s="539">
        <f>ROUND(R85*S85/100,-1)</f>
      </c>
      <c r="U85" s="539">
        <f>IF(Q85=0,"",(T85-Q85)/Q85*100)</f>
      </c>
      <c r="V85" s="27" t="n"/>
      <c r="W85" s="601"/>
      <c r="X85" s="602">
        <f>($W$5-K85)/365</f>
      </c>
      <c r="Y85" s="127">
        <f>(W85-X85)/W85</f>
      </c>
      <c r="Z85" s="127"/>
      <c r="AA85" s="127">
        <f>Y85/2+Z85/2</f>
      </c>
      <c r="AB85" s="603">
        <f>P85/I85</f>
      </c>
      <c r="AC85" s="604">
        <f>AB85*AD85</f>
      </c>
      <c r="AD85" s="129"/>
      <c r="AE85" s="583" t="n"/>
      <c r="AF85" s="583">
        <f>AC85*0.13/(1+0.13)</f>
      </c>
      <c r="AG85" s="605">
        <f>AC85-AF85</f>
      </c>
      <c r="AH85" s="605">
        <f>AC85*I85</f>
      </c>
      <c r="AI85" s="583">
        <f>ROUND(AG85*I85,-1)</f>
      </c>
    </row>
    <row r="86" ht="15.5" customHeight="1">
      <c r="A86" s="63" t="n"/>
      <c r="B86" s="56"/>
      <c r="C86" s="56"/>
      <c r="D86" s="59" t="n"/>
      <c r="E86" s="63" t="n"/>
      <c r="F86" s="24" t="n"/>
      <c r="G86" s="63"/>
      <c r="H86" s="21"/>
      <c r="I86" s="23"/>
      <c r="J86" s="558"/>
      <c r="K86" s="558"/>
      <c r="L86" s="539" t="n"/>
      <c r="M86" s="539" t="n"/>
      <c r="N86" s="539" t="n"/>
      <c r="O86" s="539" t="n"/>
      <c r="P86" s="539"/>
      <c r="Q86" s="539"/>
      <c r="R86" s="539">
        <f>AI86</f>
      </c>
      <c r="S86" s="23">
        <f>Y86*100</f>
      </c>
      <c r="T86" s="539">
        <f>ROUND(R86*S86/100,-1)</f>
      </c>
      <c r="U86" s="539">
        <f>IF(Q86=0,"",(T86-Q86)/Q86*100)</f>
      </c>
      <c r="V86" s="27" t="n"/>
      <c r="W86" s="601"/>
      <c r="X86" s="602">
        <f>($W$5-K86)/365</f>
      </c>
      <c r="Y86" s="127">
        <f>(W86-X86)/W86</f>
      </c>
      <c r="Z86" s="127"/>
      <c r="AA86" s="127">
        <f>Y86/2+Z86/2</f>
      </c>
      <c r="AB86" s="603">
        <f>P86/I86</f>
      </c>
      <c r="AC86" s="604">
        <f>AB86*AD86</f>
      </c>
      <c r="AD86" s="129"/>
      <c r="AE86" s="583" t="n"/>
      <c r="AF86" s="583">
        <f>AC86*0.13/(1+0.13)</f>
      </c>
      <c r="AG86" s="605">
        <f>AC86-AF86</f>
      </c>
      <c r="AH86" s="605">
        <f>AC86*I86</f>
      </c>
      <c r="AI86" s="583">
        <f>ROUND(AG86*I86,-1)</f>
      </c>
    </row>
    <row r="87" ht="15.5" customHeight="1">
      <c r="A87" s="63" t="n"/>
      <c r="B87" s="56"/>
      <c r="C87" s="56"/>
      <c r="D87" s="59" t="n"/>
      <c r="E87" s="63" t="n"/>
      <c r="F87" s="24" t="n"/>
      <c r="G87" s="63"/>
      <c r="H87" s="21"/>
      <c r="I87" s="23"/>
      <c r="J87" s="558"/>
      <c r="K87" s="558"/>
      <c r="L87" s="539" t="n"/>
      <c r="M87" s="539" t="n"/>
      <c r="N87" s="539" t="n"/>
      <c r="O87" s="539" t="n"/>
      <c r="P87" s="539"/>
      <c r="Q87" s="539"/>
      <c r="R87" s="539">
        <f>AI87</f>
      </c>
      <c r="S87" s="23">
        <f>Y87*100</f>
      </c>
      <c r="T87" s="539">
        <f>ROUND(R87*S87/100,-1)</f>
      </c>
      <c r="U87" s="539">
        <f>IF(Q87=0,"",(T87-Q87)/Q87*100)</f>
      </c>
      <c r="V87" s="27" t="n"/>
      <c r="W87" s="601"/>
      <c r="X87" s="602">
        <f>($W$5-K87)/365</f>
      </c>
      <c r="Y87" s="127">
        <f>(W87-X87)/W87</f>
      </c>
      <c r="Z87" s="127"/>
      <c r="AA87" s="127">
        <f>Y87/2+Z87/2</f>
      </c>
      <c r="AB87" s="603">
        <f>P87/I87</f>
      </c>
      <c r="AC87" s="604">
        <f>AB87*AD87</f>
      </c>
      <c r="AD87" s="129"/>
      <c r="AE87" s="583" t="n"/>
      <c r="AF87" s="583">
        <f>AC87*0.13/(1+0.13)</f>
      </c>
      <c r="AG87" s="605">
        <f>AC87-AF87</f>
      </c>
      <c r="AH87" s="605">
        <f>AC87*I87</f>
      </c>
      <c r="AI87" s="583">
        <f>ROUND(AG87*I87,-1)</f>
      </c>
    </row>
    <row r="88" ht="15.5" customHeight="1">
      <c r="A88" s="63" t="n"/>
      <c r="B88" s="56"/>
      <c r="C88" s="56"/>
      <c r="D88" s="59" t="n"/>
      <c r="E88" s="63" t="n"/>
      <c r="F88" s="24" t="n"/>
      <c r="G88" s="63"/>
      <c r="H88" s="21"/>
      <c r="I88" s="23"/>
      <c r="J88" s="558"/>
      <c r="K88" s="558"/>
      <c r="L88" s="539" t="n"/>
      <c r="M88" s="539" t="n"/>
      <c r="N88" s="539" t="n"/>
      <c r="O88" s="539" t="n"/>
      <c r="P88" s="539"/>
      <c r="Q88" s="539"/>
      <c r="R88" s="539">
        <f>AI88</f>
      </c>
      <c r="S88" s="23">
        <f>Y88*100</f>
      </c>
      <c r="T88" s="539">
        <f>ROUND(R88*S88/100,-1)</f>
      </c>
      <c r="U88" s="539">
        <f>IF(Q88=0,"",(T88-Q88)/Q88*100)</f>
      </c>
      <c r="V88" s="27" t="n"/>
      <c r="W88" s="601"/>
      <c r="X88" s="602">
        <f>($W$5-K88)/365</f>
      </c>
      <c r="Y88" s="127">
        <f>(W88-X88)/W88</f>
      </c>
      <c r="Z88" s="127"/>
      <c r="AA88" s="127">
        <f>Y88/2+Z88/2</f>
      </c>
      <c r="AB88" s="603">
        <f>P88/I88</f>
      </c>
      <c r="AC88" s="604">
        <f>AB88*AD88</f>
      </c>
      <c r="AD88" s="129"/>
      <c r="AE88" s="583" t="n"/>
      <c r="AF88" s="583">
        <f>AC88*0.13/(1+0.13)</f>
      </c>
      <c r="AG88" s="605">
        <f>AC88-AF88</f>
      </c>
      <c r="AH88" s="605">
        <f>AC88*I88</f>
      </c>
      <c r="AI88" s="583">
        <f>ROUND(AG88*I88,-1)</f>
      </c>
    </row>
    <row r="89" ht="15.5" customHeight="1">
      <c r="A89" s="63" t="n"/>
      <c r="B89" s="56"/>
      <c r="C89" s="56"/>
      <c r="D89" s="59" t="n"/>
      <c r="E89" s="63" t="n"/>
      <c r="F89" s="24" t="n"/>
      <c r="G89" s="63"/>
      <c r="H89" s="21"/>
      <c r="I89" s="23"/>
      <c r="J89" s="558"/>
      <c r="K89" s="558"/>
      <c r="L89" s="539" t="n"/>
      <c r="M89" s="539" t="n"/>
      <c r="N89" s="539" t="n"/>
      <c r="O89" s="539" t="n"/>
      <c r="P89" s="539"/>
      <c r="Q89" s="539"/>
      <c r="R89" s="539">
        <f>AI89</f>
      </c>
      <c r="S89" s="23">
        <f>Y89*100</f>
      </c>
      <c r="T89" s="539">
        <f>ROUND(R89*S89/100,-1)</f>
      </c>
      <c r="U89" s="539">
        <f>IF(Q89=0,"",(T89-Q89)/Q89*100)</f>
      </c>
      <c r="V89" s="27" t="n"/>
      <c r="W89" s="601"/>
      <c r="X89" s="602">
        <f>($W$5-K89)/365</f>
      </c>
      <c r="Y89" s="127">
        <f>(W89-X89)/W89</f>
      </c>
      <c r="Z89" s="127"/>
      <c r="AA89" s="127">
        <f>Y89/2+Z89/2</f>
      </c>
      <c r="AB89" s="603">
        <f>P89/I89</f>
      </c>
      <c r="AC89" s="604">
        <f>AB89*AD89</f>
      </c>
      <c r="AD89" s="129"/>
      <c r="AE89" s="583" t="n"/>
      <c r="AF89" s="583">
        <f>AC89*0.13/(1+0.13)</f>
      </c>
      <c r="AG89" s="605">
        <f>AC89-AF89</f>
      </c>
      <c r="AH89" s="605">
        <f>AC89*I89</f>
      </c>
      <c r="AI89" s="583">
        <f>ROUND(AG89*I89,-1)</f>
      </c>
    </row>
    <row r="90" ht="15.5" customHeight="1">
      <c r="A90" s="63" t="n"/>
      <c r="B90" s="56"/>
      <c r="C90" s="56"/>
      <c r="D90" s="59" t="n"/>
      <c r="E90" s="63" t="n"/>
      <c r="F90" s="24" t="n"/>
      <c r="G90" s="63"/>
      <c r="H90" s="21"/>
      <c r="I90" s="23"/>
      <c r="J90" s="558"/>
      <c r="K90" s="558"/>
      <c r="L90" s="539" t="n"/>
      <c r="M90" s="539" t="n"/>
      <c r="N90" s="539" t="n"/>
      <c r="O90" s="539" t="n"/>
      <c r="P90" s="539"/>
      <c r="Q90" s="539"/>
      <c r="R90" s="539">
        <f>AI90</f>
      </c>
      <c r="S90" s="23">
        <f>Y90*100</f>
      </c>
      <c r="T90" s="539">
        <f>ROUND(R90*S90/100,-1)</f>
      </c>
      <c r="U90" s="539">
        <f>IF(Q90=0,"",(T90-Q90)/Q90*100)</f>
      </c>
      <c r="V90" s="27" t="n"/>
      <c r="W90" s="601"/>
      <c r="X90" s="602">
        <f>($W$5-K90)/365</f>
      </c>
      <c r="Y90" s="127">
        <f>(W90-X90)/W90</f>
      </c>
      <c r="Z90" s="127"/>
      <c r="AA90" s="127">
        <f>Y90/2+Z90/2</f>
      </c>
      <c r="AB90" s="603">
        <f>P90/I90</f>
      </c>
      <c r="AC90" s="604">
        <f>AB90*AD90</f>
      </c>
      <c r="AD90" s="129"/>
      <c r="AE90" s="583" t="n"/>
      <c r="AF90" s="583">
        <f>AC90*0.13/(1+0.13)</f>
      </c>
      <c r="AG90" s="605">
        <f>AC90-AF90</f>
      </c>
      <c r="AH90" s="605">
        <f>AC90*I90</f>
      </c>
      <c r="AI90" s="583">
        <f>ROUND(AG90*I90,-1)</f>
      </c>
    </row>
    <row r="91" ht="15.5" customHeight="1">
      <c r="A91" s="63" t="n"/>
      <c r="B91" s="56"/>
      <c r="C91" s="56"/>
      <c r="D91" s="59" t="n"/>
      <c r="E91" s="63" t="n"/>
      <c r="F91" s="24" t="n"/>
      <c r="G91" s="63"/>
      <c r="H91" s="21"/>
      <c r="I91" s="23"/>
      <c r="J91" s="558"/>
      <c r="K91" s="558"/>
      <c r="L91" s="539" t="n"/>
      <c r="M91" s="539" t="n"/>
      <c r="N91" s="539" t="n"/>
      <c r="O91" s="539" t="n"/>
      <c r="P91" s="539"/>
      <c r="Q91" s="539"/>
      <c r="R91" s="539">
        <f>AI91</f>
      </c>
      <c r="S91" s="23">
        <f>Y91*100</f>
      </c>
      <c r="T91" s="539">
        <f>ROUND(R91*S91/100,-1)</f>
      </c>
      <c r="U91" s="539">
        <f>IF(Q91=0,"",(T91-Q91)/Q91*100)</f>
      </c>
      <c r="V91" s="27" t="n"/>
      <c r="W91" s="601"/>
      <c r="X91" s="602">
        <f>($W$5-K91)/365</f>
      </c>
      <c r="Y91" s="127">
        <f>(W91-X91)/W91</f>
      </c>
      <c r="Z91" s="127"/>
      <c r="AA91" s="127">
        <f>Y91/2+Z91/2</f>
      </c>
      <c r="AB91" s="603">
        <f>P91/I91</f>
      </c>
      <c r="AC91" s="604">
        <f>AB91*AD91</f>
      </c>
      <c r="AD91" s="129"/>
      <c r="AE91" s="583" t="n"/>
      <c r="AF91" s="583">
        <f>AC91*0.13/(1+0.13)</f>
      </c>
      <c r="AG91" s="605">
        <f>AC91-AF91</f>
      </c>
      <c r="AH91" s="605">
        <f>AC91*I91</f>
      </c>
      <c r="AI91" s="583">
        <f>ROUND(AG91*I91,-1)</f>
      </c>
    </row>
    <row r="92" ht="15.5" customHeight="1">
      <c r="A92" s="63" t="n"/>
      <c r="B92" s="56"/>
      <c r="C92" s="56"/>
      <c r="D92" s="59" t="n"/>
      <c r="E92" s="63" t="n"/>
      <c r="F92" s="24" t="n"/>
      <c r="G92" s="63"/>
      <c r="H92" s="21"/>
      <c r="I92" s="23"/>
      <c r="J92" s="558"/>
      <c r="K92" s="558"/>
      <c r="L92" s="539" t="n"/>
      <c r="M92" s="539" t="n"/>
      <c r="N92" s="539" t="n"/>
      <c r="O92" s="539" t="n"/>
      <c r="P92" s="539"/>
      <c r="Q92" s="539"/>
      <c r="R92" s="539">
        <f>AI92</f>
      </c>
      <c r="S92" s="23">
        <f>Y92*100</f>
      </c>
      <c r="T92" s="539">
        <f>ROUND(R92*S92/100,-1)</f>
      </c>
      <c r="U92" s="539">
        <f>IF(Q92=0,"",(T92-Q92)/Q92*100)</f>
      </c>
      <c r="V92" s="27" t="n"/>
      <c r="W92" s="601"/>
      <c r="X92" s="602">
        <f>($W$5-K92)/365</f>
      </c>
      <c r="Y92" s="127">
        <f>(W92-X92)/W92</f>
      </c>
      <c r="Z92" s="127"/>
      <c r="AA92" s="127">
        <f>Y92/2+Z92/2</f>
      </c>
      <c r="AB92" s="603">
        <f>P92/I92</f>
      </c>
      <c r="AC92" s="604">
        <f>AB92*AD92</f>
      </c>
      <c r="AD92" s="129"/>
      <c r="AE92" s="583" t="n"/>
      <c r="AF92" s="583">
        <f>AC92*0.13/(1+0.13)</f>
      </c>
      <c r="AG92" s="605">
        <f>AC92-AF92</f>
      </c>
      <c r="AH92" s="605">
        <f>AC92*I92</f>
      </c>
      <c r="AI92" s="583">
        <f>ROUND(AG92*I92,-1)</f>
      </c>
    </row>
    <row r="93" ht="15.5" customHeight="1">
      <c r="A93" s="63" t="n"/>
      <c r="B93" s="56"/>
      <c r="C93" s="56"/>
      <c r="D93" s="59" t="n"/>
      <c r="E93" s="63" t="n"/>
      <c r="F93" s="24" t="n"/>
      <c r="G93" s="63"/>
      <c r="H93" s="21"/>
      <c r="I93" s="23"/>
      <c r="J93" s="558"/>
      <c r="K93" s="558"/>
      <c r="L93" s="539" t="n"/>
      <c r="M93" s="539" t="n"/>
      <c r="N93" s="539" t="n"/>
      <c r="O93" s="539" t="n"/>
      <c r="P93" s="539"/>
      <c r="Q93" s="539"/>
      <c r="R93" s="539">
        <f>AI93</f>
      </c>
      <c r="S93" s="23">
        <f>Y93*100</f>
      </c>
      <c r="T93" s="539">
        <f>ROUND(R93*S93/100,-1)</f>
      </c>
      <c r="U93" s="539">
        <f>IF(Q93=0,"",(T93-Q93)/Q93*100)</f>
      </c>
      <c r="V93" s="27" t="n"/>
      <c r="W93" s="601"/>
      <c r="X93" s="602">
        <f>($W$5-K93)/365</f>
      </c>
      <c r="Y93" s="127">
        <f>(W93-X93)/W93</f>
      </c>
      <c r="Z93" s="127"/>
      <c r="AA93" s="127">
        <f>Y93/2+Z93/2</f>
      </c>
      <c r="AB93" s="603">
        <f>P93/I93</f>
      </c>
      <c r="AC93" s="604">
        <f>AB93*AD93</f>
      </c>
      <c r="AD93" s="129"/>
      <c r="AE93" s="583" t="n"/>
      <c r="AF93" s="583">
        <f>AC93*0.13/(1+0.13)</f>
      </c>
      <c r="AG93" s="605">
        <f>AC93-AF93</f>
      </c>
      <c r="AH93" s="605">
        <f>AC93*I93</f>
      </c>
      <c r="AI93" s="583">
        <f>ROUND(AG93*I93,-1)</f>
      </c>
    </row>
    <row r="94" ht="15.5" customHeight="1">
      <c r="A94" s="63" t="n"/>
      <c r="B94" s="56"/>
      <c r="C94" s="56"/>
      <c r="D94" s="59" t="n"/>
      <c r="E94" s="63" t="n"/>
      <c r="F94" s="24" t="n"/>
      <c r="G94" s="63"/>
      <c r="H94" s="21"/>
      <c r="I94" s="23"/>
      <c r="J94" s="558"/>
      <c r="K94" s="558"/>
      <c r="L94" s="539" t="n"/>
      <c r="M94" s="539" t="n"/>
      <c r="N94" s="539" t="n"/>
      <c r="O94" s="539" t="n"/>
      <c r="P94" s="539"/>
      <c r="Q94" s="539"/>
      <c r="R94" s="539">
        <f>AI94</f>
      </c>
      <c r="S94" s="23">
        <f>Y94*100</f>
      </c>
      <c r="T94" s="539">
        <f>ROUND(R94*S94/100,-1)</f>
      </c>
      <c r="U94" s="539">
        <f>IF(Q94=0,"",(T94-Q94)/Q94*100)</f>
      </c>
      <c r="V94" s="27" t="n"/>
      <c r="W94" s="601"/>
      <c r="X94" s="602">
        <f>($W$5-K94)/365</f>
      </c>
      <c r="Y94" s="127">
        <f>(W94-X94)/W94</f>
      </c>
      <c r="Z94" s="127"/>
      <c r="AA94" s="127">
        <f>Y94/2+Z94/2</f>
      </c>
      <c r="AB94" s="603">
        <f>P94/I94</f>
      </c>
      <c r="AC94" s="604">
        <f>AB94*AD94</f>
      </c>
      <c r="AD94" s="129"/>
      <c r="AE94" s="583" t="n"/>
      <c r="AF94" s="583">
        <f>AC94*0.13/(1+0.13)</f>
      </c>
      <c r="AG94" s="605">
        <f>AC94-AF94</f>
      </c>
      <c r="AH94" s="605">
        <f>AC94*I94</f>
      </c>
      <c r="AI94" s="583">
        <f>ROUND(AG94*I94,-1)</f>
      </c>
    </row>
    <row r="95" ht="15.5" customHeight="1">
      <c r="A95" s="63" t="n"/>
      <c r="B95" s="56"/>
      <c r="C95" s="56"/>
      <c r="D95" s="59" t="n"/>
      <c r="E95" s="63" t="n"/>
      <c r="F95" s="24" t="n"/>
      <c r="G95" s="63"/>
      <c r="H95" s="21"/>
      <c r="I95" s="23"/>
      <c r="J95" s="558"/>
      <c r="K95" s="558"/>
      <c r="L95" s="539" t="n"/>
      <c r="M95" s="539" t="n"/>
      <c r="N95" s="539" t="n"/>
      <c r="O95" s="539" t="n"/>
      <c r="P95" s="539"/>
      <c r="Q95" s="539"/>
      <c r="R95" s="539">
        <f>AI95</f>
      </c>
      <c r="S95" s="23">
        <f>Y95*100</f>
      </c>
      <c r="T95" s="539">
        <f>ROUND(R95*S95/100,-1)</f>
      </c>
      <c r="U95" s="539">
        <f>IF(Q95=0,"",(T95-Q95)/Q95*100)</f>
      </c>
      <c r="V95" s="27" t="n"/>
      <c r="W95" s="601"/>
      <c r="X95" s="602">
        <f>($W$5-K95)/365</f>
      </c>
      <c r="Y95" s="127">
        <f>(W95-X95)/W95</f>
      </c>
      <c r="Z95" s="127"/>
      <c r="AA95" s="127">
        <f>Y95/2+Z95/2</f>
      </c>
      <c r="AB95" s="603">
        <f>P95/I95</f>
      </c>
      <c r="AC95" s="604">
        <f>AB95*AD95</f>
      </c>
      <c r="AD95" s="129"/>
      <c r="AE95" s="583" t="n"/>
      <c r="AF95" s="583">
        <f>AC95*0.13/(1+0.13)</f>
      </c>
      <c r="AG95" s="605">
        <f>AC95-AF95</f>
      </c>
      <c r="AH95" s="605">
        <f>AC95*I95</f>
      </c>
      <c r="AI95" s="583">
        <f>ROUND(AG95*I95,-1)</f>
      </c>
    </row>
    <row r="96" ht="15.5" customHeight="1">
      <c r="A96" s="63" t="n"/>
      <c r="B96" s="56"/>
      <c r="C96" s="56"/>
      <c r="D96" s="59" t="n"/>
      <c r="E96" s="63" t="n"/>
      <c r="F96" s="24" t="n"/>
      <c r="G96" s="63"/>
      <c r="H96" s="21"/>
      <c r="I96" s="23"/>
      <c r="J96" s="558"/>
      <c r="K96" s="558"/>
      <c r="L96" s="539" t="n"/>
      <c r="M96" s="539" t="n"/>
      <c r="N96" s="539" t="n"/>
      <c r="O96" s="539" t="n"/>
      <c r="P96" s="539"/>
      <c r="Q96" s="539"/>
      <c r="R96" s="539">
        <f>AI96</f>
      </c>
      <c r="S96" s="23">
        <f>Y96*100</f>
      </c>
      <c r="T96" s="539">
        <f>ROUND(R96*S96/100,-1)</f>
      </c>
      <c r="U96" s="539">
        <f>IF(Q96=0,"",(T96-Q96)/Q96*100)</f>
      </c>
      <c r="V96" s="27" t="n"/>
      <c r="W96" s="601"/>
      <c r="X96" s="602">
        <f>($W$5-K96)/365</f>
      </c>
      <c r="Y96" s="127">
        <f>(W96-X96)/W96</f>
      </c>
      <c r="Z96" s="127"/>
      <c r="AA96" s="127">
        <f>Y96/2+Z96/2</f>
      </c>
      <c r="AB96" s="603">
        <f>P96/I96</f>
      </c>
      <c r="AC96" s="604">
        <f>AB96*AD96</f>
      </c>
      <c r="AD96" s="129"/>
      <c r="AE96" s="583" t="n"/>
      <c r="AF96" s="583">
        <f>AC96*0.13/(1+0.13)</f>
      </c>
      <c r="AG96" s="605">
        <f>AC96-AF96</f>
      </c>
      <c r="AH96" s="605">
        <f>AC96*I96</f>
      </c>
      <c r="AI96" s="583">
        <f>ROUND(AG96*I96,-1)</f>
      </c>
    </row>
    <row r="97" ht="15.5" customHeight="1">
      <c r="A97" s="63" t="n"/>
      <c r="B97" s="56"/>
      <c r="C97" s="56"/>
      <c r="D97" s="59" t="n"/>
      <c r="E97" s="63" t="n"/>
      <c r="F97" s="24" t="n"/>
      <c r="G97" s="63"/>
      <c r="H97" s="21"/>
      <c r="I97" s="23"/>
      <c r="J97" s="558"/>
      <c r="K97" s="558"/>
      <c r="L97" s="539" t="n"/>
      <c r="M97" s="539" t="n"/>
      <c r="N97" s="539" t="n"/>
      <c r="O97" s="539" t="n"/>
      <c r="P97" s="539"/>
      <c r="Q97" s="539"/>
      <c r="R97" s="539">
        <f>AI97</f>
      </c>
      <c r="S97" s="23">
        <f>Y97*100</f>
      </c>
      <c r="T97" s="539">
        <f>ROUND(R97*S97/100,-1)</f>
      </c>
      <c r="U97" s="539">
        <f>IF(Q97=0,"",(T97-Q97)/Q97*100)</f>
      </c>
      <c r="V97" s="27" t="n"/>
      <c r="W97" s="601"/>
      <c r="X97" s="602">
        <f>($W$5-K97)/365</f>
      </c>
      <c r="Y97" s="127">
        <f>(W97-X97)/W97</f>
      </c>
      <c r="Z97" s="127"/>
      <c r="AA97" s="127">
        <f>Y97/2+Z97/2</f>
      </c>
      <c r="AB97" s="603">
        <f>P97/I97</f>
      </c>
      <c r="AC97" s="604">
        <f>AB97*AD97</f>
      </c>
      <c r="AD97" s="129"/>
      <c r="AE97" s="583" t="n"/>
      <c r="AF97" s="583">
        <f>AC97*0.13/(1+0.13)</f>
      </c>
      <c r="AG97" s="605">
        <f>AC97-AF97</f>
      </c>
      <c r="AH97" s="605">
        <f>AC97*I97</f>
      </c>
      <c r="AI97" s="583">
        <f>ROUND(AG97*I97,-1)</f>
      </c>
    </row>
    <row r="98" ht="15.5" customHeight="1">
      <c r="A98" s="63" t="n"/>
      <c r="B98" s="56"/>
      <c r="C98" s="56"/>
      <c r="D98" s="59" t="n"/>
      <c r="E98" s="63" t="n"/>
      <c r="F98" s="24" t="n"/>
      <c r="G98" s="63"/>
      <c r="H98" s="21"/>
      <c r="I98" s="23"/>
      <c r="J98" s="558"/>
      <c r="K98" s="558"/>
      <c r="L98" s="539" t="n"/>
      <c r="M98" s="539" t="n"/>
      <c r="N98" s="539" t="n"/>
      <c r="O98" s="539" t="n"/>
      <c r="P98" s="539"/>
      <c r="Q98" s="539"/>
      <c r="R98" s="539">
        <f>AI98</f>
      </c>
      <c r="S98" s="23">
        <f>Y98*100</f>
      </c>
      <c r="T98" s="539">
        <f>ROUND(R98*S98/100,-1)</f>
      </c>
      <c r="U98" s="539">
        <f>IF(Q98=0,"",(T98-Q98)/Q98*100)</f>
      </c>
      <c r="V98" s="27" t="n"/>
      <c r="W98" s="601"/>
      <c r="X98" s="602">
        <f>($W$5-K98)/365</f>
      </c>
      <c r="Y98" s="127">
        <f>(W98-X98)/W98</f>
      </c>
      <c r="Z98" s="127"/>
      <c r="AA98" s="127">
        <f>Y98/2+Z98/2</f>
      </c>
      <c r="AB98" s="603">
        <f>P98/I98</f>
      </c>
      <c r="AC98" s="604">
        <f>AB98*AD98</f>
      </c>
      <c r="AD98" s="129"/>
      <c r="AE98" s="583" t="n"/>
      <c r="AF98" s="583">
        <f>AC98*0.13/(1+0.13)</f>
      </c>
      <c r="AG98" s="605">
        <f>AC98-AF98</f>
      </c>
      <c r="AH98" s="605">
        <f>AC98*I98</f>
      </c>
      <c r="AI98" s="583">
        <f>ROUND(AG98*I98,-1)</f>
      </c>
    </row>
    <row r="99" ht="15.5" customHeight="1">
      <c r="A99" s="63" t="n"/>
      <c r="B99" s="56"/>
      <c r="C99" s="56"/>
      <c r="D99" s="59" t="n"/>
      <c r="E99" s="63" t="n"/>
      <c r="F99" s="24" t="n"/>
      <c r="G99" s="63"/>
      <c r="H99" s="21"/>
      <c r="I99" s="23"/>
      <c r="J99" s="558"/>
      <c r="K99" s="558"/>
      <c r="L99" s="539" t="n"/>
      <c r="M99" s="539" t="n"/>
      <c r="N99" s="539" t="n"/>
      <c r="O99" s="539" t="n"/>
      <c r="P99" s="539"/>
      <c r="Q99" s="539"/>
      <c r="R99" s="539">
        <f>AI99</f>
      </c>
      <c r="S99" s="23">
        <f>Y99*100</f>
      </c>
      <c r="T99" s="539">
        <f>ROUND(R99*S99/100,-1)</f>
      </c>
      <c r="U99" s="539">
        <f>IF(Q99=0,"",(T99-Q99)/Q99*100)</f>
      </c>
      <c r="V99" s="27" t="n"/>
      <c r="W99" s="601"/>
      <c r="X99" s="602">
        <f>($W$5-K99)/365</f>
      </c>
      <c r="Y99" s="127">
        <f>(W99-X99)/W99</f>
      </c>
      <c r="Z99" s="127"/>
      <c r="AA99" s="127">
        <f>Y99/2+Z99/2</f>
      </c>
      <c r="AB99" s="603">
        <f>P99/I99</f>
      </c>
      <c r="AC99" s="604">
        <f>AB99*AD99</f>
      </c>
      <c r="AD99" s="129"/>
      <c r="AE99" s="583" t="n"/>
      <c r="AF99" s="583">
        <f>AC99*0.13/(1+0.13)</f>
      </c>
      <c r="AG99" s="605">
        <f>AC99-AF99</f>
      </c>
      <c r="AH99" s="605">
        <f>AC99*I99</f>
      </c>
      <c r="AI99" s="583">
        <f>ROUND(AG99*I99,-1)</f>
      </c>
    </row>
    <row r="100" ht="15.5" customHeight="1">
      <c r="A100" s="63" t="n"/>
      <c r="B100" s="56"/>
      <c r="C100" s="56"/>
      <c r="D100" s="59" t="n"/>
      <c r="E100" s="63" t="n"/>
      <c r="F100" s="24" t="n"/>
      <c r="G100" s="63"/>
      <c r="H100" s="21"/>
      <c r="I100" s="23"/>
      <c r="J100" s="558"/>
      <c r="K100" s="558"/>
      <c r="L100" s="539" t="n"/>
      <c r="M100" s="539" t="n"/>
      <c r="N100" s="539" t="n"/>
      <c r="O100" s="539" t="n"/>
      <c r="P100" s="539"/>
      <c r="Q100" s="539"/>
      <c r="R100" s="539">
        <f>AI100</f>
      </c>
      <c r="S100" s="23">
        <f>Y100*100</f>
      </c>
      <c r="T100" s="539">
        <f>ROUND(R100*S100/100,-1)</f>
      </c>
      <c r="U100" s="539">
        <f>IF(Q100=0,"",(T100-Q100)/Q100*100)</f>
      </c>
      <c r="V100" s="27" t="n"/>
      <c r="W100" s="601"/>
      <c r="X100" s="602">
        <f>($W$5-K100)/365</f>
      </c>
      <c r="Y100" s="127">
        <f>(W100-X100)/W100</f>
      </c>
      <c r="Z100" s="127"/>
      <c r="AA100" s="127">
        <f>Y100/2+Z100/2</f>
      </c>
      <c r="AB100" s="603">
        <f>P100/I100</f>
      </c>
      <c r="AC100" s="604">
        <f>AB100*AD100</f>
      </c>
      <c r="AD100" s="129"/>
      <c r="AE100" s="583" t="n"/>
      <c r="AF100" s="583">
        <f>AC100*0.13/(1+0.13)</f>
      </c>
      <c r="AG100" s="605">
        <f>AC100-AF100</f>
      </c>
      <c r="AH100" s="605">
        <f>AC100*I100</f>
      </c>
      <c r="AI100" s="583">
        <f>ROUND(AG100*I100,-1)</f>
      </c>
    </row>
    <row r="101" ht="15.5" customHeight="1">
      <c r="A101" s="63" t="n"/>
      <c r="B101" s="56"/>
      <c r="C101" s="56"/>
      <c r="D101" s="59" t="n"/>
      <c r="E101" s="63" t="n"/>
      <c r="F101" s="24" t="n"/>
      <c r="G101" s="63"/>
      <c r="H101" s="21"/>
      <c r="I101" s="23"/>
      <c r="J101" s="558"/>
      <c r="K101" s="558"/>
      <c r="L101" s="539" t="n"/>
      <c r="M101" s="539" t="n"/>
      <c r="N101" s="539" t="n"/>
      <c r="O101" s="539" t="n"/>
      <c r="P101" s="539"/>
      <c r="Q101" s="539"/>
      <c r="R101" s="539">
        <f>AI101</f>
      </c>
      <c r="S101" s="23">
        <f>Y101*100</f>
      </c>
      <c r="T101" s="539">
        <f>ROUND(R101*S101/100,-1)</f>
      </c>
      <c r="U101" s="539">
        <f>IF(Q101=0,"",(T101-Q101)/Q101*100)</f>
      </c>
      <c r="V101" s="27" t="n"/>
      <c r="W101" s="601"/>
      <c r="X101" s="602">
        <f>($W$5-K101)/365</f>
      </c>
      <c r="Y101" s="127">
        <f>(W101-X101)/W101</f>
      </c>
      <c r="Z101" s="127"/>
      <c r="AA101" s="127">
        <f>Y101/2+Z101/2</f>
      </c>
      <c r="AB101" s="603">
        <f>P101/I101</f>
      </c>
      <c r="AC101" s="604">
        <f>AB101*AD101</f>
      </c>
      <c r="AD101" s="129"/>
      <c r="AE101" s="583" t="n"/>
      <c r="AF101" s="583">
        <f>AC101*0.13/(1+0.13)</f>
      </c>
      <c r="AG101" s="605">
        <f>AC101-AF101</f>
      </c>
      <c r="AH101" s="605">
        <f>AC101*I101</f>
      </c>
      <c r="AI101" s="583">
        <f>ROUND(AG101*I101,-1)</f>
      </c>
    </row>
    <row r="102" ht="15.5" customHeight="1">
      <c r="A102" s="63" t="n"/>
      <c r="B102" s="56"/>
      <c r="C102" s="56"/>
      <c r="D102" s="59" t="n"/>
      <c r="E102" s="63" t="n"/>
      <c r="F102" s="24" t="n"/>
      <c r="G102" s="63"/>
      <c r="H102" s="21"/>
      <c r="I102" s="23"/>
      <c r="J102" s="558"/>
      <c r="K102" s="558"/>
      <c r="L102" s="539" t="n"/>
      <c r="M102" s="539" t="n"/>
      <c r="N102" s="539" t="n"/>
      <c r="O102" s="539" t="n"/>
      <c r="P102" s="539"/>
      <c r="Q102" s="539"/>
      <c r="R102" s="539">
        <f>AI102</f>
      </c>
      <c r="S102" s="23">
        <f>Y102*100</f>
      </c>
      <c r="T102" s="539">
        <f>ROUND(R102*S102/100,-1)</f>
      </c>
      <c r="U102" s="539">
        <f>IF(Q102=0,"",(T102-Q102)/Q102*100)</f>
      </c>
      <c r="V102" s="27" t="n"/>
      <c r="W102" s="601"/>
      <c r="X102" s="602">
        <f>($W$5-K102)/365</f>
      </c>
      <c r="Y102" s="127">
        <f>(W102-X102)/W102</f>
      </c>
      <c r="Z102" s="127"/>
      <c r="AA102" s="127">
        <f>Y102/2+Z102/2</f>
      </c>
      <c r="AB102" s="603">
        <f>P102/I102</f>
      </c>
      <c r="AC102" s="604">
        <f>AB102*AD102</f>
      </c>
      <c r="AD102" s="129"/>
      <c r="AE102" s="583" t="n"/>
      <c r="AF102" s="583">
        <f>AC102*0.13/(1+0.13)</f>
      </c>
      <c r="AG102" s="605">
        <f>AC102-AF102</f>
      </c>
      <c r="AH102" s="605">
        <f>AC102*I102</f>
      </c>
      <c r="AI102" s="583">
        <f>ROUND(AG102*I102,-1)</f>
      </c>
    </row>
    <row r="103" ht="15.5" customHeight="1">
      <c r="A103" s="63" t="n"/>
      <c r="B103" s="56"/>
      <c r="C103" s="56"/>
      <c r="D103" s="59" t="n"/>
      <c r="E103" s="63" t="n"/>
      <c r="F103" s="24" t="n"/>
      <c r="G103" s="63"/>
      <c r="H103" s="21"/>
      <c r="I103" s="23"/>
      <c r="J103" s="558"/>
      <c r="K103" s="558"/>
      <c r="L103" s="539" t="n"/>
      <c r="M103" s="539" t="n"/>
      <c r="N103" s="539" t="n"/>
      <c r="O103" s="539" t="n"/>
      <c r="P103" s="539"/>
      <c r="Q103" s="539"/>
      <c r="R103" s="539">
        <f>AI103</f>
      </c>
      <c r="S103" s="23">
        <f>Y103*100</f>
      </c>
      <c r="T103" s="539">
        <f>ROUND(R103*S103/100,-1)</f>
      </c>
      <c r="U103" s="539">
        <f>IF(Q103=0,"",(T103-Q103)/Q103*100)</f>
      </c>
      <c r="V103" s="27" t="n"/>
      <c r="W103" s="601"/>
      <c r="X103" s="602">
        <f>($W$5-K103)/365</f>
      </c>
      <c r="Y103" s="127">
        <f>(W103-X103)/W103</f>
      </c>
      <c r="Z103" s="127"/>
      <c r="AA103" s="127">
        <f>Y103/2+Z103/2</f>
      </c>
      <c r="AB103" s="603">
        <f>P103/I103</f>
      </c>
      <c r="AC103" s="604">
        <f>AB103*AD103</f>
      </c>
      <c r="AD103" s="129"/>
      <c r="AE103" s="583" t="n"/>
      <c r="AF103" s="583">
        <f>AC103*0.13/(1+0.13)</f>
      </c>
      <c r="AG103" s="605">
        <f>AC103-AF103</f>
      </c>
      <c r="AH103" s="605">
        <f>AC103*I103</f>
      </c>
      <c r="AI103" s="583">
        <f>ROUND(AG103*I103,-1)</f>
      </c>
    </row>
    <row r="104" ht="15.5" customHeight="1">
      <c r="A104" s="63" t="n"/>
      <c r="B104" s="56"/>
      <c r="C104" s="56"/>
      <c r="D104" s="59" t="n"/>
      <c r="E104" s="63" t="n"/>
      <c r="F104" s="24" t="n"/>
      <c r="G104" s="63"/>
      <c r="H104" s="21"/>
      <c r="I104" s="23"/>
      <c r="J104" s="558"/>
      <c r="K104" s="558"/>
      <c r="L104" s="539" t="n"/>
      <c r="M104" s="539" t="n"/>
      <c r="N104" s="539" t="n"/>
      <c r="O104" s="539" t="n"/>
      <c r="P104" s="539"/>
      <c r="Q104" s="539"/>
      <c r="R104" s="539">
        <f>AI104</f>
      </c>
      <c r="S104" s="23">
        <f>Y104*100</f>
      </c>
      <c r="T104" s="539">
        <f>ROUND(R104*S104/100,-1)</f>
      </c>
      <c r="U104" s="539">
        <f>IF(Q104=0,"",(T104-Q104)/Q104*100)</f>
      </c>
      <c r="V104" s="27" t="n"/>
      <c r="W104" s="601"/>
      <c r="X104" s="602">
        <f>($W$5-K104)/365</f>
      </c>
      <c r="Y104" s="127">
        <f>(W104-X104)/W104</f>
      </c>
      <c r="Z104" s="127"/>
      <c r="AA104" s="127">
        <f>Y104/2+Z104/2</f>
      </c>
      <c r="AB104" s="603">
        <f>P104/I104</f>
      </c>
      <c r="AC104" s="604">
        <f>AB104*AD104</f>
      </c>
      <c r="AD104" s="129"/>
      <c r="AE104" s="583" t="n"/>
      <c r="AF104" s="583">
        <f>AC104*0.13/(1+0.13)</f>
      </c>
      <c r="AG104" s="605">
        <f>AC104-AF104</f>
      </c>
      <c r="AH104" s="605">
        <f>AC104*I104</f>
      </c>
      <c r="AI104" s="583">
        <f>ROUND(AG104*I104,-1)</f>
      </c>
    </row>
    <row r="105" ht="15.5" customHeight="1">
      <c r="A105" s="63" t="n"/>
      <c r="B105" s="56"/>
      <c r="C105" s="56"/>
      <c r="D105" s="59" t="n"/>
      <c r="E105" s="63" t="n"/>
      <c r="F105" s="24" t="n"/>
      <c r="G105" s="63"/>
      <c r="H105" s="21"/>
      <c r="I105" s="23"/>
      <c r="J105" s="558"/>
      <c r="K105" s="558"/>
      <c r="L105" s="539" t="n"/>
      <c r="M105" s="539" t="n"/>
      <c r="N105" s="539" t="n"/>
      <c r="O105" s="539" t="n"/>
      <c r="P105" s="539"/>
      <c r="Q105" s="539"/>
      <c r="R105" s="539">
        <f>AI105</f>
      </c>
      <c r="S105" s="23">
        <f>Y105*100</f>
      </c>
      <c r="T105" s="539">
        <f>ROUND(R105*S105/100,-1)</f>
      </c>
      <c r="U105" s="539">
        <f>IF(Q105=0,"",(T105-Q105)/Q105*100)</f>
      </c>
      <c r="V105" s="27" t="n"/>
      <c r="W105" s="601"/>
      <c r="X105" s="602">
        <f>($W$5-K105)/365</f>
      </c>
      <c r="Y105" s="127">
        <f>(W105-X105)/W105</f>
      </c>
      <c r="Z105" s="127"/>
      <c r="AA105" s="127">
        <f>Y105/2+Z105/2</f>
      </c>
      <c r="AB105" s="603">
        <f>P105/I105</f>
      </c>
      <c r="AC105" s="604">
        <f>AB105*AD105</f>
      </c>
      <c r="AD105" s="129"/>
      <c r="AE105" s="583" t="n"/>
      <c r="AF105" s="583">
        <f>AC105*0.13/(1+0.13)</f>
      </c>
      <c r="AG105" s="605">
        <f>AC105-AF105</f>
      </c>
      <c r="AH105" s="605">
        <f>AC105*I105</f>
      </c>
      <c r="AI105" s="583">
        <f>ROUND(AG105*I105,-1)</f>
      </c>
    </row>
    <row r="106" ht="15.5" customHeight="1">
      <c r="A106" s="63" t="n"/>
      <c r="B106" s="56"/>
      <c r="C106" s="56"/>
      <c r="D106" s="59" t="n"/>
      <c r="E106" s="63" t="n"/>
      <c r="F106" s="24" t="n"/>
      <c r="G106" s="63"/>
      <c r="H106" s="21"/>
      <c r="I106" s="23"/>
      <c r="J106" s="558"/>
      <c r="K106" s="558"/>
      <c r="L106" s="539" t="n"/>
      <c r="M106" s="539" t="n"/>
      <c r="N106" s="539" t="n"/>
      <c r="O106" s="539" t="n"/>
      <c r="P106" s="539"/>
      <c r="Q106" s="539"/>
      <c r="R106" s="539">
        <f>AI106</f>
      </c>
      <c r="S106" s="23">
        <f>Y106*100</f>
      </c>
      <c r="T106" s="539">
        <f>ROUND(R106*S106/100,-1)</f>
      </c>
      <c r="U106" s="539">
        <f>IF(Q106=0,"",(T106-Q106)/Q106*100)</f>
      </c>
      <c r="V106" s="27" t="n"/>
      <c r="W106" s="601"/>
      <c r="X106" s="602">
        <f>($W$5-K106)/365</f>
      </c>
      <c r="Y106" s="127">
        <f>(W106-X106)/W106</f>
      </c>
      <c r="Z106" s="127"/>
      <c r="AA106" s="127">
        <f>Y106/2+Z106/2</f>
      </c>
      <c r="AB106" s="603">
        <f>P106/I106</f>
      </c>
      <c r="AC106" s="604">
        <f>AB106*AD106</f>
      </c>
      <c r="AD106" s="129"/>
      <c r="AE106" s="583" t="n"/>
      <c r="AF106" s="583">
        <f>AC106*0.13/(1+0.13)</f>
      </c>
      <c r="AG106" s="605">
        <f>AC106-AF106</f>
      </c>
      <c r="AH106" s="605">
        <f>AC106*I106</f>
      </c>
      <c r="AI106" s="583">
        <f>ROUND(AG106*I106,-1)</f>
      </c>
    </row>
    <row r="107" ht="15.5" customHeight="1">
      <c r="A107" s="63" t="n"/>
      <c r="B107" s="56"/>
      <c r="C107" s="56"/>
      <c r="D107" s="59" t="n"/>
      <c r="E107" s="63" t="n"/>
      <c r="F107" s="24" t="n"/>
      <c r="G107" s="63"/>
      <c r="H107" s="21"/>
      <c r="I107" s="23"/>
      <c r="J107" s="558"/>
      <c r="K107" s="558"/>
      <c r="L107" s="539" t="n"/>
      <c r="M107" s="539" t="n"/>
      <c r="N107" s="539" t="n"/>
      <c r="O107" s="539" t="n"/>
      <c r="P107" s="539"/>
      <c r="Q107" s="539"/>
      <c r="R107" s="539">
        <f>AI107</f>
      </c>
      <c r="S107" s="23">
        <f>Y107*100</f>
      </c>
      <c r="T107" s="539">
        <f>ROUND(R107*S107/100,-1)</f>
      </c>
      <c r="U107" s="539">
        <f>IF(Q107=0,"",(T107-Q107)/Q107*100)</f>
      </c>
      <c r="V107" s="27" t="n"/>
      <c r="W107" s="601"/>
      <c r="X107" s="602">
        <f>($W$5-K107)/365</f>
      </c>
      <c r="Y107" s="127">
        <f>(W107-X107)/W107</f>
      </c>
      <c r="Z107" s="127"/>
      <c r="AA107" s="127">
        <f>Y107/2+Z107/2</f>
      </c>
      <c r="AB107" s="603">
        <f>P107/I107</f>
      </c>
      <c r="AC107" s="604">
        <f>AB107*AD107</f>
      </c>
      <c r="AD107" s="129"/>
      <c r="AE107" s="583" t="n"/>
      <c r="AF107" s="583">
        <f>AC107*0.13/(1+0.13)</f>
      </c>
      <c r="AG107" s="605">
        <f>AC107-AF107</f>
      </c>
      <c r="AH107" s="605">
        <f>AC107*I107</f>
      </c>
      <c r="AI107" s="583">
        <f>ROUND(AG107*I107,-1)</f>
      </c>
    </row>
    <row r="108" ht="15.5" customHeight="1">
      <c r="A108" s="63" t="n"/>
      <c r="B108" s="56"/>
      <c r="C108" s="56"/>
      <c r="D108" s="59" t="n"/>
      <c r="E108" s="63" t="n"/>
      <c r="F108" s="24" t="n"/>
      <c r="G108" s="63"/>
      <c r="H108" s="21"/>
      <c r="I108" s="23"/>
      <c r="J108" s="558"/>
      <c r="K108" s="558"/>
      <c r="L108" s="539" t="n"/>
      <c r="M108" s="539" t="n"/>
      <c r="N108" s="539" t="n"/>
      <c r="O108" s="539" t="n"/>
      <c r="P108" s="539"/>
      <c r="Q108" s="539"/>
      <c r="R108" s="539">
        <f>AI108</f>
      </c>
      <c r="S108" s="23">
        <f>Y108*100</f>
      </c>
      <c r="T108" s="539">
        <f>ROUND(R108*S108/100,-1)</f>
      </c>
      <c r="U108" s="539">
        <f>IF(Q108=0,"",(T108-Q108)/Q108*100)</f>
      </c>
      <c r="V108" s="27" t="n"/>
      <c r="W108" s="601"/>
      <c r="X108" s="602">
        <f>($W$5-K108)/365</f>
      </c>
      <c r="Y108" s="127">
        <f>(W108-X108)/W108</f>
      </c>
      <c r="Z108" s="127"/>
      <c r="AA108" s="127">
        <f>Y108/2+Z108/2</f>
      </c>
      <c r="AB108" s="603">
        <f>P108/I108</f>
      </c>
      <c r="AC108" s="604">
        <f>AB108*AD108</f>
      </c>
      <c r="AD108" s="129"/>
      <c r="AE108" s="583" t="n"/>
      <c r="AF108" s="583">
        <f>AC108*0.13/(1+0.13)</f>
      </c>
      <c r="AG108" s="605">
        <f>AC108-AF108</f>
      </c>
      <c r="AH108" s="605">
        <f>AC108*I108</f>
      </c>
      <c r="AI108" s="583">
        <f>ROUND(AG108*I108,-1)</f>
      </c>
    </row>
    <row r="109" ht="15.5" customHeight="1">
      <c r="A109" s="63" t="n"/>
      <c r="B109" s="56"/>
      <c r="C109" s="56"/>
      <c r="D109" s="59" t="n"/>
      <c r="E109" s="63" t="n"/>
      <c r="F109" s="24" t="n"/>
      <c r="G109" s="63"/>
      <c r="H109" s="21"/>
      <c r="I109" s="23"/>
      <c r="J109" s="558"/>
      <c r="K109" s="558"/>
      <c r="L109" s="539" t="n"/>
      <c r="M109" s="539" t="n"/>
      <c r="N109" s="539" t="n"/>
      <c r="O109" s="539" t="n"/>
      <c r="P109" s="539"/>
      <c r="Q109" s="539"/>
      <c r="R109" s="539">
        <f>AI109</f>
      </c>
      <c r="S109" s="23">
        <f>Y109*100</f>
      </c>
      <c r="T109" s="539">
        <f>ROUND(R109*S109/100,-1)</f>
      </c>
      <c r="U109" s="539">
        <f>IF(Q109=0,"",(T109-Q109)/Q109*100)</f>
      </c>
      <c r="V109" s="27" t="n"/>
      <c r="W109" s="601"/>
      <c r="X109" s="602">
        <f>($W$5-K109)/365</f>
      </c>
      <c r="Y109" s="127">
        <f>(W109-X109)/W109</f>
      </c>
      <c r="Z109" s="127"/>
      <c r="AA109" s="127">
        <f>Y109/2+Z109/2</f>
      </c>
      <c r="AB109" s="603">
        <f>P109/I109</f>
      </c>
      <c r="AC109" s="604">
        <f>AB109*AD109</f>
      </c>
      <c r="AD109" s="129"/>
      <c r="AE109" s="583" t="n"/>
      <c r="AF109" s="583">
        <f>AC109*0.13/(1+0.13)</f>
      </c>
      <c r="AG109" s="605">
        <f>AC109-AF109</f>
      </c>
      <c r="AH109" s="605">
        <f>AC109*I109</f>
      </c>
      <c r="AI109" s="583">
        <f>ROUND(AG109*I109,-1)</f>
      </c>
    </row>
    <row r="110" ht="15.5" customHeight="1">
      <c r="A110" s="63" t="n"/>
      <c r="B110" s="56"/>
      <c r="C110" s="56"/>
      <c r="D110" s="59" t="n"/>
      <c r="E110" s="63" t="n"/>
      <c r="F110" s="24" t="n"/>
      <c r="G110" s="63"/>
      <c r="H110" s="21"/>
      <c r="I110" s="23"/>
      <c r="J110" s="558"/>
      <c r="K110" s="558"/>
      <c r="L110" s="539" t="n"/>
      <c r="M110" s="539" t="n"/>
      <c r="N110" s="539" t="n"/>
      <c r="O110" s="539" t="n"/>
      <c r="P110" s="539"/>
      <c r="Q110" s="539"/>
      <c r="R110" s="539">
        <f>AI110</f>
      </c>
      <c r="S110" s="23">
        <f>Y110*100</f>
      </c>
      <c r="T110" s="539">
        <f>ROUND(R110*S110/100,-1)</f>
      </c>
      <c r="U110" s="539">
        <f>IF(Q110=0,"",(T110-Q110)/Q110*100)</f>
      </c>
      <c r="V110" s="27" t="n"/>
      <c r="W110" s="601"/>
      <c r="X110" s="602">
        <f>($W$5-K110)/365</f>
      </c>
      <c r="Y110" s="127">
        <f>(W110-X110)/W110</f>
      </c>
      <c r="Z110" s="127"/>
      <c r="AA110" s="127">
        <f>Y110/2+Z110/2</f>
      </c>
      <c r="AB110" s="603">
        <f>P110/I110</f>
      </c>
      <c r="AC110" s="604">
        <f>AB110*AD110</f>
      </c>
      <c r="AD110" s="129"/>
      <c r="AE110" s="583" t="n"/>
      <c r="AF110" s="583">
        <f>AC110*0.13/(1+0.13)</f>
      </c>
      <c r="AG110" s="605">
        <f>AC110-AF110</f>
      </c>
      <c r="AH110" s="605">
        <f>AC110*I110</f>
      </c>
      <c r="AI110" s="583">
        <f>ROUND(AG110*I110,-1)</f>
      </c>
    </row>
    <row r="111" ht="15.5" customHeight="1">
      <c r="A111" s="63" t="n"/>
      <c r="B111" s="56"/>
      <c r="C111" s="56"/>
      <c r="D111" s="59" t="n"/>
      <c r="E111" s="63" t="n"/>
      <c r="F111" s="24" t="n"/>
      <c r="G111" s="63"/>
      <c r="H111" s="21"/>
      <c r="I111" s="23"/>
      <c r="J111" s="558"/>
      <c r="K111" s="558"/>
      <c r="L111" s="539" t="n"/>
      <c r="M111" s="539" t="n"/>
      <c r="N111" s="539" t="n"/>
      <c r="O111" s="539" t="n"/>
      <c r="P111" s="539"/>
      <c r="Q111" s="539"/>
      <c r="R111" s="539">
        <f>AI111</f>
      </c>
      <c r="S111" s="23">
        <f>Y111*100</f>
      </c>
      <c r="T111" s="539">
        <f>ROUND(R111*S111/100,-1)</f>
      </c>
      <c r="U111" s="539">
        <f>IF(Q111=0,"",(T111-Q111)/Q111*100)</f>
      </c>
      <c r="V111" s="27" t="n"/>
      <c r="W111" s="601"/>
      <c r="X111" s="602">
        <f>($W$5-K111)/365</f>
      </c>
      <c r="Y111" s="127">
        <f>(W111-X111)/W111</f>
      </c>
      <c r="Z111" s="127"/>
      <c r="AA111" s="127">
        <f>Y111/2+Z111/2</f>
      </c>
      <c r="AB111" s="603">
        <f>P111/I111</f>
      </c>
      <c r="AC111" s="604">
        <f>AB111*AD111</f>
      </c>
      <c r="AD111" s="129"/>
      <c r="AE111" s="583" t="n"/>
      <c r="AF111" s="583">
        <f>AC111*0.13/(1+0.13)</f>
      </c>
      <c r="AG111" s="605">
        <f>AC111-AF111</f>
      </c>
      <c r="AH111" s="605">
        <f>AC111*I111</f>
      </c>
      <c r="AI111" s="583">
        <f>ROUND(AG111*I111,-1)</f>
      </c>
    </row>
    <row r="112" ht="15.5" customHeight="1">
      <c r="A112" s="63" t="n"/>
      <c r="B112" s="56"/>
      <c r="C112" s="56"/>
      <c r="D112" s="59" t="n"/>
      <c r="E112" s="63" t="n"/>
      <c r="F112" s="24" t="n"/>
      <c r="G112" s="63"/>
      <c r="H112" s="21"/>
      <c r="I112" s="23"/>
      <c r="J112" s="558"/>
      <c r="K112" s="558"/>
      <c r="L112" s="539" t="n"/>
      <c r="M112" s="539" t="n"/>
      <c r="N112" s="539" t="n"/>
      <c r="O112" s="539" t="n"/>
      <c r="P112" s="539"/>
      <c r="Q112" s="539"/>
      <c r="R112" s="539">
        <f>AI112</f>
      </c>
      <c r="S112" s="23">
        <f>Y112*100</f>
      </c>
      <c r="T112" s="539">
        <f>ROUND(R112*S112/100,-1)</f>
      </c>
      <c r="U112" s="539">
        <f>IF(Q112=0,"",(T112-Q112)/Q112*100)</f>
      </c>
      <c r="V112" s="27" t="n"/>
      <c r="W112" s="601"/>
      <c r="X112" s="602">
        <f>($W$5-K112)/365</f>
      </c>
      <c r="Y112" s="127">
        <f>(W112-X112)/W112</f>
      </c>
      <c r="Z112" s="127"/>
      <c r="AA112" s="127">
        <f>Y112/2+Z112/2</f>
      </c>
      <c r="AB112" s="603">
        <f>P112/I112</f>
      </c>
      <c r="AC112" s="604">
        <f>AB112*AD112</f>
      </c>
      <c r="AD112" s="129"/>
      <c r="AE112" s="583" t="n"/>
      <c r="AF112" s="583">
        <f>AC112*0.13/(1+0.13)</f>
      </c>
      <c r="AG112" s="605">
        <f>AC112-AF112</f>
      </c>
      <c r="AH112" s="605">
        <f>AC112*I112</f>
      </c>
      <c r="AI112" s="583">
        <f>ROUND(AG112*I112,-1)</f>
      </c>
    </row>
    <row r="113" ht="15.5" customHeight="1">
      <c r="A113" s="63" t="n"/>
      <c r="B113" s="56"/>
      <c r="C113" s="56"/>
      <c r="D113" s="59" t="n"/>
      <c r="E113" s="63" t="n"/>
      <c r="F113" s="24" t="n"/>
      <c r="G113" s="63"/>
      <c r="H113" s="21"/>
      <c r="I113" s="23"/>
      <c r="J113" s="558"/>
      <c r="K113" s="558"/>
      <c r="L113" s="539" t="n"/>
      <c r="M113" s="539" t="n"/>
      <c r="N113" s="539" t="n"/>
      <c r="O113" s="539" t="n"/>
      <c r="P113" s="539"/>
      <c r="Q113" s="539"/>
      <c r="R113" s="539">
        <f>AI113</f>
      </c>
      <c r="S113" s="23">
        <f>Y113*100</f>
      </c>
      <c r="T113" s="539">
        <f>ROUND(R113*S113/100,-1)</f>
      </c>
      <c r="U113" s="539">
        <f>IF(Q113=0,"",(T113-Q113)/Q113*100)</f>
      </c>
      <c r="V113" s="27" t="n"/>
      <c r="W113" s="601"/>
      <c r="X113" s="602">
        <f>($W$5-K113)/365</f>
      </c>
      <c r="Y113" s="127">
        <f>(W113-X113)/W113</f>
      </c>
      <c r="Z113" s="127"/>
      <c r="AA113" s="127">
        <f>Y113/2+Z113/2</f>
      </c>
      <c r="AB113" s="603">
        <f>P113/I113</f>
      </c>
      <c r="AC113" s="604">
        <f>AB113*AD113</f>
      </c>
      <c r="AD113" s="129"/>
      <c r="AE113" s="583" t="n"/>
      <c r="AF113" s="583">
        <f>AC113*0.13/(1+0.13)</f>
      </c>
      <c r="AG113" s="605">
        <f>AC113-AF113</f>
      </c>
      <c r="AH113" s="605">
        <f>AC113*I113</f>
      </c>
      <c r="AI113" s="583">
        <f>ROUND(AG113*I113,-1)</f>
      </c>
    </row>
    <row r="114" ht="15.5" customHeight="1">
      <c r="A114" s="63" t="n"/>
      <c r="B114" s="56"/>
      <c r="C114" s="56"/>
      <c r="D114" s="59" t="n"/>
      <c r="E114" s="63" t="n"/>
      <c r="F114" s="24" t="n"/>
      <c r="G114" s="63"/>
      <c r="H114" s="21"/>
      <c r="I114" s="23"/>
      <c r="J114" s="558"/>
      <c r="K114" s="558"/>
      <c r="L114" s="539" t="n"/>
      <c r="M114" s="539" t="n"/>
      <c r="N114" s="539" t="n"/>
      <c r="O114" s="539" t="n"/>
      <c r="P114" s="539"/>
      <c r="Q114" s="539"/>
      <c r="R114" s="539">
        <f>AI114</f>
      </c>
      <c r="S114" s="23">
        <f>Y114*100</f>
      </c>
      <c r="T114" s="539">
        <f>ROUND(R114*S114/100,-1)</f>
      </c>
      <c r="U114" s="539">
        <f>IF(Q114=0,"",(T114-Q114)/Q114*100)</f>
      </c>
      <c r="V114" s="27" t="n"/>
      <c r="W114" s="601"/>
      <c r="X114" s="602">
        <f>($W$5-K114)/365</f>
      </c>
      <c r="Y114" s="127">
        <f>(W114-X114)/W114</f>
      </c>
      <c r="Z114" s="127"/>
      <c r="AA114" s="127">
        <f>Y114/2+Z114/2</f>
      </c>
      <c r="AB114" s="603">
        <f>P114/I114</f>
      </c>
      <c r="AC114" s="604">
        <f>AB114*AD114</f>
      </c>
      <c r="AD114" s="129"/>
      <c r="AE114" s="583" t="n"/>
      <c r="AF114" s="583">
        <f>AC114*0.13/(1+0.13)</f>
      </c>
      <c r="AG114" s="605">
        <f>AC114-AF114</f>
      </c>
      <c r="AH114" s="605">
        <f>AC114*I114</f>
      </c>
      <c r="AI114" s="583">
        <f>ROUND(AG114*I114,-1)</f>
      </c>
    </row>
    <row r="115" ht="15.5" customHeight="1">
      <c r="A115" s="63" t="n"/>
      <c r="B115" s="56"/>
      <c r="C115" s="56"/>
      <c r="D115" s="59" t="n"/>
      <c r="E115" s="63" t="n"/>
      <c r="F115" s="24" t="n"/>
      <c r="G115" s="63"/>
      <c r="H115" s="21"/>
      <c r="I115" s="23"/>
      <c r="J115" s="558"/>
      <c r="K115" s="558"/>
      <c r="L115" s="539" t="n"/>
      <c r="M115" s="539" t="n"/>
      <c r="N115" s="539" t="n"/>
      <c r="O115" s="539" t="n"/>
      <c r="P115" s="539"/>
      <c r="Q115" s="539"/>
      <c r="R115" s="539">
        <f>AI115</f>
      </c>
      <c r="S115" s="23">
        <f>Y115*100</f>
      </c>
      <c r="T115" s="539">
        <f>ROUND(R115*S115/100,-1)</f>
      </c>
      <c r="U115" s="539">
        <f>IF(Q115=0,"",(T115-Q115)/Q115*100)</f>
      </c>
      <c r="V115" s="27" t="n"/>
      <c r="W115" s="601"/>
      <c r="X115" s="602">
        <f>($W$5-K115)/365</f>
      </c>
      <c r="Y115" s="127">
        <f>(W115-X115)/W115</f>
      </c>
      <c r="Z115" s="127"/>
      <c r="AA115" s="127">
        <f>Y115/2+Z115/2</f>
      </c>
      <c r="AB115" s="603">
        <f>P115/I115</f>
      </c>
      <c r="AC115" s="604">
        <f>AB115*AD115</f>
      </c>
      <c r="AD115" s="129"/>
      <c r="AE115" s="583" t="n"/>
      <c r="AF115" s="583">
        <f>AC115*0.13/(1+0.13)</f>
      </c>
      <c r="AG115" s="605">
        <f>AC115-AF115</f>
      </c>
      <c r="AH115" s="605">
        <f>AC115*I115</f>
      </c>
      <c r="AI115" s="583">
        <f>ROUND(AG115*I115,-1)</f>
      </c>
    </row>
    <row r="116" ht="15.5" customHeight="1">
      <c r="A116" s="63" t="n"/>
      <c r="B116" s="56"/>
      <c r="C116" s="56"/>
      <c r="D116" s="59" t="n"/>
      <c r="E116" s="63" t="n"/>
      <c r="F116" s="24" t="n"/>
      <c r="G116" s="63"/>
      <c r="H116" s="21"/>
      <c r="I116" s="23"/>
      <c r="J116" s="558"/>
      <c r="K116" s="558"/>
      <c r="L116" s="539" t="n"/>
      <c r="M116" s="539" t="n"/>
      <c r="N116" s="539" t="n"/>
      <c r="O116" s="539" t="n"/>
      <c r="P116" s="539"/>
      <c r="Q116" s="539"/>
      <c r="R116" s="539">
        <f>AI116</f>
      </c>
      <c r="S116" s="23">
        <f>Y116*100</f>
      </c>
      <c r="T116" s="539">
        <f>ROUND(R116*S116/100,-1)</f>
      </c>
      <c r="U116" s="539">
        <f>IF(Q116=0,"",(T116-Q116)/Q116*100)</f>
      </c>
      <c r="V116" s="27" t="n"/>
      <c r="W116" s="601"/>
      <c r="X116" s="602">
        <f>($W$5-K116)/365</f>
      </c>
      <c r="Y116" s="127">
        <f>(W116-X116)/W116</f>
      </c>
      <c r="Z116" s="127"/>
      <c r="AA116" s="127">
        <f>Y116/2+Z116/2</f>
      </c>
      <c r="AB116" s="603">
        <f>P116/I116</f>
      </c>
      <c r="AC116" s="604">
        <f>AB116*AD116</f>
      </c>
      <c r="AD116" s="129"/>
      <c r="AE116" s="583" t="n"/>
      <c r="AF116" s="583">
        <f>AC116*0.13/(1+0.13)</f>
      </c>
      <c r="AG116" s="605">
        <f>AC116-AF116</f>
      </c>
      <c r="AH116" s="605">
        <f>AC116*I116</f>
      </c>
      <c r="AI116" s="583">
        <f>ROUND(AG116*I116,-1)</f>
      </c>
    </row>
    <row r="117" ht="15.5" customHeight="1">
      <c r="A117" s="63" t="n"/>
      <c r="B117" s="56"/>
      <c r="C117" s="56"/>
      <c r="D117" s="59" t="n"/>
      <c r="E117" s="63" t="n"/>
      <c r="F117" s="24" t="n"/>
      <c r="G117" s="63"/>
      <c r="H117" s="21"/>
      <c r="I117" s="23"/>
      <c r="J117" s="558"/>
      <c r="K117" s="558"/>
      <c r="L117" s="539" t="n"/>
      <c r="M117" s="539" t="n"/>
      <c r="N117" s="539" t="n"/>
      <c r="O117" s="539" t="n"/>
      <c r="P117" s="539"/>
      <c r="Q117" s="539"/>
      <c r="R117" s="539">
        <f>AI117</f>
      </c>
      <c r="S117" s="23">
        <f>Y117*100</f>
      </c>
      <c r="T117" s="539">
        <f>ROUND(R117*S117/100,-1)</f>
      </c>
      <c r="U117" s="539">
        <f>IF(Q117=0,"",(T117-Q117)/Q117*100)</f>
      </c>
      <c r="V117" s="27" t="n"/>
      <c r="W117" s="601"/>
      <c r="X117" s="602">
        <f>($W$5-K117)/365</f>
      </c>
      <c r="Y117" s="127">
        <f>(W117-X117)/W117</f>
      </c>
      <c r="Z117" s="127"/>
      <c r="AA117" s="127">
        <f>Y117/2+Z117/2</f>
      </c>
      <c r="AB117" s="603">
        <f>P117/I117</f>
      </c>
      <c r="AC117" s="604">
        <f>AB117*AD117</f>
      </c>
      <c r="AD117" s="129"/>
      <c r="AE117" s="583" t="n"/>
      <c r="AF117" s="583">
        <f>AC117*0.13/(1+0.13)</f>
      </c>
      <c r="AG117" s="605">
        <f>AC117-AF117</f>
      </c>
      <c r="AH117" s="605">
        <f>AC117*I117</f>
      </c>
      <c r="AI117" s="583">
        <f>ROUND(AG117*I117,-1)</f>
      </c>
    </row>
    <row r="118" ht="15.5" customHeight="1">
      <c r="A118" s="63" t="n"/>
      <c r="B118" s="56"/>
      <c r="C118" s="56"/>
      <c r="D118" s="59" t="n"/>
      <c r="E118" s="63" t="n"/>
      <c r="F118" s="24" t="n"/>
      <c r="G118" s="63"/>
      <c r="H118" s="21"/>
      <c r="I118" s="23"/>
      <c r="J118" s="558"/>
      <c r="K118" s="558"/>
      <c r="L118" s="539" t="n"/>
      <c r="M118" s="539" t="n"/>
      <c r="N118" s="539" t="n"/>
      <c r="O118" s="539" t="n"/>
      <c r="P118" s="539"/>
      <c r="Q118" s="539"/>
      <c r="R118" s="539">
        <f>AI118</f>
      </c>
      <c r="S118" s="23">
        <f>Y118*100</f>
      </c>
      <c r="T118" s="539">
        <f>ROUND(R118*S118/100,-1)</f>
      </c>
      <c r="U118" s="539">
        <f>IF(Q118=0,"",(T118-Q118)/Q118*100)</f>
      </c>
      <c r="V118" s="27" t="n"/>
      <c r="W118" s="601"/>
      <c r="X118" s="602">
        <f>($W$5-K118)/365</f>
      </c>
      <c r="Y118" s="127">
        <f>(W118-X118)/W118</f>
      </c>
      <c r="Z118" s="127"/>
      <c r="AA118" s="127">
        <f>Y118/2+Z118/2</f>
      </c>
      <c r="AB118" s="603">
        <f>P118/I118</f>
      </c>
      <c r="AC118" s="604">
        <f>AB118*AD118</f>
      </c>
      <c r="AD118" s="129"/>
      <c r="AE118" s="583" t="n"/>
      <c r="AF118" s="583">
        <f>AC118*0.13/(1+0.13)</f>
      </c>
      <c r="AG118" s="605">
        <f>AC118-AF118</f>
      </c>
      <c r="AH118" s="605">
        <f>AC118*I118</f>
      </c>
      <c r="AI118" s="583">
        <f>ROUND(AG118*I118,-1)</f>
      </c>
    </row>
    <row r="119" ht="15.5" customHeight="1">
      <c r="A119" s="63" t="n"/>
      <c r="B119" s="56"/>
      <c r="C119" s="56"/>
      <c r="D119" s="59" t="n"/>
      <c r="E119" s="63" t="n"/>
      <c r="F119" s="24" t="n"/>
      <c r="G119" s="63"/>
      <c r="H119" s="21"/>
      <c r="I119" s="23"/>
      <c r="J119" s="558"/>
      <c r="K119" s="558"/>
      <c r="L119" s="539" t="n"/>
      <c r="M119" s="539" t="n"/>
      <c r="N119" s="539" t="n"/>
      <c r="O119" s="539" t="n"/>
      <c r="P119" s="539"/>
      <c r="Q119" s="539"/>
      <c r="R119" s="539">
        <f>AI119</f>
      </c>
      <c r="S119" s="23">
        <f>Y119*100</f>
      </c>
      <c r="T119" s="539">
        <f>ROUND(R119*S119/100,-1)</f>
      </c>
      <c r="U119" s="539">
        <f>IF(Q119=0,"",(T119-Q119)/Q119*100)</f>
      </c>
      <c r="V119" s="27" t="n"/>
      <c r="W119" s="601"/>
      <c r="X119" s="602">
        <f>($W$5-K119)/365</f>
      </c>
      <c r="Y119" s="127">
        <f>(W119-X119)/W119</f>
      </c>
      <c r="Z119" s="127"/>
      <c r="AA119" s="127">
        <f>Y119/2+Z119/2</f>
      </c>
      <c r="AB119" s="603">
        <f>P119/I119</f>
      </c>
      <c r="AC119" s="604">
        <f>AB119*AD119</f>
      </c>
      <c r="AD119" s="129"/>
      <c r="AE119" s="583" t="n"/>
      <c r="AF119" s="583">
        <f>AC119*0.13/(1+0.13)</f>
      </c>
      <c r="AG119" s="605">
        <f>AC119-AF119</f>
      </c>
      <c r="AH119" s="605">
        <f>AC119*I119</f>
      </c>
      <c r="AI119" s="583">
        <f>ROUND(AG119*I119,-1)</f>
      </c>
    </row>
    <row r="120" ht="15.5" customHeight="1">
      <c r="A120" s="63" t="n"/>
      <c r="B120" s="56"/>
      <c r="C120" s="56"/>
      <c r="D120" s="59" t="n"/>
      <c r="E120" s="63" t="n"/>
      <c r="F120" s="24" t="n"/>
      <c r="G120" s="63"/>
      <c r="H120" s="21"/>
      <c r="I120" s="23"/>
      <c r="J120" s="558"/>
      <c r="K120" s="558"/>
      <c r="L120" s="539" t="n"/>
      <c r="M120" s="539" t="n"/>
      <c r="N120" s="539" t="n"/>
      <c r="O120" s="539" t="n"/>
      <c r="P120" s="539"/>
      <c r="Q120" s="539"/>
      <c r="R120" s="539">
        <f>AI120</f>
      </c>
      <c r="S120" s="23">
        <f>Y120*100</f>
      </c>
      <c r="T120" s="539">
        <f>ROUND(R120*S120/100,-1)</f>
      </c>
      <c r="U120" s="539">
        <f>IF(Q120=0,"",(T120-Q120)/Q120*100)</f>
      </c>
      <c r="V120" s="27" t="n"/>
      <c r="W120" s="601"/>
      <c r="X120" s="602">
        <f>($W$5-K120)/365</f>
      </c>
      <c r="Y120" s="127">
        <f>(W120-X120)/W120</f>
      </c>
      <c r="Z120" s="127"/>
      <c r="AA120" s="127">
        <f>Y120/2+Z120/2</f>
      </c>
      <c r="AB120" s="603">
        <f>P120/I120</f>
      </c>
      <c r="AC120" s="604">
        <f>AB120*AD120</f>
      </c>
      <c r="AD120" s="129"/>
      <c r="AE120" s="583" t="n"/>
      <c r="AF120" s="583">
        <f>AC120*0.13/(1+0.13)</f>
      </c>
      <c r="AG120" s="605">
        <f>AC120-AF120</f>
      </c>
      <c r="AH120" s="605">
        <f>AC120*I120</f>
      </c>
      <c r="AI120" s="583">
        <f>ROUND(AG120*I120,-1)</f>
      </c>
    </row>
    <row r="121" ht="15.5" customHeight="1">
      <c r="A121" s="63" t="n"/>
      <c r="B121" s="56"/>
      <c r="C121" s="56"/>
      <c r="D121" s="59" t="n"/>
      <c r="E121" s="63" t="n"/>
      <c r="F121" s="24" t="n"/>
      <c r="G121" s="63"/>
      <c r="H121" s="21"/>
      <c r="I121" s="23"/>
      <c r="J121" s="558"/>
      <c r="K121" s="558"/>
      <c r="L121" s="539" t="n"/>
      <c r="M121" s="539" t="n"/>
      <c r="N121" s="539" t="n"/>
      <c r="O121" s="539" t="n"/>
      <c r="P121" s="539"/>
      <c r="Q121" s="539"/>
      <c r="R121" s="539">
        <f>AI121</f>
      </c>
      <c r="S121" s="23">
        <f>Y121*100</f>
      </c>
      <c r="T121" s="539">
        <f>ROUND(R121*S121/100,-1)</f>
      </c>
      <c r="U121" s="539">
        <f>IF(Q121=0,"",(T121-Q121)/Q121*100)</f>
      </c>
      <c r="V121" s="27" t="n"/>
      <c r="W121" s="601"/>
      <c r="X121" s="602">
        <f>($W$5-K121)/365</f>
      </c>
      <c r="Y121" s="127">
        <f>(W121-X121)/W121</f>
      </c>
      <c r="Z121" s="127"/>
      <c r="AA121" s="127">
        <f>Y121/2+Z121/2</f>
      </c>
      <c r="AB121" s="603">
        <f>P121/I121</f>
      </c>
      <c r="AC121" s="604">
        <f>AB121*AD121</f>
      </c>
      <c r="AD121" s="129"/>
      <c r="AE121" s="583" t="n"/>
      <c r="AF121" s="583">
        <f>AC121*0.13/(1+0.13)</f>
      </c>
      <c r="AG121" s="605">
        <f>AC121-AF121</f>
      </c>
      <c r="AH121" s="605">
        <f>AC121*I121</f>
      </c>
      <c r="AI121" s="583">
        <f>ROUND(AG121*I121,-1)</f>
      </c>
    </row>
    <row r="122" ht="15.5" customHeight="1">
      <c r="A122" s="63" t="n"/>
      <c r="B122" s="56"/>
      <c r="C122" s="56"/>
      <c r="D122" s="59" t="n"/>
      <c r="E122" s="63" t="n"/>
      <c r="F122" s="24" t="n"/>
      <c r="G122" s="63"/>
      <c r="H122" s="21"/>
      <c r="I122" s="23"/>
      <c r="J122" s="558"/>
      <c r="K122" s="558"/>
      <c r="L122" s="539" t="n"/>
      <c r="M122" s="539" t="n"/>
      <c r="N122" s="539" t="n"/>
      <c r="O122" s="539" t="n"/>
      <c r="P122" s="539"/>
      <c r="Q122" s="539"/>
      <c r="R122" s="539">
        <f>AI122</f>
      </c>
      <c r="S122" s="23">
        <f>Y122*100</f>
      </c>
      <c r="T122" s="539">
        <f>ROUND(R122*S122/100,-1)</f>
      </c>
      <c r="U122" s="539">
        <f>IF(Q122=0,"",(T122-Q122)/Q122*100)</f>
      </c>
      <c r="V122" s="27" t="n"/>
      <c r="W122" s="601"/>
      <c r="X122" s="602">
        <f>($W$5-K122)/365</f>
      </c>
      <c r="Y122" s="127">
        <f>(W122-X122)/W122</f>
      </c>
      <c r="Z122" s="127"/>
      <c r="AA122" s="127">
        <f>Y122/2+Z122/2</f>
      </c>
      <c r="AB122" s="603">
        <f>P122/I122</f>
      </c>
      <c r="AC122" s="604">
        <f>AB122*AD122</f>
      </c>
      <c r="AD122" s="129"/>
      <c r="AE122" s="583" t="n"/>
      <c r="AF122" s="583">
        <f>AC122*0.13/(1+0.13)</f>
      </c>
      <c r="AG122" s="605">
        <f>AC122-AF122</f>
      </c>
      <c r="AH122" s="605">
        <f>AC122*I122</f>
      </c>
      <c r="AI122" s="583">
        <f>ROUND(AG122*I122,-1)</f>
      </c>
    </row>
    <row r="123" ht="15.5" customHeight="1">
      <c r="A123" s="63" t="n"/>
      <c r="B123" s="56"/>
      <c r="C123" s="56"/>
      <c r="D123" s="59" t="n"/>
      <c r="E123" s="63" t="n"/>
      <c r="F123" s="24" t="n"/>
      <c r="G123" s="63"/>
      <c r="H123" s="21"/>
      <c r="I123" s="23"/>
      <c r="J123" s="558"/>
      <c r="K123" s="558"/>
      <c r="L123" s="539" t="n"/>
      <c r="M123" s="539" t="n"/>
      <c r="N123" s="539" t="n"/>
      <c r="O123" s="539" t="n"/>
      <c r="P123" s="539"/>
      <c r="Q123" s="539"/>
      <c r="R123" s="539">
        <f>AI123</f>
      </c>
      <c r="S123" s="23">
        <f>Y123*100</f>
      </c>
      <c r="T123" s="539">
        <f>ROUND(R123*S123/100,-1)</f>
      </c>
      <c r="U123" s="539">
        <f>IF(Q123=0,"",(T123-Q123)/Q123*100)</f>
      </c>
      <c r="V123" s="27" t="n"/>
      <c r="W123" s="601"/>
      <c r="X123" s="602">
        <f>($W$5-K123)/365</f>
      </c>
      <c r="Y123" s="127">
        <f>(W123-X123)/W123</f>
      </c>
      <c r="Z123" s="127"/>
      <c r="AA123" s="127">
        <f>Y123/2+Z123/2</f>
      </c>
      <c r="AB123" s="603">
        <f>P123/I123</f>
      </c>
      <c r="AC123" s="604">
        <f>AB123*AD123</f>
      </c>
      <c r="AD123" s="129"/>
      <c r="AE123" s="583" t="n"/>
      <c r="AF123" s="583">
        <f>AC123*0.13/(1+0.13)</f>
      </c>
      <c r="AG123" s="605">
        <f>AC123-AF123</f>
      </c>
      <c r="AH123" s="605">
        <f>AC123*I123</f>
      </c>
      <c r="AI123" s="583">
        <f>ROUND(AG123*I123,-1)</f>
      </c>
    </row>
    <row r="124" ht="15.5" customHeight="1">
      <c r="A124" s="63" t="n"/>
      <c r="B124" s="56"/>
      <c r="C124" s="56"/>
      <c r="D124" s="59" t="n"/>
      <c r="E124" s="63" t="n"/>
      <c r="F124" s="24" t="n"/>
      <c r="G124" s="63"/>
      <c r="H124" s="21"/>
      <c r="I124" s="23"/>
      <c r="J124" s="558"/>
      <c r="K124" s="558"/>
      <c r="L124" s="539" t="n"/>
      <c r="M124" s="539" t="n"/>
      <c r="N124" s="539" t="n"/>
      <c r="O124" s="539" t="n"/>
      <c r="P124" s="539"/>
      <c r="Q124" s="539"/>
      <c r="R124" s="539">
        <f>AI124</f>
      </c>
      <c r="S124" s="23">
        <f>Y124*100</f>
      </c>
      <c r="T124" s="539">
        <f>ROUND(R124*S124/100,-1)</f>
      </c>
      <c r="U124" s="539">
        <f>IF(Q124=0,"",(T124-Q124)/Q124*100)</f>
      </c>
      <c r="V124" s="27" t="n"/>
      <c r="W124" s="601"/>
      <c r="X124" s="602">
        <f>($W$5-K124)/365</f>
      </c>
      <c r="Y124" s="127">
        <f>(W124-X124)/W124</f>
      </c>
      <c r="Z124" s="127"/>
      <c r="AA124" s="127">
        <f>Y124/2+Z124/2</f>
      </c>
      <c r="AB124" s="603">
        <f>P124/I124</f>
      </c>
      <c r="AC124" s="604">
        <f>AB124*AD124</f>
      </c>
      <c r="AD124" s="129"/>
      <c r="AE124" s="583" t="n"/>
      <c r="AF124" s="583">
        <f>AC124*0.13/(1+0.13)</f>
      </c>
      <c r="AG124" s="605">
        <f>AC124-AF124</f>
      </c>
      <c r="AH124" s="605">
        <f>AC124*I124</f>
      </c>
      <c r="AI124" s="583">
        <f>ROUND(AG124*I124,-1)</f>
      </c>
    </row>
    <row r="125" ht="15.5" customHeight="1">
      <c r="A125" s="63" t="n"/>
      <c r="B125" s="56"/>
      <c r="C125" s="56"/>
      <c r="D125" s="59" t="n"/>
      <c r="E125" s="63" t="n"/>
      <c r="F125" s="24" t="n"/>
      <c r="G125" s="63"/>
      <c r="H125" s="21"/>
      <c r="I125" s="23"/>
      <c r="J125" s="558"/>
      <c r="K125" s="558"/>
      <c r="L125" s="539" t="n"/>
      <c r="M125" s="539" t="n"/>
      <c r="N125" s="539" t="n"/>
      <c r="O125" s="539" t="n"/>
      <c r="P125" s="539"/>
      <c r="Q125" s="539"/>
      <c r="R125" s="539">
        <f>AI125</f>
      </c>
      <c r="S125" s="23">
        <f>Y125*100</f>
      </c>
      <c r="T125" s="539">
        <f>ROUND(R125*S125/100,-1)</f>
      </c>
      <c r="U125" s="539">
        <f>IF(Q125=0,"",(T125-Q125)/Q125*100)</f>
      </c>
      <c r="V125" s="27" t="n"/>
      <c r="W125" s="601"/>
      <c r="X125" s="602">
        <f>($W$5-K125)/365</f>
      </c>
      <c r="Y125" s="127">
        <f>(W125-X125)/W125</f>
      </c>
      <c r="Z125" s="127"/>
      <c r="AA125" s="127">
        <f>Y125/2+Z125/2</f>
      </c>
      <c r="AB125" s="603">
        <f>P125/I125</f>
      </c>
      <c r="AC125" s="604">
        <f>AB125*AD125</f>
      </c>
      <c r="AD125" s="129"/>
      <c r="AE125" s="583" t="n"/>
      <c r="AF125" s="583">
        <f>AC125*0.13/(1+0.13)</f>
      </c>
      <c r="AG125" s="605">
        <f>AC125-AF125</f>
      </c>
      <c r="AH125" s="605">
        <f>AC125*I125</f>
      </c>
      <c r="AI125" s="583">
        <f>ROUND(AG125*I125,-1)</f>
      </c>
    </row>
    <row r="126" ht="15.5" customHeight="1">
      <c r="A126" s="63" t="n"/>
      <c r="B126" s="56"/>
      <c r="C126" s="56"/>
      <c r="D126" s="59" t="n"/>
      <c r="E126" s="63" t="n"/>
      <c r="F126" s="24" t="n"/>
      <c r="G126" s="63"/>
      <c r="H126" s="21"/>
      <c r="I126" s="23"/>
      <c r="J126" s="558"/>
      <c r="K126" s="558"/>
      <c r="L126" s="539" t="n"/>
      <c r="M126" s="539" t="n"/>
      <c r="N126" s="539" t="n"/>
      <c r="O126" s="539" t="n"/>
      <c r="P126" s="539"/>
      <c r="Q126" s="539"/>
      <c r="R126" s="539">
        <f>AI126</f>
      </c>
      <c r="S126" s="23">
        <f>Y126*100</f>
      </c>
      <c r="T126" s="539">
        <f>ROUND(R126*S126/100,-1)</f>
      </c>
      <c r="U126" s="539">
        <f>IF(Q126=0,"",(T126-Q126)/Q126*100)</f>
      </c>
      <c r="V126" s="27" t="n"/>
      <c r="W126" s="601"/>
      <c r="X126" s="602">
        <f>($W$5-K126)/365</f>
      </c>
      <c r="Y126" s="127">
        <f>(W126-X126)/W126</f>
      </c>
      <c r="Z126" s="127"/>
      <c r="AA126" s="127">
        <f>Y126/2+Z126/2</f>
      </c>
      <c r="AB126" s="603">
        <f>P126/I126</f>
      </c>
      <c r="AC126" s="604">
        <f>AB126*AD126</f>
      </c>
      <c r="AD126" s="129"/>
      <c r="AE126" s="583" t="n"/>
      <c r="AF126" s="583">
        <f>AC126*0.13/(1+0.13)</f>
      </c>
      <c r="AG126" s="605">
        <f>AC126-AF126</f>
      </c>
      <c r="AH126" s="605">
        <f>AC126*I126</f>
      </c>
      <c r="AI126" s="583">
        <f>ROUND(AG126*I126,-1)</f>
      </c>
    </row>
    <row r="127" ht="15.5" customHeight="1">
      <c r="A127" s="63" t="n"/>
      <c r="B127" s="56"/>
      <c r="C127" s="56"/>
      <c r="D127" s="59" t="n"/>
      <c r="E127" s="63" t="n"/>
      <c r="F127" s="24" t="n"/>
      <c r="G127" s="63"/>
      <c r="H127" s="21"/>
      <c r="I127" s="23"/>
      <c r="J127" s="558"/>
      <c r="K127" s="558"/>
      <c r="L127" s="539" t="n"/>
      <c r="M127" s="539" t="n"/>
      <c r="N127" s="539" t="n"/>
      <c r="O127" s="539" t="n"/>
      <c r="P127" s="539"/>
      <c r="Q127" s="539"/>
      <c r="R127" s="539">
        <f>AI127</f>
      </c>
      <c r="S127" s="23">
        <f>Y127*100</f>
      </c>
      <c r="T127" s="539">
        <f>ROUND(R127*S127/100,-1)</f>
      </c>
      <c r="U127" s="539">
        <f>IF(Q127=0,"",(T127-Q127)/Q127*100)</f>
      </c>
      <c r="V127" s="27" t="n"/>
      <c r="W127" s="601"/>
      <c r="X127" s="602">
        <f>($W$5-K127)/365</f>
      </c>
      <c r="Y127" s="127">
        <f>(W127-X127)/W127</f>
      </c>
      <c r="Z127" s="127"/>
      <c r="AA127" s="127">
        <f>Y127/2+Z127/2</f>
      </c>
      <c r="AB127" s="603">
        <f>P127/I127</f>
      </c>
      <c r="AC127" s="604">
        <f>AB127*AD127</f>
      </c>
      <c r="AD127" s="129"/>
      <c r="AE127" s="583" t="n"/>
      <c r="AF127" s="583">
        <f>AC127*0.13/(1+0.13)</f>
      </c>
      <c r="AG127" s="605">
        <f>AC127-AF127</f>
      </c>
      <c r="AH127" s="605">
        <f>AC127*I127</f>
      </c>
      <c r="AI127" s="583">
        <f>ROUND(AG127*I127,-1)</f>
      </c>
    </row>
    <row r="128" ht="15.5" customHeight="1">
      <c r="A128" s="63" t="n"/>
      <c r="B128" s="56"/>
      <c r="C128" s="56"/>
      <c r="D128" s="59" t="n"/>
      <c r="E128" s="63" t="n"/>
      <c r="F128" s="24" t="n"/>
      <c r="G128" s="63"/>
      <c r="H128" s="21"/>
      <c r="I128" s="23"/>
      <c r="J128" s="558"/>
      <c r="K128" s="558"/>
      <c r="L128" s="539" t="n"/>
      <c r="M128" s="539" t="n"/>
      <c r="N128" s="539" t="n"/>
      <c r="O128" s="539" t="n"/>
      <c r="P128" s="539"/>
      <c r="Q128" s="539"/>
      <c r="R128" s="539">
        <f>AI128</f>
      </c>
      <c r="S128" s="23">
        <f>Y128*100</f>
      </c>
      <c r="T128" s="539">
        <f>ROUND(R128*S128/100,-1)</f>
      </c>
      <c r="U128" s="539">
        <f>IF(Q128=0,"",(T128-Q128)/Q128*100)</f>
      </c>
      <c r="V128" s="27" t="n"/>
      <c r="W128" s="601"/>
      <c r="X128" s="602">
        <f>($W$5-K128)/365</f>
      </c>
      <c r="Y128" s="127">
        <f>(W128-X128)/W128</f>
      </c>
      <c r="Z128" s="127"/>
      <c r="AA128" s="127">
        <f>Y128/2+Z128/2</f>
      </c>
      <c r="AB128" s="603">
        <f>P128/I128</f>
      </c>
      <c r="AC128" s="604">
        <f>AB128*AD128</f>
      </c>
      <c r="AD128" s="129"/>
      <c r="AE128" s="583" t="n"/>
      <c r="AF128" s="583">
        <f>AC128*0.13/(1+0.13)</f>
      </c>
      <c r="AG128" s="605">
        <f>AC128-AF128</f>
      </c>
      <c r="AH128" s="605">
        <f>AC128*I128</f>
      </c>
      <c r="AI128" s="583">
        <f>ROUND(AG128*I128,-1)</f>
      </c>
    </row>
    <row r="129" ht="15.5" customHeight="1">
      <c r="A129" s="63" t="n"/>
      <c r="B129" s="56"/>
      <c r="C129" s="56"/>
      <c r="D129" s="59" t="n"/>
      <c r="E129" s="63" t="n"/>
      <c r="F129" s="24" t="n"/>
      <c r="G129" s="63"/>
      <c r="H129" s="21"/>
      <c r="I129" s="23"/>
      <c r="J129" s="558"/>
      <c r="K129" s="558"/>
      <c r="L129" s="539" t="n"/>
      <c r="M129" s="539" t="n"/>
      <c r="N129" s="539" t="n"/>
      <c r="O129" s="539" t="n"/>
      <c r="P129" s="539"/>
      <c r="Q129" s="539"/>
      <c r="R129" s="539">
        <f>AI129</f>
      </c>
      <c r="S129" s="23">
        <f>Y129*100</f>
      </c>
      <c r="T129" s="539">
        <f>ROUND(R129*S129/100,-1)</f>
      </c>
      <c r="U129" s="539">
        <f>IF(Q129=0,"",(T129-Q129)/Q129*100)</f>
      </c>
      <c r="V129" s="27" t="n"/>
      <c r="W129" s="601"/>
      <c r="X129" s="602">
        <f>($W$5-K129)/365</f>
      </c>
      <c r="Y129" s="127">
        <f>(W129-X129)/W129</f>
      </c>
      <c r="Z129" s="127"/>
      <c r="AA129" s="127">
        <f>Y129/2+Z129/2</f>
      </c>
      <c r="AB129" s="603">
        <f>P129/I129</f>
      </c>
      <c r="AC129" s="604">
        <f>AB129*AD129</f>
      </c>
      <c r="AD129" s="129"/>
      <c r="AE129" s="583" t="n"/>
      <c r="AF129" s="583">
        <f>AC129*0.13/(1+0.13)</f>
      </c>
      <c r="AG129" s="605">
        <f>AC129-AF129</f>
      </c>
      <c r="AH129" s="605">
        <f>AC129*I129</f>
      </c>
      <c r="AI129" s="583">
        <f>ROUND(AG129*I129,-1)</f>
      </c>
    </row>
    <row r="130" ht="15.5" customHeight="1">
      <c r="A130" s="63" t="n"/>
      <c r="B130" s="56"/>
      <c r="C130" s="56"/>
      <c r="D130" s="59" t="n"/>
      <c r="E130" s="63" t="n"/>
      <c r="F130" s="24" t="n"/>
      <c r="G130" s="63"/>
      <c r="H130" s="21"/>
      <c r="I130" s="23"/>
      <c r="J130" s="558"/>
      <c r="K130" s="558"/>
      <c r="L130" s="539" t="n"/>
      <c r="M130" s="539" t="n"/>
      <c r="N130" s="539" t="n"/>
      <c r="O130" s="539" t="n"/>
      <c r="P130" s="539"/>
      <c r="Q130" s="539"/>
      <c r="R130" s="539">
        <f>AI130</f>
      </c>
      <c r="S130" s="23">
        <f>Y130*100</f>
      </c>
      <c r="T130" s="539">
        <f>ROUND(R130*S130/100,-1)</f>
      </c>
      <c r="U130" s="539">
        <f>IF(Q130=0,"",(T130-Q130)/Q130*100)</f>
      </c>
      <c r="V130" s="27" t="n"/>
      <c r="W130" s="601"/>
      <c r="X130" s="602">
        <f>($W$5-K130)/365</f>
      </c>
      <c r="Y130" s="127">
        <f>(W130-X130)/W130</f>
      </c>
      <c r="Z130" s="127"/>
      <c r="AA130" s="127">
        <f>Y130/2+Z130/2</f>
      </c>
      <c r="AB130" s="603">
        <f>P130/I130</f>
      </c>
      <c r="AC130" s="604">
        <f>AB130*AD130</f>
      </c>
      <c r="AD130" s="129"/>
      <c r="AE130" s="583" t="n"/>
      <c r="AF130" s="583">
        <f>AC130*0.13/(1+0.13)</f>
      </c>
      <c r="AG130" s="605">
        <f>AC130-AF130</f>
      </c>
      <c r="AH130" s="605">
        <f>AC130*I130</f>
      </c>
      <c r="AI130" s="583">
        <f>ROUND(AG130*I130,-1)</f>
      </c>
    </row>
    <row r="131" ht="15.5" customHeight="1">
      <c r="A131" s="63" t="n"/>
      <c r="B131" s="56"/>
      <c r="C131" s="56"/>
      <c r="D131" s="59" t="n"/>
      <c r="E131" s="63" t="n"/>
      <c r="F131" s="24" t="n"/>
      <c r="G131" s="63"/>
      <c r="H131" s="21"/>
      <c r="I131" s="23"/>
      <c r="J131" s="558"/>
      <c r="K131" s="558"/>
      <c r="L131" s="539" t="n"/>
      <c r="M131" s="539" t="n"/>
      <c r="N131" s="539" t="n"/>
      <c r="O131" s="539" t="n"/>
      <c r="P131" s="539"/>
      <c r="Q131" s="539"/>
      <c r="R131" s="539">
        <f>AI131</f>
      </c>
      <c r="S131" s="23">
        <f>Y131*100</f>
      </c>
      <c r="T131" s="539">
        <f>ROUND(R131*S131/100,-1)</f>
      </c>
      <c r="U131" s="539">
        <f>IF(Q131=0,"",(T131-Q131)/Q131*100)</f>
      </c>
      <c r="V131" s="27" t="n"/>
      <c r="W131" s="601"/>
      <c r="X131" s="602">
        <f>($W$5-K131)/365</f>
      </c>
      <c r="Y131" s="127">
        <f>(W131-X131)/W131</f>
      </c>
      <c r="Z131" s="127"/>
      <c r="AA131" s="127">
        <f>Y131/2+Z131/2</f>
      </c>
      <c r="AB131" s="603">
        <f>P131/I131</f>
      </c>
      <c r="AC131" s="604">
        <f>AB131*AD131</f>
      </c>
      <c r="AD131" s="129"/>
      <c r="AE131" s="583" t="n"/>
      <c r="AF131" s="583">
        <f>AC131*0.13/(1+0.13)</f>
      </c>
      <c r="AG131" s="605">
        <f>AC131-AF131</f>
      </c>
      <c r="AH131" s="605">
        <f>AC131*I131</f>
      </c>
      <c r="AI131" s="583">
        <f>ROUND(AG131*I131,-1)</f>
      </c>
    </row>
    <row r="132" ht="15.5" customHeight="1">
      <c r="A132" s="63" t="n"/>
      <c r="B132" s="56"/>
      <c r="C132" s="56"/>
      <c r="D132" s="59" t="n"/>
      <c r="E132" s="63" t="n"/>
      <c r="F132" s="24" t="n"/>
      <c r="G132" s="63"/>
      <c r="H132" s="21"/>
      <c r="I132" s="23"/>
      <c r="J132" s="558"/>
      <c r="K132" s="558"/>
      <c r="L132" s="539" t="n"/>
      <c r="M132" s="539" t="n"/>
      <c r="N132" s="539" t="n"/>
      <c r="O132" s="539" t="n"/>
      <c r="P132" s="539"/>
      <c r="Q132" s="539"/>
      <c r="R132" s="539">
        <f>AI132</f>
      </c>
      <c r="S132" s="23">
        <f>Y132*100</f>
      </c>
      <c r="T132" s="539">
        <f>ROUND(R132*S132/100,-1)</f>
      </c>
      <c r="U132" s="539">
        <f>IF(Q132=0,"",(T132-Q132)/Q132*100)</f>
      </c>
      <c r="V132" s="27" t="n"/>
      <c r="W132" s="601"/>
      <c r="X132" s="602">
        <f>($W$5-K132)/365</f>
      </c>
      <c r="Y132" s="127">
        <f>(W132-X132)/W132</f>
      </c>
      <c r="Z132" s="127"/>
      <c r="AA132" s="127">
        <f>Y132/2+Z132/2</f>
      </c>
      <c r="AB132" s="603">
        <f>P132/I132</f>
      </c>
      <c r="AC132" s="604">
        <f>AB132*AD132</f>
      </c>
      <c r="AD132" s="129"/>
      <c r="AE132" s="583" t="n"/>
      <c r="AF132" s="583">
        <f>AC132*0.13/(1+0.13)</f>
      </c>
      <c r="AG132" s="605">
        <f>AC132-AF132</f>
      </c>
      <c r="AH132" s="605">
        <f>AC132*I132</f>
      </c>
      <c r="AI132" s="583">
        <f>ROUND(AG132*I132,-1)</f>
      </c>
    </row>
    <row r="133" ht="15.5" customHeight="1">
      <c r="A133" s="63" t="n"/>
      <c r="B133" s="56"/>
      <c r="C133" s="56"/>
      <c r="D133" s="59" t="n"/>
      <c r="E133" s="63" t="n"/>
      <c r="F133" s="24" t="n"/>
      <c r="G133" s="63"/>
      <c r="H133" s="21"/>
      <c r="I133" s="23"/>
      <c r="J133" s="558"/>
      <c r="K133" s="558"/>
      <c r="L133" s="539" t="n"/>
      <c r="M133" s="539" t="n"/>
      <c r="N133" s="539" t="n"/>
      <c r="O133" s="539" t="n"/>
      <c r="P133" s="539"/>
      <c r="Q133" s="539"/>
      <c r="R133" s="539">
        <f>AI133</f>
      </c>
      <c r="S133" s="23">
        <f>Y133*100</f>
      </c>
      <c r="T133" s="539">
        <f>ROUND(R133*S133/100,-1)</f>
      </c>
      <c r="U133" s="539">
        <f>IF(Q133=0,"",(T133-Q133)/Q133*100)</f>
      </c>
      <c r="V133" s="27" t="n"/>
      <c r="W133" s="601"/>
      <c r="X133" s="602">
        <f>($W$5-K133)/365</f>
      </c>
      <c r="Y133" s="127">
        <f>(W133-X133)/W133</f>
      </c>
      <c r="Z133" s="127"/>
      <c r="AA133" s="127">
        <f>Y133/2+Z133/2</f>
      </c>
      <c r="AB133" s="603">
        <f>P133/I133</f>
      </c>
      <c r="AC133" s="604">
        <f>AB133*AD133</f>
      </c>
      <c r="AD133" s="129"/>
      <c r="AE133" s="583" t="n"/>
      <c r="AF133" s="583">
        <f>AC133*0.13/(1+0.13)</f>
      </c>
      <c r="AG133" s="605">
        <f>AC133-AF133</f>
      </c>
      <c r="AH133" s="605">
        <f>AC133*I133</f>
      </c>
      <c r="AI133" s="583">
        <f>ROUND(AG133*I133,-1)</f>
      </c>
    </row>
    <row r="134" ht="15.5" customHeight="1">
      <c r="A134" s="63" t="n"/>
      <c r="B134" s="56"/>
      <c r="C134" s="56"/>
      <c r="D134" s="59" t="n"/>
      <c r="E134" s="63" t="n"/>
      <c r="F134" s="24" t="n"/>
      <c r="G134" s="63"/>
      <c r="H134" s="21"/>
      <c r="I134" s="23"/>
      <c r="J134" s="558"/>
      <c r="K134" s="558"/>
      <c r="L134" s="539" t="n"/>
      <c r="M134" s="539" t="n"/>
      <c r="N134" s="539" t="n"/>
      <c r="O134" s="539" t="n"/>
      <c r="P134" s="539"/>
      <c r="Q134" s="539"/>
      <c r="R134" s="539">
        <f>AI134</f>
      </c>
      <c r="S134" s="23">
        <f>Y134*100</f>
      </c>
      <c r="T134" s="539">
        <f>ROUND(R134*S134/100,-1)</f>
      </c>
      <c r="U134" s="539">
        <f>IF(Q134=0,"",(T134-Q134)/Q134*100)</f>
      </c>
      <c r="V134" s="27" t="n"/>
      <c r="W134" s="601"/>
      <c r="X134" s="602">
        <f>($W$5-K134)/365</f>
      </c>
      <c r="Y134" s="127">
        <f>(W134-X134)/W134</f>
      </c>
      <c r="Z134" s="127"/>
      <c r="AA134" s="127">
        <f>Y134/2+Z134/2</f>
      </c>
      <c r="AB134" s="603">
        <f>P134/I134</f>
      </c>
      <c r="AC134" s="604">
        <f>AB134*AD134</f>
      </c>
      <c r="AD134" s="129"/>
      <c r="AE134" s="583" t="n"/>
      <c r="AF134" s="583">
        <f>AC134*0.13/(1+0.13)</f>
      </c>
      <c r="AG134" s="605">
        <f>AC134-AF134</f>
      </c>
      <c r="AH134" s="605">
        <f>AC134*I134</f>
      </c>
      <c r="AI134" s="583">
        <f>ROUND(AG134*I134,-1)</f>
      </c>
    </row>
    <row r="135" ht="15.5" customHeight="1">
      <c r="A135" s="63" t="n"/>
      <c r="B135" s="56"/>
      <c r="C135" s="56"/>
      <c r="D135" s="59" t="n"/>
      <c r="E135" s="63" t="n"/>
      <c r="F135" s="24" t="n"/>
      <c r="G135" s="63"/>
      <c r="H135" s="21"/>
      <c r="I135" s="23"/>
      <c r="J135" s="558"/>
      <c r="K135" s="558"/>
      <c r="L135" s="539" t="n"/>
      <c r="M135" s="539" t="n"/>
      <c r="N135" s="539" t="n"/>
      <c r="O135" s="539" t="n"/>
      <c r="P135" s="539"/>
      <c r="Q135" s="539"/>
      <c r="R135" s="539">
        <f>AI135</f>
      </c>
      <c r="S135" s="23">
        <f>Y135*100</f>
      </c>
      <c r="T135" s="539">
        <f>ROUND(R135*S135/100,-1)</f>
      </c>
      <c r="U135" s="539">
        <f>IF(Q135=0,"",(T135-Q135)/Q135*100)</f>
      </c>
      <c r="V135" s="27" t="n"/>
      <c r="W135" s="601"/>
      <c r="X135" s="602">
        <f>($W$5-K135)/365</f>
      </c>
      <c r="Y135" s="127">
        <f>(W135-X135)/W135</f>
      </c>
      <c r="Z135" s="127"/>
      <c r="AA135" s="127">
        <f>Y135/2+Z135/2</f>
      </c>
      <c r="AB135" s="603">
        <f>P135/I135</f>
      </c>
      <c r="AC135" s="604">
        <f>AB135*AD135</f>
      </c>
      <c r="AD135" s="129"/>
      <c r="AE135" s="583" t="n"/>
      <c r="AF135" s="583">
        <f>AC135*0.13/(1+0.13)</f>
      </c>
      <c r="AG135" s="605">
        <f>AC135-AF135</f>
      </c>
      <c r="AH135" s="605">
        <f>AC135*I135</f>
      </c>
      <c r="AI135" s="583">
        <f>ROUND(AG135*I135,-1)</f>
      </c>
    </row>
    <row r="136" ht="15.5" customHeight="1">
      <c r="A136" s="63" t="n"/>
      <c r="B136" s="56"/>
      <c r="C136" s="56"/>
      <c r="D136" s="59" t="n"/>
      <c r="E136" s="63" t="n"/>
      <c r="F136" s="24" t="n"/>
      <c r="G136" s="63"/>
      <c r="H136" s="21"/>
      <c r="I136" s="23"/>
      <c r="J136" s="558"/>
      <c r="K136" s="558"/>
      <c r="L136" s="539" t="n"/>
      <c r="M136" s="539" t="n"/>
      <c r="N136" s="539" t="n"/>
      <c r="O136" s="539" t="n"/>
      <c r="P136" s="539"/>
      <c r="Q136" s="539"/>
      <c r="R136" s="539">
        <f>AI136</f>
      </c>
      <c r="S136" s="23">
        <f>Y136*100</f>
      </c>
      <c r="T136" s="539">
        <f>ROUND(R136*S136/100,-1)</f>
      </c>
      <c r="U136" s="539">
        <f>IF(Q136=0,"",(T136-Q136)/Q136*100)</f>
      </c>
      <c r="V136" s="27" t="n"/>
      <c r="W136" s="601"/>
      <c r="X136" s="602">
        <f>($W$5-K136)/365</f>
      </c>
      <c r="Y136" s="127">
        <f>(W136-X136)/W136</f>
      </c>
      <c r="Z136" s="127"/>
      <c r="AA136" s="127">
        <f>Y136/2+Z136/2</f>
      </c>
      <c r="AB136" s="603">
        <f>P136/I136</f>
      </c>
      <c r="AC136" s="604">
        <f>AB136*AD136</f>
      </c>
      <c r="AD136" s="129"/>
      <c r="AE136" s="583" t="n"/>
      <c r="AF136" s="583">
        <f>AC136*0.13/(1+0.13)</f>
      </c>
      <c r="AG136" s="605">
        <f>AC136-AF136</f>
      </c>
      <c r="AH136" s="605">
        <f>AC136*I136</f>
      </c>
      <c r="AI136" s="583">
        <f>ROUND(AG136*I136,-1)</f>
      </c>
    </row>
    <row r="137" ht="15.5" customHeight="1">
      <c r="A137" s="63" t="n"/>
      <c r="B137" s="56"/>
      <c r="C137" s="56"/>
      <c r="D137" s="59" t="n"/>
      <c r="E137" s="63" t="n"/>
      <c r="F137" s="24" t="n"/>
      <c r="G137" s="63"/>
      <c r="H137" s="21"/>
      <c r="I137" s="23"/>
      <c r="J137" s="558"/>
      <c r="K137" s="558"/>
      <c r="L137" s="539" t="n"/>
      <c r="M137" s="539" t="n"/>
      <c r="N137" s="539" t="n"/>
      <c r="O137" s="539" t="n"/>
      <c r="P137" s="539"/>
      <c r="Q137" s="539"/>
      <c r="R137" s="539">
        <f>AI137</f>
      </c>
      <c r="S137" s="23">
        <f>Y137*100</f>
      </c>
      <c r="T137" s="539">
        <f>ROUND(R137*S137/100,-1)</f>
      </c>
      <c r="U137" s="539">
        <f>IF(Q137=0,"",(T137-Q137)/Q137*100)</f>
      </c>
      <c r="V137" s="27" t="n"/>
      <c r="W137" s="601"/>
      <c r="X137" s="602">
        <f>($W$5-K137)/365</f>
      </c>
      <c r="Y137" s="127">
        <f>(W137-X137)/W137</f>
      </c>
      <c r="Z137" s="127"/>
      <c r="AA137" s="127">
        <f>Y137/2+Z137/2</f>
      </c>
      <c r="AB137" s="603">
        <f>P137/I137</f>
      </c>
      <c r="AC137" s="604">
        <f>AB137*AD137</f>
      </c>
      <c r="AD137" s="129"/>
      <c r="AE137" s="583" t="n"/>
      <c r="AF137" s="583">
        <f>AC137*0.13/(1+0.13)</f>
      </c>
      <c r="AG137" s="605">
        <f>AC137-AF137</f>
      </c>
      <c r="AH137" s="605">
        <f>AC137*I137</f>
      </c>
      <c r="AI137" s="583">
        <f>ROUND(AG137*I137,-1)</f>
      </c>
    </row>
    <row r="138" ht="15.5" customHeight="1">
      <c r="A138" s="63" t="n"/>
      <c r="B138" s="56"/>
      <c r="C138" s="56"/>
      <c r="D138" s="59" t="n"/>
      <c r="E138" s="63" t="n"/>
      <c r="F138" s="24" t="n"/>
      <c r="G138" s="63"/>
      <c r="H138" s="21"/>
      <c r="I138" s="23"/>
      <c r="J138" s="558"/>
      <c r="K138" s="558"/>
      <c r="L138" s="539" t="n"/>
      <c r="M138" s="539" t="n"/>
      <c r="N138" s="539" t="n"/>
      <c r="O138" s="539" t="n"/>
      <c r="P138" s="539"/>
      <c r="Q138" s="539"/>
      <c r="R138" s="539">
        <f>AI138</f>
      </c>
      <c r="S138" s="23">
        <f>Y138*100</f>
      </c>
      <c r="T138" s="539">
        <f>ROUND(R138*S138/100,-1)</f>
      </c>
      <c r="U138" s="539">
        <f>IF(Q138=0,"",(T138-Q138)/Q138*100)</f>
      </c>
      <c r="V138" s="27" t="n"/>
      <c r="W138" s="601"/>
      <c r="X138" s="602">
        <f>($W$5-K138)/365</f>
      </c>
      <c r="Y138" s="127">
        <f>(W138-X138)/W138</f>
      </c>
      <c r="Z138" s="127"/>
      <c r="AA138" s="127">
        <f>Y138/2+Z138/2</f>
      </c>
      <c r="AB138" s="603">
        <f>P138/I138</f>
      </c>
      <c r="AC138" s="604">
        <f>AB138*AD138</f>
      </c>
      <c r="AD138" s="129"/>
      <c r="AE138" s="583" t="n"/>
      <c r="AF138" s="583">
        <f>AC138*0.13/(1+0.13)</f>
      </c>
      <c r="AG138" s="605">
        <f>AC138-AF138</f>
      </c>
      <c r="AH138" s="605">
        <f>AC138*I138</f>
      </c>
      <c r="AI138" s="583">
        <f>ROUND(AG138*I138,-1)</f>
      </c>
    </row>
    <row r="139" ht="15.5" customHeight="1">
      <c r="A139" s="63" t="n"/>
      <c r="B139" s="56"/>
      <c r="C139" s="56"/>
      <c r="D139" s="59" t="n"/>
      <c r="E139" s="63" t="n"/>
      <c r="F139" s="24" t="n"/>
      <c r="G139" s="63"/>
      <c r="H139" s="21"/>
      <c r="I139" s="23"/>
      <c r="J139" s="558"/>
      <c r="K139" s="558"/>
      <c r="L139" s="539" t="n"/>
      <c r="M139" s="539" t="n"/>
      <c r="N139" s="539" t="n"/>
      <c r="O139" s="539" t="n"/>
      <c r="P139" s="539"/>
      <c r="Q139" s="539"/>
      <c r="R139" s="539">
        <f>AI139</f>
      </c>
      <c r="S139" s="23">
        <f>Y139*100</f>
      </c>
      <c r="T139" s="539">
        <f>ROUND(R139*S139/100,-1)</f>
      </c>
      <c r="U139" s="539">
        <f>IF(Q139=0,"",(T139-Q139)/Q139*100)</f>
      </c>
      <c r="V139" s="27" t="n"/>
      <c r="W139" s="601"/>
      <c r="X139" s="602">
        <f>($W$5-K139)/365</f>
      </c>
      <c r="Y139" s="127">
        <f>(W139-X139)/W139</f>
      </c>
      <c r="Z139" s="127"/>
      <c r="AA139" s="127">
        <f>Y139/2+Z139/2</f>
      </c>
      <c r="AB139" s="603">
        <f>P139/I139</f>
      </c>
      <c r="AC139" s="604">
        <f>AB139*AD139</f>
      </c>
      <c r="AD139" s="129"/>
      <c r="AE139" s="583" t="n"/>
      <c r="AF139" s="583">
        <f>AC139*0.13/(1+0.13)</f>
      </c>
      <c r="AG139" s="605">
        <f>AC139-AF139</f>
      </c>
      <c r="AH139" s="605">
        <f>AC139*I139</f>
      </c>
      <c r="AI139" s="583">
        <f>ROUND(AG139*I139,-1)</f>
      </c>
    </row>
    <row r="140" ht="15.5" customHeight="1">
      <c r="A140" s="63" t="n"/>
      <c r="B140" s="56"/>
      <c r="C140" s="56"/>
      <c r="D140" s="59" t="n"/>
      <c r="E140" s="63" t="n"/>
      <c r="F140" s="24" t="n"/>
      <c r="G140" s="63"/>
      <c r="H140" s="21"/>
      <c r="I140" s="23"/>
      <c r="J140" s="558"/>
      <c r="K140" s="558"/>
      <c r="L140" s="539" t="n"/>
      <c r="M140" s="539" t="n"/>
      <c r="N140" s="539" t="n"/>
      <c r="O140" s="539" t="n"/>
      <c r="P140" s="539"/>
      <c r="Q140" s="539"/>
      <c r="R140" s="539">
        <f>AI140</f>
      </c>
      <c r="S140" s="23">
        <f>Y140*100</f>
      </c>
      <c r="T140" s="539">
        <f>ROUND(R140*S140/100,-1)</f>
      </c>
      <c r="U140" s="539">
        <f>IF(Q140=0,"",(T140-Q140)/Q140*100)</f>
      </c>
      <c r="V140" s="27" t="n"/>
      <c r="W140" s="601"/>
      <c r="X140" s="602">
        <f>($W$5-K140)/365</f>
      </c>
      <c r="Y140" s="127">
        <f>(W140-X140)/W140</f>
      </c>
      <c r="Z140" s="127"/>
      <c r="AA140" s="127">
        <f>Y140/2+Z140/2</f>
      </c>
      <c r="AB140" s="603">
        <f>P140/I140</f>
      </c>
      <c r="AC140" s="604">
        <f>AB140*AD140</f>
      </c>
      <c r="AD140" s="129"/>
      <c r="AE140" s="583" t="n"/>
      <c r="AF140" s="583">
        <f>AC140*0.13/(1+0.13)</f>
      </c>
      <c r="AG140" s="605">
        <f>AC140-AF140</f>
      </c>
      <c r="AH140" s="605">
        <f>AC140*I140</f>
      </c>
      <c r="AI140" s="583">
        <f>ROUND(AG140*I140,-1)</f>
      </c>
    </row>
    <row r="141" ht="15.5" customHeight="1">
      <c r="A141" s="63" t="n"/>
      <c r="B141" s="56"/>
      <c r="C141" s="56"/>
      <c r="D141" s="59" t="n"/>
      <c r="E141" s="63" t="n"/>
      <c r="F141" s="24" t="n"/>
      <c r="G141" s="63"/>
      <c r="H141" s="21"/>
      <c r="I141" s="23"/>
      <c r="J141" s="558"/>
      <c r="K141" s="558"/>
      <c r="L141" s="539" t="n"/>
      <c r="M141" s="539" t="n"/>
      <c r="N141" s="539" t="n"/>
      <c r="O141" s="539" t="n"/>
      <c r="P141" s="539"/>
      <c r="Q141" s="539"/>
      <c r="R141" s="539">
        <f>AI141</f>
      </c>
      <c r="S141" s="23">
        <f>Y141*100</f>
      </c>
      <c r="T141" s="539">
        <f>ROUND(R141*S141/100,-1)</f>
      </c>
      <c r="U141" s="539">
        <f>IF(Q141=0,"",(T141-Q141)/Q141*100)</f>
      </c>
      <c r="V141" s="27" t="n"/>
      <c r="W141" s="601"/>
      <c r="X141" s="602">
        <f>($W$5-K141)/365</f>
      </c>
      <c r="Y141" s="127">
        <f>(W141-X141)/W141</f>
      </c>
      <c r="Z141" s="127"/>
      <c r="AA141" s="127">
        <f>Y141/2+Z141/2</f>
      </c>
      <c r="AB141" s="603">
        <f>P141/I141</f>
      </c>
      <c r="AC141" s="604">
        <f>AB141*AD141</f>
      </c>
      <c r="AD141" s="129"/>
      <c r="AE141" s="583" t="n"/>
      <c r="AF141" s="583">
        <f>AC141*0.13/(1+0.13)</f>
      </c>
      <c r="AG141" s="605">
        <f>AC141-AF141</f>
      </c>
      <c r="AH141" s="605">
        <f>AC141*I141</f>
      </c>
      <c r="AI141" s="583">
        <f>ROUND(AG141*I141,-1)</f>
      </c>
    </row>
    <row r="142" ht="15.5" customHeight="1">
      <c r="A142" s="63" t="n"/>
      <c r="B142" s="56"/>
      <c r="C142" s="56"/>
      <c r="D142" s="59" t="n"/>
      <c r="E142" s="63" t="n"/>
      <c r="F142" s="24" t="n"/>
      <c r="G142" s="63"/>
      <c r="H142" s="21"/>
      <c r="I142" s="23"/>
      <c r="J142" s="558"/>
      <c r="K142" s="558"/>
      <c r="L142" s="539" t="n"/>
      <c r="M142" s="539" t="n"/>
      <c r="N142" s="539" t="n"/>
      <c r="O142" s="539" t="n"/>
      <c r="P142" s="539"/>
      <c r="Q142" s="539"/>
      <c r="R142" s="539">
        <f>AI142</f>
      </c>
      <c r="S142" s="23">
        <f>Y142*100</f>
      </c>
      <c r="T142" s="539">
        <f>ROUND(R142*S142/100,-1)</f>
      </c>
      <c r="U142" s="539">
        <f>IF(Q142=0,"",(T142-Q142)/Q142*100)</f>
      </c>
      <c r="V142" s="27" t="n"/>
      <c r="W142" s="601"/>
      <c r="X142" s="602">
        <f>($W$5-K142)/365</f>
      </c>
      <c r="Y142" s="127">
        <f>(W142-X142)/W142</f>
      </c>
      <c r="Z142" s="127"/>
      <c r="AA142" s="127">
        <f>Y142/2+Z142/2</f>
      </c>
      <c r="AB142" s="603">
        <f>P142/I142</f>
      </c>
      <c r="AC142" s="604">
        <f>AB142*AD142</f>
      </c>
      <c r="AD142" s="129"/>
      <c r="AE142" s="583" t="n"/>
      <c r="AF142" s="583">
        <f>AC142*0.13/(1+0.13)</f>
      </c>
      <c r="AG142" s="605">
        <f>AC142-AF142</f>
      </c>
      <c r="AH142" s="605">
        <f>AC142*I142</f>
      </c>
      <c r="AI142" s="583">
        <f>ROUND(AG142*I142,-1)</f>
      </c>
    </row>
    <row r="143" ht="15.5" customHeight="1">
      <c r="A143" s="63" t="n"/>
      <c r="B143" s="56"/>
      <c r="C143" s="56"/>
      <c r="D143" s="59" t="n"/>
      <c r="E143" s="63" t="n"/>
      <c r="F143" s="24" t="n"/>
      <c r="G143" s="63"/>
      <c r="H143" s="21"/>
      <c r="I143" s="23"/>
      <c r="J143" s="558"/>
      <c r="K143" s="558"/>
      <c r="L143" s="539" t="n"/>
      <c r="M143" s="539" t="n"/>
      <c r="N143" s="539" t="n"/>
      <c r="O143" s="539" t="n"/>
      <c r="P143" s="539"/>
      <c r="Q143" s="539"/>
      <c r="R143" s="539">
        <f>AI143</f>
      </c>
      <c r="S143" s="23">
        <f>Y143*100</f>
      </c>
      <c r="T143" s="539">
        <f>ROUND(R143*S143/100,-1)</f>
      </c>
      <c r="U143" s="539">
        <f>IF(Q143=0,"",(T143-Q143)/Q143*100)</f>
      </c>
      <c r="V143" s="27" t="n"/>
      <c r="W143" s="601"/>
      <c r="X143" s="602">
        <f>($W$5-K143)/365</f>
      </c>
      <c r="Y143" s="127">
        <f>(W143-X143)/W143</f>
      </c>
      <c r="Z143" s="127"/>
      <c r="AA143" s="127">
        <f>Y143/2+Z143/2</f>
      </c>
      <c r="AB143" s="603">
        <f>P143/I143</f>
      </c>
      <c r="AC143" s="604">
        <f>AB143*AD143</f>
      </c>
      <c r="AD143" s="129"/>
      <c r="AE143" s="583" t="n"/>
      <c r="AF143" s="583">
        <f>AC143*0.13/(1+0.13)</f>
      </c>
      <c r="AG143" s="605">
        <f>AC143-AF143</f>
      </c>
      <c r="AH143" s="605">
        <f>AC143*I143</f>
      </c>
      <c r="AI143" s="583">
        <f>ROUND(AG143*I143,-1)</f>
      </c>
    </row>
    <row r="144" ht="15.5" customHeight="1">
      <c r="A144" s="63" t="n"/>
      <c r="B144" s="56"/>
      <c r="C144" s="56"/>
      <c r="D144" s="59" t="n"/>
      <c r="E144" s="63" t="n"/>
      <c r="F144" s="24" t="n"/>
      <c r="G144" s="63"/>
      <c r="H144" s="21"/>
      <c r="I144" s="23"/>
      <c r="J144" s="558"/>
      <c r="K144" s="558"/>
      <c r="L144" s="539" t="n"/>
      <c r="M144" s="539" t="n"/>
      <c r="N144" s="539" t="n"/>
      <c r="O144" s="539" t="n"/>
      <c r="P144" s="539"/>
      <c r="Q144" s="539"/>
      <c r="R144" s="539">
        <f>AI144</f>
      </c>
      <c r="S144" s="23">
        <f>Y144*100</f>
      </c>
      <c r="T144" s="539">
        <f>ROUND(R144*S144/100,-1)</f>
      </c>
      <c r="U144" s="539">
        <f>IF(Q144=0,"",(T144-Q144)/Q144*100)</f>
      </c>
      <c r="V144" s="27" t="n"/>
      <c r="W144" s="601"/>
      <c r="X144" s="602">
        <f>($W$5-K144)/365</f>
      </c>
      <c r="Y144" s="127">
        <f>(W144-X144)/W144</f>
      </c>
      <c r="Z144" s="127"/>
      <c r="AA144" s="127">
        <f>Y144/2+Z144/2</f>
      </c>
      <c r="AB144" s="603">
        <f>P144/I144</f>
      </c>
      <c r="AC144" s="604">
        <f>AB144*AD144</f>
      </c>
      <c r="AD144" s="129"/>
      <c r="AE144" s="583" t="n"/>
      <c r="AF144" s="583">
        <f>AC144*0.13/(1+0.13)</f>
      </c>
      <c r="AG144" s="605">
        <f>AC144-AF144</f>
      </c>
      <c r="AH144" s="605">
        <f>AC144*I144</f>
      </c>
      <c r="AI144" s="583">
        <f>ROUND(AG144*I144,-1)</f>
      </c>
    </row>
    <row r="145" ht="15.5" customHeight="1">
      <c r="A145" s="63" t="n"/>
      <c r="B145" s="56"/>
      <c r="C145" s="56"/>
      <c r="D145" s="59" t="n"/>
      <c r="E145" s="63" t="n"/>
      <c r="F145" s="24" t="n"/>
      <c r="G145" s="63"/>
      <c r="H145" s="21"/>
      <c r="I145" s="23"/>
      <c r="J145" s="558"/>
      <c r="K145" s="558"/>
      <c r="L145" s="539" t="n"/>
      <c r="M145" s="539" t="n"/>
      <c r="N145" s="539" t="n"/>
      <c r="O145" s="539" t="n"/>
      <c r="P145" s="539"/>
      <c r="Q145" s="539"/>
      <c r="R145" s="539">
        <f>AI145</f>
      </c>
      <c r="S145" s="23">
        <f>Y145*100</f>
      </c>
      <c r="T145" s="539">
        <f>ROUND(R145*S145/100,-1)</f>
      </c>
      <c r="U145" s="539">
        <f>IF(Q145=0,"",(T145-Q145)/Q145*100)</f>
      </c>
      <c r="V145" s="27" t="n"/>
      <c r="W145" s="601"/>
      <c r="X145" s="602">
        <f>($W$5-K145)/365</f>
      </c>
      <c r="Y145" s="127">
        <f>(W145-X145)/W145</f>
      </c>
      <c r="Z145" s="127"/>
      <c r="AA145" s="127">
        <f>Y145/2+Z145/2</f>
      </c>
      <c r="AB145" s="603">
        <f>P145/I145</f>
      </c>
      <c r="AC145" s="604">
        <f>AB145*AD145</f>
      </c>
      <c r="AD145" s="129"/>
      <c r="AE145" s="583" t="n"/>
      <c r="AF145" s="583">
        <f>AC145*0.13/(1+0.13)</f>
      </c>
      <c r="AG145" s="605">
        <f>AC145-AF145</f>
      </c>
      <c r="AH145" s="605">
        <f>AC145*I145</f>
      </c>
      <c r="AI145" s="583">
        <f>ROUND(AG145*I145,-1)</f>
      </c>
    </row>
    <row r="146" ht="15.5" customHeight="1">
      <c r="A146" s="63" t="n"/>
      <c r="B146" s="56"/>
      <c r="C146" s="56"/>
      <c r="D146" s="59" t="n"/>
      <c r="E146" s="63" t="n"/>
      <c r="F146" s="24" t="n"/>
      <c r="G146" s="63"/>
      <c r="H146" s="21"/>
      <c r="I146" s="23"/>
      <c r="J146" s="558"/>
      <c r="K146" s="558"/>
      <c r="L146" s="539" t="n"/>
      <c r="M146" s="539" t="n"/>
      <c r="N146" s="539" t="n"/>
      <c r="O146" s="539" t="n"/>
      <c r="P146" s="539"/>
      <c r="Q146" s="539"/>
      <c r="R146" s="539">
        <f>AI146</f>
      </c>
      <c r="S146" s="23">
        <f>Y146*100</f>
      </c>
      <c r="T146" s="539">
        <f>ROUND(R146*S146/100,-1)</f>
      </c>
      <c r="U146" s="539">
        <f>IF(Q146=0,"",(T146-Q146)/Q146*100)</f>
      </c>
      <c r="V146" s="27" t="n"/>
      <c r="W146" s="601"/>
      <c r="X146" s="602">
        <f>($W$5-K146)/365</f>
      </c>
      <c r="Y146" s="127">
        <f>(W146-X146)/W146</f>
      </c>
      <c r="Z146" s="127"/>
      <c r="AA146" s="127">
        <f>Y146/2+Z146/2</f>
      </c>
      <c r="AB146" s="603">
        <f>P146/I146</f>
      </c>
      <c r="AC146" s="604">
        <f>AB146*AD146</f>
      </c>
      <c r="AD146" s="129"/>
      <c r="AE146" s="583" t="n"/>
      <c r="AF146" s="583">
        <f>AC146*0.13/(1+0.13)</f>
      </c>
      <c r="AG146" s="605">
        <f>AC146-AF146</f>
      </c>
      <c r="AH146" s="605">
        <f>AC146*I146</f>
      </c>
      <c r="AI146" s="583">
        <f>ROUND(AG146*I146,-1)</f>
      </c>
    </row>
    <row r="147" ht="15.5" customHeight="1">
      <c r="A147" s="63" t="n"/>
      <c r="B147" s="56"/>
      <c r="C147" s="56"/>
      <c r="D147" s="59" t="n"/>
      <c r="E147" s="63" t="n"/>
      <c r="F147" s="24" t="n"/>
      <c r="G147" s="63"/>
      <c r="H147" s="21"/>
      <c r="I147" s="23"/>
      <c r="J147" s="558"/>
      <c r="K147" s="558"/>
      <c r="L147" s="539" t="n"/>
      <c r="M147" s="539" t="n"/>
      <c r="N147" s="539" t="n"/>
      <c r="O147" s="539" t="n"/>
      <c r="P147" s="539"/>
      <c r="Q147" s="539"/>
      <c r="R147" s="539">
        <f>AI147</f>
      </c>
      <c r="S147" s="23">
        <f>Y147*100</f>
      </c>
      <c r="T147" s="539">
        <f>ROUND(R147*S147/100,-1)</f>
      </c>
      <c r="U147" s="539">
        <f>IF(Q147=0,"",(T147-Q147)/Q147*100)</f>
      </c>
      <c r="V147" s="27" t="n"/>
      <c r="W147" s="601"/>
      <c r="X147" s="602">
        <f>($W$5-K147)/365</f>
      </c>
      <c r="Y147" s="127">
        <f>(W147-X147)/W147</f>
      </c>
      <c r="Z147" s="127"/>
      <c r="AA147" s="127">
        <f>Y147/2+Z147/2</f>
      </c>
      <c r="AB147" s="603">
        <f>P147/I147</f>
      </c>
      <c r="AC147" s="604">
        <f>AB147*AD147</f>
      </c>
      <c r="AD147" s="129"/>
      <c r="AE147" s="583" t="n"/>
      <c r="AF147" s="583">
        <f>AC147*0.13/(1+0.13)</f>
      </c>
      <c r="AG147" s="605">
        <f>AC147-AF147</f>
      </c>
      <c r="AH147" s="605">
        <f>AC147*I147</f>
      </c>
      <c r="AI147" s="583">
        <f>ROUND(AG147*I147,-1)</f>
      </c>
    </row>
    <row r="148" ht="15.5" customHeight="1">
      <c r="A148" s="63" t="n"/>
      <c r="B148" s="56"/>
      <c r="C148" s="56"/>
      <c r="D148" s="59" t="n"/>
      <c r="E148" s="63" t="n"/>
      <c r="F148" s="24" t="n"/>
      <c r="G148" s="63"/>
      <c r="H148" s="21"/>
      <c r="I148" s="23"/>
      <c r="J148" s="558"/>
      <c r="K148" s="558"/>
      <c r="L148" s="539" t="n"/>
      <c r="M148" s="539" t="n"/>
      <c r="N148" s="539" t="n"/>
      <c r="O148" s="539" t="n"/>
      <c r="P148" s="539"/>
      <c r="Q148" s="539"/>
      <c r="R148" s="539">
        <f>AI148</f>
      </c>
      <c r="S148" s="23">
        <f>Y148*100</f>
      </c>
      <c r="T148" s="539">
        <f>ROUND(R148*S148/100,-1)</f>
      </c>
      <c r="U148" s="539">
        <f>IF(Q148=0,"",(T148-Q148)/Q148*100)</f>
      </c>
      <c r="V148" s="27" t="n"/>
      <c r="W148" s="601"/>
      <c r="X148" s="602">
        <f>($W$5-K148)/365</f>
      </c>
      <c r="Y148" s="127">
        <f>(W148-X148)/W148</f>
      </c>
      <c r="Z148" s="127"/>
      <c r="AA148" s="127">
        <f>Y148/2+Z148/2</f>
      </c>
      <c r="AB148" s="603">
        <f>P148/I148</f>
      </c>
      <c r="AC148" s="604">
        <f>AB148*AD148</f>
      </c>
      <c r="AD148" s="129"/>
      <c r="AE148" s="583" t="n"/>
      <c r="AF148" s="583">
        <f>AC148*0.13/(1+0.13)</f>
      </c>
      <c r="AG148" s="605">
        <f>AC148-AF148</f>
      </c>
      <c r="AH148" s="605">
        <f>AC148*I148</f>
      </c>
      <c r="AI148" s="583">
        <f>ROUND(AG148*I148,-1)</f>
      </c>
    </row>
    <row r="149" ht="15.5" customHeight="1">
      <c r="A149" s="63" t="n"/>
      <c r="B149" s="56"/>
      <c r="C149" s="56"/>
      <c r="D149" s="59" t="n"/>
      <c r="E149" s="63" t="n"/>
      <c r="F149" s="24" t="n"/>
      <c r="G149" s="63"/>
      <c r="H149" s="21"/>
      <c r="I149" s="23"/>
      <c r="J149" s="558"/>
      <c r="K149" s="558"/>
      <c r="L149" s="539" t="n"/>
      <c r="M149" s="539" t="n"/>
      <c r="N149" s="539" t="n"/>
      <c r="O149" s="539" t="n"/>
      <c r="P149" s="539"/>
      <c r="Q149" s="539"/>
      <c r="R149" s="539">
        <f>AI149</f>
      </c>
      <c r="S149" s="23">
        <f>Y149*100</f>
      </c>
      <c r="T149" s="539">
        <f>ROUND(R149*S149/100,-1)</f>
      </c>
      <c r="U149" s="539">
        <f>IF(Q149=0,"",(T149-Q149)/Q149*100)</f>
      </c>
      <c r="V149" s="27" t="n"/>
      <c r="W149" s="601"/>
      <c r="X149" s="602">
        <f>($W$5-K149)/365</f>
      </c>
      <c r="Y149" s="127">
        <f>(W149-X149)/W149</f>
      </c>
      <c r="Z149" s="127"/>
      <c r="AA149" s="127">
        <f>Y149/2+Z149/2</f>
      </c>
      <c r="AB149" s="603">
        <f>P149/I149</f>
      </c>
      <c r="AC149" s="604">
        <f>AB149*AD149</f>
      </c>
      <c r="AD149" s="129"/>
      <c r="AE149" s="583" t="n"/>
      <c r="AF149" s="583">
        <f>AC149*0.13/(1+0.13)</f>
      </c>
      <c r="AG149" s="605">
        <f>AC149-AF149</f>
      </c>
      <c r="AH149" s="605">
        <f>AC149*I149</f>
      </c>
      <c r="AI149" s="583">
        <f>ROUND(AG149*I149,-1)</f>
      </c>
    </row>
    <row r="150" ht="15.5" customHeight="1">
      <c r="A150" s="63" t="n"/>
      <c r="B150" s="56"/>
      <c r="C150" s="56"/>
      <c r="D150" s="59" t="n"/>
      <c r="E150" s="63" t="n"/>
      <c r="F150" s="24" t="n"/>
      <c r="G150" s="63"/>
      <c r="H150" s="21"/>
      <c r="I150" s="23"/>
      <c r="J150" s="558"/>
      <c r="K150" s="558"/>
      <c r="L150" s="539" t="n"/>
      <c r="M150" s="539" t="n"/>
      <c r="N150" s="539" t="n"/>
      <c r="O150" s="539" t="n"/>
      <c r="P150" s="539"/>
      <c r="Q150" s="539"/>
      <c r="R150" s="539">
        <f>AI150</f>
      </c>
      <c r="S150" s="23">
        <f>Y150*100</f>
      </c>
      <c r="T150" s="539">
        <f>ROUND(R150*S150/100,-1)</f>
      </c>
      <c r="U150" s="539">
        <f>IF(Q150=0,"",(T150-Q150)/Q150*100)</f>
      </c>
      <c r="V150" s="27" t="n"/>
      <c r="W150" s="601"/>
      <c r="X150" s="602">
        <f>($W$5-K150)/365</f>
      </c>
      <c r="Y150" s="127">
        <f>(W150-X150)/W150</f>
      </c>
      <c r="Z150" s="127"/>
      <c r="AA150" s="127">
        <f>Y150/2+Z150/2</f>
      </c>
      <c r="AB150" s="603">
        <f>P150/I150</f>
      </c>
      <c r="AC150" s="604">
        <f>AB150*AD150</f>
      </c>
      <c r="AD150" s="129"/>
      <c r="AE150" s="583" t="n"/>
      <c r="AF150" s="583">
        <f>AC150*0.13/(1+0.13)</f>
      </c>
      <c r="AG150" s="605">
        <f>AC150-AF150</f>
      </c>
      <c r="AH150" s="605">
        <f>AC150*I150</f>
      </c>
      <c r="AI150" s="583">
        <f>ROUND(AG150*I150,-1)</f>
      </c>
    </row>
    <row r="151" ht="15.5" customHeight="1">
      <c r="A151" s="63" t="n"/>
      <c r="B151" s="56"/>
      <c r="C151" s="56"/>
      <c r="D151" s="59" t="n"/>
      <c r="E151" s="63" t="n"/>
      <c r="F151" s="24" t="n"/>
      <c r="G151" s="63"/>
      <c r="H151" s="21"/>
      <c r="I151" s="23"/>
      <c r="J151" s="558"/>
      <c r="K151" s="558"/>
      <c r="L151" s="539" t="n"/>
      <c r="M151" s="539" t="n"/>
      <c r="N151" s="539" t="n"/>
      <c r="O151" s="539" t="n"/>
      <c r="P151" s="539"/>
      <c r="Q151" s="539"/>
      <c r="R151" s="539">
        <f>AI151</f>
      </c>
      <c r="S151" s="23">
        <f>Y151*100</f>
      </c>
      <c r="T151" s="539">
        <f>ROUND(R151*S151/100,-1)</f>
      </c>
      <c r="U151" s="539">
        <f>IF(Q151=0,"",(T151-Q151)/Q151*100)</f>
      </c>
      <c r="V151" s="27" t="n"/>
      <c r="W151" s="601"/>
      <c r="X151" s="602">
        <f>($W$5-K151)/365</f>
      </c>
      <c r="Y151" s="127">
        <f>(W151-X151)/W151</f>
      </c>
      <c r="Z151" s="127"/>
      <c r="AA151" s="127">
        <f>Y151/2+Z151/2</f>
      </c>
      <c r="AB151" s="603">
        <f>P151/I151</f>
      </c>
      <c r="AC151" s="604">
        <f>AB151*AD151</f>
      </c>
      <c r="AD151" s="129"/>
      <c r="AE151" s="583" t="n"/>
      <c r="AF151" s="583">
        <f>AC151*0.13/(1+0.13)</f>
      </c>
      <c r="AG151" s="605">
        <f>AC151-AF151</f>
      </c>
      <c r="AH151" s="605">
        <f>AC151*I151</f>
      </c>
      <c r="AI151" s="583">
        <f>ROUND(AG151*I151,-1)</f>
      </c>
    </row>
    <row r="152" ht="15.5" customHeight="1">
      <c r="A152" s="63" t="n"/>
      <c r="B152" s="56"/>
      <c r="C152" s="56"/>
      <c r="D152" s="59" t="n"/>
      <c r="E152" s="63" t="n"/>
      <c r="F152" s="24" t="n"/>
      <c r="G152" s="63"/>
      <c r="H152" s="21"/>
      <c r="I152" s="23"/>
      <c r="J152" s="558"/>
      <c r="K152" s="558"/>
      <c r="L152" s="539" t="n"/>
      <c r="M152" s="539" t="n"/>
      <c r="N152" s="539" t="n"/>
      <c r="O152" s="539" t="n"/>
      <c r="P152" s="539"/>
      <c r="Q152" s="539"/>
      <c r="R152" s="539">
        <f>AI152</f>
      </c>
      <c r="S152" s="23">
        <f>Y152*100</f>
      </c>
      <c r="T152" s="539">
        <f>ROUND(R152*S152/100,-1)</f>
      </c>
      <c r="U152" s="539">
        <f>IF(Q152=0,"",(T152-Q152)/Q152*100)</f>
      </c>
      <c r="V152" s="27" t="n"/>
      <c r="W152" s="601"/>
      <c r="X152" s="602">
        <f>($W$5-K152)/365</f>
      </c>
      <c r="Y152" s="127">
        <f>(W152-X152)/W152</f>
      </c>
      <c r="Z152" s="127"/>
      <c r="AA152" s="127">
        <f>Y152/2+Z152/2</f>
      </c>
      <c r="AB152" s="603">
        <f>P152/I152</f>
      </c>
      <c r="AC152" s="604">
        <f>AB152*AD152</f>
      </c>
      <c r="AD152" s="129"/>
      <c r="AE152" s="583" t="n"/>
      <c r="AF152" s="583">
        <f>AC152*0.13/(1+0.13)</f>
      </c>
      <c r="AG152" s="605">
        <f>AC152-AF152</f>
      </c>
      <c r="AH152" s="605">
        <f>AC152*I152</f>
      </c>
      <c r="AI152" s="583">
        <f>ROUND(AG152*I152,-1)</f>
      </c>
    </row>
    <row r="153" ht="15.5" customHeight="1">
      <c r="A153" s="63" t="n"/>
      <c r="B153" s="56"/>
      <c r="C153" s="56"/>
      <c r="D153" s="59" t="n"/>
      <c r="E153" s="63" t="n"/>
      <c r="F153" s="24" t="n"/>
      <c r="G153" s="63"/>
      <c r="H153" s="21"/>
      <c r="I153" s="23"/>
      <c r="J153" s="558"/>
      <c r="K153" s="558"/>
      <c r="L153" s="539" t="n"/>
      <c r="M153" s="539" t="n"/>
      <c r="N153" s="539" t="n"/>
      <c r="O153" s="539" t="n"/>
      <c r="P153" s="539"/>
      <c r="Q153" s="539"/>
      <c r="R153" s="539">
        <f>AI153</f>
      </c>
      <c r="S153" s="23">
        <f>Y153*100</f>
      </c>
      <c r="T153" s="539">
        <f>ROUND(R153*S153/100,-1)</f>
      </c>
      <c r="U153" s="539">
        <f>IF(Q153=0,"",(T153-Q153)/Q153*100)</f>
      </c>
      <c r="V153" s="27" t="n"/>
      <c r="W153" s="601"/>
      <c r="X153" s="602">
        <f>($W$5-K153)/365</f>
      </c>
      <c r="Y153" s="127">
        <f>(W153-X153)/W153</f>
      </c>
      <c r="Z153" s="127"/>
      <c r="AA153" s="127">
        <f>Y153/2+Z153/2</f>
      </c>
      <c r="AB153" s="603">
        <f>P153/I153</f>
      </c>
      <c r="AC153" s="604">
        <f>AB153*AD153</f>
      </c>
      <c r="AD153" s="129"/>
      <c r="AE153" s="583" t="n"/>
      <c r="AF153" s="583">
        <f>AC153*0.13/(1+0.13)</f>
      </c>
      <c r="AG153" s="605">
        <f>AC153-AF153</f>
      </c>
      <c r="AH153" s="605">
        <f>AC153*I153</f>
      </c>
      <c r="AI153" s="583">
        <f>ROUND(AG153*I153,-1)</f>
      </c>
    </row>
    <row r="154" ht="15.5" customHeight="1">
      <c r="A154" s="63" t="n"/>
      <c r="B154" s="56"/>
      <c r="C154" s="56"/>
      <c r="D154" s="59" t="n"/>
      <c r="E154" s="63" t="n"/>
      <c r="F154" s="24" t="n"/>
      <c r="G154" s="63"/>
      <c r="H154" s="21"/>
      <c r="I154" s="23"/>
      <c r="J154" s="558"/>
      <c r="K154" s="558"/>
      <c r="L154" s="539" t="n"/>
      <c r="M154" s="539" t="n"/>
      <c r="N154" s="539" t="n"/>
      <c r="O154" s="539" t="n"/>
      <c r="P154" s="539"/>
      <c r="Q154" s="539"/>
      <c r="R154" s="539">
        <f>AI154</f>
      </c>
      <c r="S154" s="23">
        <f>Y154*100</f>
      </c>
      <c r="T154" s="539">
        <f>ROUND(R154*S154/100,-1)</f>
      </c>
      <c r="U154" s="539">
        <f>IF(Q154=0,"",(T154-Q154)/Q154*100)</f>
      </c>
      <c r="V154" s="27" t="n"/>
      <c r="W154" s="601"/>
      <c r="X154" s="602">
        <f>($W$5-K154)/365</f>
      </c>
      <c r="Y154" s="127">
        <f>(W154-X154)/W154</f>
      </c>
      <c r="Z154" s="127"/>
      <c r="AA154" s="127">
        <f>Y154/2+Z154/2</f>
      </c>
      <c r="AB154" s="603">
        <f>P154/I154</f>
      </c>
      <c r="AC154" s="604">
        <f>AB154*AD154</f>
      </c>
      <c r="AD154" s="129"/>
      <c r="AE154" s="583" t="n"/>
      <c r="AF154" s="583">
        <f>AC154*0.13/(1+0.13)</f>
      </c>
      <c r="AG154" s="605">
        <f>AC154-AF154</f>
      </c>
      <c r="AH154" s="605">
        <f>AC154*I154</f>
      </c>
      <c r="AI154" s="583">
        <f>ROUND(AG154*I154,-1)</f>
      </c>
    </row>
    <row r="155" ht="15.5" customHeight="1">
      <c r="A155" s="63" t="n"/>
      <c r="B155" s="56"/>
      <c r="C155" s="56"/>
      <c r="D155" s="59" t="n"/>
      <c r="E155" s="63" t="n"/>
      <c r="F155" s="24" t="n"/>
      <c r="G155" s="63"/>
      <c r="H155" s="21"/>
      <c r="I155" s="23"/>
      <c r="J155" s="558"/>
      <c r="K155" s="558"/>
      <c r="L155" s="539" t="n"/>
      <c r="M155" s="539" t="n"/>
      <c r="N155" s="539" t="n"/>
      <c r="O155" s="539" t="n"/>
      <c r="P155" s="539"/>
      <c r="Q155" s="539"/>
      <c r="R155" s="539">
        <f>AI155</f>
      </c>
      <c r="S155" s="23">
        <f>Y155*100</f>
      </c>
      <c r="T155" s="539">
        <f>ROUND(R155*S155/100,-1)</f>
      </c>
      <c r="U155" s="539">
        <f>IF(Q155=0,"",(T155-Q155)/Q155*100)</f>
      </c>
      <c r="V155" s="27" t="n"/>
      <c r="W155" s="601"/>
      <c r="X155" s="602">
        <f>($W$5-K155)/365</f>
      </c>
      <c r="Y155" s="127">
        <f>(W155-X155)/W155</f>
      </c>
      <c r="Z155" s="127"/>
      <c r="AA155" s="127">
        <f>Y155/2+Z155/2</f>
      </c>
      <c r="AB155" s="603">
        <f>P155/I155</f>
      </c>
      <c r="AC155" s="604">
        <f>AB155*AD155</f>
      </c>
      <c r="AD155" s="129"/>
      <c r="AE155" s="583" t="n"/>
      <c r="AF155" s="583">
        <f>AC155*0.13/(1+0.13)</f>
      </c>
      <c r="AG155" s="605">
        <f>AC155-AF155</f>
      </c>
      <c r="AH155" s="605">
        <f>AC155*I155</f>
      </c>
      <c r="AI155" s="583">
        <f>ROUND(AG155*I155,-1)</f>
      </c>
    </row>
    <row r="156" ht="15.5" customHeight="1">
      <c r="A156" s="63" t="n"/>
      <c r="B156" s="56"/>
      <c r="C156" s="56"/>
      <c r="D156" s="59" t="n"/>
      <c r="E156" s="63" t="n"/>
      <c r="F156" s="24" t="n"/>
      <c r="G156" s="63"/>
      <c r="H156" s="21"/>
      <c r="I156" s="23"/>
      <c r="J156" s="558"/>
      <c r="K156" s="558"/>
      <c r="L156" s="539" t="n"/>
      <c r="M156" s="539" t="n"/>
      <c r="N156" s="539" t="n"/>
      <c r="O156" s="539" t="n"/>
      <c r="P156" s="539"/>
      <c r="Q156" s="539"/>
      <c r="R156" s="539">
        <f>AI156</f>
      </c>
      <c r="S156" s="23">
        <f>Y156*100</f>
      </c>
      <c r="T156" s="539">
        <f>ROUND(R156*S156/100,-1)</f>
      </c>
      <c r="U156" s="539">
        <f>IF(Q156=0,"",(T156-Q156)/Q156*100)</f>
      </c>
      <c r="V156" s="27" t="n"/>
      <c r="W156" s="601"/>
      <c r="X156" s="602">
        <f>($W$5-K156)/365</f>
      </c>
      <c r="Y156" s="127">
        <f>(W156-X156)/W156</f>
      </c>
      <c r="Z156" s="127"/>
      <c r="AA156" s="127">
        <f>Y156/2+Z156/2</f>
      </c>
      <c r="AB156" s="603">
        <f>P156/I156</f>
      </c>
      <c r="AC156" s="604">
        <f>AB156*AD156</f>
      </c>
      <c r="AD156" s="129"/>
      <c r="AE156" s="583" t="n"/>
      <c r="AF156" s="583">
        <f>AC156*0.13/(1+0.13)</f>
      </c>
      <c r="AG156" s="605">
        <f>AC156-AF156</f>
      </c>
      <c r="AH156" s="605">
        <f>AC156*I156</f>
      </c>
      <c r="AI156" s="583">
        <f>ROUND(AG156*I156,-1)</f>
      </c>
    </row>
    <row r="157" ht="15.5" customHeight="1">
      <c r="A157" s="63" t="n"/>
      <c r="B157" s="56"/>
      <c r="C157" s="56"/>
      <c r="D157" s="59" t="n"/>
      <c r="E157" s="63" t="n"/>
      <c r="F157" s="24" t="n"/>
      <c r="G157" s="63"/>
      <c r="H157" s="21"/>
      <c r="I157" s="23"/>
      <c r="J157" s="558"/>
      <c r="K157" s="558"/>
      <c r="L157" s="539" t="n"/>
      <c r="M157" s="539" t="n"/>
      <c r="N157" s="539" t="n"/>
      <c r="O157" s="539" t="n"/>
      <c r="P157" s="539"/>
      <c r="Q157" s="539"/>
      <c r="R157" s="539">
        <f>AI157</f>
      </c>
      <c r="S157" s="23">
        <f>Y157*100</f>
      </c>
      <c r="T157" s="539">
        <f>ROUND(R157*S157/100,-1)</f>
      </c>
      <c r="U157" s="539">
        <f>IF(Q157=0,"",(T157-Q157)/Q157*100)</f>
      </c>
      <c r="V157" s="27" t="n"/>
      <c r="W157" s="601"/>
      <c r="X157" s="602">
        <f>($W$5-K157)/365</f>
      </c>
      <c r="Y157" s="127">
        <f>(W157-X157)/W157</f>
      </c>
      <c r="Z157" s="127"/>
      <c r="AA157" s="127">
        <f>Y157/2+Z157/2</f>
      </c>
      <c r="AB157" s="603">
        <f>P157/I157</f>
      </c>
      <c r="AC157" s="604">
        <f>AB157*AD157</f>
      </c>
      <c r="AD157" s="129"/>
      <c r="AE157" s="583" t="n"/>
      <c r="AF157" s="583">
        <f>AC157*0.13/(1+0.13)</f>
      </c>
      <c r="AG157" s="605">
        <f>AC157-AF157</f>
      </c>
      <c r="AH157" s="605">
        <f>AC157*I157</f>
      </c>
      <c r="AI157" s="583">
        <f>ROUND(AG157*I157,-1)</f>
      </c>
    </row>
    <row r="158" ht="15.5" customHeight="1">
      <c r="A158" s="63" t="n"/>
      <c r="B158" s="56"/>
      <c r="C158" s="56"/>
      <c r="D158" s="59" t="n"/>
      <c r="E158" s="63" t="n"/>
      <c r="F158" s="24" t="n"/>
      <c r="G158" s="63"/>
      <c r="H158" s="21"/>
      <c r="I158" s="23"/>
      <c r="J158" s="558"/>
      <c r="K158" s="558"/>
      <c r="L158" s="539" t="n"/>
      <c r="M158" s="539" t="n"/>
      <c r="N158" s="539" t="n"/>
      <c r="O158" s="539" t="n"/>
      <c r="P158" s="539"/>
      <c r="Q158" s="539"/>
      <c r="R158" s="539">
        <f>AI158</f>
      </c>
      <c r="S158" s="23">
        <f>Y158*100</f>
      </c>
      <c r="T158" s="539">
        <f>ROUND(R158*S158/100,-1)</f>
      </c>
      <c r="U158" s="539">
        <f>IF(Q158=0,"",(T158-Q158)/Q158*100)</f>
      </c>
      <c r="V158" s="27" t="n"/>
      <c r="W158" s="601"/>
      <c r="X158" s="602">
        <f>($W$5-K158)/365</f>
      </c>
      <c r="Y158" s="127">
        <f>(W158-X158)/W158</f>
      </c>
      <c r="Z158" s="127"/>
      <c r="AA158" s="127">
        <f>Y158/2+Z158/2</f>
      </c>
      <c r="AB158" s="603">
        <f>P158/I158</f>
      </c>
      <c r="AC158" s="604">
        <f>AB158*AD158</f>
      </c>
      <c r="AD158" s="129"/>
      <c r="AE158" s="583" t="n"/>
      <c r="AF158" s="583">
        <f>AC158*0.13/(1+0.13)</f>
      </c>
      <c r="AG158" s="605">
        <f>AC158-AF158</f>
      </c>
      <c r="AH158" s="605">
        <f>AC158*I158</f>
      </c>
      <c r="AI158" s="583">
        <f>ROUND(AG158*I158,-1)</f>
      </c>
    </row>
    <row r="159" ht="15.5" customHeight="1">
      <c r="A159" s="63" t="n"/>
      <c r="B159" s="56"/>
      <c r="C159" s="56"/>
      <c r="D159" s="59" t="n"/>
      <c r="E159" s="63" t="n"/>
      <c r="F159" s="24" t="n"/>
      <c r="G159" s="63"/>
      <c r="H159" s="21"/>
      <c r="I159" s="23"/>
      <c r="J159" s="558"/>
      <c r="K159" s="558"/>
      <c r="L159" s="539" t="n"/>
      <c r="M159" s="539" t="n"/>
      <c r="N159" s="539" t="n"/>
      <c r="O159" s="539" t="n"/>
      <c r="P159" s="539"/>
      <c r="Q159" s="539"/>
      <c r="R159" s="539">
        <f>AI159</f>
      </c>
      <c r="S159" s="23">
        <f>Y159*100</f>
      </c>
      <c r="T159" s="539">
        <f>ROUND(R159*S159/100,-1)</f>
      </c>
      <c r="U159" s="539">
        <f>IF(Q159=0,"",(T159-Q159)/Q159*100)</f>
      </c>
      <c r="V159" s="27" t="n"/>
      <c r="W159" s="601"/>
      <c r="X159" s="602">
        <f>($W$5-K159)/365</f>
      </c>
      <c r="Y159" s="127">
        <f>(W159-X159)/W159</f>
      </c>
      <c r="Z159" s="127"/>
      <c r="AA159" s="127">
        <f>Y159/2+Z159/2</f>
      </c>
      <c r="AB159" s="603">
        <f>P159/I159</f>
      </c>
      <c r="AC159" s="604">
        <f>AB159*AD159</f>
      </c>
      <c r="AD159" s="129"/>
      <c r="AE159" s="583" t="n"/>
      <c r="AF159" s="583">
        <f>AC159*0.13/(1+0.13)</f>
      </c>
      <c r="AG159" s="605">
        <f>AC159-AF159</f>
      </c>
      <c r="AH159" s="605">
        <f>AC159*I159</f>
      </c>
      <c r="AI159" s="583">
        <f>ROUND(AG159*I159,-1)</f>
      </c>
    </row>
    <row r="160" ht="15.5" customHeight="1">
      <c r="A160" s="63" t="n"/>
      <c r="B160" s="56"/>
      <c r="C160" s="56"/>
      <c r="D160" s="59" t="n"/>
      <c r="E160" s="63" t="n"/>
      <c r="F160" s="24" t="n"/>
      <c r="G160" s="63"/>
      <c r="H160" s="21"/>
      <c r="I160" s="23"/>
      <c r="J160" s="558"/>
      <c r="K160" s="558"/>
      <c r="L160" s="539" t="n"/>
      <c r="M160" s="539" t="n"/>
      <c r="N160" s="539" t="n"/>
      <c r="O160" s="539" t="n"/>
      <c r="P160" s="539"/>
      <c r="Q160" s="539"/>
      <c r="R160" s="539">
        <f>AI160</f>
      </c>
      <c r="S160" s="23">
        <f>Y160*100</f>
      </c>
      <c r="T160" s="539">
        <f>ROUND(R160*S160/100,-1)</f>
      </c>
      <c r="U160" s="539">
        <f>IF(Q160=0,"",(T160-Q160)/Q160*100)</f>
      </c>
      <c r="V160" s="27" t="n"/>
      <c r="W160" s="601"/>
      <c r="X160" s="602">
        <f>($W$5-K160)/365</f>
      </c>
      <c r="Y160" s="127">
        <f>(W160-X160)/W160</f>
      </c>
      <c r="Z160" s="127"/>
      <c r="AA160" s="127">
        <f>Y160/2+Z160/2</f>
      </c>
      <c r="AB160" s="603">
        <f>P160/I160</f>
      </c>
      <c r="AC160" s="604">
        <f>AB160*AD160</f>
      </c>
      <c r="AD160" s="129"/>
      <c r="AE160" s="583" t="n"/>
      <c r="AF160" s="583">
        <f>AC160*0.13/(1+0.13)</f>
      </c>
      <c r="AG160" s="605">
        <f>AC160-AF160</f>
      </c>
      <c r="AH160" s="605">
        <f>AC160*I160</f>
      </c>
      <c r="AI160" s="583">
        <f>ROUND(AG160*I160,-1)</f>
      </c>
    </row>
    <row r="161" ht="15.5" customHeight="1">
      <c r="A161" s="63" t="n"/>
      <c r="B161" s="56"/>
      <c r="C161" s="56"/>
      <c r="D161" s="59" t="n"/>
      <c r="E161" s="63" t="n"/>
      <c r="F161" s="24" t="n"/>
      <c r="G161" s="63"/>
      <c r="H161" s="21"/>
      <c r="I161" s="23"/>
      <c r="J161" s="558"/>
      <c r="K161" s="558"/>
      <c r="L161" s="539" t="n"/>
      <c r="M161" s="539" t="n"/>
      <c r="N161" s="539" t="n"/>
      <c r="O161" s="539" t="n"/>
      <c r="P161" s="539"/>
      <c r="Q161" s="539"/>
      <c r="R161" s="539">
        <f>AI161</f>
      </c>
      <c r="S161" s="23">
        <f>Y161*100</f>
      </c>
      <c r="T161" s="539">
        <f>ROUND(R161*S161/100,-1)</f>
      </c>
      <c r="U161" s="539">
        <f>IF(Q161=0,"",(T161-Q161)/Q161*100)</f>
      </c>
      <c r="V161" s="27" t="n"/>
      <c r="W161" s="601"/>
      <c r="X161" s="602">
        <f>($W$5-K161)/365</f>
      </c>
      <c r="Y161" s="127">
        <f>(W161-X161)/W161</f>
      </c>
      <c r="Z161" s="127"/>
      <c r="AA161" s="127">
        <f>Y161/2+Z161/2</f>
      </c>
      <c r="AB161" s="603">
        <f>P161/I161</f>
      </c>
      <c r="AC161" s="604">
        <f>AB161*AD161</f>
      </c>
      <c r="AD161" s="129"/>
      <c r="AE161" s="583" t="n"/>
      <c r="AF161" s="583">
        <f>AC161*0.13/(1+0.13)</f>
      </c>
      <c r="AG161" s="605">
        <f>AC161-AF161</f>
      </c>
      <c r="AH161" s="605">
        <f>AC161*I161</f>
      </c>
      <c r="AI161" s="583">
        <f>ROUND(AG161*I161,-1)</f>
      </c>
    </row>
    <row r="162" ht="15.5" customHeight="1">
      <c r="A162" s="63" t="n"/>
      <c r="B162" s="56"/>
      <c r="C162" s="56"/>
      <c r="D162" s="59" t="n"/>
      <c r="E162" s="63" t="n"/>
      <c r="F162" s="24" t="n"/>
      <c r="G162" s="63"/>
      <c r="H162" s="21"/>
      <c r="I162" s="23"/>
      <c r="J162" s="558"/>
      <c r="K162" s="558"/>
      <c r="L162" s="539" t="n"/>
      <c r="M162" s="539" t="n"/>
      <c r="N162" s="539" t="n"/>
      <c r="O162" s="539" t="n"/>
      <c r="P162" s="539"/>
      <c r="Q162" s="539"/>
      <c r="R162" s="539">
        <f>AI162</f>
      </c>
      <c r="S162" s="23">
        <f>Y162*100</f>
      </c>
      <c r="T162" s="539">
        <f>ROUND(R162*S162/100,-1)</f>
      </c>
      <c r="U162" s="539">
        <f>IF(Q162=0,"",(T162-Q162)/Q162*100)</f>
      </c>
      <c r="V162" s="27" t="n"/>
      <c r="W162" s="601"/>
      <c r="X162" s="602">
        <f>($W$5-K162)/365</f>
      </c>
      <c r="Y162" s="127">
        <f>(W162-X162)/W162</f>
      </c>
      <c r="Z162" s="127"/>
      <c r="AA162" s="127">
        <f>Y162/2+Z162/2</f>
      </c>
      <c r="AB162" s="603">
        <f>P162/I162</f>
      </c>
      <c r="AC162" s="604">
        <f>AB162*AD162</f>
      </c>
      <c r="AD162" s="129"/>
      <c r="AE162" s="583" t="n"/>
      <c r="AF162" s="583">
        <f>AC162*0.13/(1+0.13)</f>
      </c>
      <c r="AG162" s="605">
        <f>AC162-AF162</f>
      </c>
      <c r="AH162" s="605">
        <f>AC162*I162</f>
      </c>
      <c r="AI162" s="583">
        <f>ROUND(AG162*I162,-1)</f>
      </c>
    </row>
    <row r="163" ht="15.5" customHeight="1">
      <c r="A163" s="63" t="n"/>
      <c r="B163" s="56"/>
      <c r="C163" s="56"/>
      <c r="D163" s="59" t="n"/>
      <c r="E163" s="63" t="n"/>
      <c r="F163" s="24" t="n"/>
      <c r="G163" s="63"/>
      <c r="H163" s="21"/>
      <c r="I163" s="23"/>
      <c r="J163" s="558"/>
      <c r="K163" s="558"/>
      <c r="L163" s="539" t="n"/>
      <c r="M163" s="539" t="n"/>
      <c r="N163" s="539" t="n"/>
      <c r="O163" s="539" t="n"/>
      <c r="P163" s="539"/>
      <c r="Q163" s="539"/>
      <c r="R163" s="539">
        <f>AI163</f>
      </c>
      <c r="S163" s="23">
        <f>Y163*100</f>
      </c>
      <c r="T163" s="539">
        <f>ROUND(R163*S163/100,-1)</f>
      </c>
      <c r="U163" s="539">
        <f>IF(Q163=0,"",(T163-Q163)/Q163*100)</f>
      </c>
      <c r="V163" s="27" t="n"/>
      <c r="W163" s="601"/>
      <c r="X163" s="602">
        <f>($W$5-K163)/365</f>
      </c>
      <c r="Y163" s="127">
        <f>(W163-X163)/W163</f>
      </c>
      <c r="Z163" s="127"/>
      <c r="AA163" s="127">
        <f>Y163/2+Z163/2</f>
      </c>
      <c r="AB163" s="603">
        <f>P163/I163</f>
      </c>
      <c r="AC163" s="604">
        <f>AB163*AD163</f>
      </c>
      <c r="AD163" s="129"/>
      <c r="AE163" s="583" t="n"/>
      <c r="AF163" s="583">
        <f>AC163*0.13/(1+0.13)</f>
      </c>
      <c r="AG163" s="605">
        <f>AC163-AF163</f>
      </c>
      <c r="AH163" s="605">
        <f>AC163*I163</f>
      </c>
      <c r="AI163" s="583">
        <f>ROUND(AG163*I163,-1)</f>
      </c>
    </row>
    <row r="164" ht="15.5" customHeight="1">
      <c r="A164" s="63" t="n"/>
      <c r="B164" s="56"/>
      <c r="C164" s="56"/>
      <c r="D164" s="59" t="n"/>
      <c r="E164" s="63" t="n"/>
      <c r="F164" s="24" t="n"/>
      <c r="G164" s="63"/>
      <c r="H164" s="21"/>
      <c r="I164" s="23"/>
      <c r="J164" s="558"/>
      <c r="K164" s="558"/>
      <c r="L164" s="539" t="n"/>
      <c r="M164" s="539" t="n"/>
      <c r="N164" s="539" t="n"/>
      <c r="O164" s="539" t="n"/>
      <c r="P164" s="539"/>
      <c r="Q164" s="539"/>
      <c r="R164" s="539">
        <f>AI164</f>
      </c>
      <c r="S164" s="23">
        <f>Y164*100</f>
      </c>
      <c r="T164" s="539">
        <f>ROUND(R164*S164/100,-1)</f>
      </c>
      <c r="U164" s="539">
        <f>IF(Q164=0,"",(T164-Q164)/Q164*100)</f>
      </c>
      <c r="V164" s="27" t="n"/>
      <c r="W164" s="601"/>
      <c r="X164" s="602">
        <f>($W$5-K164)/365</f>
      </c>
      <c r="Y164" s="127">
        <f>(W164-X164)/W164</f>
      </c>
      <c r="Z164" s="127"/>
      <c r="AA164" s="127">
        <f>Y164/2+Z164/2</f>
      </c>
      <c r="AB164" s="603">
        <f>P164/I164</f>
      </c>
      <c r="AC164" s="604">
        <f>AB164*AD164</f>
      </c>
      <c r="AD164" s="129"/>
      <c r="AE164" s="583" t="n"/>
      <c r="AF164" s="583">
        <f>AC164*0.13/(1+0.13)</f>
      </c>
      <c r="AG164" s="605">
        <f>AC164-AF164</f>
      </c>
      <c r="AH164" s="605">
        <f>AC164*I164</f>
      </c>
      <c r="AI164" s="583">
        <f>ROUND(AG164*I164,-1)</f>
      </c>
    </row>
    <row r="165" ht="15.5" customHeight="1">
      <c r="A165" s="63" t="n"/>
      <c r="B165" s="56"/>
      <c r="C165" s="56"/>
      <c r="D165" s="59" t="n"/>
      <c r="E165" s="63" t="n"/>
      <c r="F165" s="24" t="n"/>
      <c r="G165" s="63"/>
      <c r="H165" s="21"/>
      <c r="I165" s="23"/>
      <c r="J165" s="558"/>
      <c r="K165" s="558"/>
      <c r="L165" s="539" t="n"/>
      <c r="M165" s="539" t="n"/>
      <c r="N165" s="539" t="n"/>
      <c r="O165" s="539" t="n"/>
      <c r="P165" s="539"/>
      <c r="Q165" s="539"/>
      <c r="R165" s="539">
        <f>AI165</f>
      </c>
      <c r="S165" s="23">
        <f>Y165*100</f>
      </c>
      <c r="T165" s="539">
        <f>ROUND(R165*S165/100,-1)</f>
      </c>
      <c r="U165" s="539">
        <f>IF(Q165=0,"",(T165-Q165)/Q165*100)</f>
      </c>
      <c r="V165" s="27" t="n"/>
      <c r="W165" s="601"/>
      <c r="X165" s="602">
        <f>($W$5-K165)/365</f>
      </c>
      <c r="Y165" s="127">
        <f>(W165-X165)/W165</f>
      </c>
      <c r="Z165" s="127"/>
      <c r="AA165" s="127">
        <f>Y165/2+Z165/2</f>
      </c>
      <c r="AB165" s="603">
        <f>P165/I165</f>
      </c>
      <c r="AC165" s="604">
        <f>AB165*AD165</f>
      </c>
      <c r="AD165" s="129"/>
      <c r="AE165" s="583" t="n"/>
      <c r="AF165" s="583">
        <f>AC165*0.13/(1+0.13)</f>
      </c>
      <c r="AG165" s="605">
        <f>AC165-AF165</f>
      </c>
      <c r="AH165" s="605">
        <f>AC165*I165</f>
      </c>
      <c r="AI165" s="583">
        <f>ROUND(AG165*I165,-1)</f>
      </c>
    </row>
    <row r="166" ht="15.5" customHeight="1">
      <c r="A166" s="63" t="n"/>
      <c r="B166" s="56"/>
      <c r="C166" s="56"/>
      <c r="D166" s="59" t="n"/>
      <c r="E166" s="63" t="n"/>
      <c r="F166" s="24" t="n"/>
      <c r="G166" s="63"/>
      <c r="H166" s="21"/>
      <c r="I166" s="23"/>
      <c r="J166" s="558"/>
      <c r="K166" s="558"/>
      <c r="L166" s="539" t="n"/>
      <c r="M166" s="539" t="n"/>
      <c r="N166" s="539" t="n"/>
      <c r="O166" s="539" t="n"/>
      <c r="P166" s="539"/>
      <c r="Q166" s="539"/>
      <c r="R166" s="539">
        <f>AI166</f>
      </c>
      <c r="S166" s="23">
        <f>Y166*100</f>
      </c>
      <c r="T166" s="539">
        <f>ROUND(R166*S166/100,-1)</f>
      </c>
      <c r="U166" s="539">
        <f>IF(Q166=0,"",(T166-Q166)/Q166*100)</f>
      </c>
      <c r="V166" s="27" t="n"/>
      <c r="W166" s="601"/>
      <c r="X166" s="602">
        <f>($W$5-K166)/365</f>
      </c>
      <c r="Y166" s="127">
        <f>(W166-X166)/W166</f>
      </c>
      <c r="Z166" s="127"/>
      <c r="AA166" s="127">
        <f>Y166/2+Z166/2</f>
      </c>
      <c r="AB166" s="603">
        <f>P166/I166</f>
      </c>
      <c r="AC166" s="604">
        <f>AB166*AD166</f>
      </c>
      <c r="AD166" s="129"/>
      <c r="AE166" s="583" t="n"/>
      <c r="AF166" s="583">
        <f>AC166*0.13/(1+0.13)</f>
      </c>
      <c r="AG166" s="605">
        <f>AC166-AF166</f>
      </c>
      <c r="AH166" s="605">
        <f>AC166*I166</f>
      </c>
      <c r="AI166" s="583">
        <f>ROUND(AG166*I166,-1)</f>
      </c>
    </row>
    <row r="167" ht="15.5" customHeight="1">
      <c r="A167" s="63" t="n"/>
      <c r="B167" s="56"/>
      <c r="C167" s="56"/>
      <c r="D167" s="59" t="n"/>
      <c r="E167" s="63" t="n"/>
      <c r="F167" s="24" t="n"/>
      <c r="G167" s="63"/>
      <c r="H167" s="21"/>
      <c r="I167" s="23"/>
      <c r="J167" s="558"/>
      <c r="K167" s="558"/>
      <c r="L167" s="539" t="n"/>
      <c r="M167" s="539" t="n"/>
      <c r="N167" s="539" t="n"/>
      <c r="O167" s="539" t="n"/>
      <c r="P167" s="539"/>
      <c r="Q167" s="539"/>
      <c r="R167" s="539">
        <f>AI167</f>
      </c>
      <c r="S167" s="23">
        <f>Y167*100</f>
      </c>
      <c r="T167" s="539">
        <f>ROUND(R167*S167/100,-1)</f>
      </c>
      <c r="U167" s="539">
        <f>IF(Q167=0,"",(T167-Q167)/Q167*100)</f>
      </c>
      <c r="V167" s="27" t="n"/>
      <c r="W167" s="601"/>
      <c r="X167" s="602">
        <f>($W$5-K167)/365</f>
      </c>
      <c r="Y167" s="127">
        <f>(W167-X167)/W167</f>
      </c>
      <c r="Z167" s="127"/>
      <c r="AA167" s="127">
        <f>Y167/2+Z167/2</f>
      </c>
      <c r="AB167" s="603">
        <f>P167/I167</f>
      </c>
      <c r="AC167" s="604">
        <f>AB167*AD167</f>
      </c>
      <c r="AD167" s="129"/>
      <c r="AE167" s="583" t="n"/>
      <c r="AF167" s="583">
        <f>AC167*0.13/(1+0.13)</f>
      </c>
      <c r="AG167" s="605">
        <f>AC167-AF167</f>
      </c>
      <c r="AH167" s="605">
        <f>AC167*I167</f>
      </c>
      <c r="AI167" s="583">
        <f>ROUND(AG167*I167,-1)</f>
      </c>
    </row>
    <row r="168" ht="15.5" customHeight="1">
      <c r="A168" s="63" t="n"/>
      <c r="B168" s="56"/>
      <c r="C168" s="56"/>
      <c r="D168" s="59" t="n"/>
      <c r="E168" s="63" t="n"/>
      <c r="F168" s="24" t="n"/>
      <c r="G168" s="63"/>
      <c r="H168" s="21"/>
      <c r="I168" s="23"/>
      <c r="J168" s="558"/>
      <c r="K168" s="558"/>
      <c r="L168" s="539" t="n"/>
      <c r="M168" s="539" t="n"/>
      <c r="N168" s="539" t="n"/>
      <c r="O168" s="539" t="n"/>
      <c r="P168" s="539"/>
      <c r="Q168" s="539"/>
      <c r="R168" s="539">
        <f>AI168</f>
      </c>
      <c r="S168" s="23">
        <f>Y168*100</f>
      </c>
      <c r="T168" s="539">
        <f>ROUND(R168*S168/100,-1)</f>
      </c>
      <c r="U168" s="539">
        <f>IF(Q168=0,"",(T168-Q168)/Q168*100)</f>
      </c>
      <c r="V168" s="27" t="n"/>
      <c r="W168" s="601"/>
      <c r="X168" s="602">
        <f>($W$5-K168)/365</f>
      </c>
      <c r="Y168" s="127">
        <f>(W168-X168)/W168</f>
      </c>
      <c r="Z168" s="127"/>
      <c r="AA168" s="127">
        <f>Y168/2+Z168/2</f>
      </c>
      <c r="AB168" s="603">
        <f>P168/I168</f>
      </c>
      <c r="AC168" s="604">
        <f>AB168*AD168</f>
      </c>
      <c r="AD168" s="129"/>
      <c r="AE168" s="583" t="n"/>
      <c r="AF168" s="583">
        <f>AC168*0.13/(1+0.13)</f>
      </c>
      <c r="AG168" s="605">
        <f>AC168-AF168</f>
      </c>
      <c r="AH168" s="605">
        <f>AC168*I168</f>
      </c>
      <c r="AI168" s="583">
        <f>ROUND(AG168*I168,-1)</f>
      </c>
    </row>
    <row r="169" ht="15.5" customHeight="1">
      <c r="A169" s="63" t="n"/>
      <c r="B169" s="56"/>
      <c r="C169" s="56"/>
      <c r="D169" s="59" t="n"/>
      <c r="E169" s="63" t="n"/>
      <c r="F169" s="24" t="n"/>
      <c r="G169" s="63"/>
      <c r="H169" s="21"/>
      <c r="I169" s="23"/>
      <c r="J169" s="558"/>
      <c r="K169" s="558"/>
      <c r="L169" s="539" t="n"/>
      <c r="M169" s="539" t="n"/>
      <c r="N169" s="539" t="n"/>
      <c r="O169" s="539" t="n"/>
      <c r="P169" s="539"/>
      <c r="Q169" s="539"/>
      <c r="R169" s="539">
        <f>AI169</f>
      </c>
      <c r="S169" s="23">
        <f>Y169*100</f>
      </c>
      <c r="T169" s="539">
        <f>ROUND(R169*S169/100,-1)</f>
      </c>
      <c r="U169" s="539">
        <f>IF(Q169=0,"",(T169-Q169)/Q169*100)</f>
      </c>
      <c r="V169" s="27" t="n"/>
      <c r="W169" s="601"/>
      <c r="X169" s="602">
        <f>($W$5-K169)/365</f>
      </c>
      <c r="Y169" s="127">
        <f>(W169-X169)/W169</f>
      </c>
      <c r="Z169" s="127"/>
      <c r="AA169" s="127">
        <f>Y169/2+Z169/2</f>
      </c>
      <c r="AB169" s="603">
        <f>P169/I169</f>
      </c>
      <c r="AC169" s="604">
        <f>AB169*AD169</f>
      </c>
      <c r="AD169" s="129"/>
      <c r="AE169" s="583" t="n"/>
      <c r="AF169" s="583">
        <f>AC169*0.13/(1+0.13)</f>
      </c>
      <c r="AG169" s="605">
        <f>AC169-AF169</f>
      </c>
      <c r="AH169" s="605">
        <f>AC169*I169</f>
      </c>
      <c r="AI169" s="583">
        <f>ROUND(AG169*I169,-1)</f>
      </c>
    </row>
    <row r="170" ht="15.5" customHeight="1">
      <c r="A170" s="63" t="n"/>
      <c r="B170" s="56"/>
      <c r="C170" s="56"/>
      <c r="D170" s="59" t="n"/>
      <c r="E170" s="63" t="n"/>
      <c r="F170" s="24" t="n"/>
      <c r="G170" s="63"/>
      <c r="H170" s="21"/>
      <c r="I170" s="23"/>
      <c r="J170" s="558"/>
      <c r="K170" s="558"/>
      <c r="L170" s="539" t="n"/>
      <c r="M170" s="539" t="n"/>
      <c r="N170" s="539" t="n"/>
      <c r="O170" s="539" t="n"/>
      <c r="P170" s="539"/>
      <c r="Q170" s="539"/>
      <c r="R170" s="539">
        <f>AI170</f>
      </c>
      <c r="S170" s="23">
        <f>Y170*100</f>
      </c>
      <c r="T170" s="539">
        <f>ROUND(R170*S170/100,-1)</f>
      </c>
      <c r="U170" s="539">
        <f>IF(Q170=0,"",(T170-Q170)/Q170*100)</f>
      </c>
      <c r="V170" s="27" t="n"/>
      <c r="W170" s="601"/>
      <c r="X170" s="602">
        <f>($W$5-K170)/365</f>
      </c>
      <c r="Y170" s="127">
        <f>(W170-X170)/W170</f>
      </c>
      <c r="Z170" s="127"/>
      <c r="AA170" s="127">
        <f>Y170/2+Z170/2</f>
      </c>
      <c r="AB170" s="603">
        <f>P170/I170</f>
      </c>
      <c r="AC170" s="604">
        <f>AB170*AD170</f>
      </c>
      <c r="AD170" s="129"/>
      <c r="AE170" s="583" t="n"/>
      <c r="AF170" s="583">
        <f>AC170*0.13/(1+0.13)</f>
      </c>
      <c r="AG170" s="605">
        <f>AC170-AF170</f>
      </c>
      <c r="AH170" s="605">
        <f>AC170*I170</f>
      </c>
      <c r="AI170" s="583">
        <f>ROUND(AG170*I170,-1)</f>
      </c>
    </row>
    <row r="171" ht="15.5" customHeight="1">
      <c r="A171" s="63" t="n"/>
      <c r="B171" s="56"/>
      <c r="C171" s="56"/>
      <c r="D171" s="59" t="n"/>
      <c r="E171" s="63" t="n"/>
      <c r="F171" s="24" t="n"/>
      <c r="G171" s="63"/>
      <c r="H171" s="21"/>
      <c r="I171" s="23"/>
      <c r="J171" s="558"/>
      <c r="K171" s="558"/>
      <c r="L171" s="539" t="n"/>
      <c r="M171" s="539" t="n"/>
      <c r="N171" s="539" t="n"/>
      <c r="O171" s="539" t="n"/>
      <c r="P171" s="539"/>
      <c r="Q171" s="539"/>
      <c r="R171" s="539">
        <f>AI171</f>
      </c>
      <c r="S171" s="23">
        <f>Y171*100</f>
      </c>
      <c r="T171" s="539">
        <f>ROUND(R171*S171/100,-1)</f>
      </c>
      <c r="U171" s="539">
        <f>IF(Q171=0,"",(T171-Q171)/Q171*100)</f>
      </c>
      <c r="V171" s="27" t="n"/>
      <c r="W171" s="601"/>
      <c r="X171" s="602">
        <f>($W$5-K171)/365</f>
      </c>
      <c r="Y171" s="127">
        <f>(W171-X171)/W171</f>
      </c>
      <c r="Z171" s="127"/>
      <c r="AA171" s="127">
        <f>Y171/2+Z171/2</f>
      </c>
      <c r="AB171" s="603">
        <f>P171/I171</f>
      </c>
      <c r="AC171" s="604">
        <f>AB171*AD171</f>
      </c>
      <c r="AD171" s="129"/>
      <c r="AE171" s="583" t="n"/>
      <c r="AF171" s="583">
        <f>AC171*0.13/(1+0.13)</f>
      </c>
      <c r="AG171" s="605">
        <f>AC171-AF171</f>
      </c>
      <c r="AH171" s="605">
        <f>AC171*I171</f>
      </c>
      <c r="AI171" s="583">
        <f>ROUND(AG171*I171,-1)</f>
      </c>
    </row>
    <row r="172" ht="15.5" customHeight="1">
      <c r="A172" s="63" t="n"/>
      <c r="B172" s="56"/>
      <c r="C172" s="56"/>
      <c r="D172" s="59" t="n"/>
      <c r="E172" s="63" t="n"/>
      <c r="F172" s="24" t="n"/>
      <c r="G172" s="63"/>
      <c r="H172" s="21"/>
      <c r="I172" s="23"/>
      <c r="J172" s="558"/>
      <c r="K172" s="558"/>
      <c r="L172" s="539" t="n"/>
      <c r="M172" s="539" t="n"/>
      <c r="N172" s="539" t="n"/>
      <c r="O172" s="539" t="n"/>
      <c r="P172" s="539"/>
      <c r="Q172" s="539"/>
      <c r="R172" s="539">
        <f>AI172</f>
      </c>
      <c r="S172" s="23">
        <f>Y172*100</f>
      </c>
      <c r="T172" s="539">
        <f>ROUND(R172*S172/100,-1)</f>
      </c>
      <c r="U172" s="539">
        <f>IF(Q172=0,"",(T172-Q172)/Q172*100)</f>
      </c>
      <c r="V172" s="27" t="n"/>
      <c r="W172" s="601"/>
      <c r="X172" s="602">
        <f>($W$5-K172)/365</f>
      </c>
      <c r="Y172" s="127">
        <f>(W172-X172)/W172</f>
      </c>
      <c r="Z172" s="127"/>
      <c r="AA172" s="127">
        <f>Y172/2+Z172/2</f>
      </c>
      <c r="AB172" s="603">
        <f>P172/I172</f>
      </c>
      <c r="AC172" s="604">
        <f>AB172*AD172</f>
      </c>
      <c r="AD172" s="129"/>
      <c r="AE172" s="583" t="n"/>
      <c r="AF172" s="583">
        <f>AC172*0.13/(1+0.13)</f>
      </c>
      <c r="AG172" s="605">
        <f>AC172-AF172</f>
      </c>
      <c r="AH172" s="605">
        <f>AC172*I172</f>
      </c>
      <c r="AI172" s="583">
        <f>ROUND(AG172*I172,-1)</f>
      </c>
    </row>
    <row r="173" ht="15.5" customHeight="1">
      <c r="A173" s="63" t="n"/>
      <c r="B173" s="56"/>
      <c r="C173" s="56"/>
      <c r="D173" s="59" t="n"/>
      <c r="E173" s="63" t="n"/>
      <c r="F173" s="24" t="n"/>
      <c r="G173" s="63"/>
      <c r="H173" s="21"/>
      <c r="I173" s="23"/>
      <c r="J173" s="558"/>
      <c r="K173" s="558"/>
      <c r="L173" s="539" t="n"/>
      <c r="M173" s="539" t="n"/>
      <c r="N173" s="539" t="n"/>
      <c r="O173" s="539" t="n"/>
      <c r="P173" s="539"/>
      <c r="Q173" s="539"/>
      <c r="R173" s="539">
        <f>AI173</f>
      </c>
      <c r="S173" s="23">
        <f>Y173*100</f>
      </c>
      <c r="T173" s="539">
        <f>ROUND(R173*S173/100,-1)</f>
      </c>
      <c r="U173" s="539">
        <f>IF(Q173=0,"",(T173-Q173)/Q173*100)</f>
      </c>
      <c r="V173" s="27" t="n"/>
      <c r="W173" s="601"/>
      <c r="X173" s="602">
        <f>($W$5-K173)/365</f>
      </c>
      <c r="Y173" s="127">
        <f>(W173-X173)/W173</f>
      </c>
      <c r="Z173" s="127"/>
      <c r="AA173" s="127">
        <f>Y173/2+Z173/2</f>
      </c>
      <c r="AB173" s="603">
        <f>P173/I173</f>
      </c>
      <c r="AC173" s="604">
        <f>AB173*AD173</f>
      </c>
      <c r="AD173" s="129"/>
      <c r="AE173" s="583" t="n"/>
      <c r="AF173" s="583">
        <f>AC173*0.13/(1+0.13)</f>
      </c>
      <c r="AG173" s="605">
        <f>AC173-AF173</f>
      </c>
      <c r="AH173" s="605">
        <f>AC173*I173</f>
      </c>
      <c r="AI173" s="583">
        <f>ROUND(AG173*I173,-1)</f>
      </c>
    </row>
    <row r="174" ht="15.5" customHeight="1">
      <c r="A174" s="63" t="n"/>
      <c r="B174" s="56"/>
      <c r="C174" s="56"/>
      <c r="D174" s="59" t="n"/>
      <c r="E174" s="63" t="n"/>
      <c r="F174" s="24" t="n"/>
      <c r="G174" s="63"/>
      <c r="H174" s="21"/>
      <c r="I174" s="23"/>
      <c r="J174" s="558"/>
      <c r="K174" s="558"/>
      <c r="L174" s="539" t="n"/>
      <c r="M174" s="539" t="n"/>
      <c r="N174" s="539" t="n"/>
      <c r="O174" s="539" t="n"/>
      <c r="P174" s="539"/>
      <c r="Q174" s="539"/>
      <c r="R174" s="539">
        <f>AI174</f>
      </c>
      <c r="S174" s="23">
        <f>Y174*100</f>
      </c>
      <c r="T174" s="539">
        <f>ROUND(R174*S174/100,-1)</f>
      </c>
      <c r="U174" s="539">
        <f>IF(Q174=0,"",(T174-Q174)/Q174*100)</f>
      </c>
      <c r="V174" s="27" t="n"/>
      <c r="W174" s="601"/>
      <c r="X174" s="602">
        <f>($W$5-K174)/365</f>
      </c>
      <c r="Y174" s="127">
        <f>(W174-X174)/W174</f>
      </c>
      <c r="Z174" s="127"/>
      <c r="AA174" s="127">
        <f>Y174/2+Z174/2</f>
      </c>
      <c r="AB174" s="603">
        <f>P174/I174</f>
      </c>
      <c r="AC174" s="604">
        <f>AB174*AD174</f>
      </c>
      <c r="AD174" s="129"/>
      <c r="AE174" s="583" t="n"/>
      <c r="AF174" s="583">
        <f>AC174*0.13/(1+0.13)</f>
      </c>
      <c r="AG174" s="605">
        <f>AC174-AF174</f>
      </c>
      <c r="AH174" s="605">
        <f>AC174*I174</f>
      </c>
      <c r="AI174" s="583">
        <f>ROUND(AG174*I174,-1)</f>
      </c>
    </row>
    <row r="175" ht="15.5" customHeight="1">
      <c r="A175" s="63" t="n"/>
      <c r="B175" s="56"/>
      <c r="C175" s="56"/>
      <c r="D175" s="59" t="n"/>
      <c r="E175" s="63" t="n"/>
      <c r="F175" s="24" t="n"/>
      <c r="G175" s="63"/>
      <c r="H175" s="21"/>
      <c r="I175" s="23"/>
      <c r="J175" s="558"/>
      <c r="K175" s="558"/>
      <c r="L175" s="539" t="n"/>
      <c r="M175" s="539" t="n"/>
      <c r="N175" s="539" t="n"/>
      <c r="O175" s="539" t="n"/>
      <c r="P175" s="539"/>
      <c r="Q175" s="539"/>
      <c r="R175" s="539">
        <f>AI175</f>
      </c>
      <c r="S175" s="23">
        <f>Y175*100</f>
      </c>
      <c r="T175" s="539">
        <f>ROUND(R175*S175/100,-1)</f>
      </c>
      <c r="U175" s="539">
        <f>IF(Q175=0,"",(T175-Q175)/Q175*100)</f>
      </c>
      <c r="V175" s="27" t="n"/>
      <c r="W175" s="601"/>
      <c r="X175" s="602">
        <f>($W$5-K175)/365</f>
      </c>
      <c r="Y175" s="127">
        <f>(W175-X175)/W175</f>
      </c>
      <c r="Z175" s="127"/>
      <c r="AA175" s="127">
        <f>Y175/2+Z175/2</f>
      </c>
      <c r="AB175" s="603">
        <f>P175/I175</f>
      </c>
      <c r="AC175" s="604">
        <f>AB175*AD175</f>
      </c>
      <c r="AD175" s="129"/>
      <c r="AE175" s="583" t="n"/>
      <c r="AF175" s="583">
        <f>AC175*0.13/(1+0.13)</f>
      </c>
      <c r="AG175" s="605">
        <f>AC175-AF175</f>
      </c>
      <c r="AH175" s="605">
        <f>AC175*I175</f>
      </c>
      <c r="AI175" s="583">
        <f>ROUND(AG175*I175,-1)</f>
      </c>
    </row>
    <row r="176" ht="15.5" customHeight="1">
      <c r="A176" s="63" t="n"/>
      <c r="B176" s="56"/>
      <c r="C176" s="56"/>
      <c r="D176" s="59" t="n"/>
      <c r="E176" s="63" t="n"/>
      <c r="F176" s="24" t="n"/>
      <c r="G176" s="63"/>
      <c r="H176" s="21"/>
      <c r="I176" s="23"/>
      <c r="J176" s="558"/>
      <c r="K176" s="558"/>
      <c r="L176" s="539" t="n"/>
      <c r="M176" s="539" t="n"/>
      <c r="N176" s="539" t="n"/>
      <c r="O176" s="539" t="n"/>
      <c r="P176" s="539"/>
      <c r="Q176" s="539"/>
      <c r="R176" s="539">
        <f>AI176</f>
      </c>
      <c r="S176" s="23">
        <f>Y176*100</f>
      </c>
      <c r="T176" s="539">
        <f>ROUND(R176*S176/100,-1)</f>
      </c>
      <c r="U176" s="539">
        <f>IF(Q176=0,"",(T176-Q176)/Q176*100)</f>
      </c>
      <c r="V176" s="27" t="n"/>
      <c r="W176" s="601"/>
      <c r="X176" s="602">
        <f>($W$5-K176)/365</f>
      </c>
      <c r="Y176" s="127">
        <f>(W176-X176)/W176</f>
      </c>
      <c r="Z176" s="127"/>
      <c r="AA176" s="127">
        <f>Y176/2+Z176/2</f>
      </c>
      <c r="AB176" s="603">
        <f>P176/I176</f>
      </c>
      <c r="AC176" s="604">
        <f>AB176*AD176</f>
      </c>
      <c r="AD176" s="129"/>
      <c r="AE176" s="583" t="n"/>
      <c r="AF176" s="583">
        <f>AC176*0.13/(1+0.13)</f>
      </c>
      <c r="AG176" s="605">
        <f>AC176-AF176</f>
      </c>
      <c r="AH176" s="605">
        <f>AC176*I176</f>
      </c>
      <c r="AI176" s="583">
        <f>ROUND(AG176*I176,-1)</f>
      </c>
    </row>
    <row r="177" ht="15.5" customHeight="1">
      <c r="A177" s="63" t="n"/>
      <c r="B177" s="56"/>
      <c r="C177" s="56"/>
      <c r="D177" s="59" t="n"/>
      <c r="E177" s="63" t="n"/>
      <c r="F177" s="24" t="n"/>
      <c r="G177" s="63"/>
      <c r="H177" s="21"/>
      <c r="I177" s="23"/>
      <c r="J177" s="558"/>
      <c r="K177" s="558"/>
      <c r="L177" s="539" t="n"/>
      <c r="M177" s="539" t="n"/>
      <c r="N177" s="539" t="n"/>
      <c r="O177" s="539" t="n"/>
      <c r="P177" s="539"/>
      <c r="Q177" s="539"/>
      <c r="R177" s="539">
        <f>AI177</f>
      </c>
      <c r="S177" s="23">
        <f>Y177*100</f>
      </c>
      <c r="T177" s="539">
        <f>ROUND(R177*S177/100,-1)</f>
      </c>
      <c r="U177" s="539">
        <f>IF(Q177=0,"",(T177-Q177)/Q177*100)</f>
      </c>
      <c r="V177" s="27" t="n"/>
      <c r="W177" s="601"/>
      <c r="X177" s="602">
        <f>($W$5-K177)/365</f>
      </c>
      <c r="Y177" s="127">
        <f>(W177-X177)/W177</f>
      </c>
      <c r="Z177" s="127"/>
      <c r="AA177" s="127">
        <f>Y177/2+Z177/2</f>
      </c>
      <c r="AB177" s="603">
        <f>P177/I177</f>
      </c>
      <c r="AC177" s="604">
        <f>AB177*AD177</f>
      </c>
      <c r="AD177" s="129"/>
      <c r="AE177" s="583" t="n"/>
      <c r="AF177" s="583">
        <f>AC177*0.13/(1+0.13)</f>
      </c>
      <c r="AG177" s="605">
        <f>AC177-AF177</f>
      </c>
      <c r="AH177" s="605">
        <f>AC177*I177</f>
      </c>
      <c r="AI177" s="583">
        <f>ROUND(AG177*I177,-1)</f>
      </c>
    </row>
    <row r="178" ht="15.5" customHeight="1">
      <c r="A178" s="63" t="n"/>
      <c r="B178" s="56"/>
      <c r="C178" s="56"/>
      <c r="D178" s="59" t="n"/>
      <c r="E178" s="63" t="n"/>
      <c r="F178" s="24" t="n"/>
      <c r="G178" s="63"/>
      <c r="H178" s="21"/>
      <c r="I178" s="23"/>
      <c r="J178" s="558"/>
      <c r="K178" s="558"/>
      <c r="L178" s="539" t="n"/>
      <c r="M178" s="539" t="n"/>
      <c r="N178" s="539" t="n"/>
      <c r="O178" s="539" t="n"/>
      <c r="P178" s="539"/>
      <c r="Q178" s="539"/>
      <c r="R178" s="539">
        <f>AI178</f>
      </c>
      <c r="S178" s="23">
        <f>Y178*100</f>
      </c>
      <c r="T178" s="539">
        <f>ROUND(R178*S178/100,-1)</f>
      </c>
      <c r="U178" s="539">
        <f>IF(Q178=0,"",(T178-Q178)/Q178*100)</f>
      </c>
      <c r="V178" s="27" t="n"/>
      <c r="W178" s="601"/>
      <c r="X178" s="602">
        <f>($W$5-K178)/365</f>
      </c>
      <c r="Y178" s="127">
        <f>(W178-X178)/W178</f>
      </c>
      <c r="Z178" s="127"/>
      <c r="AA178" s="127">
        <f>Y178/2+Z178/2</f>
      </c>
      <c r="AB178" s="603">
        <f>P178/I178</f>
      </c>
      <c r="AC178" s="604">
        <f>AB178*AD178</f>
      </c>
      <c r="AD178" s="129"/>
      <c r="AE178" s="583" t="n"/>
      <c r="AF178" s="583">
        <f>AC178*0.13/(1+0.13)</f>
      </c>
      <c r="AG178" s="605">
        <f>AC178-AF178</f>
      </c>
      <c r="AH178" s="605">
        <f>AC178*I178</f>
      </c>
      <c r="AI178" s="583">
        <f>ROUND(AG178*I178,-1)</f>
      </c>
    </row>
    <row r="179" ht="15.5" customHeight="1">
      <c r="A179" s="63" t="n"/>
      <c r="B179" s="56"/>
      <c r="C179" s="56"/>
      <c r="D179" s="59" t="n"/>
      <c r="E179" s="63" t="n"/>
      <c r="F179" s="24" t="n"/>
      <c r="G179" s="63"/>
      <c r="H179" s="21"/>
      <c r="I179" s="23"/>
      <c r="J179" s="558"/>
      <c r="K179" s="558"/>
      <c r="L179" s="539" t="n"/>
      <c r="M179" s="539" t="n"/>
      <c r="N179" s="539" t="n"/>
      <c r="O179" s="539" t="n"/>
      <c r="P179" s="539"/>
      <c r="Q179" s="539"/>
      <c r="R179" s="539">
        <f>AI179</f>
      </c>
      <c r="S179" s="23">
        <f>Y179*100</f>
      </c>
      <c r="T179" s="539">
        <f>ROUND(R179*S179/100,-1)</f>
      </c>
      <c r="U179" s="539">
        <f>IF(Q179=0,"",(T179-Q179)/Q179*100)</f>
      </c>
      <c r="V179" s="27" t="n"/>
      <c r="W179" s="601"/>
      <c r="X179" s="602">
        <f>($W$5-K179)/365</f>
      </c>
      <c r="Y179" s="127">
        <f>(W179-X179)/W179</f>
      </c>
      <c r="Z179" s="127"/>
      <c r="AA179" s="127">
        <f>Y179/2+Z179/2</f>
      </c>
      <c r="AB179" s="603">
        <f>P179/I179</f>
      </c>
      <c r="AC179" s="604">
        <f>AB179*AD179</f>
      </c>
      <c r="AD179" s="129"/>
      <c r="AE179" s="583" t="n"/>
      <c r="AF179" s="583">
        <f>AC179*0.13/(1+0.13)</f>
      </c>
      <c r="AG179" s="605">
        <f>AC179-AF179</f>
      </c>
      <c r="AH179" s="605">
        <f>AC179*I179</f>
      </c>
      <c r="AI179" s="583">
        <f>ROUND(AG179*I179,-1)</f>
      </c>
    </row>
    <row r="180" ht="15.5" customHeight="1">
      <c r="A180" s="63" t="n"/>
      <c r="B180" s="56"/>
      <c r="C180" s="56"/>
      <c r="D180" s="59" t="n"/>
      <c r="E180" s="63" t="n"/>
      <c r="F180" s="24" t="n"/>
      <c r="G180" s="63"/>
      <c r="H180" s="21"/>
      <c r="I180" s="23"/>
      <c r="J180" s="558"/>
      <c r="K180" s="558"/>
      <c r="L180" s="539" t="n"/>
      <c r="M180" s="539" t="n"/>
      <c r="N180" s="539" t="n"/>
      <c r="O180" s="539" t="n"/>
      <c r="P180" s="539"/>
      <c r="Q180" s="539"/>
      <c r="R180" s="539">
        <f>AI180</f>
      </c>
      <c r="S180" s="23">
        <f>Y180*100</f>
      </c>
      <c r="T180" s="539">
        <f>ROUND(R180*S180/100,-1)</f>
      </c>
      <c r="U180" s="539">
        <f>IF(Q180=0,"",(T180-Q180)/Q180*100)</f>
      </c>
      <c r="V180" s="27" t="n"/>
      <c r="W180" s="601"/>
      <c r="X180" s="602">
        <f>($W$5-K180)/365</f>
      </c>
      <c r="Y180" s="127">
        <f>(W180-X180)/W180</f>
      </c>
      <c r="Z180" s="127"/>
      <c r="AA180" s="127">
        <f>Y180/2+Z180/2</f>
      </c>
      <c r="AB180" s="603">
        <f>P180/I180</f>
      </c>
      <c r="AC180" s="604">
        <f>AB180*AD180</f>
      </c>
      <c r="AD180" s="129"/>
      <c r="AE180" s="583" t="n"/>
      <c r="AF180" s="583">
        <f>AC180*0.13/(1+0.13)</f>
      </c>
      <c r="AG180" s="605">
        <f>AC180-AF180</f>
      </c>
      <c r="AH180" s="605">
        <f>AC180*I180</f>
      </c>
      <c r="AI180" s="583">
        <f>ROUND(AG180*I180,-1)</f>
      </c>
    </row>
    <row r="181" ht="15.5" customHeight="1">
      <c r="A181" s="63" t="n"/>
      <c r="B181" s="56"/>
      <c r="C181" s="56"/>
      <c r="D181" s="59" t="n"/>
      <c r="E181" s="63" t="n"/>
      <c r="F181" s="24" t="n"/>
      <c r="G181" s="63"/>
      <c r="H181" s="21"/>
      <c r="I181" s="23"/>
      <c r="J181" s="558"/>
      <c r="K181" s="558"/>
      <c r="L181" s="539" t="n"/>
      <c r="M181" s="539" t="n"/>
      <c r="N181" s="539" t="n"/>
      <c r="O181" s="539" t="n"/>
      <c r="P181" s="539"/>
      <c r="Q181" s="539"/>
      <c r="R181" s="539">
        <f>AI181</f>
      </c>
      <c r="S181" s="23">
        <f>Y181*100</f>
      </c>
      <c r="T181" s="539">
        <f>ROUND(R181*S181/100,-1)</f>
      </c>
      <c r="U181" s="539">
        <f>IF(Q181=0,"",(T181-Q181)/Q181*100)</f>
      </c>
      <c r="V181" s="27" t="n"/>
      <c r="W181" s="601"/>
      <c r="X181" s="602">
        <f>($W$5-K181)/365</f>
      </c>
      <c r="Y181" s="127">
        <f>(W181-X181)/W181</f>
      </c>
      <c r="Z181" s="127"/>
      <c r="AA181" s="127">
        <f>Y181/2+Z181/2</f>
      </c>
      <c r="AB181" s="603">
        <f>P181/I181</f>
      </c>
      <c r="AC181" s="604">
        <f>AB181*AD181</f>
      </c>
      <c r="AD181" s="129"/>
      <c r="AE181" s="583" t="n"/>
      <c r="AF181" s="583">
        <f>AC181*0.13/(1+0.13)</f>
      </c>
      <c r="AG181" s="605">
        <f>AC181-AF181</f>
      </c>
      <c r="AH181" s="605">
        <f>AC181*I181</f>
      </c>
      <c r="AI181" s="583">
        <f>ROUND(AG181*I181,-1)</f>
      </c>
    </row>
    <row r="182" ht="15.5" customHeight="1">
      <c r="A182" s="63" t="n"/>
      <c r="B182" s="56"/>
      <c r="C182" s="56"/>
      <c r="D182" s="59" t="n"/>
      <c r="E182" s="63" t="n"/>
      <c r="F182" s="24" t="n"/>
      <c r="G182" s="63"/>
      <c r="H182" s="21"/>
      <c r="I182" s="23"/>
      <c r="J182" s="558"/>
      <c r="K182" s="558"/>
      <c r="L182" s="539" t="n"/>
      <c r="M182" s="539" t="n"/>
      <c r="N182" s="539" t="n"/>
      <c r="O182" s="539" t="n"/>
      <c r="P182" s="539"/>
      <c r="Q182" s="539"/>
      <c r="R182" s="539">
        <f>AI182</f>
      </c>
      <c r="S182" s="23">
        <f>Y182*100</f>
      </c>
      <c r="T182" s="539">
        <f>ROUND(R182*S182/100,-1)</f>
      </c>
      <c r="U182" s="539">
        <f>IF(Q182=0,"",(T182-Q182)/Q182*100)</f>
      </c>
      <c r="V182" s="27" t="n"/>
      <c r="W182" s="601"/>
      <c r="X182" s="602">
        <f>($W$5-K182)/365</f>
      </c>
      <c r="Y182" s="127">
        <f>(W182-X182)/W182</f>
      </c>
      <c r="Z182" s="127"/>
      <c r="AA182" s="127">
        <f>Y182/2+Z182/2</f>
      </c>
      <c r="AB182" s="603">
        <f>P182/I182</f>
      </c>
      <c r="AC182" s="604">
        <f>AB182*AD182</f>
      </c>
      <c r="AD182" s="129"/>
      <c r="AE182" s="583" t="n"/>
      <c r="AF182" s="583">
        <f>AC182*0.13/(1+0.13)</f>
      </c>
      <c r="AG182" s="605">
        <f>AC182-AF182</f>
      </c>
      <c r="AH182" s="605">
        <f>AC182*I182</f>
      </c>
      <c r="AI182" s="583">
        <f>ROUND(AG182*I182,-1)</f>
      </c>
    </row>
    <row r="183" ht="15.5" customHeight="1">
      <c r="A183" s="63" t="n"/>
      <c r="B183" s="56"/>
      <c r="C183" s="56"/>
      <c r="D183" s="59" t="n"/>
      <c r="E183" s="63" t="n"/>
      <c r="F183" s="24" t="n"/>
      <c r="G183" s="63"/>
      <c r="H183" s="21"/>
      <c r="I183" s="23"/>
      <c r="J183" s="558"/>
      <c r="K183" s="558"/>
      <c r="L183" s="539" t="n"/>
      <c r="M183" s="539" t="n"/>
      <c r="N183" s="539" t="n"/>
      <c r="O183" s="539" t="n"/>
      <c r="P183" s="539"/>
      <c r="Q183" s="539"/>
      <c r="R183" s="539">
        <f>AI183</f>
      </c>
      <c r="S183" s="23">
        <f>Y183*100</f>
      </c>
      <c r="T183" s="539">
        <f>ROUND(R183*S183/100,-1)</f>
      </c>
      <c r="U183" s="539">
        <f>IF(Q183=0,"",(T183-Q183)/Q183*100)</f>
      </c>
      <c r="V183" s="27" t="n"/>
      <c r="W183" s="601"/>
      <c r="X183" s="602">
        <f>($W$5-K183)/365</f>
      </c>
      <c r="Y183" s="127">
        <f>(W183-X183)/W183</f>
      </c>
      <c r="Z183" s="127"/>
      <c r="AA183" s="127">
        <f>Y183/2+Z183/2</f>
      </c>
      <c r="AB183" s="603">
        <f>P183/I183</f>
      </c>
      <c r="AC183" s="604">
        <f>AB183*AD183</f>
      </c>
      <c r="AD183" s="129"/>
      <c r="AE183" s="583" t="n"/>
      <c r="AF183" s="583">
        <f>AC183*0.13/(1+0.13)</f>
      </c>
      <c r="AG183" s="605">
        <f>AC183-AF183</f>
      </c>
      <c r="AH183" s="605">
        <f>AC183*I183</f>
      </c>
      <c r="AI183" s="583">
        <f>ROUND(AG183*I183,-1)</f>
      </c>
    </row>
    <row r="184" ht="15.5" customHeight="1">
      <c r="A184" s="63" t="n"/>
      <c r="B184" s="56"/>
      <c r="C184" s="56"/>
      <c r="D184" s="59" t="n"/>
      <c r="E184" s="63" t="n"/>
      <c r="F184" s="24" t="n"/>
      <c r="G184" s="63"/>
      <c r="H184" s="21"/>
      <c r="I184" s="23"/>
      <c r="J184" s="558"/>
      <c r="K184" s="558"/>
      <c r="L184" s="539" t="n"/>
      <c r="M184" s="539" t="n"/>
      <c r="N184" s="539" t="n"/>
      <c r="O184" s="539" t="n"/>
      <c r="P184" s="539"/>
      <c r="Q184" s="539"/>
      <c r="R184" s="539">
        <f>AI184</f>
      </c>
      <c r="S184" s="23">
        <f>Y184*100</f>
      </c>
      <c r="T184" s="539">
        <f>ROUND(R184*S184/100,-1)</f>
      </c>
      <c r="U184" s="539">
        <f>IF(Q184=0,"",(T184-Q184)/Q184*100)</f>
      </c>
      <c r="V184" s="27" t="n"/>
      <c r="W184" s="601"/>
      <c r="X184" s="602">
        <f>($W$5-K184)/365</f>
      </c>
      <c r="Y184" s="127">
        <f>(W184-X184)/W184</f>
      </c>
      <c r="Z184" s="127"/>
      <c r="AA184" s="127">
        <f>Y184/2+Z184/2</f>
      </c>
      <c r="AB184" s="603">
        <f>P184/I184</f>
      </c>
      <c r="AC184" s="604">
        <f>AB184*AD184</f>
      </c>
      <c r="AD184" s="129"/>
      <c r="AE184" s="583" t="n"/>
      <c r="AF184" s="583">
        <f>AC184*0.13/(1+0.13)</f>
      </c>
      <c r="AG184" s="605">
        <f>AC184-AF184</f>
      </c>
      <c r="AH184" s="605">
        <f>AC184*I184</f>
      </c>
      <c r="AI184" s="583">
        <f>ROUND(AG184*I184,-1)</f>
      </c>
    </row>
    <row r="185" ht="15.5" customHeight="1">
      <c r="A185" s="63" t="n"/>
      <c r="B185" s="56"/>
      <c r="C185" s="56"/>
      <c r="D185" s="59" t="n"/>
      <c r="E185" s="63" t="n"/>
      <c r="F185" s="24" t="n"/>
      <c r="G185" s="63"/>
      <c r="H185" s="21"/>
      <c r="I185" s="23"/>
      <c r="J185" s="558"/>
      <c r="K185" s="558"/>
      <c r="L185" s="539" t="n"/>
      <c r="M185" s="539" t="n"/>
      <c r="N185" s="539" t="n"/>
      <c r="O185" s="539" t="n"/>
      <c r="P185" s="539"/>
      <c r="Q185" s="539"/>
      <c r="R185" s="539">
        <f>AI185</f>
      </c>
      <c r="S185" s="23">
        <f>Y185*100</f>
      </c>
      <c r="T185" s="539">
        <f>ROUND(R185*S185/100,-1)</f>
      </c>
      <c r="U185" s="539">
        <f>IF(Q185=0,"",(T185-Q185)/Q185*100)</f>
      </c>
      <c r="V185" s="27" t="n"/>
      <c r="W185" s="601"/>
      <c r="X185" s="602">
        <f>($W$5-K185)/365</f>
      </c>
      <c r="Y185" s="127">
        <f>(W185-X185)/W185</f>
      </c>
      <c r="Z185" s="127"/>
      <c r="AA185" s="127">
        <f>Y185/2+Z185/2</f>
      </c>
      <c r="AB185" s="603">
        <f>P185/I185</f>
      </c>
      <c r="AC185" s="604">
        <f>AB185*AD185</f>
      </c>
      <c r="AD185" s="129"/>
      <c r="AE185" s="583" t="n"/>
      <c r="AF185" s="583">
        <f>AC185*0.13/(1+0.13)</f>
      </c>
      <c r="AG185" s="605">
        <f>AC185-AF185</f>
      </c>
      <c r="AH185" s="605">
        <f>AC185*I185</f>
      </c>
      <c r="AI185" s="583">
        <f>ROUND(AG185*I185,-1)</f>
      </c>
    </row>
    <row r="186" ht="15.5" customHeight="1">
      <c r="A186" s="63" t="n"/>
      <c r="B186" s="56"/>
      <c r="C186" s="56"/>
      <c r="D186" s="59" t="n"/>
      <c r="E186" s="63" t="n"/>
      <c r="F186" s="24" t="n"/>
      <c r="G186" s="63"/>
      <c r="H186" s="21"/>
      <c r="I186" s="23"/>
      <c r="J186" s="558"/>
      <c r="K186" s="558"/>
      <c r="L186" s="539" t="n"/>
      <c r="M186" s="539" t="n"/>
      <c r="N186" s="539" t="n"/>
      <c r="O186" s="539" t="n"/>
      <c r="P186" s="539"/>
      <c r="Q186" s="539"/>
      <c r="R186" s="539">
        <f>AI186</f>
      </c>
      <c r="S186" s="23">
        <f>Y186*100</f>
      </c>
      <c r="T186" s="539">
        <f>ROUND(R186*S186/100,-1)</f>
      </c>
      <c r="U186" s="539">
        <f>IF(Q186=0,"",(T186-Q186)/Q186*100)</f>
      </c>
      <c r="V186" s="27" t="n"/>
      <c r="W186" s="601"/>
      <c r="X186" s="602">
        <f>($W$5-K186)/365</f>
      </c>
      <c r="Y186" s="127">
        <f>(W186-X186)/W186</f>
      </c>
      <c r="Z186" s="127"/>
      <c r="AA186" s="127">
        <f>Y186/2+Z186/2</f>
      </c>
      <c r="AB186" s="603">
        <f>P186/I186</f>
      </c>
      <c r="AC186" s="604">
        <f>AB186*AD186</f>
      </c>
      <c r="AD186" s="129"/>
      <c r="AE186" s="583" t="n"/>
      <c r="AF186" s="583">
        <f>AC186*0.13/(1+0.13)</f>
      </c>
      <c r="AG186" s="605">
        <f>AC186-AF186</f>
      </c>
      <c r="AH186" s="605">
        <f>AC186*I186</f>
      </c>
      <c r="AI186" s="583">
        <f>ROUND(AG186*I186,-1)</f>
      </c>
    </row>
    <row r="187" ht="15.5" customHeight="1">
      <c r="A187" s="63" t="n"/>
      <c r="B187" s="56"/>
      <c r="C187" s="56"/>
      <c r="D187" s="59" t="n"/>
      <c r="E187" s="63" t="n"/>
      <c r="F187" s="24" t="n"/>
      <c r="G187" s="63"/>
      <c r="H187" s="21"/>
      <c r="I187" s="23"/>
      <c r="J187" s="558"/>
      <c r="K187" s="558"/>
      <c r="L187" s="539" t="n"/>
      <c r="M187" s="539" t="n"/>
      <c r="N187" s="539" t="n"/>
      <c r="O187" s="539" t="n"/>
      <c r="P187" s="539"/>
      <c r="Q187" s="539"/>
      <c r="R187" s="539">
        <f>AI187</f>
      </c>
      <c r="S187" s="23">
        <f>Y187*100</f>
      </c>
      <c r="T187" s="539">
        <f>ROUND(R187*S187/100,-1)</f>
      </c>
      <c r="U187" s="539">
        <f>IF(Q187=0,"",(T187-Q187)/Q187*100)</f>
      </c>
      <c r="V187" s="27" t="n"/>
      <c r="W187" s="601"/>
      <c r="X187" s="602">
        <f>($W$5-K187)/365</f>
      </c>
      <c r="Y187" s="127">
        <f>(W187-X187)/W187</f>
      </c>
      <c r="Z187" s="127"/>
      <c r="AA187" s="127">
        <f>Y187/2+Z187/2</f>
      </c>
      <c r="AB187" s="603">
        <f>P187/I187</f>
      </c>
      <c r="AC187" s="604">
        <f>AB187*AD187</f>
      </c>
      <c r="AD187" s="129"/>
      <c r="AE187" s="583" t="n"/>
      <c r="AF187" s="583">
        <f>AC187*0.13/(1+0.13)</f>
      </c>
      <c r="AG187" s="605">
        <f>AC187-AF187</f>
      </c>
      <c r="AH187" s="605">
        <f>AC187*I187</f>
      </c>
      <c r="AI187" s="583">
        <f>ROUND(AG187*I187,-1)</f>
      </c>
    </row>
    <row r="188" ht="15.5" customHeight="1">
      <c r="A188" s="63" t="n"/>
      <c r="B188" s="56"/>
      <c r="C188" s="56"/>
      <c r="D188" s="59" t="n"/>
      <c r="E188" s="63" t="n"/>
      <c r="F188" s="24" t="n"/>
      <c r="G188" s="63"/>
      <c r="H188" s="21"/>
      <c r="I188" s="23"/>
      <c r="J188" s="558"/>
      <c r="K188" s="558"/>
      <c r="L188" s="539" t="n"/>
      <c r="M188" s="539" t="n"/>
      <c r="N188" s="539" t="n"/>
      <c r="O188" s="539" t="n"/>
      <c r="P188" s="539"/>
      <c r="Q188" s="539"/>
      <c r="R188" s="539">
        <f>AI188</f>
      </c>
      <c r="S188" s="23">
        <f>Y188*100</f>
      </c>
      <c r="T188" s="539">
        <f>ROUND(R188*S188/100,-1)</f>
      </c>
      <c r="U188" s="539">
        <f>IF(Q188=0,"",(T188-Q188)/Q188*100)</f>
      </c>
      <c r="V188" s="27" t="n"/>
      <c r="W188" s="601"/>
      <c r="X188" s="602">
        <f>($W$5-K188)/365</f>
      </c>
      <c r="Y188" s="127">
        <f>(W188-X188)/W188</f>
      </c>
      <c r="Z188" s="127"/>
      <c r="AA188" s="127">
        <f>Y188/2+Z188/2</f>
      </c>
      <c r="AB188" s="603">
        <f>P188/I188</f>
      </c>
      <c r="AC188" s="604">
        <f>AB188*AD188</f>
      </c>
      <c r="AD188" s="129"/>
      <c r="AE188" s="583" t="n"/>
      <c r="AF188" s="583">
        <f>AC188*0.13/(1+0.13)</f>
      </c>
      <c r="AG188" s="605">
        <f>AC188-AF188</f>
      </c>
      <c r="AH188" s="605">
        <f>AC188*I188</f>
      </c>
      <c r="AI188" s="583">
        <f>ROUND(AG188*I188,-1)</f>
      </c>
    </row>
    <row r="189" ht="15.5" customHeight="1">
      <c r="A189" s="63" t="n"/>
      <c r="B189" s="56"/>
      <c r="C189" s="56"/>
      <c r="D189" s="59" t="n"/>
      <c r="E189" s="63" t="n"/>
      <c r="F189" s="24" t="n"/>
      <c r="G189" s="63"/>
      <c r="H189" s="21"/>
      <c r="I189" s="23"/>
      <c r="J189" s="558"/>
      <c r="K189" s="558"/>
      <c r="L189" s="539" t="n"/>
      <c r="M189" s="539" t="n"/>
      <c r="N189" s="539" t="n"/>
      <c r="O189" s="539" t="n"/>
      <c r="P189" s="539"/>
      <c r="Q189" s="539"/>
      <c r="R189" s="539">
        <f>AI189</f>
      </c>
      <c r="S189" s="23">
        <f>Y189*100</f>
      </c>
      <c r="T189" s="539">
        <f>ROUND(R189*S189/100,-1)</f>
      </c>
      <c r="U189" s="539">
        <f>IF(Q189=0,"",(T189-Q189)/Q189*100)</f>
      </c>
      <c r="V189" s="27" t="n"/>
      <c r="W189" s="601"/>
      <c r="X189" s="602">
        <f>($W$5-K189)/365</f>
      </c>
      <c r="Y189" s="127">
        <f>(W189-X189)/W189</f>
      </c>
      <c r="Z189" s="127"/>
      <c r="AA189" s="127">
        <f>Y189/2+Z189/2</f>
      </c>
      <c r="AB189" s="603">
        <f>P189/I189</f>
      </c>
      <c r="AC189" s="604">
        <f>AB189*AD189</f>
      </c>
      <c r="AD189" s="129"/>
      <c r="AE189" s="583" t="n"/>
      <c r="AF189" s="583">
        <f>AC189*0.13/(1+0.13)</f>
      </c>
      <c r="AG189" s="605">
        <f>AC189-AF189</f>
      </c>
      <c r="AH189" s="605">
        <f>AC189*I189</f>
      </c>
      <c r="AI189" s="583">
        <f>ROUND(AG189*I189,-1)</f>
      </c>
    </row>
    <row r="190" ht="15.5" customHeight="1">
      <c r="A190" s="63" t="n"/>
      <c r="B190" s="56"/>
      <c r="C190" s="56"/>
      <c r="D190" s="59" t="n"/>
      <c r="E190" s="63" t="n"/>
      <c r="F190" s="24" t="n"/>
      <c r="G190" s="63"/>
      <c r="H190" s="21"/>
      <c r="I190" s="23"/>
      <c r="J190" s="558"/>
      <c r="K190" s="558"/>
      <c r="L190" s="539" t="n"/>
      <c r="M190" s="539" t="n"/>
      <c r="N190" s="539" t="n"/>
      <c r="O190" s="539" t="n"/>
      <c r="P190" s="539"/>
      <c r="Q190" s="539"/>
      <c r="R190" s="539">
        <f>AI190</f>
      </c>
      <c r="S190" s="23">
        <f>Y190*100</f>
      </c>
      <c r="T190" s="539">
        <f>ROUND(R190*S190/100,-1)</f>
      </c>
      <c r="U190" s="539">
        <f>IF(Q190=0,"",(T190-Q190)/Q190*100)</f>
      </c>
      <c r="V190" s="27" t="n"/>
      <c r="W190" s="601"/>
      <c r="X190" s="602">
        <f>($W$5-K190)/365</f>
      </c>
      <c r="Y190" s="127">
        <f>(W190-X190)/W190</f>
      </c>
      <c r="Z190" s="127"/>
      <c r="AA190" s="127">
        <f>Y190/2+Z190/2</f>
      </c>
      <c r="AB190" s="603">
        <f>P190/I190</f>
      </c>
      <c r="AC190" s="604">
        <f>AB190*AD190</f>
      </c>
      <c r="AD190" s="129"/>
      <c r="AE190" s="583" t="n"/>
      <c r="AF190" s="583">
        <f>AC190*0.13/(1+0.13)</f>
      </c>
      <c r="AG190" s="605">
        <f>AC190-AF190</f>
      </c>
      <c r="AH190" s="605">
        <f>AC190*I190</f>
      </c>
      <c r="AI190" s="583">
        <f>ROUND(AG190*I190,-1)</f>
      </c>
    </row>
    <row r="191" ht="15.5" customHeight="1">
      <c r="A191" s="63" t="n"/>
      <c r="B191" s="56"/>
      <c r="C191" s="56"/>
      <c r="D191" s="59" t="n"/>
      <c r="E191" s="63" t="n"/>
      <c r="F191" s="24" t="n"/>
      <c r="G191" s="63"/>
      <c r="H191" s="21"/>
      <c r="I191" s="23"/>
      <c r="J191" s="558"/>
      <c r="K191" s="558"/>
      <c r="L191" s="539" t="n"/>
      <c r="M191" s="539" t="n"/>
      <c r="N191" s="539" t="n"/>
      <c r="O191" s="539" t="n"/>
      <c r="P191" s="539"/>
      <c r="Q191" s="539"/>
      <c r="R191" s="539">
        <f>AI191</f>
      </c>
      <c r="S191" s="23">
        <f>Y191*100</f>
      </c>
      <c r="T191" s="539">
        <f>ROUND(R191*S191/100,-1)</f>
      </c>
      <c r="U191" s="539">
        <f>IF(Q191=0,"",(T191-Q191)/Q191*100)</f>
      </c>
      <c r="V191" s="27" t="n"/>
      <c r="W191" s="601"/>
      <c r="X191" s="602">
        <f>($W$5-K191)/365</f>
      </c>
      <c r="Y191" s="127">
        <f>(W191-X191)/W191</f>
      </c>
      <c r="Z191" s="127"/>
      <c r="AA191" s="127">
        <f>Y191/2+Z191/2</f>
      </c>
      <c r="AB191" s="603">
        <f>P191/I191</f>
      </c>
      <c r="AC191" s="604">
        <f>AB191*AD191</f>
      </c>
      <c r="AD191" s="129"/>
      <c r="AE191" s="583" t="n"/>
      <c r="AF191" s="583">
        <f>AC191*0.13/(1+0.13)</f>
      </c>
      <c r="AG191" s="605">
        <f>AC191-AF191</f>
      </c>
      <c r="AH191" s="605">
        <f>AC191*I191</f>
      </c>
      <c r="AI191" s="583">
        <f>ROUND(AG191*I191,-1)</f>
      </c>
    </row>
    <row r="192" ht="15.5" customHeight="1">
      <c r="A192" s="63" t="n"/>
      <c r="B192" s="56"/>
      <c r="C192" s="56"/>
      <c r="D192" s="59" t="n"/>
      <c r="E192" s="63" t="n"/>
      <c r="F192" s="24" t="n"/>
      <c r="G192" s="63"/>
      <c r="H192" s="21"/>
      <c r="I192" s="23"/>
      <c r="J192" s="558"/>
      <c r="K192" s="558"/>
      <c r="L192" s="539" t="n"/>
      <c r="M192" s="539" t="n"/>
      <c r="N192" s="539" t="n"/>
      <c r="O192" s="539" t="n"/>
      <c r="P192" s="539"/>
      <c r="Q192" s="539"/>
      <c r="R192" s="539">
        <f>AI192</f>
      </c>
      <c r="S192" s="23">
        <f>Y192*100</f>
      </c>
      <c r="T192" s="539">
        <f>ROUND(R192*S192/100,-1)</f>
      </c>
      <c r="U192" s="539">
        <f>IF(Q192=0,"",(T192-Q192)/Q192*100)</f>
      </c>
      <c r="V192" s="27" t="n"/>
      <c r="W192" s="601"/>
      <c r="X192" s="602">
        <f>($W$5-K192)/365</f>
      </c>
      <c r="Y192" s="127">
        <f>(W192-X192)/W192</f>
      </c>
      <c r="Z192" s="127"/>
      <c r="AA192" s="127">
        <f>Y192/2+Z192/2</f>
      </c>
      <c r="AB192" s="603">
        <f>P192/I192</f>
      </c>
      <c r="AC192" s="604">
        <f>AB192*AD192</f>
      </c>
      <c r="AD192" s="129"/>
      <c r="AE192" s="583" t="n"/>
      <c r="AF192" s="583">
        <f>AC192*0.13/(1+0.13)</f>
      </c>
      <c r="AG192" s="605">
        <f>AC192-AF192</f>
      </c>
      <c r="AH192" s="605">
        <f>AC192*I192</f>
      </c>
      <c r="AI192" s="583">
        <f>ROUND(AG192*I192,-1)</f>
      </c>
    </row>
    <row r="193" ht="15.5" customHeight="1">
      <c r="A193" s="63" t="n"/>
      <c r="B193" s="56"/>
      <c r="C193" s="56"/>
      <c r="D193" s="59" t="n"/>
      <c r="E193" s="63" t="n"/>
      <c r="F193" s="24" t="n"/>
      <c r="G193" s="63"/>
      <c r="H193" s="21"/>
      <c r="I193" s="23"/>
      <c r="J193" s="558"/>
      <c r="K193" s="558"/>
      <c r="L193" s="539" t="n"/>
      <c r="M193" s="539" t="n"/>
      <c r="N193" s="539" t="n"/>
      <c r="O193" s="539" t="n"/>
      <c r="P193" s="539"/>
      <c r="Q193" s="539"/>
      <c r="R193" s="539">
        <f>AI193</f>
      </c>
      <c r="S193" s="23">
        <f>Y193*100</f>
      </c>
      <c r="T193" s="539">
        <f>ROUND(R193*S193/100,-1)</f>
      </c>
      <c r="U193" s="539">
        <f>IF(Q193=0,"",(T193-Q193)/Q193*100)</f>
      </c>
      <c r="V193" s="27" t="n"/>
      <c r="W193" s="601"/>
      <c r="X193" s="602">
        <f>($W$5-K193)/365</f>
      </c>
      <c r="Y193" s="127">
        <f>(W193-X193)/W193</f>
      </c>
      <c r="Z193" s="127"/>
      <c r="AA193" s="127">
        <f>Y193/2+Z193/2</f>
      </c>
      <c r="AB193" s="603">
        <f>P193/I193</f>
      </c>
      <c r="AC193" s="604">
        <f>AB193*AD193</f>
      </c>
      <c r="AD193" s="129"/>
      <c r="AE193" s="583" t="n"/>
      <c r="AF193" s="583">
        <f>AC193*0.13/(1+0.13)</f>
      </c>
      <c r="AG193" s="605">
        <f>AC193-AF193</f>
      </c>
      <c r="AH193" s="605">
        <f>AC193*I193</f>
      </c>
      <c r="AI193" s="583">
        <f>ROUND(AG193*I193,-1)</f>
      </c>
    </row>
    <row r="194" ht="15.5" customHeight="1">
      <c r="A194" s="63" t="n"/>
      <c r="B194" s="56"/>
      <c r="C194" s="56"/>
      <c r="D194" s="59" t="n"/>
      <c r="E194" s="63" t="n"/>
      <c r="F194" s="24" t="n"/>
      <c r="G194" s="63"/>
      <c r="H194" s="21"/>
      <c r="I194" s="23"/>
      <c r="J194" s="558"/>
      <c r="K194" s="558"/>
      <c r="L194" s="539" t="n"/>
      <c r="M194" s="539" t="n"/>
      <c r="N194" s="539" t="n"/>
      <c r="O194" s="539" t="n"/>
      <c r="P194" s="539"/>
      <c r="Q194" s="539"/>
      <c r="R194" s="539">
        <f>AI194</f>
      </c>
      <c r="S194" s="23">
        <f>Y194*100</f>
      </c>
      <c r="T194" s="539">
        <f>ROUND(R194*S194/100,-1)</f>
      </c>
      <c r="U194" s="539">
        <f>IF(Q194=0,"",(T194-Q194)/Q194*100)</f>
      </c>
      <c r="V194" s="27" t="n"/>
      <c r="W194" s="601"/>
      <c r="X194" s="602">
        <f>($W$5-K194)/365</f>
      </c>
      <c r="Y194" s="127">
        <f>(W194-X194)/W194</f>
      </c>
      <c r="Z194" s="127"/>
      <c r="AA194" s="127">
        <f>Y194/2+Z194/2</f>
      </c>
      <c r="AB194" s="603">
        <f>P194/I194</f>
      </c>
      <c r="AC194" s="604">
        <f>AB194*AD194</f>
      </c>
      <c r="AD194" s="129"/>
      <c r="AE194" s="583" t="n"/>
      <c r="AF194" s="583">
        <f>AC194*0.13/(1+0.13)</f>
      </c>
      <c r="AG194" s="605">
        <f>AC194-AF194</f>
      </c>
      <c r="AH194" s="605">
        <f>AC194*I194</f>
      </c>
      <c r="AI194" s="583">
        <f>ROUND(AG194*I194,-1)</f>
      </c>
    </row>
    <row r="195" ht="15.5" customHeight="1">
      <c r="A195" s="63" t="n"/>
      <c r="B195" s="56"/>
      <c r="C195" s="56"/>
      <c r="D195" s="59" t="n"/>
      <c r="E195" s="63" t="n"/>
      <c r="F195" s="24" t="n"/>
      <c r="G195" s="63"/>
      <c r="H195" s="21"/>
      <c r="I195" s="23"/>
      <c r="J195" s="558"/>
      <c r="K195" s="558"/>
      <c r="L195" s="539" t="n"/>
      <c r="M195" s="539" t="n"/>
      <c r="N195" s="539" t="n"/>
      <c r="O195" s="539" t="n"/>
      <c r="P195" s="539"/>
      <c r="Q195" s="539"/>
      <c r="R195" s="539">
        <f>AI195</f>
      </c>
      <c r="S195" s="23">
        <f>Y195*100</f>
      </c>
      <c r="T195" s="539">
        <f>ROUND(R195*S195/100,-1)</f>
      </c>
      <c r="U195" s="539">
        <f>IF(Q195=0,"",(T195-Q195)/Q195*100)</f>
      </c>
      <c r="V195" s="27" t="n"/>
      <c r="W195" s="601"/>
      <c r="X195" s="602">
        <f>($W$5-K195)/365</f>
      </c>
      <c r="Y195" s="127">
        <f>(W195-X195)/W195</f>
      </c>
      <c r="Z195" s="127"/>
      <c r="AA195" s="127">
        <f>Y195/2+Z195/2</f>
      </c>
      <c r="AB195" s="603">
        <f>P195/I195</f>
      </c>
      <c r="AC195" s="604">
        <f>AB195*AD195</f>
      </c>
      <c r="AD195" s="129"/>
      <c r="AE195" s="583" t="n"/>
      <c r="AF195" s="583">
        <f>AC195*0.13/(1+0.13)</f>
      </c>
      <c r="AG195" s="605">
        <f>AC195-AF195</f>
      </c>
      <c r="AH195" s="605">
        <f>AC195*I195</f>
      </c>
      <c r="AI195" s="583">
        <f>ROUND(AG195*I195,-1)</f>
      </c>
    </row>
    <row r="196" ht="15.5" customHeight="1">
      <c r="A196" s="63" t="n"/>
      <c r="B196" s="56"/>
      <c r="C196" s="56"/>
      <c r="D196" s="59" t="n"/>
      <c r="E196" s="63" t="n"/>
      <c r="F196" s="24" t="n"/>
      <c r="G196" s="63"/>
      <c r="H196" s="21"/>
      <c r="I196" s="23"/>
      <c r="J196" s="558"/>
      <c r="K196" s="558"/>
      <c r="L196" s="539" t="n"/>
      <c r="M196" s="539" t="n"/>
      <c r="N196" s="539" t="n"/>
      <c r="O196" s="539" t="n"/>
      <c r="P196" s="539"/>
      <c r="Q196" s="539"/>
      <c r="R196" s="539">
        <f>AI196</f>
      </c>
      <c r="S196" s="23">
        <f>Y196*100</f>
      </c>
      <c r="T196" s="539">
        <f>ROUND(R196*S196/100,-1)</f>
      </c>
      <c r="U196" s="539">
        <f>IF(Q196=0,"",(T196-Q196)/Q196*100)</f>
      </c>
      <c r="V196" s="27" t="n"/>
      <c r="W196" s="601"/>
      <c r="X196" s="602">
        <f>($W$5-K196)/365</f>
      </c>
      <c r="Y196" s="127">
        <f>(W196-X196)/W196</f>
      </c>
      <c r="Z196" s="127"/>
      <c r="AA196" s="127">
        <f>Y196/2+Z196/2</f>
      </c>
      <c r="AB196" s="603">
        <f>P196/I196</f>
      </c>
      <c r="AC196" s="604">
        <f>AB196*AD196</f>
      </c>
      <c r="AD196" s="129"/>
      <c r="AE196" s="583" t="n"/>
      <c r="AF196" s="583">
        <f>AC196*0.13/(1+0.13)</f>
      </c>
      <c r="AG196" s="605">
        <f>AC196-AF196</f>
      </c>
      <c r="AH196" s="605">
        <f>AC196*I196</f>
      </c>
      <c r="AI196" s="583">
        <f>ROUND(AG196*I196,-1)</f>
      </c>
    </row>
    <row r="197" ht="15.5" customHeight="1">
      <c r="A197" s="63" t="n"/>
      <c r="B197" s="56"/>
      <c r="C197" s="56"/>
      <c r="D197" s="59" t="n"/>
      <c r="E197" s="63" t="n"/>
      <c r="F197" s="24" t="n"/>
      <c r="G197" s="63"/>
      <c r="H197" s="21"/>
      <c r="I197" s="23"/>
      <c r="J197" s="558"/>
      <c r="K197" s="558"/>
      <c r="L197" s="539" t="n"/>
      <c r="M197" s="539" t="n"/>
      <c r="N197" s="539" t="n"/>
      <c r="O197" s="539" t="n"/>
      <c r="P197" s="539"/>
      <c r="Q197" s="539"/>
      <c r="R197" s="539">
        <f>AI197</f>
      </c>
      <c r="S197" s="23">
        <f>Y197*100</f>
      </c>
      <c r="T197" s="539">
        <f>ROUND(R197*S197/100,-1)</f>
      </c>
      <c r="U197" s="539">
        <f>IF(Q197=0,"",(T197-Q197)/Q197*100)</f>
      </c>
      <c r="V197" s="27" t="n"/>
      <c r="W197" s="601"/>
      <c r="X197" s="602">
        <f>($W$5-K197)/365</f>
      </c>
      <c r="Y197" s="127">
        <f>(W197-X197)/W197</f>
      </c>
      <c r="Z197" s="127"/>
      <c r="AA197" s="127">
        <f>Y197/2+Z197/2</f>
      </c>
      <c r="AB197" s="603">
        <f>P197/I197</f>
      </c>
      <c r="AC197" s="604">
        <f>AB197*AD197</f>
      </c>
      <c r="AD197" s="129"/>
      <c r="AE197" s="583" t="n"/>
      <c r="AF197" s="583">
        <f>AC197*0.13/(1+0.13)</f>
      </c>
      <c r="AG197" s="605">
        <f>AC197-AF197</f>
      </c>
      <c r="AH197" s="605">
        <f>AC197*I197</f>
      </c>
      <c r="AI197" s="583">
        <f>ROUND(AG197*I197,-1)</f>
      </c>
    </row>
    <row r="198" ht="15.5" customHeight="1">
      <c r="A198" s="63" t="n"/>
      <c r="B198" s="56"/>
      <c r="C198" s="56"/>
      <c r="D198" s="59" t="n"/>
      <c r="E198" s="63" t="n"/>
      <c r="F198" s="24" t="n"/>
      <c r="G198" s="63"/>
      <c r="H198" s="21"/>
      <c r="I198" s="23"/>
      <c r="J198" s="558"/>
      <c r="K198" s="558"/>
      <c r="L198" s="539" t="n"/>
      <c r="M198" s="539" t="n"/>
      <c r="N198" s="539" t="n"/>
      <c r="O198" s="539" t="n"/>
      <c r="P198" s="539"/>
      <c r="Q198" s="539"/>
      <c r="R198" s="539">
        <f>AI198</f>
      </c>
      <c r="S198" s="23">
        <f>Y198*100</f>
      </c>
      <c r="T198" s="539">
        <f>ROUND(R198*S198/100,-1)</f>
      </c>
      <c r="U198" s="539">
        <f>IF(Q198=0,"",(T198-Q198)/Q198*100)</f>
      </c>
      <c r="V198" s="27" t="n"/>
      <c r="W198" s="601"/>
      <c r="X198" s="602">
        <f>($W$5-K198)/365</f>
      </c>
      <c r="Y198" s="127">
        <f>(W198-X198)/W198</f>
      </c>
      <c r="Z198" s="127"/>
      <c r="AA198" s="127">
        <f>Y198/2+Z198/2</f>
      </c>
      <c r="AB198" s="603">
        <f>P198/I198</f>
      </c>
      <c r="AC198" s="604">
        <f>AB198*AD198</f>
      </c>
      <c r="AD198" s="129"/>
      <c r="AE198" s="583" t="n"/>
      <c r="AF198" s="583">
        <f>AC198*0.13/(1+0.13)</f>
      </c>
      <c r="AG198" s="605">
        <f>AC198-AF198</f>
      </c>
      <c r="AH198" s="605">
        <f>AC198*I198</f>
      </c>
      <c r="AI198" s="583">
        <f>ROUND(AG198*I198,-1)</f>
      </c>
    </row>
    <row r="199" ht="15.5" customHeight="1">
      <c r="A199" s="63" t="n"/>
      <c r="B199" s="56"/>
      <c r="C199" s="56"/>
      <c r="D199" s="59" t="n"/>
      <c r="E199" s="63" t="n"/>
      <c r="F199" s="24" t="n"/>
      <c r="G199" s="63"/>
      <c r="H199" s="21"/>
      <c r="I199" s="23"/>
      <c r="J199" s="558"/>
      <c r="K199" s="558"/>
      <c r="L199" s="539" t="n"/>
      <c r="M199" s="539" t="n"/>
      <c r="N199" s="539" t="n"/>
      <c r="O199" s="539" t="n"/>
      <c r="P199" s="539"/>
      <c r="Q199" s="539"/>
      <c r="R199" s="539">
        <f>AI199</f>
      </c>
      <c r="S199" s="23">
        <f>Y199*100</f>
      </c>
      <c r="T199" s="539">
        <f>ROUND(R199*S199/100,-1)</f>
      </c>
      <c r="U199" s="539">
        <f>IF(Q199=0,"",(T199-Q199)/Q199*100)</f>
      </c>
      <c r="V199" s="27" t="n"/>
      <c r="W199" s="601"/>
      <c r="X199" s="602">
        <f>($W$5-K199)/365</f>
      </c>
      <c r="Y199" s="127">
        <f>(W199-X199)/W199</f>
      </c>
      <c r="Z199" s="127"/>
      <c r="AA199" s="127">
        <f>Y199/2+Z199/2</f>
      </c>
      <c r="AB199" s="603">
        <f>P199/I199</f>
      </c>
      <c r="AC199" s="604">
        <f>AB199*AD199</f>
      </c>
      <c r="AD199" s="129"/>
      <c r="AE199" s="583" t="n"/>
      <c r="AF199" s="583">
        <f>AC199*0.13/(1+0.13)</f>
      </c>
      <c r="AG199" s="605">
        <f>AC199-AF199</f>
      </c>
      <c r="AH199" s="605">
        <f>AC199*I199</f>
      </c>
      <c r="AI199" s="583">
        <f>ROUND(AG199*I199,-1)</f>
      </c>
    </row>
    <row r="200" ht="15.5" customHeight="1">
      <c r="A200" s="63" t="n"/>
      <c r="B200" s="56"/>
      <c r="C200" s="56"/>
      <c r="D200" s="59" t="n"/>
      <c r="E200" s="63" t="n"/>
      <c r="F200" s="24" t="n"/>
      <c r="G200" s="63"/>
      <c r="H200" s="21"/>
      <c r="I200" s="23"/>
      <c r="J200" s="558"/>
      <c r="K200" s="558"/>
      <c r="L200" s="539" t="n"/>
      <c r="M200" s="539" t="n"/>
      <c r="N200" s="539" t="n"/>
      <c r="O200" s="539" t="n"/>
      <c r="P200" s="539"/>
      <c r="Q200" s="539"/>
      <c r="R200" s="539">
        <f>AI200</f>
      </c>
      <c r="S200" s="23">
        <f>Y200*100</f>
      </c>
      <c r="T200" s="539">
        <f>ROUND(R200*S200/100,-1)</f>
      </c>
      <c r="U200" s="539">
        <f>IF(Q200=0,"",(T200-Q200)/Q200*100)</f>
      </c>
      <c r="V200" s="27" t="n"/>
      <c r="W200" s="601"/>
      <c r="X200" s="602">
        <f>($W$5-K200)/365</f>
      </c>
      <c r="Y200" s="127">
        <f>(W200-X200)/W200</f>
      </c>
      <c r="Z200" s="127"/>
      <c r="AA200" s="127">
        <f>Y200/2+Z200/2</f>
      </c>
      <c r="AB200" s="603">
        <f>P200/I200</f>
      </c>
      <c r="AC200" s="604">
        <f>AB200*AD200</f>
      </c>
      <c r="AD200" s="129"/>
      <c r="AE200" s="583" t="n"/>
      <c r="AF200" s="583">
        <f>AC200*0.13/(1+0.13)</f>
      </c>
      <c r="AG200" s="605">
        <f>AC200-AF200</f>
      </c>
      <c r="AH200" s="605">
        <f>AC200*I200</f>
      </c>
      <c r="AI200" s="583">
        <f>ROUND(AG200*I200,-1)</f>
      </c>
    </row>
    <row r="201" ht="15.5" customHeight="1">
      <c r="A201" s="63" t="n"/>
      <c r="B201" s="56"/>
      <c r="C201" s="56"/>
      <c r="D201" s="59" t="n"/>
      <c r="E201" s="63" t="n"/>
      <c r="F201" s="24" t="n"/>
      <c r="G201" s="63"/>
      <c r="H201" s="21"/>
      <c r="I201" s="23"/>
      <c r="J201" s="558"/>
      <c r="K201" s="558"/>
      <c r="L201" s="539" t="n"/>
      <c r="M201" s="539" t="n"/>
      <c r="N201" s="539" t="n"/>
      <c r="O201" s="539" t="n"/>
      <c r="P201" s="539"/>
      <c r="Q201" s="539"/>
      <c r="R201" s="539">
        <f>AI201</f>
      </c>
      <c r="S201" s="23">
        <f>Y201*100</f>
      </c>
      <c r="T201" s="539">
        <f>ROUND(R201*S201/100,-1)</f>
      </c>
      <c r="U201" s="539">
        <f>IF(Q201=0,"",(T201-Q201)/Q201*100)</f>
      </c>
      <c r="V201" s="27" t="n"/>
      <c r="W201" s="601"/>
      <c r="X201" s="602">
        <f>($W$5-K201)/365</f>
      </c>
      <c r="Y201" s="127">
        <f>(W201-X201)/W201</f>
      </c>
      <c r="Z201" s="127"/>
      <c r="AA201" s="127">
        <f>Y201/2+Z201/2</f>
      </c>
      <c r="AB201" s="603">
        <f>P201/I201</f>
      </c>
      <c r="AC201" s="604">
        <f>AB201*AD201</f>
      </c>
      <c r="AD201" s="129"/>
      <c r="AE201" s="583" t="n"/>
      <c r="AF201" s="583">
        <f>AC201*0.13/(1+0.13)</f>
      </c>
      <c r="AG201" s="605">
        <f>AC201-AF201</f>
      </c>
      <c r="AH201" s="605">
        <f>AC201*I201</f>
      </c>
      <c r="AI201" s="583">
        <f>ROUND(AG201*I201,-1)</f>
      </c>
    </row>
    <row r="202" ht="15.5" customHeight="1">
      <c r="A202" s="63" t="n"/>
      <c r="B202" s="56"/>
      <c r="C202" s="56"/>
      <c r="D202" s="59" t="n"/>
      <c r="E202" s="63" t="n"/>
      <c r="F202" s="24" t="n"/>
      <c r="G202" s="63"/>
      <c r="H202" s="21"/>
      <c r="I202" s="23"/>
      <c r="J202" s="558"/>
      <c r="K202" s="558"/>
      <c r="L202" s="539" t="n"/>
      <c r="M202" s="539" t="n"/>
      <c r="N202" s="539" t="n"/>
      <c r="O202" s="539" t="n"/>
      <c r="P202" s="539"/>
      <c r="Q202" s="539"/>
      <c r="R202" s="539">
        <f>AI202</f>
      </c>
      <c r="S202" s="23">
        <f>Y202*100</f>
      </c>
      <c r="T202" s="539">
        <f>ROUND(R202*S202/100,-1)</f>
      </c>
      <c r="U202" s="539">
        <f>IF(Q202=0,"",(T202-Q202)/Q202*100)</f>
      </c>
      <c r="V202" s="27" t="n"/>
      <c r="W202" s="601"/>
      <c r="X202" s="602">
        <f>($W$5-K202)/365</f>
      </c>
      <c r="Y202" s="127">
        <f>(W202-X202)/W202</f>
      </c>
      <c r="Z202" s="127"/>
      <c r="AA202" s="127">
        <f>Y202/2+Z202/2</f>
      </c>
      <c r="AB202" s="603">
        <f>P202/I202</f>
      </c>
      <c r="AC202" s="604">
        <f>AB202*AD202</f>
      </c>
      <c r="AD202" s="129"/>
      <c r="AE202" s="583" t="n"/>
      <c r="AF202" s="583">
        <f>AC202*0.13/(1+0.13)</f>
      </c>
      <c r="AG202" s="605">
        <f>AC202-AF202</f>
      </c>
      <c r="AH202" s="605">
        <f>AC202*I202</f>
      </c>
      <c r="AI202" s="583">
        <f>ROUND(AG202*I202,-1)</f>
      </c>
    </row>
    <row r="203" ht="15.5" customHeight="1">
      <c r="A203" s="63" t="n"/>
      <c r="B203" s="56"/>
      <c r="C203" s="56"/>
      <c r="D203" s="59" t="n"/>
      <c r="E203" s="63" t="n"/>
      <c r="F203" s="24" t="n"/>
      <c r="G203" s="63"/>
      <c r="H203" s="21"/>
      <c r="I203" s="23"/>
      <c r="J203" s="558"/>
      <c r="K203" s="558"/>
      <c r="L203" s="539" t="n"/>
      <c r="M203" s="539" t="n"/>
      <c r="N203" s="539" t="n"/>
      <c r="O203" s="539" t="n"/>
      <c r="P203" s="539"/>
      <c r="Q203" s="539"/>
      <c r="R203" s="539">
        <f>AI203</f>
      </c>
      <c r="S203" s="23">
        <f>Y203*100</f>
      </c>
      <c r="T203" s="539">
        <f>ROUND(R203*S203/100,-1)</f>
      </c>
      <c r="U203" s="539">
        <f>IF(Q203=0,"",(T203-Q203)/Q203*100)</f>
      </c>
      <c r="V203" s="27" t="n"/>
      <c r="W203" s="601"/>
      <c r="X203" s="602">
        <f>($W$5-K203)/365</f>
      </c>
      <c r="Y203" s="127">
        <f>(W203-X203)/W203</f>
      </c>
      <c r="Z203" s="127"/>
      <c r="AA203" s="127">
        <f>Y203/2+Z203/2</f>
      </c>
      <c r="AB203" s="603">
        <f>P203/I203</f>
      </c>
      <c r="AC203" s="604">
        <f>AB203*AD203</f>
      </c>
      <c r="AD203" s="129"/>
      <c r="AE203" s="583" t="n"/>
      <c r="AF203" s="583">
        <f>AC203*0.13/(1+0.13)</f>
      </c>
      <c r="AG203" s="605">
        <f>AC203-AF203</f>
      </c>
      <c r="AH203" s="605">
        <f>AC203*I203</f>
      </c>
      <c r="AI203" s="583">
        <f>ROUND(AG203*I203,-1)</f>
      </c>
    </row>
    <row r="204" ht="15.5" customHeight="1">
      <c r="A204" s="63" t="n"/>
      <c r="B204" s="56"/>
      <c r="C204" s="56"/>
      <c r="D204" s="59" t="n"/>
      <c r="E204" s="63" t="n"/>
      <c r="F204" s="24" t="n"/>
      <c r="G204" s="63"/>
      <c r="H204" s="21"/>
      <c r="I204" s="23"/>
      <c r="J204" s="558"/>
      <c r="K204" s="558"/>
      <c r="L204" s="539" t="n"/>
      <c r="M204" s="539" t="n"/>
      <c r="N204" s="539" t="n"/>
      <c r="O204" s="539" t="n"/>
      <c r="P204" s="539"/>
      <c r="Q204" s="539"/>
      <c r="R204" s="539">
        <f>AI204</f>
      </c>
      <c r="S204" s="23">
        <f>Y204*100</f>
      </c>
      <c r="T204" s="539">
        <f>ROUND(R204*S204/100,-1)</f>
      </c>
      <c r="U204" s="539">
        <f>IF(Q204=0,"",(T204-Q204)/Q204*100)</f>
      </c>
      <c r="V204" s="27" t="n"/>
      <c r="W204" s="601"/>
      <c r="X204" s="602">
        <f>($W$5-K204)/365</f>
      </c>
      <c r="Y204" s="127">
        <f>(W204-X204)/W204</f>
      </c>
      <c r="Z204" s="127"/>
      <c r="AA204" s="127">
        <f>Y204/2+Z204/2</f>
      </c>
      <c r="AB204" s="603">
        <f>P204/I204</f>
      </c>
      <c r="AC204" s="604">
        <f>AB204*AD204</f>
      </c>
      <c r="AD204" s="129"/>
      <c r="AE204" s="583" t="n"/>
      <c r="AF204" s="583">
        <f>AC204*0.13/(1+0.13)</f>
      </c>
      <c r="AG204" s="605">
        <f>AC204-AF204</f>
      </c>
      <c r="AH204" s="605">
        <f>AC204*I204</f>
      </c>
      <c r="AI204" s="583">
        <f>ROUND(AG204*I204,-1)</f>
      </c>
    </row>
    <row r="205" ht="15.5" customHeight="1">
      <c r="A205" s="63" t="n"/>
      <c r="B205" s="56"/>
      <c r="C205" s="56"/>
      <c r="D205" s="59" t="n"/>
      <c r="E205" s="63" t="n"/>
      <c r="F205" s="24" t="n"/>
      <c r="G205" s="63"/>
      <c r="H205" s="21"/>
      <c r="I205" s="23"/>
      <c r="J205" s="558"/>
      <c r="K205" s="558"/>
      <c r="L205" s="539" t="n"/>
      <c r="M205" s="539" t="n"/>
      <c r="N205" s="539" t="n"/>
      <c r="O205" s="539" t="n"/>
      <c r="P205" s="539"/>
      <c r="Q205" s="539"/>
      <c r="R205" s="539">
        <f>AI205</f>
      </c>
      <c r="S205" s="23">
        <f>Y205*100</f>
      </c>
      <c r="T205" s="539">
        <f>ROUND(R205*S205/100,-1)</f>
      </c>
      <c r="U205" s="539">
        <f>IF(Q205=0,"",(T205-Q205)/Q205*100)</f>
      </c>
      <c r="V205" s="27" t="n"/>
      <c r="W205" s="601"/>
      <c r="X205" s="602">
        <f>($W$5-K205)/365</f>
      </c>
      <c r="Y205" s="127">
        <f>(W205-X205)/W205</f>
      </c>
      <c r="Z205" s="127"/>
      <c r="AA205" s="127">
        <f>Y205/2+Z205/2</f>
      </c>
      <c r="AB205" s="603">
        <f>P205/I205</f>
      </c>
      <c r="AC205" s="604">
        <f>AB205*AD205</f>
      </c>
      <c r="AD205" s="129"/>
      <c r="AE205" s="583" t="n"/>
      <c r="AF205" s="583">
        <f>AC205*0.13/(1+0.13)</f>
      </c>
      <c r="AG205" s="605">
        <f>AC205-AF205</f>
      </c>
      <c r="AH205" s="605">
        <f>AC205*I205</f>
      </c>
      <c r="AI205" s="583">
        <f>ROUND(AG205*I205,-1)</f>
      </c>
    </row>
    <row r="206" ht="15.5" customHeight="1">
      <c r="A206" s="63" t="n"/>
      <c r="B206" s="56"/>
      <c r="C206" s="56"/>
      <c r="D206" s="59" t="n"/>
      <c r="E206" s="63" t="n"/>
      <c r="F206" s="24" t="n"/>
      <c r="G206" s="63"/>
      <c r="H206" s="21"/>
      <c r="I206" s="23"/>
      <c r="J206" s="558"/>
      <c r="K206" s="558"/>
      <c r="L206" s="539" t="n"/>
      <c r="M206" s="539" t="n"/>
      <c r="N206" s="539" t="n"/>
      <c r="O206" s="539" t="n"/>
      <c r="P206" s="539"/>
      <c r="Q206" s="539"/>
      <c r="R206" s="539">
        <f>AI206</f>
      </c>
      <c r="S206" s="23">
        <f>Y206*100</f>
      </c>
      <c r="T206" s="539">
        <f>ROUND(R206*S206/100,-1)</f>
      </c>
      <c r="U206" s="539">
        <f>IF(Q206=0,"",(T206-Q206)/Q206*100)</f>
      </c>
      <c r="V206" s="27" t="n"/>
      <c r="W206" s="601"/>
      <c r="X206" s="602">
        <f>($W$5-K206)/365</f>
      </c>
      <c r="Y206" s="127">
        <f>(W206-X206)/W206</f>
      </c>
      <c r="Z206" s="127"/>
      <c r="AA206" s="127">
        <f>Y206/2+Z206/2</f>
      </c>
      <c r="AB206" s="603">
        <f>P206/I206</f>
      </c>
      <c r="AC206" s="604">
        <f>AB206*AD206</f>
      </c>
      <c r="AD206" s="129"/>
      <c r="AE206" s="583" t="n"/>
      <c r="AF206" s="583">
        <f>AC206*0.13/(1+0.13)</f>
      </c>
      <c r="AG206" s="605">
        <f>AC206-AF206</f>
      </c>
      <c r="AH206" s="605">
        <f>AC206*I206</f>
      </c>
      <c r="AI206" s="583">
        <f>ROUND(AG206*I206,-1)</f>
      </c>
    </row>
    <row r="207" ht="15.5" customHeight="1">
      <c r="A207" s="63" t="n"/>
      <c r="B207" s="56"/>
      <c r="C207" s="56"/>
      <c r="D207" s="59" t="n"/>
      <c r="E207" s="63" t="n"/>
      <c r="F207" s="24" t="n"/>
      <c r="G207" s="63"/>
      <c r="H207" s="21"/>
      <c r="I207" s="23"/>
      <c r="J207" s="558"/>
      <c r="K207" s="558"/>
      <c r="L207" s="539" t="n"/>
      <c r="M207" s="539" t="n"/>
      <c r="N207" s="539" t="n"/>
      <c r="O207" s="539" t="n"/>
      <c r="P207" s="539"/>
      <c r="Q207" s="539"/>
      <c r="R207" s="539">
        <f>AI207</f>
      </c>
      <c r="S207" s="23">
        <f>Y207*100</f>
      </c>
      <c r="T207" s="539">
        <f>ROUND(R207*S207/100,-1)</f>
      </c>
      <c r="U207" s="539">
        <f>IF(Q207=0,"",(T207-Q207)/Q207*100)</f>
      </c>
      <c r="V207" s="27" t="n"/>
      <c r="W207" s="601"/>
      <c r="X207" s="602">
        <f>($W$5-K207)/365</f>
      </c>
      <c r="Y207" s="127">
        <f>(W207-X207)/W207</f>
      </c>
      <c r="Z207" s="127"/>
      <c r="AA207" s="127">
        <f>Y207/2+Z207/2</f>
      </c>
      <c r="AB207" s="603">
        <f>P207/I207</f>
      </c>
      <c r="AC207" s="604">
        <f>AB207*AD207</f>
      </c>
      <c r="AD207" s="129"/>
      <c r="AE207" s="583" t="n"/>
      <c r="AF207" s="583">
        <f>AC207*0.13/(1+0.13)</f>
      </c>
      <c r="AG207" s="605">
        <f>AC207-AF207</f>
      </c>
      <c r="AH207" s="605">
        <f>AC207*I207</f>
      </c>
      <c r="AI207" s="583">
        <f>ROUND(AG207*I207,-1)</f>
      </c>
    </row>
    <row r="208" ht="15.5" customHeight="1">
      <c r="A208" s="63" t="n"/>
      <c r="B208" s="56"/>
      <c r="C208" s="56"/>
      <c r="D208" s="59" t="n"/>
      <c r="E208" s="63" t="n"/>
      <c r="F208" s="24" t="n"/>
      <c r="G208" s="63"/>
      <c r="H208" s="21"/>
      <c r="I208" s="23"/>
      <c r="J208" s="558"/>
      <c r="K208" s="558"/>
      <c r="L208" s="539" t="n"/>
      <c r="M208" s="539" t="n"/>
      <c r="N208" s="539" t="n"/>
      <c r="O208" s="539" t="n"/>
      <c r="P208" s="539"/>
      <c r="Q208" s="539"/>
      <c r="R208" s="539">
        <f>AI208</f>
      </c>
      <c r="S208" s="23">
        <f>Y208*100</f>
      </c>
      <c r="T208" s="539">
        <f>ROUND(R208*S208/100,-1)</f>
      </c>
      <c r="U208" s="539">
        <f>IF(Q208=0,"",(T208-Q208)/Q208*100)</f>
      </c>
      <c r="V208" s="27" t="n"/>
      <c r="W208" s="601"/>
      <c r="X208" s="602">
        <f>($W$5-K208)/365</f>
      </c>
      <c r="Y208" s="127">
        <f>(W208-X208)/W208</f>
      </c>
      <c r="Z208" s="127"/>
      <c r="AA208" s="127">
        <f>Y208/2+Z208/2</f>
      </c>
      <c r="AB208" s="603">
        <f>P208/I208</f>
      </c>
      <c r="AC208" s="604">
        <f>AB208*AD208</f>
      </c>
      <c r="AD208" s="129"/>
      <c r="AE208" s="583" t="n"/>
      <c r="AF208" s="583">
        <f>AC208*0.13/(1+0.13)</f>
      </c>
      <c r="AG208" s="605">
        <f>AC208-AF208</f>
      </c>
      <c r="AH208" s="605">
        <f>AC208*I208</f>
      </c>
      <c r="AI208" s="583">
        <f>ROUND(AG208*I208,-1)</f>
      </c>
    </row>
    <row r="209" ht="15.5" customHeight="1">
      <c r="A209" s="63" t="n"/>
      <c r="B209" s="56"/>
      <c r="C209" s="56"/>
      <c r="D209" s="59" t="n"/>
      <c r="E209" s="63" t="n"/>
      <c r="F209" s="24" t="n"/>
      <c r="G209" s="63"/>
      <c r="H209" s="21"/>
      <c r="I209" s="23"/>
      <c r="J209" s="558"/>
      <c r="K209" s="558"/>
      <c r="L209" s="539" t="n"/>
      <c r="M209" s="539" t="n"/>
      <c r="N209" s="539" t="n"/>
      <c r="O209" s="539" t="n"/>
      <c r="P209" s="539"/>
      <c r="Q209" s="539"/>
      <c r="R209" s="539">
        <f>AI209</f>
      </c>
      <c r="S209" s="23">
        <f>Y209*100</f>
      </c>
      <c r="T209" s="539">
        <f>ROUND(R209*S209/100,-1)</f>
      </c>
      <c r="U209" s="539">
        <f>IF(Q209=0,"",(T209-Q209)/Q209*100)</f>
      </c>
      <c r="V209" s="27" t="n"/>
      <c r="W209" s="601"/>
      <c r="X209" s="602">
        <f>($W$5-K209)/365</f>
      </c>
      <c r="Y209" s="127">
        <f>(W209-X209)/W209</f>
      </c>
      <c r="Z209" s="127"/>
      <c r="AA209" s="127">
        <f>Y209/2+Z209/2</f>
      </c>
      <c r="AB209" s="603">
        <f>P209/I209</f>
      </c>
      <c r="AC209" s="604">
        <f>AB209*AD209</f>
      </c>
      <c r="AD209" s="129"/>
      <c r="AE209" s="583" t="n"/>
      <c r="AF209" s="583">
        <f>AC209*0.13/(1+0.13)</f>
      </c>
      <c r="AG209" s="605">
        <f>AC209-AF209</f>
      </c>
      <c r="AH209" s="605">
        <f>AC209*I209</f>
      </c>
      <c r="AI209" s="583">
        <f>ROUND(AG209*I209,-1)</f>
      </c>
    </row>
    <row r="210" ht="15.5" customHeight="1">
      <c r="A210" s="63" t="n"/>
      <c r="B210" s="56"/>
      <c r="C210" s="56"/>
      <c r="D210" s="59" t="n"/>
      <c r="E210" s="63" t="n"/>
      <c r="F210" s="24" t="n"/>
      <c r="G210" s="63"/>
      <c r="H210" s="21"/>
      <c r="I210" s="23"/>
      <c r="J210" s="558"/>
      <c r="K210" s="558"/>
      <c r="L210" s="539" t="n"/>
      <c r="M210" s="539" t="n"/>
      <c r="N210" s="539" t="n"/>
      <c r="O210" s="539" t="n"/>
      <c r="P210" s="539"/>
      <c r="Q210" s="539"/>
      <c r="R210" s="539">
        <f>AI210</f>
      </c>
      <c r="S210" s="23">
        <f>Y210*100</f>
      </c>
      <c r="T210" s="539">
        <f>ROUND(R210*S210/100,-1)</f>
      </c>
      <c r="U210" s="539">
        <f>IF(Q210=0,"",(T210-Q210)/Q210*100)</f>
      </c>
      <c r="V210" s="27" t="n"/>
      <c r="W210" s="601"/>
      <c r="X210" s="602">
        <f>($W$5-K210)/365</f>
      </c>
      <c r="Y210" s="127">
        <f>(W210-X210)/W210</f>
      </c>
      <c r="Z210" s="127"/>
      <c r="AA210" s="127">
        <f>Y210/2+Z210/2</f>
      </c>
      <c r="AB210" s="603">
        <f>P210/I210</f>
      </c>
      <c r="AC210" s="604">
        <f>AB210*AD210</f>
      </c>
      <c r="AD210" s="129"/>
      <c r="AE210" s="583" t="n"/>
      <c r="AF210" s="583">
        <f>AC210*0.13/(1+0.13)</f>
      </c>
      <c r="AG210" s="605">
        <f>AC210-AF210</f>
      </c>
      <c r="AH210" s="605">
        <f>AC210*I210</f>
      </c>
      <c r="AI210" s="583">
        <f>ROUND(AG210*I210,-1)</f>
      </c>
    </row>
    <row r="211" ht="15.5" customHeight="1">
      <c r="A211" s="63" t="n"/>
      <c r="B211" s="56"/>
      <c r="C211" s="56"/>
      <c r="D211" s="59" t="n"/>
      <c r="E211" s="63" t="n"/>
      <c r="F211" s="24" t="n"/>
      <c r="G211" s="63"/>
      <c r="H211" s="21"/>
      <c r="I211" s="23"/>
      <c r="J211" s="558"/>
      <c r="K211" s="558"/>
      <c r="L211" s="539" t="n"/>
      <c r="M211" s="539" t="n"/>
      <c r="N211" s="539" t="n"/>
      <c r="O211" s="539" t="n"/>
      <c r="P211" s="539"/>
      <c r="Q211" s="539"/>
      <c r="R211" s="539">
        <f>AI211</f>
      </c>
      <c r="S211" s="23">
        <f>Y211*100</f>
      </c>
      <c r="T211" s="539">
        <f>ROUND(R211*S211/100,-1)</f>
      </c>
      <c r="U211" s="539">
        <f>IF(Q211=0,"",(T211-Q211)/Q211*100)</f>
      </c>
      <c r="V211" s="27" t="n"/>
      <c r="W211" s="601"/>
      <c r="X211" s="602">
        <f>($W$5-K211)/365</f>
      </c>
      <c r="Y211" s="127">
        <f>(W211-X211)/W211</f>
      </c>
      <c r="Z211" s="127"/>
      <c r="AA211" s="127">
        <f>Y211/2+Z211/2</f>
      </c>
      <c r="AB211" s="603">
        <f>P211/I211</f>
      </c>
      <c r="AC211" s="604">
        <f>AB211*AD211</f>
      </c>
      <c r="AD211" s="129"/>
      <c r="AE211" s="583" t="n"/>
      <c r="AF211" s="583">
        <f>AC211*0.13/(1+0.13)</f>
      </c>
      <c r="AG211" s="605">
        <f>AC211-AF211</f>
      </c>
      <c r="AH211" s="605">
        <f>AC211*I211</f>
      </c>
      <c r="AI211" s="583">
        <f>ROUND(AG211*I211,-1)</f>
      </c>
    </row>
    <row r="212" ht="15.5" customHeight="1">
      <c r="A212" s="63" t="n"/>
      <c r="B212" s="56"/>
      <c r="C212" s="56"/>
      <c r="D212" s="59" t="n"/>
      <c r="E212" s="63" t="n"/>
      <c r="F212" s="24" t="n"/>
      <c r="G212" s="63"/>
      <c r="H212" s="21"/>
      <c r="I212" s="23"/>
      <c r="J212" s="558"/>
      <c r="K212" s="558"/>
      <c r="L212" s="539" t="n"/>
      <c r="M212" s="539" t="n"/>
      <c r="N212" s="539" t="n"/>
      <c r="O212" s="539" t="n"/>
      <c r="P212" s="539"/>
      <c r="Q212" s="539"/>
      <c r="R212" s="539">
        <f>AI212</f>
      </c>
      <c r="S212" s="23">
        <f>Y212*100</f>
      </c>
      <c r="T212" s="539">
        <f>ROUND(R212*S212/100,-1)</f>
      </c>
      <c r="U212" s="539">
        <f>IF(Q212=0,"",(T212-Q212)/Q212*100)</f>
      </c>
      <c r="V212" s="27" t="n"/>
      <c r="W212" s="601"/>
      <c r="X212" s="602">
        <f>($W$5-K212)/365</f>
      </c>
      <c r="Y212" s="127">
        <f>(W212-X212)/W212</f>
      </c>
      <c r="Z212" s="127"/>
      <c r="AA212" s="127">
        <f>Y212/2+Z212/2</f>
      </c>
      <c r="AB212" s="603">
        <f>P212/I212</f>
      </c>
      <c r="AC212" s="604">
        <f>AB212*AD212</f>
      </c>
      <c r="AD212" s="129"/>
      <c r="AE212" s="583" t="n"/>
      <c r="AF212" s="583">
        <f>AC212*0.13/(1+0.13)</f>
      </c>
      <c r="AG212" s="605">
        <f>AC212-AF212</f>
      </c>
      <c r="AH212" s="605">
        <f>AC212*I212</f>
      </c>
      <c r="AI212" s="583">
        <f>ROUND(AG212*I212,-1)</f>
      </c>
    </row>
    <row r="213" ht="15.5" customHeight="1">
      <c r="A213" s="63" t="n"/>
      <c r="B213" s="56"/>
      <c r="C213" s="56"/>
      <c r="D213" s="59" t="n"/>
      <c r="E213" s="63" t="n"/>
      <c r="F213" s="24" t="n"/>
      <c r="G213" s="63"/>
      <c r="H213" s="21"/>
      <c r="I213" s="23"/>
      <c r="J213" s="558"/>
      <c r="K213" s="558"/>
      <c r="L213" s="539" t="n"/>
      <c r="M213" s="539" t="n"/>
      <c r="N213" s="539" t="n"/>
      <c r="O213" s="539" t="n"/>
      <c r="P213" s="539"/>
      <c r="Q213" s="539"/>
      <c r="R213" s="539">
        <f>AI213</f>
      </c>
      <c r="S213" s="23">
        <f>Y213*100</f>
      </c>
      <c r="T213" s="539">
        <f>ROUND(R213*S213/100,-1)</f>
      </c>
      <c r="U213" s="539">
        <f>IF(Q213=0,"",(T213-Q213)/Q213*100)</f>
      </c>
      <c r="V213" s="27" t="n"/>
      <c r="W213" s="601"/>
      <c r="X213" s="602">
        <f>($W$5-K213)/365</f>
      </c>
      <c r="Y213" s="127">
        <f>(W213-X213)/W213</f>
      </c>
      <c r="Z213" s="127"/>
      <c r="AA213" s="127">
        <f>Y213/2+Z213/2</f>
      </c>
      <c r="AB213" s="603">
        <f>P213/I213</f>
      </c>
      <c r="AC213" s="604">
        <f>AB213*AD213</f>
      </c>
      <c r="AD213" s="129"/>
      <c r="AE213" s="583" t="n"/>
      <c r="AF213" s="583">
        <f>AC213*0.13/(1+0.13)</f>
      </c>
      <c r="AG213" s="605">
        <f>AC213-AF213</f>
      </c>
      <c r="AH213" s="605">
        <f>AC213*I213</f>
      </c>
      <c r="AI213" s="583">
        <f>ROUND(AG213*I213,-1)</f>
      </c>
    </row>
    <row r="214" ht="15.5" customHeight="1">
      <c r="A214" s="63" t="n"/>
      <c r="B214" s="56"/>
      <c r="C214" s="56"/>
      <c r="D214" s="59" t="n"/>
      <c r="E214" s="63" t="n"/>
      <c r="F214" s="24" t="n"/>
      <c r="G214" s="63"/>
      <c r="H214" s="21"/>
      <c r="I214" s="23"/>
      <c r="J214" s="558"/>
      <c r="K214" s="558"/>
      <c r="L214" s="539" t="n"/>
      <c r="M214" s="539" t="n"/>
      <c r="N214" s="539" t="n"/>
      <c r="O214" s="539" t="n"/>
      <c r="P214" s="539"/>
      <c r="Q214" s="539"/>
      <c r="R214" s="539">
        <f>AI214</f>
      </c>
      <c r="S214" s="23">
        <f>Y214*100</f>
      </c>
      <c r="T214" s="539">
        <f>ROUND(R214*S214/100,-1)</f>
      </c>
      <c r="U214" s="539">
        <f>IF(Q214=0,"",(T214-Q214)/Q214*100)</f>
      </c>
      <c r="V214" s="27" t="n"/>
      <c r="W214" s="601"/>
      <c r="X214" s="602">
        <f>($W$5-K214)/365</f>
      </c>
      <c r="Y214" s="127">
        <f>(W214-X214)/W214</f>
      </c>
      <c r="Z214" s="127"/>
      <c r="AA214" s="127">
        <f>Y214/2+Z214/2</f>
      </c>
      <c r="AB214" s="603">
        <f>P214/I214</f>
      </c>
      <c r="AC214" s="604">
        <f>AB214*AD214</f>
      </c>
      <c r="AD214" s="129"/>
      <c r="AE214" s="583" t="n"/>
      <c r="AF214" s="583">
        <f>AC214*0.13/(1+0.13)</f>
      </c>
      <c r="AG214" s="605">
        <f>AC214-AF214</f>
      </c>
      <c r="AH214" s="605">
        <f>AC214*I214</f>
      </c>
      <c r="AI214" s="583">
        <f>ROUND(AG214*I214,-1)</f>
      </c>
    </row>
    <row r="215" ht="15.5" customHeight="1">
      <c r="A215" s="63" t="n"/>
      <c r="B215" s="56"/>
      <c r="C215" s="56"/>
      <c r="D215" s="59" t="n"/>
      <c r="E215" s="63" t="n"/>
      <c r="F215" s="24" t="n"/>
      <c r="G215" s="63"/>
      <c r="H215" s="21"/>
      <c r="I215" s="23"/>
      <c r="J215" s="558"/>
      <c r="K215" s="558"/>
      <c r="L215" s="539" t="n"/>
      <c r="M215" s="539" t="n"/>
      <c r="N215" s="539" t="n"/>
      <c r="O215" s="539" t="n"/>
      <c r="P215" s="539"/>
      <c r="Q215" s="539"/>
      <c r="R215" s="539">
        <f>AI215</f>
      </c>
      <c r="S215" s="23">
        <f>Y215*100</f>
      </c>
      <c r="T215" s="539">
        <f>ROUND(R215*S215/100,-1)</f>
      </c>
      <c r="U215" s="539">
        <f>IF(Q215=0,"",(T215-Q215)/Q215*100)</f>
      </c>
      <c r="V215" s="27" t="n"/>
      <c r="W215" s="601"/>
      <c r="X215" s="602">
        <f>($W$5-K215)/365</f>
      </c>
      <c r="Y215" s="127">
        <f>(W215-X215)/W215</f>
      </c>
      <c r="Z215" s="127"/>
      <c r="AA215" s="127">
        <f>Y215/2+Z215/2</f>
      </c>
      <c r="AB215" s="603">
        <f>P215/I215</f>
      </c>
      <c r="AC215" s="604">
        <f>AB215*AD215</f>
      </c>
      <c r="AD215" s="129"/>
      <c r="AE215" s="583" t="n"/>
      <c r="AF215" s="583">
        <f>AC215*0.13/(1+0.13)</f>
      </c>
      <c r="AG215" s="605">
        <f>AC215-AF215</f>
      </c>
      <c r="AH215" s="605">
        <f>AC215*I215</f>
      </c>
      <c r="AI215" s="583">
        <f>ROUND(AG215*I215,-1)</f>
      </c>
    </row>
    <row r="216" ht="15.5" customHeight="1">
      <c r="A216" s="63" t="n"/>
      <c r="B216" s="56"/>
      <c r="C216" s="56"/>
      <c r="D216" s="59" t="n"/>
      <c r="E216" s="63" t="n"/>
      <c r="F216" s="24" t="n"/>
      <c r="G216" s="63"/>
      <c r="H216" s="21"/>
      <c r="I216" s="23"/>
      <c r="J216" s="558"/>
      <c r="K216" s="558"/>
      <c r="L216" s="539" t="n"/>
      <c r="M216" s="539" t="n"/>
      <c r="N216" s="539" t="n"/>
      <c r="O216" s="539" t="n"/>
      <c r="P216" s="539"/>
      <c r="Q216" s="539"/>
      <c r="R216" s="539">
        <f>AI216</f>
      </c>
      <c r="S216" s="23">
        <f>Y216*100</f>
      </c>
      <c r="T216" s="539">
        <f>ROUND(R216*S216/100,-1)</f>
      </c>
      <c r="U216" s="539">
        <f>IF(Q216=0,"",(T216-Q216)/Q216*100)</f>
      </c>
      <c r="V216" s="27" t="n"/>
      <c r="W216" s="601"/>
      <c r="X216" s="602">
        <f>($W$5-K216)/365</f>
      </c>
      <c r="Y216" s="127">
        <f>(W216-X216)/W216</f>
      </c>
      <c r="Z216" s="127"/>
      <c r="AA216" s="127">
        <f>Y216/2+Z216/2</f>
      </c>
      <c r="AB216" s="603">
        <f>P216/I216</f>
      </c>
      <c r="AC216" s="604">
        <f>AB216*AD216</f>
      </c>
      <c r="AD216" s="129"/>
      <c r="AE216" s="583" t="n"/>
      <c r="AF216" s="583">
        <f>AC216*0.13/(1+0.13)</f>
      </c>
      <c r="AG216" s="605">
        <f>AC216-AF216</f>
      </c>
      <c r="AH216" s="605">
        <f>AC216*I216</f>
      </c>
      <c r="AI216" s="583">
        <f>ROUND(AG216*I216,-1)</f>
      </c>
    </row>
    <row r="217" ht="15.5" customHeight="1">
      <c r="A217" s="63" t="n"/>
      <c r="B217" s="56"/>
      <c r="C217" s="56"/>
      <c r="D217" s="59" t="n"/>
      <c r="E217" s="63" t="n"/>
      <c r="F217" s="24" t="n"/>
      <c r="G217" s="63"/>
      <c r="H217" s="21"/>
      <c r="I217" s="23"/>
      <c r="J217" s="558"/>
      <c r="K217" s="558"/>
      <c r="L217" s="539" t="n"/>
      <c r="M217" s="539" t="n"/>
      <c r="N217" s="539" t="n"/>
      <c r="O217" s="539" t="n"/>
      <c r="P217" s="539"/>
      <c r="Q217" s="539"/>
      <c r="R217" s="539">
        <f>AI217</f>
      </c>
      <c r="S217" s="23">
        <f>Y217*100</f>
      </c>
      <c r="T217" s="539">
        <f>ROUND(R217*S217/100,-1)</f>
      </c>
      <c r="U217" s="539">
        <f>IF(Q217=0,"",(T217-Q217)/Q217*100)</f>
      </c>
      <c r="V217" s="27" t="n"/>
      <c r="W217" s="601"/>
      <c r="X217" s="602">
        <f>($W$5-K217)/365</f>
      </c>
      <c r="Y217" s="127">
        <f>(W217-X217)/W217</f>
      </c>
      <c r="Z217" s="127"/>
      <c r="AA217" s="127">
        <f>Y217/2+Z217/2</f>
      </c>
      <c r="AB217" s="603">
        <f>P217/I217</f>
      </c>
      <c r="AC217" s="604">
        <f>AB217*AD217</f>
      </c>
      <c r="AD217" s="129"/>
      <c r="AE217" s="583" t="n"/>
      <c r="AF217" s="583">
        <f>AC217*0.13/(1+0.13)</f>
      </c>
      <c r="AG217" s="605">
        <f>AC217-AF217</f>
      </c>
      <c r="AH217" s="605">
        <f>AC217*I217</f>
      </c>
      <c r="AI217" s="583">
        <f>ROUND(AG217*I217,-1)</f>
      </c>
    </row>
    <row r="218" ht="15.5" customHeight="1">
      <c r="A218" s="63" t="n"/>
      <c r="B218" s="56"/>
      <c r="C218" s="56"/>
      <c r="D218" s="59" t="n"/>
      <c r="E218" s="63" t="n"/>
      <c r="F218" s="24" t="n"/>
      <c r="G218" s="63"/>
      <c r="H218" s="21"/>
      <c r="I218" s="23"/>
      <c r="J218" s="558"/>
      <c r="K218" s="558"/>
      <c r="L218" s="539" t="n"/>
      <c r="M218" s="539" t="n"/>
      <c r="N218" s="539" t="n"/>
      <c r="O218" s="539" t="n"/>
      <c r="P218" s="539"/>
      <c r="Q218" s="539"/>
      <c r="R218" s="539">
        <f>AI218</f>
      </c>
      <c r="S218" s="23">
        <f>Y218*100</f>
      </c>
      <c r="T218" s="539">
        <f>ROUND(R218*S218/100,-1)</f>
      </c>
      <c r="U218" s="539">
        <f>IF(Q218=0,"",(T218-Q218)/Q218*100)</f>
      </c>
      <c r="V218" s="27" t="n"/>
      <c r="W218" s="601"/>
      <c r="X218" s="602">
        <f>($W$5-K218)/365</f>
      </c>
      <c r="Y218" s="127">
        <f>(W218-X218)/W218</f>
      </c>
      <c r="Z218" s="127"/>
      <c r="AA218" s="127">
        <f>Y218/2+Z218/2</f>
      </c>
      <c r="AB218" s="603">
        <f>P218/I218</f>
      </c>
      <c r="AC218" s="604">
        <f>AB218*AD218</f>
      </c>
      <c r="AD218" s="129"/>
      <c r="AE218" s="583" t="n"/>
      <c r="AF218" s="583">
        <f>AC218*0.13/(1+0.13)</f>
      </c>
      <c r="AG218" s="605">
        <f>AC218-AF218</f>
      </c>
      <c r="AH218" s="605">
        <f>AC218*I218</f>
      </c>
      <c r="AI218" s="583">
        <f>ROUND(AG218*I218,-1)</f>
      </c>
    </row>
    <row r="219" ht="15.5" customHeight="1">
      <c r="A219" s="63" t="n"/>
      <c r="B219" s="56"/>
      <c r="C219" s="56"/>
      <c r="D219" s="59" t="n"/>
      <c r="E219" s="63" t="n"/>
      <c r="F219" s="24" t="n"/>
      <c r="G219" s="63"/>
      <c r="H219" s="21"/>
      <c r="I219" s="23"/>
      <c r="J219" s="558"/>
      <c r="K219" s="558"/>
      <c r="L219" s="539" t="n"/>
      <c r="M219" s="539" t="n"/>
      <c r="N219" s="539" t="n"/>
      <c r="O219" s="539" t="n"/>
      <c r="P219" s="539"/>
      <c r="Q219" s="539"/>
      <c r="R219" s="539">
        <f>AI219</f>
      </c>
      <c r="S219" s="23">
        <f>Y219*100</f>
      </c>
      <c r="T219" s="539">
        <f>ROUND(R219*S219/100,-1)</f>
      </c>
      <c r="U219" s="539">
        <f>IF(Q219=0,"",(T219-Q219)/Q219*100)</f>
      </c>
      <c r="V219" s="27" t="n"/>
      <c r="W219" s="601"/>
      <c r="X219" s="602">
        <f>($W$5-K219)/365</f>
      </c>
      <c r="Y219" s="127">
        <f>(W219-X219)/W219</f>
      </c>
      <c r="Z219" s="127"/>
      <c r="AA219" s="127">
        <f>Y219/2+Z219/2</f>
      </c>
      <c r="AB219" s="603">
        <f>P219/I219</f>
      </c>
      <c r="AC219" s="604">
        <f>AB219*AD219</f>
      </c>
      <c r="AD219" s="129"/>
      <c r="AE219" s="583" t="n"/>
      <c r="AF219" s="583">
        <f>AC219*0.13/(1+0.13)</f>
      </c>
      <c r="AG219" s="605">
        <f>AC219-AF219</f>
      </c>
      <c r="AH219" s="605">
        <f>AC219*I219</f>
      </c>
      <c r="AI219" s="583">
        <f>ROUND(AG219*I219,-1)</f>
      </c>
    </row>
    <row r="220" ht="15.5" customHeight="1">
      <c r="A220" s="63" t="n"/>
      <c r="B220" s="56"/>
      <c r="C220" s="56"/>
      <c r="D220" s="59" t="n"/>
      <c r="E220" s="63" t="n"/>
      <c r="F220" s="24" t="n"/>
      <c r="G220" s="63"/>
      <c r="H220" s="21"/>
      <c r="I220" s="23"/>
      <c r="J220" s="558"/>
      <c r="K220" s="558"/>
      <c r="L220" s="539" t="n"/>
      <c r="M220" s="539" t="n"/>
      <c r="N220" s="539" t="n"/>
      <c r="O220" s="539" t="n"/>
      <c r="P220" s="539"/>
      <c r="Q220" s="539"/>
      <c r="R220" s="539">
        <f>AI220</f>
      </c>
      <c r="S220" s="23">
        <f>Y220*100</f>
      </c>
      <c r="T220" s="539">
        <f>ROUND(R220*S220/100,-1)</f>
      </c>
      <c r="U220" s="539">
        <f>IF(Q220=0,"",(T220-Q220)/Q220*100)</f>
      </c>
      <c r="V220" s="27" t="n"/>
      <c r="W220" s="601"/>
      <c r="X220" s="602">
        <f>($W$5-K220)/365</f>
      </c>
      <c r="Y220" s="127">
        <f>(W220-X220)/W220</f>
      </c>
      <c r="Z220" s="127"/>
      <c r="AA220" s="127">
        <f>Y220/2+Z220/2</f>
      </c>
      <c r="AB220" s="603">
        <f>P220/I220</f>
      </c>
      <c r="AC220" s="604">
        <f>AB220*AD220</f>
      </c>
      <c r="AD220" s="129"/>
      <c r="AE220" s="583" t="n"/>
      <c r="AF220" s="583">
        <f>AC220*0.13/(1+0.13)</f>
      </c>
      <c r="AG220" s="605">
        <f>AC220-AF220</f>
      </c>
      <c r="AH220" s="605">
        <f>AC220*I220</f>
      </c>
      <c r="AI220" s="583">
        <f>ROUND(AG220*I220,-1)</f>
      </c>
    </row>
    <row r="221" ht="15.5" customHeight="1">
      <c r="A221" s="63" t="n"/>
      <c r="B221" s="56"/>
      <c r="C221" s="56"/>
      <c r="D221" s="59" t="n"/>
      <c r="E221" s="63" t="n"/>
      <c r="F221" s="24" t="n"/>
      <c r="G221" s="63"/>
      <c r="H221" s="21"/>
      <c r="I221" s="23"/>
      <c r="J221" s="558"/>
      <c r="K221" s="558"/>
      <c r="L221" s="539" t="n"/>
      <c r="M221" s="539" t="n"/>
      <c r="N221" s="539" t="n"/>
      <c r="O221" s="539" t="n"/>
      <c r="P221" s="539"/>
      <c r="Q221" s="539"/>
      <c r="R221" s="539">
        <f>AI221</f>
      </c>
      <c r="S221" s="23">
        <f>Y221*100</f>
      </c>
      <c r="T221" s="539">
        <f>ROUND(R221*S221/100,-1)</f>
      </c>
      <c r="U221" s="539">
        <f>IF(Q221=0,"",(T221-Q221)/Q221*100)</f>
      </c>
      <c r="V221" s="27" t="n"/>
      <c r="W221" s="601"/>
      <c r="X221" s="602">
        <f>($W$5-K221)/365</f>
      </c>
      <c r="Y221" s="127">
        <f>(W221-X221)/W221</f>
      </c>
      <c r="Z221" s="127"/>
      <c r="AA221" s="127">
        <f>Y221/2+Z221/2</f>
      </c>
      <c r="AB221" s="603">
        <f>P221/I221</f>
      </c>
      <c r="AC221" s="604">
        <f>AB221*AD221</f>
      </c>
      <c r="AD221" s="129"/>
      <c r="AE221" s="583" t="n"/>
      <c r="AF221" s="583">
        <f>AC221*0.13/(1+0.13)</f>
      </c>
      <c r="AG221" s="605">
        <f>AC221-AF221</f>
      </c>
      <c r="AH221" s="605">
        <f>AC221*I221</f>
      </c>
      <c r="AI221" s="583">
        <f>ROUND(AG221*I221,-1)</f>
      </c>
    </row>
    <row r="222" ht="15.5" customHeight="1">
      <c r="A222" s="63" t="n"/>
      <c r="B222" s="56"/>
      <c r="C222" s="56"/>
      <c r="D222" s="59" t="n"/>
      <c r="E222" s="63" t="n"/>
      <c r="F222" s="24" t="n"/>
      <c r="G222" s="63"/>
      <c r="H222" s="21"/>
      <c r="I222" s="23"/>
      <c r="J222" s="558"/>
      <c r="K222" s="558"/>
      <c r="L222" s="539" t="n"/>
      <c r="M222" s="539" t="n"/>
      <c r="N222" s="539" t="n"/>
      <c r="O222" s="539" t="n"/>
      <c r="P222" s="539"/>
      <c r="Q222" s="539"/>
      <c r="R222" s="539">
        <f>AI222</f>
      </c>
      <c r="S222" s="23">
        <f>Y222*100</f>
      </c>
      <c r="T222" s="539">
        <f>ROUND(R222*S222/100,-1)</f>
      </c>
      <c r="U222" s="539">
        <f>IF(Q222=0,"",(T222-Q222)/Q222*100)</f>
      </c>
      <c r="V222" s="27" t="n"/>
      <c r="W222" s="601"/>
      <c r="X222" s="602">
        <f>($W$5-K222)/365</f>
      </c>
      <c r="Y222" s="127">
        <f>(W222-X222)/W222</f>
      </c>
      <c r="Z222" s="127"/>
      <c r="AA222" s="127">
        <f>Y222/2+Z222/2</f>
      </c>
      <c r="AB222" s="603">
        <f>P222/I222</f>
      </c>
      <c r="AC222" s="604">
        <f>AB222*AD222</f>
      </c>
      <c r="AD222" s="129"/>
      <c r="AE222" s="583" t="n"/>
      <c r="AF222" s="583">
        <f>AC222*0.13/(1+0.13)</f>
      </c>
      <c r="AG222" s="605">
        <f>AC222-AF222</f>
      </c>
      <c r="AH222" s="605">
        <f>AC222*I222</f>
      </c>
      <c r="AI222" s="583">
        <f>ROUND(AG222*I222,-1)</f>
      </c>
    </row>
    <row r="223" ht="15.5" customHeight="1">
      <c r="A223" s="63" t="n"/>
      <c r="B223" s="56"/>
      <c r="C223" s="56"/>
      <c r="D223" s="59" t="n"/>
      <c r="E223" s="63" t="n"/>
      <c r="F223" s="24" t="n"/>
      <c r="G223" s="63"/>
      <c r="H223" s="21"/>
      <c r="I223" s="23"/>
      <c r="J223" s="558"/>
      <c r="K223" s="558"/>
      <c r="L223" s="539" t="n"/>
      <c r="M223" s="539" t="n"/>
      <c r="N223" s="539" t="n"/>
      <c r="O223" s="539" t="n"/>
      <c r="P223" s="539"/>
      <c r="Q223" s="539"/>
      <c r="R223" s="539">
        <f>AI223</f>
      </c>
      <c r="S223" s="23">
        <f>Y223*100</f>
      </c>
      <c r="T223" s="539">
        <f>ROUND(R223*S223/100,-1)</f>
      </c>
      <c r="U223" s="539">
        <f>IF(Q223=0,"",(T223-Q223)/Q223*100)</f>
      </c>
      <c r="V223" s="27" t="n"/>
      <c r="W223" s="601"/>
      <c r="X223" s="602">
        <f>($W$5-K223)/365</f>
      </c>
      <c r="Y223" s="127">
        <f>(W223-X223)/W223</f>
      </c>
      <c r="Z223" s="127"/>
      <c r="AA223" s="127">
        <f>Y223/2+Z223/2</f>
      </c>
      <c r="AB223" s="603">
        <f>P223/I223</f>
      </c>
      <c r="AC223" s="604">
        <f>AB223*AD223</f>
      </c>
      <c r="AD223" s="129"/>
      <c r="AE223" s="583" t="n"/>
      <c r="AF223" s="583">
        <f>AC223*0.13/(1+0.13)</f>
      </c>
      <c r="AG223" s="605">
        <f>AC223-AF223</f>
      </c>
      <c r="AH223" s="605">
        <f>AC223*I223</f>
      </c>
      <c r="AI223" s="583">
        <f>ROUND(AG223*I223,-1)</f>
      </c>
    </row>
    <row r="224" ht="15.5" customHeight="1">
      <c r="A224" s="63" t="n"/>
      <c r="B224" s="56"/>
      <c r="C224" s="56"/>
      <c r="D224" s="59" t="n"/>
      <c r="E224" s="63" t="n"/>
      <c r="F224" s="24" t="n"/>
      <c r="G224" s="63"/>
      <c r="H224" s="21"/>
      <c r="I224" s="23"/>
      <c r="J224" s="558"/>
      <c r="K224" s="558"/>
      <c r="L224" s="539" t="n"/>
      <c r="M224" s="539" t="n"/>
      <c r="N224" s="539" t="n"/>
      <c r="O224" s="539" t="n"/>
      <c r="P224" s="539"/>
      <c r="Q224" s="539"/>
      <c r="R224" s="539">
        <f>AI224</f>
      </c>
      <c r="S224" s="23">
        <f>Y224*100</f>
      </c>
      <c r="T224" s="539">
        <f>ROUND(R224*S224/100,-1)</f>
      </c>
      <c r="U224" s="539">
        <f>IF(Q224=0,"",(T224-Q224)/Q224*100)</f>
      </c>
      <c r="V224" s="27" t="n"/>
      <c r="W224" s="601"/>
      <c r="X224" s="602">
        <f>($W$5-K224)/365</f>
      </c>
      <c r="Y224" s="127">
        <f>(W224-X224)/W224</f>
      </c>
      <c r="Z224" s="127"/>
      <c r="AA224" s="127">
        <f>Y224/2+Z224/2</f>
      </c>
      <c r="AB224" s="603">
        <f>P224/I224</f>
      </c>
      <c r="AC224" s="604">
        <f>AB224*AD224</f>
      </c>
      <c r="AD224" s="129"/>
      <c r="AE224" s="583" t="n"/>
      <c r="AF224" s="583">
        <f>AC224*0.13/(1+0.13)</f>
      </c>
      <c r="AG224" s="605">
        <f>AC224-AF224</f>
      </c>
      <c r="AH224" s="605">
        <f>AC224*I224</f>
      </c>
      <c r="AI224" s="583">
        <f>ROUND(AG224*I224,-1)</f>
      </c>
    </row>
    <row r="225" ht="15.5" customHeight="1">
      <c r="A225" s="63" t="n"/>
      <c r="B225" s="56"/>
      <c r="C225" s="56"/>
      <c r="D225" s="59" t="n"/>
      <c r="E225" s="63" t="n"/>
      <c r="F225" s="24" t="n"/>
      <c r="G225" s="63"/>
      <c r="H225" s="21"/>
      <c r="I225" s="23"/>
      <c r="J225" s="558"/>
      <c r="K225" s="558"/>
      <c r="L225" s="539" t="n"/>
      <c r="M225" s="539" t="n"/>
      <c r="N225" s="539" t="n"/>
      <c r="O225" s="539" t="n"/>
      <c r="P225" s="539"/>
      <c r="Q225" s="539"/>
      <c r="R225" s="539">
        <f>AI225</f>
      </c>
      <c r="S225" s="23">
        <f>Y225*100</f>
      </c>
      <c r="T225" s="539">
        <f>ROUND(R225*S225/100,-1)</f>
      </c>
      <c r="U225" s="539">
        <f>IF(Q225=0,"",(T225-Q225)/Q225*100)</f>
      </c>
      <c r="V225" s="27" t="n"/>
      <c r="W225" s="601"/>
      <c r="X225" s="602">
        <f>($W$5-K225)/365</f>
      </c>
      <c r="Y225" s="127">
        <f>(W225-X225)/W225</f>
      </c>
      <c r="Z225" s="127"/>
      <c r="AA225" s="127">
        <f>Y225/2+Z225/2</f>
      </c>
      <c r="AB225" s="603">
        <f>P225/I225</f>
      </c>
      <c r="AC225" s="604">
        <f>AB225*AD225</f>
      </c>
      <c r="AD225" s="129"/>
      <c r="AE225" s="583" t="n"/>
      <c r="AF225" s="583">
        <f>AC225*0.13/(1+0.13)</f>
      </c>
      <c r="AG225" s="605">
        <f>AC225-AF225</f>
      </c>
      <c r="AH225" s="605">
        <f>AC225*I225</f>
      </c>
      <c r="AI225" s="583">
        <f>ROUND(AG225*I225,-1)</f>
      </c>
    </row>
    <row r="226" ht="15.5" customHeight="1">
      <c r="A226" s="63" t="n"/>
      <c r="B226" s="56"/>
      <c r="C226" s="56"/>
      <c r="D226" s="59" t="n"/>
      <c r="E226" s="63" t="n"/>
      <c r="F226" s="24" t="n"/>
      <c r="G226" s="63"/>
      <c r="H226" s="21"/>
      <c r="I226" s="23"/>
      <c r="J226" s="558"/>
      <c r="K226" s="558"/>
      <c r="L226" s="539" t="n"/>
      <c r="M226" s="539" t="n"/>
      <c r="N226" s="539" t="n"/>
      <c r="O226" s="539" t="n"/>
      <c r="P226" s="539"/>
      <c r="Q226" s="539"/>
      <c r="R226" s="539">
        <f>AI226</f>
      </c>
      <c r="S226" s="23">
        <f>Y226*100</f>
      </c>
      <c r="T226" s="539">
        <f>ROUND(R226*S226/100,-1)</f>
      </c>
      <c r="U226" s="539">
        <f>IF(Q226=0,"",(T226-Q226)/Q226*100)</f>
      </c>
      <c r="V226" s="27" t="n"/>
      <c r="W226" s="601"/>
      <c r="X226" s="602">
        <f>($W$5-K226)/365</f>
      </c>
      <c r="Y226" s="127">
        <f>(W226-X226)/W226</f>
      </c>
      <c r="Z226" s="127"/>
      <c r="AA226" s="127">
        <f>Y226/2+Z226/2</f>
      </c>
      <c r="AB226" s="603">
        <f>P226/I226</f>
      </c>
      <c r="AC226" s="604">
        <f>AB226*AD226</f>
      </c>
      <c r="AD226" s="129"/>
      <c r="AE226" s="583" t="n"/>
      <c r="AF226" s="583">
        <f>AC226*0.13/(1+0.13)</f>
      </c>
      <c r="AG226" s="605">
        <f>AC226-AF226</f>
      </c>
      <c r="AH226" s="605">
        <f>AC226*I226</f>
      </c>
      <c r="AI226" s="583">
        <f>ROUND(AG226*I226,-1)</f>
      </c>
    </row>
    <row r="227" ht="15.5" customHeight="1">
      <c r="A227" s="63" t="n"/>
      <c r="B227" s="56"/>
      <c r="C227" s="56"/>
      <c r="D227" s="59" t="n"/>
      <c r="E227" s="63" t="n"/>
      <c r="F227" s="24" t="n"/>
      <c r="G227" s="63"/>
      <c r="H227" s="21"/>
      <c r="I227" s="23"/>
      <c r="J227" s="558"/>
      <c r="K227" s="558"/>
      <c r="L227" s="539" t="n"/>
      <c r="M227" s="539" t="n"/>
      <c r="N227" s="539" t="n"/>
      <c r="O227" s="539" t="n"/>
      <c r="P227" s="539"/>
      <c r="Q227" s="539"/>
      <c r="R227" s="539">
        <f>AI227</f>
      </c>
      <c r="S227" s="23">
        <f>Y227*100</f>
      </c>
      <c r="T227" s="539">
        <f>ROUND(R227*S227/100,-1)</f>
      </c>
      <c r="U227" s="539">
        <f>IF(Q227=0,"",(T227-Q227)/Q227*100)</f>
      </c>
      <c r="V227" s="27" t="n"/>
      <c r="W227" s="601"/>
      <c r="X227" s="602">
        <f>($W$5-K227)/365</f>
      </c>
      <c r="Y227" s="127">
        <f>(W227-X227)/W227</f>
      </c>
      <c r="Z227" s="127"/>
      <c r="AA227" s="127">
        <f>Y227/2+Z227/2</f>
      </c>
      <c r="AB227" s="603">
        <f>P227/I227</f>
      </c>
      <c r="AC227" s="604">
        <f>AB227*AD227</f>
      </c>
      <c r="AD227" s="129"/>
      <c r="AE227" s="583" t="n"/>
      <c r="AF227" s="583">
        <f>AC227*0.13/(1+0.13)</f>
      </c>
      <c r="AG227" s="605">
        <f>AC227-AF227</f>
      </c>
      <c r="AH227" s="605">
        <f>AC227*I227</f>
      </c>
      <c r="AI227" s="583">
        <f>ROUND(AG227*I227,-1)</f>
      </c>
    </row>
    <row r="228" ht="15.5" customHeight="1">
      <c r="A228" s="63" t="n"/>
      <c r="B228" s="56"/>
      <c r="C228" s="56"/>
      <c r="D228" s="59" t="n"/>
      <c r="E228" s="63" t="n"/>
      <c r="F228" s="24" t="n"/>
      <c r="G228" s="63"/>
      <c r="H228" s="21"/>
      <c r="I228" s="23"/>
      <c r="J228" s="558"/>
      <c r="K228" s="558"/>
      <c r="L228" s="539" t="n"/>
      <c r="M228" s="539" t="n"/>
      <c r="N228" s="539" t="n"/>
      <c r="O228" s="539" t="n"/>
      <c r="P228" s="539"/>
      <c r="Q228" s="539"/>
      <c r="R228" s="539">
        <f>AI228</f>
      </c>
      <c r="S228" s="23">
        <f>Y228*100</f>
      </c>
      <c r="T228" s="539">
        <f>ROUND(R228*S228/100,-1)</f>
      </c>
      <c r="U228" s="539">
        <f>IF(Q228=0,"",(T228-Q228)/Q228*100)</f>
      </c>
      <c r="V228" s="27" t="n"/>
      <c r="W228" s="601"/>
      <c r="X228" s="602">
        <f>($W$5-K228)/365</f>
      </c>
      <c r="Y228" s="127">
        <f>(W228-X228)/W228</f>
      </c>
      <c r="Z228" s="127"/>
      <c r="AA228" s="127">
        <f>Y228/2+Z228/2</f>
      </c>
      <c r="AB228" s="603">
        <f>P228/I228</f>
      </c>
      <c r="AC228" s="604">
        <f>AB228*AD228</f>
      </c>
      <c r="AD228" s="129"/>
      <c r="AE228" s="583" t="n"/>
      <c r="AF228" s="583">
        <f>AC228*0.13/(1+0.13)</f>
      </c>
      <c r="AG228" s="605">
        <f>AC228-AF228</f>
      </c>
      <c r="AH228" s="605">
        <f>AC228*I228</f>
      </c>
      <c r="AI228" s="583">
        <f>ROUND(AG228*I228,-1)</f>
      </c>
    </row>
    <row r="229" ht="15.5" customHeight="1">
      <c r="A229" s="63" t="n"/>
      <c r="B229" s="56"/>
      <c r="C229" s="56"/>
      <c r="D229" s="59" t="n"/>
      <c r="E229" s="63" t="n"/>
      <c r="F229" s="24" t="n"/>
      <c r="G229" s="63"/>
      <c r="H229" s="21"/>
      <c r="I229" s="23"/>
      <c r="J229" s="558"/>
      <c r="K229" s="558"/>
      <c r="L229" s="539" t="n"/>
      <c r="M229" s="539" t="n"/>
      <c r="N229" s="539" t="n"/>
      <c r="O229" s="539" t="n"/>
      <c r="P229" s="539"/>
      <c r="Q229" s="539"/>
      <c r="R229" s="539">
        <f>AI229</f>
      </c>
      <c r="S229" s="23">
        <f>Y229*100</f>
      </c>
      <c r="T229" s="539">
        <f>ROUND(R229*S229/100,-1)</f>
      </c>
      <c r="U229" s="539">
        <f>IF(Q229=0,"",(T229-Q229)/Q229*100)</f>
      </c>
      <c r="V229" s="27" t="n"/>
      <c r="W229" s="601"/>
      <c r="X229" s="602">
        <f>($W$5-K229)/365</f>
      </c>
      <c r="Y229" s="127">
        <f>(W229-X229)/W229</f>
      </c>
      <c r="Z229" s="127"/>
      <c r="AA229" s="127">
        <f>Y229/2+Z229/2</f>
      </c>
      <c r="AB229" s="603">
        <f>P229/I229</f>
      </c>
      <c r="AC229" s="604">
        <f>AB229*AD229</f>
      </c>
      <c r="AD229" s="129"/>
      <c r="AE229" s="583" t="n"/>
      <c r="AF229" s="583">
        <f>AC229*0.13/(1+0.13)</f>
      </c>
      <c r="AG229" s="605">
        <f>AC229-AF229</f>
      </c>
      <c r="AH229" s="605">
        <f>AC229*I229</f>
      </c>
      <c r="AI229" s="583">
        <f>ROUND(AG229*I229,-1)</f>
      </c>
    </row>
    <row r="230" ht="15.5" customHeight="1">
      <c r="A230" s="63" t="n"/>
      <c r="B230" s="56"/>
      <c r="C230" s="56"/>
      <c r="D230" s="59" t="n"/>
      <c r="E230" s="63" t="n"/>
      <c r="F230" s="24" t="n"/>
      <c r="G230" s="63"/>
      <c r="H230" s="21"/>
      <c r="I230" s="23"/>
      <c r="J230" s="558"/>
      <c r="K230" s="558"/>
      <c r="L230" s="539" t="n"/>
      <c r="M230" s="539" t="n"/>
      <c r="N230" s="539" t="n"/>
      <c r="O230" s="539" t="n"/>
      <c r="P230" s="539"/>
      <c r="Q230" s="539"/>
      <c r="R230" s="539">
        <f>AI230</f>
      </c>
      <c r="S230" s="23">
        <f>Y230*100</f>
      </c>
      <c r="T230" s="539">
        <f>ROUND(R230*S230/100,-1)</f>
      </c>
      <c r="U230" s="539">
        <f>IF(Q230=0,"",(T230-Q230)/Q230*100)</f>
      </c>
      <c r="V230" s="27" t="n"/>
      <c r="W230" s="601"/>
      <c r="X230" s="602">
        <f>($W$5-K230)/365</f>
      </c>
      <c r="Y230" s="127">
        <f>(W230-X230)/W230</f>
      </c>
      <c r="Z230" s="127"/>
      <c r="AA230" s="127">
        <f>Y230/2+Z230/2</f>
      </c>
      <c r="AB230" s="603">
        <f>P230/I230</f>
      </c>
      <c r="AC230" s="604">
        <f>AB230*AD230</f>
      </c>
      <c r="AD230" s="129"/>
      <c r="AE230" s="583" t="n"/>
      <c r="AF230" s="583">
        <f>AC230*0.13/(1+0.13)</f>
      </c>
      <c r="AG230" s="605">
        <f>AC230-AF230</f>
      </c>
      <c r="AH230" s="605">
        <f>AC230*I230</f>
      </c>
      <c r="AI230" s="583">
        <f>ROUND(AG230*I230,-1)</f>
      </c>
    </row>
    <row r="231" ht="15.5" customHeight="1">
      <c r="A231" s="63" t="n"/>
      <c r="B231" s="56"/>
      <c r="C231" s="56"/>
      <c r="D231" s="59" t="n"/>
      <c r="E231" s="63" t="n"/>
      <c r="F231" s="24" t="n"/>
      <c r="G231" s="63"/>
      <c r="H231" s="21"/>
      <c r="I231" s="23"/>
      <c r="J231" s="558"/>
      <c r="K231" s="558"/>
      <c r="L231" s="539" t="n"/>
      <c r="M231" s="539" t="n"/>
      <c r="N231" s="539" t="n"/>
      <c r="O231" s="539" t="n"/>
      <c r="P231" s="539"/>
      <c r="Q231" s="539"/>
      <c r="R231" s="539">
        <f>AI231</f>
      </c>
      <c r="S231" s="23">
        <f>Y231*100</f>
      </c>
      <c r="T231" s="539">
        <f>ROUND(R231*S231/100,-1)</f>
      </c>
      <c r="U231" s="539">
        <f>IF(Q231=0,"",(T231-Q231)/Q231*100)</f>
      </c>
      <c r="V231" s="27" t="n"/>
      <c r="W231" s="601"/>
      <c r="X231" s="602">
        <f>($W$5-K231)/365</f>
      </c>
      <c r="Y231" s="127">
        <f>(W231-X231)/W231</f>
      </c>
      <c r="Z231" s="127"/>
      <c r="AA231" s="127">
        <f>Y231/2+Z231/2</f>
      </c>
      <c r="AB231" s="603">
        <f>P231/I231</f>
      </c>
      <c r="AC231" s="604">
        <f>AB231*AD231</f>
      </c>
      <c r="AD231" s="129"/>
      <c r="AE231" s="583" t="n"/>
      <c r="AF231" s="583">
        <f>AC231*0.13/(1+0.13)</f>
      </c>
      <c r="AG231" s="605">
        <f>AC231-AF231</f>
      </c>
      <c r="AH231" s="605">
        <f>AC231*I231</f>
      </c>
      <c r="AI231" s="583">
        <f>ROUND(AG231*I231,-1)</f>
      </c>
    </row>
    <row r="232" ht="15.5" customHeight="1">
      <c r="A232" s="63" t="n"/>
      <c r="B232" s="56"/>
      <c r="C232" s="56"/>
      <c r="D232" s="59" t="n"/>
      <c r="E232" s="63" t="n"/>
      <c r="F232" s="24" t="n"/>
      <c r="G232" s="63"/>
      <c r="H232" s="21"/>
      <c r="I232" s="23"/>
      <c r="J232" s="558"/>
      <c r="K232" s="558"/>
      <c r="L232" s="539" t="n"/>
      <c r="M232" s="539" t="n"/>
      <c r="N232" s="539" t="n"/>
      <c r="O232" s="539" t="n"/>
      <c r="P232" s="539"/>
      <c r="Q232" s="539"/>
      <c r="R232" s="539">
        <f>AI232</f>
      </c>
      <c r="S232" s="23">
        <f>Y232*100</f>
      </c>
      <c r="T232" s="539">
        <f>ROUND(R232*S232/100,-1)</f>
      </c>
      <c r="U232" s="539">
        <f>IF(Q232=0,"",(T232-Q232)/Q232*100)</f>
      </c>
      <c r="V232" s="27" t="n"/>
      <c r="W232" s="601"/>
      <c r="X232" s="602">
        <f>($W$5-K232)/365</f>
      </c>
      <c r="Y232" s="127">
        <f>(W232-X232)/W232</f>
      </c>
      <c r="Z232" s="127"/>
      <c r="AA232" s="127">
        <f>Y232/2+Z232/2</f>
      </c>
      <c r="AB232" s="603">
        <f>P232/I232</f>
      </c>
      <c r="AC232" s="604">
        <f>AB232*AD232</f>
      </c>
      <c r="AD232" s="129"/>
      <c r="AE232" s="583" t="n"/>
      <c r="AF232" s="583">
        <f>AC232*0.13/(1+0.13)</f>
      </c>
      <c r="AG232" s="605">
        <f>AC232-AF232</f>
      </c>
      <c r="AH232" s="605">
        <f>AC232*I232</f>
      </c>
      <c r="AI232" s="583">
        <f>ROUND(AG232*I232,-1)</f>
      </c>
    </row>
    <row r="233" ht="15.5" customHeight="1">
      <c r="A233" s="63" t="n"/>
      <c r="B233" s="56"/>
      <c r="C233" s="56"/>
      <c r="D233" s="59" t="n"/>
      <c r="E233" s="63" t="n"/>
      <c r="F233" s="24" t="n"/>
      <c r="G233" s="63"/>
      <c r="H233" s="21"/>
      <c r="I233" s="23"/>
      <c r="J233" s="558"/>
      <c r="K233" s="558"/>
      <c r="L233" s="539" t="n"/>
      <c r="M233" s="539" t="n"/>
      <c r="N233" s="539" t="n"/>
      <c r="O233" s="539" t="n"/>
      <c r="P233" s="539"/>
      <c r="Q233" s="539"/>
      <c r="R233" s="539">
        <f>AI233</f>
      </c>
      <c r="S233" s="23">
        <f>Y233*100</f>
      </c>
      <c r="T233" s="539">
        <f>ROUND(R233*S233/100,-1)</f>
      </c>
      <c r="U233" s="539">
        <f>IF(Q233=0,"",(T233-Q233)/Q233*100)</f>
      </c>
      <c r="V233" s="27" t="n"/>
      <c r="W233" s="601"/>
      <c r="X233" s="602">
        <f>($W$5-K233)/365</f>
      </c>
      <c r="Y233" s="127">
        <f>(W233-X233)/W233</f>
      </c>
      <c r="Z233" s="127"/>
      <c r="AA233" s="127">
        <f>Y233/2+Z233/2</f>
      </c>
      <c r="AB233" s="603">
        <f>P233/I233</f>
      </c>
      <c r="AC233" s="604">
        <f>AB233*AD233</f>
      </c>
      <c r="AD233" s="129"/>
      <c r="AE233" s="583" t="n"/>
      <c r="AF233" s="583">
        <f>AC233*0.13/(1+0.13)</f>
      </c>
      <c r="AG233" s="605">
        <f>AC233-AF233</f>
      </c>
      <c r="AH233" s="605">
        <f>AC233*I233</f>
      </c>
      <c r="AI233" s="583">
        <f>ROUND(AG233*I233,-1)</f>
      </c>
    </row>
    <row r="234" ht="15.5" customHeight="1">
      <c r="A234" s="63" t="n"/>
      <c r="B234" s="56"/>
      <c r="C234" s="56"/>
      <c r="D234" s="59" t="n"/>
      <c r="E234" s="63" t="n"/>
      <c r="F234" s="24" t="n"/>
      <c r="G234" s="63"/>
      <c r="H234" s="21"/>
      <c r="I234" s="23"/>
      <c r="J234" s="558"/>
      <c r="K234" s="558"/>
      <c r="L234" s="539" t="n"/>
      <c r="M234" s="539" t="n"/>
      <c r="N234" s="539" t="n"/>
      <c r="O234" s="539" t="n"/>
      <c r="P234" s="539"/>
      <c r="Q234" s="539"/>
      <c r="R234" s="539">
        <f>AI234</f>
      </c>
      <c r="S234" s="23">
        <f>Y234*100</f>
      </c>
      <c r="T234" s="539">
        <f>ROUND(R234*S234/100,-1)</f>
      </c>
      <c r="U234" s="539">
        <f>IF(Q234=0,"",(T234-Q234)/Q234*100)</f>
      </c>
      <c r="V234" s="27" t="n"/>
      <c r="W234" s="601"/>
      <c r="X234" s="602">
        <f>($W$5-K234)/365</f>
      </c>
      <c r="Y234" s="127">
        <f>(W234-X234)/W234</f>
      </c>
      <c r="Z234" s="127"/>
      <c r="AA234" s="127">
        <f>Y234/2+Z234/2</f>
      </c>
      <c r="AB234" s="603">
        <f>P234/I234</f>
      </c>
      <c r="AC234" s="604">
        <f>AB234*AD234</f>
      </c>
      <c r="AD234" s="129"/>
      <c r="AE234" s="583" t="n"/>
      <c r="AF234" s="583">
        <f>AC234*0.13/(1+0.13)</f>
      </c>
      <c r="AG234" s="605">
        <f>AC234-AF234</f>
      </c>
      <c r="AH234" s="605">
        <f>AC234*I234</f>
      </c>
      <c r="AI234" s="583">
        <f>ROUND(AG234*I234,-1)</f>
      </c>
    </row>
    <row r="235" ht="15.5" customHeight="1">
      <c r="A235" s="63" t="n"/>
      <c r="B235" s="56"/>
      <c r="C235" s="56"/>
      <c r="D235" s="59" t="n"/>
      <c r="E235" s="63" t="n"/>
      <c r="F235" s="24" t="n"/>
      <c r="G235" s="63"/>
      <c r="H235" s="21"/>
      <c r="I235" s="23"/>
      <c r="J235" s="558"/>
      <c r="K235" s="558"/>
      <c r="L235" s="539" t="n"/>
      <c r="M235" s="539" t="n"/>
      <c r="N235" s="539" t="n"/>
      <c r="O235" s="539" t="n"/>
      <c r="P235" s="539"/>
      <c r="Q235" s="539"/>
      <c r="R235" s="539">
        <f>AI235</f>
      </c>
      <c r="S235" s="23">
        <f>Y235*100</f>
      </c>
      <c r="T235" s="539">
        <f>ROUND(R235*S235/100,-1)</f>
      </c>
      <c r="U235" s="539">
        <f>IF(Q235=0,"",(T235-Q235)/Q235*100)</f>
      </c>
      <c r="V235" s="27" t="n"/>
      <c r="W235" s="601"/>
      <c r="X235" s="602">
        <f>($W$5-K235)/365</f>
      </c>
      <c r="Y235" s="127">
        <f>(W235-X235)/W235</f>
      </c>
      <c r="Z235" s="127"/>
      <c r="AA235" s="127">
        <f>Y235/2+Z235/2</f>
      </c>
      <c r="AB235" s="603">
        <f>P235/I235</f>
      </c>
      <c r="AC235" s="604">
        <f>AB235*AD235</f>
      </c>
      <c r="AD235" s="129"/>
      <c r="AE235" s="583" t="n"/>
      <c r="AF235" s="583">
        <f>AC235*0.13/(1+0.13)</f>
      </c>
      <c r="AG235" s="605">
        <f>AC235-AF235</f>
      </c>
      <c r="AH235" s="605">
        <f>AC235*I235</f>
      </c>
      <c r="AI235" s="583">
        <f>ROUND(AG235*I235,-1)</f>
      </c>
    </row>
    <row r="236" ht="15.5" customHeight="1">
      <c r="A236" s="63" t="n"/>
      <c r="B236" s="56"/>
      <c r="C236" s="56"/>
      <c r="D236" s="59" t="n"/>
      <c r="E236" s="63" t="n"/>
      <c r="F236" s="24" t="n"/>
      <c r="G236" s="63"/>
      <c r="H236" s="21"/>
      <c r="I236" s="23"/>
      <c r="J236" s="558"/>
      <c r="K236" s="558"/>
      <c r="L236" s="539" t="n"/>
      <c r="M236" s="539" t="n"/>
      <c r="N236" s="539" t="n"/>
      <c r="O236" s="539" t="n"/>
      <c r="P236" s="539"/>
      <c r="Q236" s="539"/>
      <c r="R236" s="539">
        <f>AI236</f>
      </c>
      <c r="S236" s="23">
        <f>Y236*100</f>
      </c>
      <c r="T236" s="539">
        <f>ROUND(R236*S236/100,-1)</f>
      </c>
      <c r="U236" s="539">
        <f>IF(Q236=0,"",(T236-Q236)/Q236*100)</f>
      </c>
      <c r="V236" s="27" t="n"/>
      <c r="W236" s="601"/>
      <c r="X236" s="602">
        <f>($W$5-K236)/365</f>
      </c>
      <c r="Y236" s="127">
        <f>(W236-X236)/W236</f>
      </c>
      <c r="Z236" s="127"/>
      <c r="AA236" s="127">
        <f>Y236/2+Z236/2</f>
      </c>
      <c r="AB236" s="603">
        <f>P236/I236</f>
      </c>
      <c r="AC236" s="604">
        <f>AB236*AD236</f>
      </c>
      <c r="AD236" s="129"/>
      <c r="AE236" s="583" t="n"/>
      <c r="AF236" s="583">
        <f>AC236*0.13/(1+0.13)</f>
      </c>
      <c r="AG236" s="605">
        <f>AC236-AF236</f>
      </c>
      <c r="AH236" s="605">
        <f>AC236*I236</f>
      </c>
      <c r="AI236" s="583">
        <f>ROUND(AG236*I236,-1)</f>
      </c>
    </row>
    <row r="237" ht="15.5" customHeight="1">
      <c r="A237" s="63" t="n"/>
      <c r="B237" s="56"/>
      <c r="C237" s="56"/>
      <c r="D237" s="59" t="n"/>
      <c r="E237" s="63" t="n"/>
      <c r="F237" s="24" t="n"/>
      <c r="G237" s="63"/>
      <c r="H237" s="21"/>
      <c r="I237" s="23"/>
      <c r="J237" s="558"/>
      <c r="K237" s="558"/>
      <c r="L237" s="539" t="n"/>
      <c r="M237" s="539" t="n"/>
      <c r="N237" s="539" t="n"/>
      <c r="O237" s="539" t="n"/>
      <c r="P237" s="539"/>
      <c r="Q237" s="539"/>
      <c r="R237" s="539">
        <f>AI237</f>
      </c>
      <c r="S237" s="23">
        <f>Y237*100</f>
      </c>
      <c r="T237" s="539">
        <f>ROUND(R237*S237/100,-1)</f>
      </c>
      <c r="U237" s="539">
        <f>IF(Q237=0,"",(T237-Q237)/Q237*100)</f>
      </c>
      <c r="V237" s="27" t="n"/>
      <c r="W237" s="601"/>
      <c r="X237" s="602">
        <f>($W$5-K237)/365</f>
      </c>
      <c r="Y237" s="127">
        <f>(W237-X237)/W237</f>
      </c>
      <c r="Z237" s="127"/>
      <c r="AA237" s="127">
        <f>Y237/2+Z237/2</f>
      </c>
      <c r="AB237" s="603">
        <f>P237/I237</f>
      </c>
      <c r="AC237" s="604">
        <f>AB237*AD237</f>
      </c>
      <c r="AD237" s="129"/>
      <c r="AE237" s="583" t="n"/>
      <c r="AF237" s="583">
        <f>AC237*0.13/(1+0.13)</f>
      </c>
      <c r="AG237" s="605">
        <f>AC237-AF237</f>
      </c>
      <c r="AH237" s="605">
        <f>AC237*I237</f>
      </c>
      <c r="AI237" s="583">
        <f>ROUND(AG237*I237,-1)</f>
      </c>
    </row>
    <row r="238" ht="15.5" customHeight="1">
      <c r="A238" s="63" t="n"/>
      <c r="B238" s="56"/>
      <c r="C238" s="56"/>
      <c r="D238" s="59" t="n"/>
      <c r="E238" s="63" t="n"/>
      <c r="F238" s="24" t="n"/>
      <c r="G238" s="63"/>
      <c r="H238" s="21"/>
      <c r="I238" s="23"/>
      <c r="J238" s="558"/>
      <c r="K238" s="558"/>
      <c r="L238" s="539" t="n"/>
      <c r="M238" s="539" t="n"/>
      <c r="N238" s="539" t="n"/>
      <c r="O238" s="539" t="n"/>
      <c r="P238" s="539"/>
      <c r="Q238" s="539"/>
      <c r="R238" s="539">
        <f>AI238</f>
      </c>
      <c r="S238" s="23">
        <f>Y238*100</f>
      </c>
      <c r="T238" s="539">
        <f>ROUND(R238*S238/100,-1)</f>
      </c>
      <c r="U238" s="539">
        <f>IF(Q238=0,"",(T238-Q238)/Q238*100)</f>
      </c>
      <c r="V238" s="27" t="n"/>
      <c r="W238" s="601"/>
      <c r="X238" s="602">
        <f>($W$5-K238)/365</f>
      </c>
      <c r="Y238" s="127">
        <f>(W238-X238)/W238</f>
      </c>
      <c r="Z238" s="127"/>
      <c r="AA238" s="127">
        <f>Y238/2+Z238/2</f>
      </c>
      <c r="AB238" s="603">
        <f>P238/I238</f>
      </c>
      <c r="AC238" s="604">
        <f>AB238*AD238</f>
      </c>
      <c r="AD238" s="129"/>
      <c r="AE238" s="583" t="n"/>
      <c r="AF238" s="583">
        <f>AC238*0.13/(1+0.13)</f>
      </c>
      <c r="AG238" s="605">
        <f>AC238-AF238</f>
      </c>
      <c r="AH238" s="605">
        <f>AC238*I238</f>
      </c>
      <c r="AI238" s="583">
        <f>ROUND(AG238*I238,-1)</f>
      </c>
    </row>
    <row r="239" ht="15.5" customHeight="1">
      <c r="A239" s="63" t="n"/>
      <c r="B239" s="56"/>
      <c r="C239" s="56"/>
      <c r="D239" s="59" t="n"/>
      <c r="E239" s="63" t="n"/>
      <c r="F239" s="24" t="n"/>
      <c r="G239" s="63"/>
      <c r="H239" s="21"/>
      <c r="I239" s="23"/>
      <c r="J239" s="558"/>
      <c r="K239" s="558"/>
      <c r="L239" s="539" t="n"/>
      <c r="M239" s="539" t="n"/>
      <c r="N239" s="539" t="n"/>
      <c r="O239" s="539" t="n"/>
      <c r="P239" s="539"/>
      <c r="Q239" s="539"/>
      <c r="R239" s="539">
        <f>AI239</f>
      </c>
      <c r="S239" s="23">
        <f>Y239*100</f>
      </c>
      <c r="T239" s="539">
        <f>ROUND(R239*S239/100,-1)</f>
      </c>
      <c r="U239" s="539">
        <f>IF(Q239=0,"",(T239-Q239)/Q239*100)</f>
      </c>
      <c r="V239" s="27" t="n"/>
      <c r="W239" s="601"/>
      <c r="X239" s="602">
        <f>($W$5-K239)/365</f>
      </c>
      <c r="Y239" s="127">
        <f>(W239-X239)/W239</f>
      </c>
      <c r="Z239" s="127"/>
      <c r="AA239" s="127">
        <f>Y239/2+Z239/2</f>
      </c>
      <c r="AB239" s="603">
        <f>P239/I239</f>
      </c>
      <c r="AC239" s="604">
        <f>AB239*AD239</f>
      </c>
      <c r="AD239" s="129"/>
      <c r="AE239" s="583" t="n"/>
      <c r="AF239" s="583">
        <f>AC239*0.13/(1+0.13)</f>
      </c>
      <c r="AG239" s="605">
        <f>AC239-AF239</f>
      </c>
      <c r="AH239" s="605">
        <f>AC239*I239</f>
      </c>
      <c r="AI239" s="583">
        <f>ROUND(AG239*I239,-1)</f>
      </c>
    </row>
    <row r="240" ht="15.5" customHeight="1">
      <c r="A240" s="63" t="n"/>
      <c r="B240" s="56"/>
      <c r="C240" s="56"/>
      <c r="D240" s="59" t="n"/>
      <c r="E240" s="63" t="n"/>
      <c r="F240" s="24" t="n"/>
      <c r="G240" s="63"/>
      <c r="H240" s="21"/>
      <c r="I240" s="23"/>
      <c r="J240" s="558"/>
      <c r="K240" s="558"/>
      <c r="L240" s="539" t="n"/>
      <c r="M240" s="539" t="n"/>
      <c r="N240" s="539" t="n"/>
      <c r="O240" s="539" t="n"/>
      <c r="P240" s="539"/>
      <c r="Q240" s="539"/>
      <c r="R240" s="539">
        <f>AI240</f>
      </c>
      <c r="S240" s="23">
        <f>Y240*100</f>
      </c>
      <c r="T240" s="539">
        <f>ROUND(R240*S240/100,-1)</f>
      </c>
      <c r="U240" s="539">
        <f>IF(Q240=0,"",(T240-Q240)/Q240*100)</f>
      </c>
      <c r="V240" s="27" t="n"/>
      <c r="W240" s="601"/>
      <c r="X240" s="602">
        <f>($W$5-K240)/365</f>
      </c>
      <c r="Y240" s="127">
        <f>(W240-X240)/W240</f>
      </c>
      <c r="Z240" s="127"/>
      <c r="AA240" s="127">
        <f>Y240/2+Z240/2</f>
      </c>
      <c r="AB240" s="603">
        <f>P240/I240</f>
      </c>
      <c r="AC240" s="604">
        <f>AB240*AD240</f>
      </c>
      <c r="AD240" s="129"/>
      <c r="AE240" s="583" t="n"/>
      <c r="AF240" s="583">
        <f>AC240*0.13/(1+0.13)</f>
      </c>
      <c r="AG240" s="605">
        <f>AC240-AF240</f>
      </c>
      <c r="AH240" s="605">
        <f>AC240*I240</f>
      </c>
      <c r="AI240" s="583">
        <f>ROUND(AG240*I240,-1)</f>
      </c>
    </row>
    <row r="241" ht="15.5" customHeight="1">
      <c r="A241" s="63" t="n"/>
      <c r="B241" s="56"/>
      <c r="C241" s="56"/>
      <c r="D241" s="59" t="n"/>
      <c r="E241" s="63" t="n"/>
      <c r="F241" s="24" t="n"/>
      <c r="G241" s="63"/>
      <c r="H241" s="21"/>
      <c r="I241" s="23"/>
      <c r="J241" s="558"/>
      <c r="K241" s="558"/>
      <c r="L241" s="539" t="n"/>
      <c r="M241" s="539" t="n"/>
      <c r="N241" s="539" t="n"/>
      <c r="O241" s="539" t="n"/>
      <c r="P241" s="539"/>
      <c r="Q241" s="539"/>
      <c r="R241" s="539">
        <f>AI241</f>
      </c>
      <c r="S241" s="23">
        <f>Y241*100</f>
      </c>
      <c r="T241" s="539">
        <f>ROUND(R241*S241/100,-1)</f>
      </c>
      <c r="U241" s="539">
        <f>IF(Q241=0,"",(T241-Q241)/Q241*100)</f>
      </c>
      <c r="V241" s="27" t="n"/>
      <c r="W241" s="601"/>
      <c r="X241" s="602">
        <f>($W$5-K241)/365</f>
      </c>
      <c r="Y241" s="127">
        <f>(W241-X241)/W241</f>
      </c>
      <c r="Z241" s="127"/>
      <c r="AA241" s="127">
        <f>Y241/2+Z241/2</f>
      </c>
      <c r="AB241" s="603">
        <f>P241/I241</f>
      </c>
      <c r="AC241" s="604">
        <f>AB241*AD241</f>
      </c>
      <c r="AD241" s="129"/>
      <c r="AE241" s="583" t="n"/>
      <c r="AF241" s="583">
        <f>AC241*0.13/(1+0.13)</f>
      </c>
      <c r="AG241" s="605">
        <f>AC241-AF241</f>
      </c>
      <c r="AH241" s="605">
        <f>AC241*I241</f>
      </c>
      <c r="AI241" s="583">
        <f>ROUND(AG241*I241,-1)</f>
      </c>
    </row>
    <row r="242" ht="15.5" customHeight="1">
      <c r="A242" s="63" t="n"/>
      <c r="B242" s="56"/>
      <c r="C242" s="56"/>
      <c r="D242" s="59" t="n"/>
      <c r="E242" s="63" t="n"/>
      <c r="F242" s="24" t="n"/>
      <c r="G242" s="63"/>
      <c r="H242" s="21"/>
      <c r="I242" s="23"/>
      <c r="J242" s="558"/>
      <c r="K242" s="558"/>
      <c r="L242" s="539" t="n"/>
      <c r="M242" s="539" t="n"/>
      <c r="N242" s="539" t="n"/>
      <c r="O242" s="539" t="n"/>
      <c r="P242" s="539"/>
      <c r="Q242" s="539"/>
      <c r="R242" s="539">
        <f>AI242</f>
      </c>
      <c r="S242" s="23">
        <f>Y242*100</f>
      </c>
      <c r="T242" s="539">
        <f>ROUND(R242*S242/100,-1)</f>
      </c>
      <c r="U242" s="539">
        <f>IF(Q242=0,"",(T242-Q242)/Q242*100)</f>
      </c>
      <c r="V242" s="27" t="n"/>
      <c r="W242" s="601"/>
      <c r="X242" s="602">
        <f>($W$5-K242)/365</f>
      </c>
      <c r="Y242" s="127">
        <f>(W242-X242)/W242</f>
      </c>
      <c r="Z242" s="127"/>
      <c r="AA242" s="127">
        <f>Y242/2+Z242/2</f>
      </c>
      <c r="AB242" s="603">
        <f>P242/I242</f>
      </c>
      <c r="AC242" s="604">
        <f>AB242*AD242</f>
      </c>
      <c r="AD242" s="129"/>
      <c r="AE242" s="583" t="n"/>
      <c r="AF242" s="583">
        <f>AC242*0.13/(1+0.13)</f>
      </c>
      <c r="AG242" s="605">
        <f>AC242-AF242</f>
      </c>
      <c r="AH242" s="605">
        <f>AC242*I242</f>
      </c>
      <c r="AI242" s="583">
        <f>ROUND(AG242*I242,-1)</f>
      </c>
    </row>
    <row r="243" ht="15.5" customHeight="1">
      <c r="A243" s="63" t="n"/>
      <c r="B243" s="56"/>
      <c r="C243" s="56"/>
      <c r="D243" s="59" t="n"/>
      <c r="E243" s="63" t="n"/>
      <c r="F243" s="24" t="n"/>
      <c r="G243" s="63"/>
      <c r="H243" s="21"/>
      <c r="I243" s="23"/>
      <c r="J243" s="558"/>
      <c r="K243" s="558"/>
      <c r="L243" s="539" t="n"/>
      <c r="M243" s="539" t="n"/>
      <c r="N243" s="539" t="n"/>
      <c r="O243" s="539" t="n"/>
      <c r="P243" s="539"/>
      <c r="Q243" s="539"/>
      <c r="R243" s="539">
        <f>AI243</f>
      </c>
      <c r="S243" s="23">
        <f>Y243*100</f>
      </c>
      <c r="T243" s="539">
        <f>ROUND(R243*S243/100,-1)</f>
      </c>
      <c r="U243" s="539">
        <f>IF(Q243=0,"",(T243-Q243)/Q243*100)</f>
      </c>
      <c r="V243" s="27" t="n"/>
      <c r="W243" s="601"/>
      <c r="X243" s="602">
        <f>($W$5-K243)/365</f>
      </c>
      <c r="Y243" s="127">
        <f>(W243-X243)/W243</f>
      </c>
      <c r="Z243" s="127"/>
      <c r="AA243" s="127">
        <f>Y243/2+Z243/2</f>
      </c>
      <c r="AB243" s="603">
        <f>P243/I243</f>
      </c>
      <c r="AC243" s="604">
        <f>AB243*AD243</f>
      </c>
      <c r="AD243" s="129"/>
      <c r="AE243" s="583" t="n"/>
      <c r="AF243" s="583">
        <f>AC243*0.13/(1+0.13)</f>
      </c>
      <c r="AG243" s="605">
        <f>AC243-AF243</f>
      </c>
      <c r="AH243" s="605">
        <f>AC243*I243</f>
      </c>
      <c r="AI243" s="583">
        <f>ROUND(AG243*I243,-1)</f>
      </c>
    </row>
    <row r="244" ht="15.5" customHeight="1">
      <c r="A244" s="63" t="n"/>
      <c r="B244" s="56"/>
      <c r="C244" s="56"/>
      <c r="D244" s="59" t="n"/>
      <c r="E244" s="63" t="n"/>
      <c r="F244" s="24" t="n"/>
      <c r="G244" s="63"/>
      <c r="H244" s="21"/>
      <c r="I244" s="23"/>
      <c r="J244" s="558"/>
      <c r="K244" s="558"/>
      <c r="L244" s="539" t="n"/>
      <c r="M244" s="539" t="n"/>
      <c r="N244" s="539" t="n"/>
      <c r="O244" s="539" t="n"/>
      <c r="P244" s="539"/>
      <c r="Q244" s="539"/>
      <c r="R244" s="539">
        <f>AI244</f>
      </c>
      <c r="S244" s="23">
        <f>Y244*100</f>
      </c>
      <c r="T244" s="539">
        <f>ROUND(R244*S244/100,-1)</f>
      </c>
      <c r="U244" s="539">
        <f>IF(Q244=0,"",(T244-Q244)/Q244*100)</f>
      </c>
      <c r="V244" s="27" t="n"/>
      <c r="W244" s="601"/>
      <c r="X244" s="602">
        <f>($W$5-K244)/365</f>
      </c>
      <c r="Y244" s="127">
        <f>(W244-X244)/W244</f>
      </c>
      <c r="Z244" s="127"/>
      <c r="AA244" s="127">
        <f>Y244/2+Z244/2</f>
      </c>
      <c r="AB244" s="603">
        <f>P244/I244</f>
      </c>
      <c r="AC244" s="604">
        <f>AB244*AD244</f>
      </c>
      <c r="AD244" s="129"/>
      <c r="AE244" s="583" t="n"/>
      <c r="AF244" s="583">
        <f>AC244*0.13/(1+0.13)</f>
      </c>
      <c r="AG244" s="605">
        <f>AC244-AF244</f>
      </c>
      <c r="AH244" s="605">
        <f>AC244*I244</f>
      </c>
      <c r="AI244" s="583">
        <f>ROUND(AG244*I244,-1)</f>
      </c>
    </row>
    <row r="245" ht="15.5" customHeight="1">
      <c r="A245" s="63" t="n"/>
      <c r="B245" s="56"/>
      <c r="C245" s="56"/>
      <c r="D245" s="59" t="n"/>
      <c r="E245" s="63" t="n"/>
      <c r="F245" s="24" t="n"/>
      <c r="G245" s="63"/>
      <c r="H245" s="21"/>
      <c r="I245" s="23"/>
      <c r="J245" s="558"/>
      <c r="K245" s="558"/>
      <c r="L245" s="539" t="n"/>
      <c r="M245" s="539" t="n"/>
      <c r="N245" s="539" t="n"/>
      <c r="O245" s="539" t="n"/>
      <c r="P245" s="539"/>
      <c r="Q245" s="539"/>
      <c r="R245" s="539">
        <f>AI245</f>
      </c>
      <c r="S245" s="23">
        <f>Y245*100</f>
      </c>
      <c r="T245" s="539">
        <f>ROUND(R245*S245/100,-1)</f>
      </c>
      <c r="U245" s="539">
        <f>IF(Q245=0,"",(T245-Q245)/Q245*100)</f>
      </c>
      <c r="V245" s="27" t="n"/>
      <c r="W245" s="601"/>
      <c r="X245" s="602">
        <f>($W$5-K245)/365</f>
      </c>
      <c r="Y245" s="127">
        <f>(W245-X245)/W245</f>
      </c>
      <c r="Z245" s="127"/>
      <c r="AA245" s="127">
        <f>Y245/2+Z245/2</f>
      </c>
      <c r="AB245" s="603">
        <f>P245/I245</f>
      </c>
      <c r="AC245" s="604">
        <f>AB245*AD245</f>
      </c>
      <c r="AD245" s="129"/>
      <c r="AE245" s="583" t="n"/>
      <c r="AF245" s="583">
        <f>AC245*0.13/(1+0.13)</f>
      </c>
      <c r="AG245" s="605">
        <f>AC245-AF245</f>
      </c>
      <c r="AH245" s="605">
        <f>AC245*I245</f>
      </c>
      <c r="AI245" s="583">
        <f>ROUND(AG245*I245,-1)</f>
      </c>
    </row>
    <row r="246" ht="15.5" customHeight="1">
      <c r="A246" s="63" t="n"/>
      <c r="B246" s="56"/>
      <c r="C246" s="56"/>
      <c r="D246" s="59" t="n"/>
      <c r="E246" s="63" t="n"/>
      <c r="F246" s="24" t="n"/>
      <c r="G246" s="63"/>
      <c r="H246" s="21"/>
      <c r="I246" s="23"/>
      <c r="J246" s="558"/>
      <c r="K246" s="558"/>
      <c r="L246" s="539" t="n"/>
      <c r="M246" s="539" t="n"/>
      <c r="N246" s="539" t="n"/>
      <c r="O246" s="539" t="n"/>
      <c r="P246" s="539"/>
      <c r="Q246" s="539"/>
      <c r="R246" s="539">
        <f>AI246</f>
      </c>
      <c r="S246" s="23">
        <f>Y246*100</f>
      </c>
      <c r="T246" s="539">
        <f>ROUND(R246*S246/100,-1)</f>
      </c>
      <c r="U246" s="539">
        <f>IF(Q246=0,"",(T246-Q246)/Q246*100)</f>
      </c>
      <c r="V246" s="27" t="n"/>
      <c r="W246" s="601"/>
      <c r="X246" s="602">
        <f>($W$5-K246)/365</f>
      </c>
      <c r="Y246" s="127">
        <f>(W246-X246)/W246</f>
      </c>
      <c r="Z246" s="127"/>
      <c r="AA246" s="127">
        <f>Y246/2+Z246/2</f>
      </c>
      <c r="AB246" s="603">
        <f>P246/I246</f>
      </c>
      <c r="AC246" s="604">
        <f>AB246*AD246</f>
      </c>
      <c r="AD246" s="129"/>
      <c r="AE246" s="583" t="n"/>
      <c r="AF246" s="583">
        <f>AC246*0.13/(1+0.13)</f>
      </c>
      <c r="AG246" s="605">
        <f>AC246-AF246</f>
      </c>
      <c r="AH246" s="605">
        <f>AC246*I246</f>
      </c>
      <c r="AI246" s="583">
        <f>ROUND(AG246*I246,-1)</f>
      </c>
    </row>
    <row r="247" ht="15.5" customHeight="1">
      <c r="A247" s="63" t="n"/>
      <c r="B247" s="56"/>
      <c r="C247" s="56"/>
      <c r="D247" s="59" t="n"/>
      <c r="E247" s="63" t="n"/>
      <c r="F247" s="24" t="n"/>
      <c r="G247" s="63"/>
      <c r="H247" s="21"/>
      <c r="I247" s="23"/>
      <c r="J247" s="558"/>
      <c r="K247" s="558"/>
      <c r="L247" s="539" t="n"/>
      <c r="M247" s="539" t="n"/>
      <c r="N247" s="539" t="n"/>
      <c r="O247" s="539" t="n"/>
      <c r="P247" s="539"/>
      <c r="Q247" s="539"/>
      <c r="R247" s="539">
        <f>AI247</f>
      </c>
      <c r="S247" s="23">
        <f>Y247*100</f>
      </c>
      <c r="T247" s="539">
        <f>ROUND(R247*S247/100,-1)</f>
      </c>
      <c r="U247" s="539">
        <f>IF(Q247=0,"",(T247-Q247)/Q247*100)</f>
      </c>
      <c r="V247" s="27" t="n"/>
      <c r="W247" s="601"/>
      <c r="X247" s="602">
        <f>($W$5-K247)/365</f>
      </c>
      <c r="Y247" s="127">
        <f>(W247-X247)/W247</f>
      </c>
      <c r="Z247" s="127"/>
      <c r="AA247" s="127">
        <f>Y247/2+Z247/2</f>
      </c>
      <c r="AB247" s="603">
        <f>P247/I247</f>
      </c>
      <c r="AC247" s="604">
        <f>AB247*AD247</f>
      </c>
      <c r="AD247" s="129"/>
      <c r="AE247" s="583" t="n"/>
      <c r="AF247" s="583">
        <f>AC247*0.13/(1+0.13)</f>
      </c>
      <c r="AG247" s="605">
        <f>AC247-AF247</f>
      </c>
      <c r="AH247" s="605">
        <f>AC247*I247</f>
      </c>
      <c r="AI247" s="583">
        <f>ROUND(AG247*I247,-1)</f>
      </c>
    </row>
    <row r="248" ht="15.5" customHeight="1">
      <c r="A248" s="63" t="n"/>
      <c r="B248" s="56"/>
      <c r="C248" s="56"/>
      <c r="D248" s="59" t="n"/>
      <c r="E248" s="63" t="n"/>
      <c r="F248" s="24" t="n"/>
      <c r="G248" s="63"/>
      <c r="H248" s="21"/>
      <c r="I248" s="23"/>
      <c r="J248" s="558"/>
      <c r="K248" s="558"/>
      <c r="L248" s="539" t="n"/>
      <c r="M248" s="539" t="n"/>
      <c r="N248" s="539" t="n"/>
      <c r="O248" s="539" t="n"/>
      <c r="P248" s="539"/>
      <c r="Q248" s="539"/>
      <c r="R248" s="539">
        <f>AI248</f>
      </c>
      <c r="S248" s="23">
        <f>Y248*100</f>
      </c>
      <c r="T248" s="539">
        <f>ROUND(R248*S248/100,-1)</f>
      </c>
      <c r="U248" s="539">
        <f>IF(Q248=0,"",(T248-Q248)/Q248*100)</f>
      </c>
      <c r="V248" s="27" t="n"/>
      <c r="W248" s="601"/>
      <c r="X248" s="602">
        <f>($W$5-K248)/365</f>
      </c>
      <c r="Y248" s="127">
        <f>(W248-X248)/W248</f>
      </c>
      <c r="Z248" s="127"/>
      <c r="AA248" s="127">
        <f>Y248/2+Z248/2</f>
      </c>
      <c r="AB248" s="603">
        <f>P248/I248</f>
      </c>
      <c r="AC248" s="604">
        <f>AB248*AD248</f>
      </c>
      <c r="AD248" s="129"/>
      <c r="AE248" s="583" t="n"/>
      <c r="AF248" s="583">
        <f>AC248*0.13/(1+0.13)</f>
      </c>
      <c r="AG248" s="605">
        <f>AC248-AF248</f>
      </c>
      <c r="AH248" s="605">
        <f>AC248*I248</f>
      </c>
      <c r="AI248" s="583">
        <f>ROUND(AG248*I248,-1)</f>
      </c>
    </row>
    <row r="249" ht="15.5" customHeight="1">
      <c r="A249" s="63" t="n"/>
      <c r="B249" s="56"/>
      <c r="C249" s="56"/>
      <c r="D249" s="59" t="n"/>
      <c r="E249" s="63" t="n"/>
      <c r="F249" s="24" t="n"/>
      <c r="G249" s="63"/>
      <c r="H249" s="21"/>
      <c r="I249" s="23"/>
      <c r="J249" s="558"/>
      <c r="K249" s="558"/>
      <c r="L249" s="539" t="n"/>
      <c r="M249" s="539" t="n"/>
      <c r="N249" s="539" t="n"/>
      <c r="O249" s="539" t="n"/>
      <c r="P249" s="539"/>
      <c r="Q249" s="539"/>
      <c r="R249" s="539">
        <f>AI249</f>
      </c>
      <c r="S249" s="23">
        <f>Y249*100</f>
      </c>
      <c r="T249" s="539">
        <f>ROUND(R249*S249/100,-1)</f>
      </c>
      <c r="U249" s="539">
        <f>IF(Q249=0,"",(T249-Q249)/Q249*100)</f>
      </c>
      <c r="V249" s="27" t="n"/>
      <c r="W249" s="601"/>
      <c r="X249" s="602">
        <f>($W$5-K249)/365</f>
      </c>
      <c r="Y249" s="127">
        <f>(W249-X249)/W249</f>
      </c>
      <c r="Z249" s="127"/>
      <c r="AA249" s="127">
        <f>Y249/2+Z249/2</f>
      </c>
      <c r="AB249" s="603">
        <f>P249/I249</f>
      </c>
      <c r="AC249" s="604">
        <f>AB249*AD249</f>
      </c>
      <c r="AD249" s="129"/>
      <c r="AE249" s="583" t="n"/>
      <c r="AF249" s="583">
        <f>AC249*0.13/(1+0.13)</f>
      </c>
      <c r="AG249" s="605">
        <f>AC249-AF249</f>
      </c>
      <c r="AH249" s="605">
        <f>AC249*I249</f>
      </c>
      <c r="AI249" s="583">
        <f>ROUND(AG249*I249,-1)</f>
      </c>
    </row>
    <row r="250" ht="15.5" customHeight="1">
      <c r="A250" s="63" t="n"/>
      <c r="B250" s="56"/>
      <c r="C250" s="56"/>
      <c r="D250" s="59" t="n"/>
      <c r="E250" s="63" t="n"/>
      <c r="F250" s="24" t="n"/>
      <c r="G250" s="63"/>
      <c r="H250" s="21"/>
      <c r="I250" s="23"/>
      <c r="J250" s="558"/>
      <c r="K250" s="558"/>
      <c r="L250" s="539" t="n"/>
      <c r="M250" s="539" t="n"/>
      <c r="N250" s="539" t="n"/>
      <c r="O250" s="539" t="n"/>
      <c r="P250" s="539"/>
      <c r="Q250" s="539"/>
      <c r="R250" s="539">
        <f>AI250</f>
      </c>
      <c r="S250" s="23">
        <f>Y250*100</f>
      </c>
      <c r="T250" s="539">
        <f>ROUND(R250*S250/100,-1)</f>
      </c>
      <c r="U250" s="539">
        <f>IF(Q250=0,"",(T250-Q250)/Q250*100)</f>
      </c>
      <c r="V250" s="27" t="n"/>
      <c r="W250" s="601"/>
      <c r="X250" s="602">
        <f>($W$5-K250)/365</f>
      </c>
      <c r="Y250" s="127">
        <f>(W250-X250)/W250</f>
      </c>
      <c r="Z250" s="127"/>
      <c r="AA250" s="127">
        <f>Y250/2+Z250/2</f>
      </c>
      <c r="AB250" s="603">
        <f>P250/I250</f>
      </c>
      <c r="AC250" s="604">
        <f>AB250*AD250</f>
      </c>
      <c r="AD250" s="129"/>
      <c r="AE250" s="583" t="n"/>
      <c r="AF250" s="583">
        <f>AC250*0.13/(1+0.13)</f>
      </c>
      <c r="AG250" s="605">
        <f>AC250-AF250</f>
      </c>
      <c r="AH250" s="605">
        <f>AC250*I250</f>
      </c>
      <c r="AI250" s="583">
        <f>ROUND(AG250*I250,-1)</f>
      </c>
    </row>
    <row r="251" ht="15.5" customHeight="1">
      <c r="A251" s="63" t="n"/>
      <c r="B251" s="56"/>
      <c r="C251" s="56"/>
      <c r="D251" s="59" t="n"/>
      <c r="E251" s="63" t="n"/>
      <c r="F251" s="24" t="n"/>
      <c r="G251" s="63"/>
      <c r="H251" s="21"/>
      <c r="I251" s="23"/>
      <c r="J251" s="558"/>
      <c r="K251" s="558"/>
      <c r="L251" s="539" t="n"/>
      <c r="M251" s="539" t="n"/>
      <c r="N251" s="539" t="n"/>
      <c r="O251" s="539" t="n"/>
      <c r="P251" s="539"/>
      <c r="Q251" s="539"/>
      <c r="R251" s="539">
        <f>AI251</f>
      </c>
      <c r="S251" s="23">
        <f>Y251*100</f>
      </c>
      <c r="T251" s="539">
        <f>ROUND(R251*S251/100,-1)</f>
      </c>
      <c r="U251" s="539">
        <f>IF(Q251=0,"",(T251-Q251)/Q251*100)</f>
      </c>
      <c r="V251" s="27" t="n"/>
      <c r="W251" s="601"/>
      <c r="X251" s="602">
        <f>($W$5-K251)/365</f>
      </c>
      <c r="Y251" s="127">
        <f>(W251-X251)/W251</f>
      </c>
      <c r="Z251" s="127"/>
      <c r="AA251" s="127">
        <f>Y251/2+Z251/2</f>
      </c>
      <c r="AB251" s="603">
        <f>P251/I251</f>
      </c>
      <c r="AC251" s="604">
        <f>AB251*AD251</f>
      </c>
      <c r="AD251" s="129"/>
      <c r="AE251" s="583" t="n"/>
      <c r="AF251" s="583">
        <f>AC251*0.13/(1+0.13)</f>
      </c>
      <c r="AG251" s="605">
        <f>AC251-AF251</f>
      </c>
      <c r="AH251" s="605">
        <f>AC251*I251</f>
      </c>
      <c r="AI251" s="583">
        <f>ROUND(AG251*I251,-1)</f>
      </c>
    </row>
    <row r="252" ht="15.5" customHeight="1">
      <c r="A252" s="63" t="n"/>
      <c r="B252" s="56"/>
      <c r="C252" s="56"/>
      <c r="D252" s="59" t="n"/>
      <c r="E252" s="63" t="n"/>
      <c r="F252" s="24" t="n"/>
      <c r="G252" s="63"/>
      <c r="H252" s="21"/>
      <c r="I252" s="23"/>
      <c r="J252" s="558"/>
      <c r="K252" s="558"/>
      <c r="L252" s="539" t="n"/>
      <c r="M252" s="539" t="n"/>
      <c r="N252" s="539" t="n"/>
      <c r="O252" s="539" t="n"/>
      <c r="P252" s="539"/>
      <c r="Q252" s="539"/>
      <c r="R252" s="539">
        <f>AI252</f>
      </c>
      <c r="S252" s="23">
        <f>Y252*100</f>
      </c>
      <c r="T252" s="539">
        <f>ROUND(R252*S252/100,-1)</f>
      </c>
      <c r="U252" s="539">
        <f>IF(Q252=0,"",(T252-Q252)/Q252*100)</f>
      </c>
      <c r="V252" s="27" t="n"/>
      <c r="W252" s="601"/>
      <c r="X252" s="602">
        <f>($W$5-K252)/365</f>
      </c>
      <c r="Y252" s="127">
        <f>(W252-X252)/W252</f>
      </c>
      <c r="Z252" s="127"/>
      <c r="AA252" s="127">
        <f>Y252/2+Z252/2</f>
      </c>
      <c r="AB252" s="603">
        <f>P252/I252</f>
      </c>
      <c r="AC252" s="604">
        <f>AB252*AD252</f>
      </c>
      <c r="AD252" s="129"/>
      <c r="AE252" s="583" t="n"/>
      <c r="AF252" s="583">
        <f>AC252*0.13/(1+0.13)</f>
      </c>
      <c r="AG252" s="605">
        <f>AC252-AF252</f>
      </c>
      <c r="AH252" s="605">
        <f>AC252*I252</f>
      </c>
      <c r="AI252" s="583">
        <f>ROUND(AG252*I252,-1)</f>
      </c>
    </row>
    <row r="253" ht="15.5" customHeight="1">
      <c r="A253" s="63" t="n"/>
      <c r="B253" s="56"/>
      <c r="C253" s="56"/>
      <c r="D253" s="59" t="n"/>
      <c r="E253" s="63" t="n"/>
      <c r="F253" s="24" t="n"/>
      <c r="G253" s="63"/>
      <c r="H253" s="21"/>
      <c r="I253" s="23"/>
      <c r="J253" s="558"/>
      <c r="K253" s="558"/>
      <c r="L253" s="539" t="n"/>
      <c r="M253" s="539" t="n"/>
      <c r="N253" s="539" t="n"/>
      <c r="O253" s="539" t="n"/>
      <c r="P253" s="539"/>
      <c r="Q253" s="539"/>
      <c r="R253" s="539">
        <f>AI253</f>
      </c>
      <c r="S253" s="23">
        <f>Y253*100</f>
      </c>
      <c r="T253" s="539">
        <f>ROUND(R253*S253/100,-1)</f>
      </c>
      <c r="U253" s="539">
        <f>IF(Q253=0,"",(T253-Q253)/Q253*100)</f>
      </c>
      <c r="V253" s="27" t="n"/>
      <c r="W253" s="601"/>
      <c r="X253" s="602">
        <f>($W$5-K253)/365</f>
      </c>
      <c r="Y253" s="127">
        <f>(W253-X253)/W253</f>
      </c>
      <c r="Z253" s="127"/>
      <c r="AA253" s="127">
        <f>Y253/2+Z253/2</f>
      </c>
      <c r="AB253" s="603">
        <f>P253/I253</f>
      </c>
      <c r="AC253" s="604">
        <f>AB253*AD253</f>
      </c>
      <c r="AD253" s="129"/>
      <c r="AE253" s="583" t="n"/>
      <c r="AF253" s="583">
        <f>AC253*0.13/(1+0.13)</f>
      </c>
      <c r="AG253" s="605">
        <f>AC253-AF253</f>
      </c>
      <c r="AH253" s="605">
        <f>AC253*I253</f>
      </c>
      <c r="AI253" s="583">
        <f>ROUND(AG253*I253,-1)</f>
      </c>
    </row>
    <row r="254" ht="15.5" customHeight="1">
      <c r="A254" s="63" t="n"/>
      <c r="B254" s="56"/>
      <c r="C254" s="56"/>
      <c r="D254" s="59" t="n"/>
      <c r="E254" s="63" t="n"/>
      <c r="F254" s="24" t="n"/>
      <c r="G254" s="63"/>
      <c r="H254" s="21"/>
      <c r="I254" s="23"/>
      <c r="J254" s="558"/>
      <c r="K254" s="558"/>
      <c r="L254" s="539" t="n"/>
      <c r="M254" s="539" t="n"/>
      <c r="N254" s="539" t="n"/>
      <c r="O254" s="539" t="n"/>
      <c r="P254" s="539"/>
      <c r="Q254" s="539"/>
      <c r="R254" s="539">
        <f>AI254</f>
      </c>
      <c r="S254" s="23">
        <f>Y254*100</f>
      </c>
      <c r="T254" s="539">
        <f>ROUND(R254*S254/100,-1)</f>
      </c>
      <c r="U254" s="539">
        <f>IF(Q254=0,"",(T254-Q254)/Q254*100)</f>
      </c>
      <c r="V254" s="27" t="n"/>
      <c r="W254" s="601"/>
      <c r="X254" s="602">
        <f>($W$5-K254)/365</f>
      </c>
      <c r="Y254" s="127">
        <f>(W254-X254)/W254</f>
      </c>
      <c r="Z254" s="127"/>
      <c r="AA254" s="127">
        <f>Y254/2+Z254/2</f>
      </c>
      <c r="AB254" s="603">
        <f>P254/I254</f>
      </c>
      <c r="AC254" s="604">
        <f>AB254*AD254</f>
      </c>
      <c r="AD254" s="129"/>
      <c r="AE254" s="583" t="n"/>
      <c r="AF254" s="583">
        <f>AC254*0.13/(1+0.13)</f>
      </c>
      <c r="AG254" s="605">
        <f>AC254-AF254</f>
      </c>
      <c r="AH254" s="605">
        <f>AC254*I254</f>
      </c>
      <c r="AI254" s="583">
        <f>ROUND(AG254*I254,-1)</f>
      </c>
    </row>
    <row r="255" ht="15.5" customHeight="1">
      <c r="A255" s="63" t="n"/>
      <c r="B255" s="56"/>
      <c r="C255" s="56"/>
      <c r="D255" s="59" t="n"/>
      <c r="E255" s="63" t="n"/>
      <c r="F255" s="24" t="n"/>
      <c r="G255" s="63"/>
      <c r="H255" s="21"/>
      <c r="I255" s="23"/>
      <c r="J255" s="558"/>
      <c r="K255" s="558"/>
      <c r="L255" s="539" t="n"/>
      <c r="M255" s="539" t="n"/>
      <c r="N255" s="539" t="n"/>
      <c r="O255" s="539" t="n"/>
      <c r="P255" s="539"/>
      <c r="Q255" s="539"/>
      <c r="R255" s="539">
        <f>AI255</f>
      </c>
      <c r="S255" s="23">
        <f>Y255*100</f>
      </c>
      <c r="T255" s="539">
        <f>ROUND(R255*S255/100,-1)</f>
      </c>
      <c r="U255" s="539">
        <f>IF(Q255=0,"",(T255-Q255)/Q255*100)</f>
      </c>
      <c r="V255" s="27" t="n"/>
      <c r="W255" s="601"/>
      <c r="X255" s="602">
        <f>($W$5-K255)/365</f>
      </c>
      <c r="Y255" s="127">
        <f>(W255-X255)/W255</f>
      </c>
      <c r="Z255" s="127"/>
      <c r="AA255" s="127">
        <f>Y255/2+Z255/2</f>
      </c>
      <c r="AB255" s="603">
        <f>P255/I255</f>
      </c>
      <c r="AC255" s="604">
        <f>AB255*AD255</f>
      </c>
      <c r="AD255" s="129"/>
      <c r="AE255" s="583" t="n"/>
      <c r="AF255" s="583">
        <f>AC255*0.13/(1+0.13)</f>
      </c>
      <c r="AG255" s="605">
        <f>AC255-AF255</f>
      </c>
      <c r="AH255" s="605">
        <f>AC255*I255</f>
      </c>
      <c r="AI255" s="583">
        <f>ROUND(AG255*I255,-1)</f>
      </c>
    </row>
    <row r="256" ht="15.5" customHeight="1">
      <c r="A256" s="63" t="n"/>
      <c r="B256" s="56"/>
      <c r="C256" s="56"/>
      <c r="D256" s="59" t="n"/>
      <c r="E256" s="63" t="n"/>
      <c r="F256" s="24" t="n"/>
      <c r="G256" s="63"/>
      <c r="H256" s="21"/>
      <c r="I256" s="23"/>
      <c r="J256" s="558"/>
      <c r="K256" s="558"/>
      <c r="L256" s="539" t="n"/>
      <c r="M256" s="539" t="n"/>
      <c r="N256" s="539" t="n"/>
      <c r="O256" s="539" t="n"/>
      <c r="P256" s="539"/>
      <c r="Q256" s="539"/>
      <c r="R256" s="539">
        <f>AI256</f>
      </c>
      <c r="S256" s="23">
        <f>Y256*100</f>
      </c>
      <c r="T256" s="539">
        <f>ROUND(R256*S256/100,-1)</f>
      </c>
      <c r="U256" s="539">
        <f>IF(Q256=0,"",(T256-Q256)/Q256*100)</f>
      </c>
      <c r="V256" s="27" t="n"/>
      <c r="W256" s="601"/>
      <c r="X256" s="602">
        <f>($W$5-K256)/365</f>
      </c>
      <c r="Y256" s="127">
        <f>(W256-X256)/W256</f>
      </c>
      <c r="Z256" s="127"/>
      <c r="AA256" s="127">
        <f>Y256/2+Z256/2</f>
      </c>
      <c r="AB256" s="603">
        <f>P256/I256</f>
      </c>
      <c r="AC256" s="604">
        <f>AB256*AD256</f>
      </c>
      <c r="AD256" s="129"/>
      <c r="AE256" s="583" t="n"/>
      <c r="AF256" s="583">
        <f>AC256*0.13/(1+0.13)</f>
      </c>
      <c r="AG256" s="605">
        <f>AC256-AF256</f>
      </c>
      <c r="AH256" s="605">
        <f>AC256*I256</f>
      </c>
      <c r="AI256" s="583">
        <f>ROUND(AG256*I256,-1)</f>
      </c>
    </row>
    <row r="257" ht="15.5" customHeight="1">
      <c r="A257" s="63" t="n"/>
      <c r="B257" s="56"/>
      <c r="C257" s="56"/>
      <c r="D257" s="59" t="n"/>
      <c r="E257" s="63" t="n"/>
      <c r="F257" s="24" t="n"/>
      <c r="G257" s="63"/>
      <c r="H257" s="21"/>
      <c r="I257" s="23"/>
      <c r="J257" s="558"/>
      <c r="K257" s="558"/>
      <c r="L257" s="539" t="n"/>
      <c r="M257" s="539" t="n"/>
      <c r="N257" s="539" t="n"/>
      <c r="O257" s="539" t="n"/>
      <c r="P257" s="539"/>
      <c r="Q257" s="539"/>
      <c r="R257" s="539">
        <f>AI257</f>
      </c>
      <c r="S257" s="23">
        <f>Y257*100</f>
      </c>
      <c r="T257" s="539">
        <f>ROUND(R257*S257/100,-1)</f>
      </c>
      <c r="U257" s="539">
        <f>IF(Q257=0,"",(T257-Q257)/Q257*100)</f>
      </c>
      <c r="V257" s="27" t="n"/>
      <c r="W257" s="601"/>
      <c r="X257" s="602">
        <f>($W$5-K257)/365</f>
      </c>
      <c r="Y257" s="127">
        <f>(W257-X257)/W257</f>
      </c>
      <c r="Z257" s="127"/>
      <c r="AA257" s="127">
        <f>Y257/2+Z257/2</f>
      </c>
      <c r="AB257" s="603">
        <f>P257/I257</f>
      </c>
      <c r="AC257" s="604">
        <f>AB257*AD257</f>
      </c>
      <c r="AD257" s="129"/>
      <c r="AE257" s="583" t="n"/>
      <c r="AF257" s="583">
        <f>AC257*0.13/(1+0.13)</f>
      </c>
      <c r="AG257" s="605">
        <f>AC257-AF257</f>
      </c>
      <c r="AH257" s="605">
        <f>AC257*I257</f>
      </c>
      <c r="AI257" s="583">
        <f>ROUND(AG257*I257,-1)</f>
      </c>
    </row>
    <row r="258" ht="15.5" customHeight="1">
      <c r="A258" s="63" t="n"/>
      <c r="B258" s="56"/>
      <c r="C258" s="56"/>
      <c r="D258" s="59" t="n"/>
      <c r="E258" s="63" t="n"/>
      <c r="F258" s="24" t="n"/>
      <c r="G258" s="63"/>
      <c r="H258" s="21"/>
      <c r="I258" s="23"/>
      <c r="J258" s="558"/>
      <c r="K258" s="558"/>
      <c r="L258" s="539" t="n"/>
      <c r="M258" s="539" t="n"/>
      <c r="N258" s="539" t="n"/>
      <c r="O258" s="539" t="n"/>
      <c r="P258" s="539"/>
      <c r="Q258" s="539"/>
      <c r="R258" s="539">
        <f>AI258</f>
      </c>
      <c r="S258" s="23">
        <f>Y258*100</f>
      </c>
      <c r="T258" s="539">
        <f>ROUND(R258*S258/100,-1)</f>
      </c>
      <c r="U258" s="539">
        <f>IF(Q258=0,"",(T258-Q258)/Q258*100)</f>
      </c>
      <c r="V258" s="27" t="n"/>
      <c r="W258" s="601"/>
      <c r="X258" s="602">
        <f>($W$5-K258)/365</f>
      </c>
      <c r="Y258" s="127">
        <f>(W258-X258)/W258</f>
      </c>
      <c r="Z258" s="127"/>
      <c r="AA258" s="127">
        <f>Y258/2+Z258/2</f>
      </c>
      <c r="AB258" s="603">
        <f>P258/I258</f>
      </c>
      <c r="AC258" s="604">
        <f>AB258*AD258</f>
      </c>
      <c r="AD258" s="129"/>
      <c r="AE258" s="583" t="n"/>
      <c r="AF258" s="583">
        <f>AC258*0.13/(1+0.13)</f>
      </c>
      <c r="AG258" s="605">
        <f>AC258-AF258</f>
      </c>
      <c r="AH258" s="605">
        <f>AC258*I258</f>
      </c>
      <c r="AI258" s="583">
        <f>ROUND(AG258*I258,-1)</f>
      </c>
    </row>
    <row r="259" ht="15.5" customHeight="1">
      <c r="A259" s="63" t="n"/>
      <c r="B259" s="56"/>
      <c r="C259" s="56"/>
      <c r="D259" s="59" t="n"/>
      <c r="E259" s="63" t="n"/>
      <c r="F259" s="24" t="n"/>
      <c r="G259" s="63"/>
      <c r="H259" s="21"/>
      <c r="I259" s="23"/>
      <c r="J259" s="558"/>
      <c r="K259" s="558"/>
      <c r="L259" s="539" t="n"/>
      <c r="M259" s="539" t="n"/>
      <c r="N259" s="539" t="n"/>
      <c r="O259" s="539" t="n"/>
      <c r="P259" s="539"/>
      <c r="Q259" s="539"/>
      <c r="R259" s="539">
        <f>AI259</f>
      </c>
      <c r="S259" s="23">
        <f>Y259*100</f>
      </c>
      <c r="T259" s="539">
        <f>ROUND(R259*S259/100,-1)</f>
      </c>
      <c r="U259" s="539">
        <f>IF(Q259=0,"",(T259-Q259)/Q259*100)</f>
      </c>
      <c r="V259" s="27" t="n"/>
      <c r="W259" s="601"/>
      <c r="X259" s="602">
        <f>($W$5-K259)/365</f>
      </c>
      <c r="Y259" s="127">
        <f>(W259-X259)/W259</f>
      </c>
      <c r="Z259" s="127"/>
      <c r="AA259" s="127">
        <f>Y259/2+Z259/2</f>
      </c>
      <c r="AB259" s="603">
        <f>P259/I259</f>
      </c>
      <c r="AC259" s="604">
        <f>AB259*AD259</f>
      </c>
      <c r="AD259" s="129"/>
      <c r="AE259" s="583" t="n"/>
      <c r="AF259" s="583">
        <f>AC259*0.13/(1+0.13)</f>
      </c>
      <c r="AG259" s="605">
        <f>AC259-AF259</f>
      </c>
      <c r="AH259" s="605">
        <f>AC259*I259</f>
      </c>
      <c r="AI259" s="583">
        <f>ROUND(AG259*I259,-1)</f>
      </c>
    </row>
    <row r="260" ht="15.5" customHeight="1">
      <c r="A260" s="63" t="n"/>
      <c r="B260" s="56"/>
      <c r="C260" s="56"/>
      <c r="D260" s="59" t="n"/>
      <c r="E260" s="63" t="n"/>
      <c r="F260" s="24" t="n"/>
      <c r="G260" s="63"/>
      <c r="H260" s="21"/>
      <c r="I260" s="23"/>
      <c r="J260" s="558"/>
      <c r="K260" s="558"/>
      <c r="L260" s="539" t="n"/>
      <c r="M260" s="539" t="n"/>
      <c r="N260" s="539" t="n"/>
      <c r="O260" s="539" t="n"/>
      <c r="P260" s="539"/>
      <c r="Q260" s="539"/>
      <c r="R260" s="539">
        <f>AI260</f>
      </c>
      <c r="S260" s="23">
        <f>Y260*100</f>
      </c>
      <c r="T260" s="539">
        <f>ROUND(R260*S260/100,-1)</f>
      </c>
      <c r="U260" s="539">
        <f>IF(Q260=0,"",(T260-Q260)/Q260*100)</f>
      </c>
      <c r="V260" s="27" t="n"/>
      <c r="W260" s="601"/>
      <c r="X260" s="602">
        <f>($W$5-K260)/365</f>
      </c>
      <c r="Y260" s="127">
        <f>(W260-X260)/W260</f>
      </c>
      <c r="Z260" s="127"/>
      <c r="AA260" s="127">
        <f>Y260/2+Z260/2</f>
      </c>
      <c r="AB260" s="603">
        <f>P260/I260</f>
      </c>
      <c r="AC260" s="604">
        <f>AB260*AD260</f>
      </c>
      <c r="AD260" s="129"/>
      <c r="AE260" s="583" t="n"/>
      <c r="AF260" s="583">
        <f>AC260*0.13/(1+0.13)</f>
      </c>
      <c r="AG260" s="605">
        <f>AC260-AF260</f>
      </c>
      <c r="AH260" s="605">
        <f>AC260*I260</f>
      </c>
      <c r="AI260" s="583">
        <f>ROUND(AG260*I260,-1)</f>
      </c>
    </row>
    <row r="261" ht="15.5" customHeight="1">
      <c r="A261" s="63" t="n"/>
      <c r="B261" s="56"/>
      <c r="C261" s="56"/>
      <c r="D261" s="59" t="n"/>
      <c r="E261" s="63" t="n"/>
      <c r="F261" s="24" t="n"/>
      <c r="G261" s="63"/>
      <c r="H261" s="21"/>
      <c r="I261" s="23"/>
      <c r="J261" s="558"/>
      <c r="K261" s="558"/>
      <c r="L261" s="539" t="n"/>
      <c r="M261" s="539" t="n"/>
      <c r="N261" s="539" t="n"/>
      <c r="O261" s="539" t="n"/>
      <c r="P261" s="539"/>
      <c r="Q261" s="539"/>
      <c r="R261" s="539">
        <f>AI261</f>
      </c>
      <c r="S261" s="23">
        <f>Y261*100</f>
      </c>
      <c r="T261" s="539">
        <f>ROUND(R261*S261/100,-1)</f>
      </c>
      <c r="U261" s="539">
        <f>IF(Q261=0,"",(T261-Q261)/Q261*100)</f>
      </c>
      <c r="V261" s="27" t="n"/>
      <c r="W261" s="601"/>
      <c r="X261" s="602">
        <f>($W$5-K261)/365</f>
      </c>
      <c r="Y261" s="127">
        <f>(W261-X261)/W261</f>
      </c>
      <c r="Z261" s="127"/>
      <c r="AA261" s="127">
        <f>Y261/2+Z261/2</f>
      </c>
      <c r="AB261" s="603">
        <f>P261/I261</f>
      </c>
      <c r="AC261" s="604">
        <f>AB261*AD261</f>
      </c>
      <c r="AD261" s="129"/>
      <c r="AE261" s="583" t="n"/>
      <c r="AF261" s="583">
        <f>AC261*0.13/(1+0.13)</f>
      </c>
      <c r="AG261" s="605">
        <f>AC261-AF261</f>
      </c>
      <c r="AH261" s="605">
        <f>AC261*I261</f>
      </c>
      <c r="AI261" s="583">
        <f>ROUND(AG261*I261,-1)</f>
      </c>
    </row>
    <row r="262" ht="15.5" customHeight="1">
      <c r="A262" s="63" t="n"/>
      <c r="B262" s="56"/>
      <c r="C262" s="56"/>
      <c r="D262" s="59" t="n"/>
      <c r="E262" s="63" t="n"/>
      <c r="F262" s="24" t="n"/>
      <c r="G262" s="63"/>
      <c r="H262" s="21"/>
      <c r="I262" s="23"/>
      <c r="J262" s="558"/>
      <c r="K262" s="558"/>
      <c r="L262" s="539" t="n"/>
      <c r="M262" s="539" t="n"/>
      <c r="N262" s="539" t="n"/>
      <c r="O262" s="539" t="n"/>
      <c r="P262" s="539"/>
      <c r="Q262" s="539"/>
      <c r="R262" s="539">
        <f>AI262</f>
      </c>
      <c r="S262" s="23">
        <f>Y262*100</f>
      </c>
      <c r="T262" s="539">
        <f>ROUND(R262*S262/100,-1)</f>
      </c>
      <c r="U262" s="539">
        <f>IF(Q262=0,"",(T262-Q262)/Q262*100)</f>
      </c>
      <c r="V262" s="27" t="n"/>
      <c r="W262" s="601"/>
      <c r="X262" s="602">
        <f>($W$5-K262)/365</f>
      </c>
      <c r="Y262" s="127">
        <f>(W262-X262)/W262</f>
      </c>
      <c r="Z262" s="127"/>
      <c r="AA262" s="127">
        <f>Y262/2+Z262/2</f>
      </c>
      <c r="AB262" s="603">
        <f>P262/I262</f>
      </c>
      <c r="AC262" s="604">
        <f>AB262*AD262</f>
      </c>
      <c r="AD262" s="129"/>
      <c r="AE262" s="583" t="n"/>
      <c r="AF262" s="583">
        <f>AC262*0.13/(1+0.13)</f>
      </c>
      <c r="AG262" s="605">
        <f>AC262-AF262</f>
      </c>
      <c r="AH262" s="605">
        <f>AC262*I262</f>
      </c>
      <c r="AI262" s="583">
        <f>ROUND(AG262*I262,-1)</f>
      </c>
    </row>
    <row r="263" ht="15.5" customHeight="1">
      <c r="A263" s="63" t="n"/>
      <c r="B263" s="56"/>
      <c r="C263" s="56"/>
      <c r="D263" s="59" t="n"/>
      <c r="E263" s="63" t="n"/>
      <c r="F263" s="24" t="n"/>
      <c r="G263" s="63"/>
      <c r="H263" s="21"/>
      <c r="I263" s="23"/>
      <c r="J263" s="558"/>
      <c r="K263" s="558"/>
      <c r="L263" s="539" t="n"/>
      <c r="M263" s="539" t="n"/>
      <c r="N263" s="539" t="n"/>
      <c r="O263" s="539" t="n"/>
      <c r="P263" s="539"/>
      <c r="Q263" s="539"/>
      <c r="R263" s="539">
        <f>AI263</f>
      </c>
      <c r="S263" s="23">
        <f>Y263*100</f>
      </c>
      <c r="T263" s="539">
        <f>ROUND(R263*S263/100,-1)</f>
      </c>
      <c r="U263" s="539">
        <f>IF(Q263=0,"",(T263-Q263)/Q263*100)</f>
      </c>
      <c r="V263" s="27" t="n"/>
      <c r="W263" s="601"/>
      <c r="X263" s="602">
        <f>($W$5-K263)/365</f>
      </c>
      <c r="Y263" s="127">
        <f>(W263-X263)/W263</f>
      </c>
      <c r="Z263" s="127"/>
      <c r="AA263" s="127">
        <f>Y263/2+Z263/2</f>
      </c>
      <c r="AB263" s="603">
        <f>P263/I263</f>
      </c>
      <c r="AC263" s="604">
        <f>AB263*AD263</f>
      </c>
      <c r="AD263" s="129"/>
      <c r="AE263" s="583" t="n"/>
      <c r="AF263" s="583">
        <f>AC263*0.13/(1+0.13)</f>
      </c>
      <c r="AG263" s="605">
        <f>AC263-AF263</f>
      </c>
      <c r="AH263" s="605">
        <f>AC263*I263</f>
      </c>
      <c r="AI263" s="583">
        <f>ROUND(AG263*I263,-1)</f>
      </c>
    </row>
    <row r="264" ht="15.5" customHeight="1">
      <c r="A264" s="63" t="n"/>
      <c r="B264" s="56"/>
      <c r="C264" s="56"/>
      <c r="D264" s="59" t="n"/>
      <c r="E264" s="63" t="n"/>
      <c r="F264" s="24" t="n"/>
      <c r="G264" s="63"/>
      <c r="H264" s="21"/>
      <c r="I264" s="23"/>
      <c r="J264" s="558"/>
      <c r="K264" s="558"/>
      <c r="L264" s="539" t="n"/>
      <c r="M264" s="539" t="n"/>
      <c r="N264" s="539" t="n"/>
      <c r="O264" s="539" t="n"/>
      <c r="P264" s="539"/>
      <c r="Q264" s="539"/>
      <c r="R264" s="539">
        <f>AI264</f>
      </c>
      <c r="S264" s="23">
        <f>Y264*100</f>
      </c>
      <c r="T264" s="539">
        <f>ROUND(R264*S264/100,-1)</f>
      </c>
      <c r="U264" s="539">
        <f>IF(Q264=0,"",(T264-Q264)/Q264*100)</f>
      </c>
      <c r="V264" s="27" t="n"/>
      <c r="W264" s="601"/>
      <c r="X264" s="602">
        <f>($W$5-K264)/365</f>
      </c>
      <c r="Y264" s="127">
        <f>(W264-X264)/W264</f>
      </c>
      <c r="Z264" s="127"/>
      <c r="AA264" s="127">
        <f>Y264/2+Z264/2</f>
      </c>
      <c r="AB264" s="603">
        <f>P264/I264</f>
      </c>
      <c r="AC264" s="604">
        <f>AB264*AD264</f>
      </c>
      <c r="AD264" s="129"/>
      <c r="AE264" s="583" t="n"/>
      <c r="AF264" s="583">
        <f>AC264*0.13/(1+0.13)</f>
      </c>
      <c r="AG264" s="605">
        <f>AC264-AF264</f>
      </c>
      <c r="AH264" s="605">
        <f>AC264*I264</f>
      </c>
      <c r="AI264" s="583">
        <f>ROUND(AG264*I264,-1)</f>
      </c>
    </row>
    <row r="265" ht="15.5" customHeight="1">
      <c r="A265" s="63" t="n"/>
      <c r="B265" s="56"/>
      <c r="C265" s="56"/>
      <c r="D265" s="59" t="n"/>
      <c r="E265" s="63" t="n"/>
      <c r="F265" s="24" t="n"/>
      <c r="G265" s="63"/>
      <c r="H265" s="21"/>
      <c r="I265" s="23"/>
      <c r="J265" s="558"/>
      <c r="K265" s="558"/>
      <c r="L265" s="539" t="n"/>
      <c r="M265" s="539" t="n"/>
      <c r="N265" s="539" t="n"/>
      <c r="O265" s="539" t="n"/>
      <c r="P265" s="539"/>
      <c r="Q265" s="539"/>
      <c r="R265" s="539">
        <f>AI265</f>
      </c>
      <c r="S265" s="23">
        <f>Y265*100</f>
      </c>
      <c r="T265" s="539">
        <f>ROUND(R265*S265/100,-1)</f>
      </c>
      <c r="U265" s="539">
        <f>IF(Q265=0,"",(T265-Q265)/Q265*100)</f>
      </c>
      <c r="V265" s="27" t="n"/>
      <c r="W265" s="601"/>
      <c r="X265" s="602">
        <f>($W$5-K265)/365</f>
      </c>
      <c r="Y265" s="127">
        <f>(W265-X265)/W265</f>
      </c>
      <c r="Z265" s="127"/>
      <c r="AA265" s="127">
        <f>Y265/2+Z265/2</f>
      </c>
      <c r="AB265" s="603">
        <f>P265/I265</f>
      </c>
      <c r="AC265" s="604">
        <f>AB265*AD265</f>
      </c>
      <c r="AD265" s="129"/>
      <c r="AE265" s="583" t="n"/>
      <c r="AF265" s="583">
        <f>AC265*0.13/(1+0.13)</f>
      </c>
      <c r="AG265" s="605">
        <f>AC265-AF265</f>
      </c>
      <c r="AH265" s="605">
        <f>AC265*I265</f>
      </c>
      <c r="AI265" s="583">
        <f>ROUND(AG265*I265,-1)</f>
      </c>
    </row>
    <row r="266" ht="15.5" customHeight="1">
      <c r="A266" s="63" t="n"/>
      <c r="B266" s="56"/>
      <c r="C266" s="56"/>
      <c r="D266" s="59" t="n"/>
      <c r="E266" s="63" t="n"/>
      <c r="F266" s="24" t="n"/>
      <c r="G266" s="63"/>
      <c r="H266" s="21"/>
      <c r="I266" s="23"/>
      <c r="J266" s="558"/>
      <c r="K266" s="558"/>
      <c r="L266" s="539" t="n"/>
      <c r="M266" s="539" t="n"/>
      <c r="N266" s="539" t="n"/>
      <c r="O266" s="539" t="n"/>
      <c r="P266" s="539"/>
      <c r="Q266" s="539"/>
      <c r="R266" s="539">
        <f>AI266</f>
      </c>
      <c r="S266" s="23">
        <f>Y266*100</f>
      </c>
      <c r="T266" s="539">
        <f>ROUND(R266*S266/100,-1)</f>
      </c>
      <c r="U266" s="539">
        <f>IF(Q266=0,"",(T266-Q266)/Q266*100)</f>
      </c>
      <c r="V266" s="27" t="n"/>
      <c r="W266" s="601"/>
      <c r="X266" s="602">
        <f>($W$5-K266)/365</f>
      </c>
      <c r="Y266" s="127">
        <f>(W266-X266)/W266</f>
      </c>
      <c r="Z266" s="127"/>
      <c r="AA266" s="127">
        <f>Y266/2+Z266/2</f>
      </c>
      <c r="AB266" s="603">
        <f>P266/I266</f>
      </c>
      <c r="AC266" s="604">
        <f>AB266*AD266</f>
      </c>
      <c r="AD266" s="129"/>
      <c r="AE266" s="583" t="n"/>
      <c r="AF266" s="583">
        <f>AC266*0.13/(1+0.13)</f>
      </c>
      <c r="AG266" s="605">
        <f>AC266-AF266</f>
      </c>
      <c r="AH266" s="605">
        <f>AC266*I266</f>
      </c>
      <c r="AI266" s="583">
        <f>ROUND(AG266*I266,-1)</f>
      </c>
    </row>
    <row r="267" ht="15.5" customHeight="1">
      <c r="A267" s="63" t="n"/>
      <c r="B267" s="56"/>
      <c r="C267" s="56"/>
      <c r="D267" s="59" t="n"/>
      <c r="E267" s="63" t="n"/>
      <c r="F267" s="24" t="n"/>
      <c r="G267" s="63"/>
      <c r="H267" s="21"/>
      <c r="I267" s="23"/>
      <c r="J267" s="558"/>
      <c r="K267" s="558"/>
      <c r="L267" s="539" t="n"/>
      <c r="M267" s="539" t="n"/>
      <c r="N267" s="539" t="n"/>
      <c r="O267" s="539" t="n"/>
      <c r="P267" s="539"/>
      <c r="Q267" s="539"/>
      <c r="R267" s="539">
        <f>AI267</f>
      </c>
      <c r="S267" s="23">
        <f>Y267*100</f>
      </c>
      <c r="T267" s="539">
        <f>ROUND(R267*S267/100,-1)</f>
      </c>
      <c r="U267" s="539">
        <f>IF(Q267=0,"",(T267-Q267)/Q267*100)</f>
      </c>
      <c r="V267" s="27" t="n"/>
      <c r="W267" s="601"/>
      <c r="X267" s="602">
        <f>($W$5-K267)/365</f>
      </c>
      <c r="Y267" s="127">
        <f>(W267-X267)/W267</f>
      </c>
      <c r="Z267" s="127"/>
      <c r="AA267" s="127">
        <f>Y267/2+Z267/2</f>
      </c>
      <c r="AB267" s="603">
        <f>P267/I267</f>
      </c>
      <c r="AC267" s="604">
        <f>AB267*AD267</f>
      </c>
      <c r="AD267" s="129"/>
      <c r="AE267" s="583" t="n"/>
      <c r="AF267" s="583">
        <f>AC267*0.13/(1+0.13)</f>
      </c>
      <c r="AG267" s="605">
        <f>AC267-AF267</f>
      </c>
      <c r="AH267" s="605">
        <f>AC267*I267</f>
      </c>
      <c r="AI267" s="583">
        <f>ROUND(AG267*I267,-1)</f>
      </c>
    </row>
    <row r="268" ht="15.5" customHeight="1">
      <c r="A268" s="63" t="n"/>
      <c r="B268" s="56"/>
      <c r="C268" s="56"/>
      <c r="D268" s="59" t="n"/>
      <c r="E268" s="63" t="n"/>
      <c r="F268" s="24" t="n"/>
      <c r="G268" s="63"/>
      <c r="H268" s="21"/>
      <c r="I268" s="23"/>
      <c r="J268" s="558"/>
      <c r="K268" s="558"/>
      <c r="L268" s="539" t="n"/>
      <c r="M268" s="539" t="n"/>
      <c r="N268" s="539" t="n"/>
      <c r="O268" s="539" t="n"/>
      <c r="P268" s="539"/>
      <c r="Q268" s="539"/>
      <c r="R268" s="539">
        <f>AI268</f>
      </c>
      <c r="S268" s="23">
        <f>Y268*100</f>
      </c>
      <c r="T268" s="539">
        <f>ROUND(R268*S268/100,-1)</f>
      </c>
      <c r="U268" s="539">
        <f>IF(Q268=0,"",(T268-Q268)/Q268*100)</f>
      </c>
      <c r="V268" s="27" t="n"/>
      <c r="W268" s="601"/>
      <c r="X268" s="602">
        <f>($W$5-K268)/365</f>
      </c>
      <c r="Y268" s="127">
        <f>(W268-X268)/W268</f>
      </c>
      <c r="Z268" s="127"/>
      <c r="AA268" s="127">
        <f>Y268/2+Z268/2</f>
      </c>
      <c r="AB268" s="603">
        <f>P268/I268</f>
      </c>
      <c r="AC268" s="604">
        <f>AB268*AD268</f>
      </c>
      <c r="AD268" s="129"/>
      <c r="AE268" s="583" t="n"/>
      <c r="AF268" s="583">
        <f>AC268*0.13/(1+0.13)</f>
      </c>
      <c r="AG268" s="605">
        <f>AC268-AF268</f>
      </c>
      <c r="AH268" s="605">
        <f>AC268*I268</f>
      </c>
      <c r="AI268" s="583">
        <f>ROUND(AG268*I268,-1)</f>
      </c>
    </row>
    <row r="269" ht="15.5" customHeight="1">
      <c r="A269" s="63" t="n"/>
      <c r="B269" s="56"/>
      <c r="C269" s="56"/>
      <c r="D269" s="59" t="n"/>
      <c r="E269" s="63" t="n"/>
      <c r="F269" s="24" t="n"/>
      <c r="G269" s="63"/>
      <c r="H269" s="21"/>
      <c r="I269" s="23"/>
      <c r="J269" s="558"/>
      <c r="K269" s="558"/>
      <c r="L269" s="539" t="n"/>
      <c r="M269" s="539" t="n"/>
      <c r="N269" s="539" t="n"/>
      <c r="O269" s="539" t="n"/>
      <c r="P269" s="539"/>
      <c r="Q269" s="539"/>
      <c r="R269" s="539">
        <f>AI269</f>
      </c>
      <c r="S269" s="23">
        <f>Y269*100</f>
      </c>
      <c r="T269" s="539">
        <f>ROUND(R269*S269/100,-1)</f>
      </c>
      <c r="U269" s="539">
        <f>IF(Q269=0,"",(T269-Q269)/Q269*100)</f>
      </c>
      <c r="V269" s="27" t="n"/>
      <c r="W269" s="601"/>
      <c r="X269" s="602">
        <f>($W$5-K269)/365</f>
      </c>
      <c r="Y269" s="127">
        <f>(W269-X269)/W269</f>
      </c>
      <c r="Z269" s="127"/>
      <c r="AA269" s="127">
        <f>Y269/2+Z269/2</f>
      </c>
      <c r="AB269" s="603">
        <f>P269/I269</f>
      </c>
      <c r="AC269" s="604">
        <f>AB269*AD269</f>
      </c>
      <c r="AD269" s="129"/>
      <c r="AE269" s="583" t="n"/>
      <c r="AF269" s="583">
        <f>AC269*0.13/(1+0.13)</f>
      </c>
      <c r="AG269" s="605">
        <f>AC269-AF269</f>
      </c>
      <c r="AH269" s="605">
        <f>AC269*I269</f>
      </c>
      <c r="AI269" s="583">
        <f>ROUND(AG269*I269,-1)</f>
      </c>
    </row>
    <row r="270" ht="15.5" customHeight="1">
      <c r="A270" s="63" t="n"/>
      <c r="B270" s="56"/>
      <c r="C270" s="56"/>
      <c r="D270" s="59" t="n"/>
      <c r="E270" s="63" t="n"/>
      <c r="F270" s="24" t="n"/>
      <c r="G270" s="63"/>
      <c r="H270" s="21"/>
      <c r="I270" s="23"/>
      <c r="J270" s="558"/>
      <c r="K270" s="558"/>
      <c r="L270" s="539" t="n"/>
      <c r="M270" s="539" t="n"/>
      <c r="N270" s="539" t="n"/>
      <c r="O270" s="539" t="n"/>
      <c r="P270" s="539"/>
      <c r="Q270" s="539"/>
      <c r="R270" s="539">
        <f>AI270</f>
      </c>
      <c r="S270" s="23">
        <f>Y270*100</f>
      </c>
      <c r="T270" s="539">
        <f>ROUND(R270*S270/100,-1)</f>
      </c>
      <c r="U270" s="539">
        <f>IF(Q270=0,"",(T270-Q270)/Q270*100)</f>
      </c>
      <c r="V270" s="27" t="n"/>
      <c r="W270" s="601"/>
      <c r="X270" s="602">
        <f>($W$5-K270)/365</f>
      </c>
      <c r="Y270" s="127">
        <f>(W270-X270)/W270</f>
      </c>
      <c r="Z270" s="127"/>
      <c r="AA270" s="127">
        <f>Y270/2+Z270/2</f>
      </c>
      <c r="AB270" s="603">
        <f>P270/I270</f>
      </c>
      <c r="AC270" s="604">
        <f>AB270*AD270</f>
      </c>
      <c r="AD270" s="129"/>
      <c r="AE270" s="583" t="n"/>
      <c r="AF270" s="583">
        <f>AC270*0.13/(1+0.13)</f>
      </c>
      <c r="AG270" s="605">
        <f>AC270-AF270</f>
      </c>
      <c r="AH270" s="605">
        <f>AC270*I270</f>
      </c>
      <c r="AI270" s="583">
        <f>ROUND(AG270*I270,-1)</f>
      </c>
    </row>
    <row r="271" ht="15.5" customHeight="1">
      <c r="A271" s="63" t="n"/>
      <c r="B271" s="56"/>
      <c r="C271" s="56"/>
      <c r="D271" s="59" t="n"/>
      <c r="E271" s="63" t="n"/>
      <c r="F271" s="24" t="n"/>
      <c r="G271" s="63"/>
      <c r="H271" s="21"/>
      <c r="I271" s="23"/>
      <c r="J271" s="558"/>
      <c r="K271" s="558"/>
      <c r="L271" s="539" t="n"/>
      <c r="M271" s="539" t="n"/>
      <c r="N271" s="539" t="n"/>
      <c r="O271" s="539" t="n"/>
      <c r="P271" s="539"/>
      <c r="Q271" s="539"/>
      <c r="R271" s="539">
        <f>AI271</f>
      </c>
      <c r="S271" s="23">
        <f>Y271*100</f>
      </c>
      <c r="T271" s="539">
        <f>ROUND(R271*S271/100,-1)</f>
      </c>
      <c r="U271" s="539">
        <f>IF(Q271=0,"",(T271-Q271)/Q271*100)</f>
      </c>
      <c r="V271" s="27" t="n"/>
      <c r="W271" s="601"/>
      <c r="X271" s="602">
        <f>($W$5-K271)/365</f>
      </c>
      <c r="Y271" s="127">
        <f>(W271-X271)/W271</f>
      </c>
      <c r="Z271" s="127"/>
      <c r="AA271" s="127">
        <f>Y271/2+Z271/2</f>
      </c>
      <c r="AB271" s="603">
        <f>P271/I271</f>
      </c>
      <c r="AC271" s="604">
        <f>AB271*AD271</f>
      </c>
      <c r="AD271" s="129"/>
      <c r="AE271" s="583" t="n"/>
      <c r="AF271" s="583">
        <f>AC271*0.13/(1+0.13)</f>
      </c>
      <c r="AG271" s="605">
        <f>AC271-AF271</f>
      </c>
      <c r="AH271" s="605">
        <f>AC271*I271</f>
      </c>
      <c r="AI271" s="583">
        <f>ROUND(AG271*I271,-1)</f>
      </c>
    </row>
    <row r="272" ht="15.5" customHeight="1">
      <c r="A272" s="63" t="n"/>
      <c r="B272" s="56"/>
      <c r="C272" s="56"/>
      <c r="D272" s="59" t="n"/>
      <c r="E272" s="63" t="n"/>
      <c r="F272" s="24" t="n"/>
      <c r="G272" s="63"/>
      <c r="H272" s="21"/>
      <c r="I272" s="23"/>
      <c r="J272" s="558"/>
      <c r="K272" s="558"/>
      <c r="L272" s="539" t="n"/>
      <c r="M272" s="539" t="n"/>
      <c r="N272" s="539" t="n"/>
      <c r="O272" s="539" t="n"/>
      <c r="P272" s="539"/>
      <c r="Q272" s="539"/>
      <c r="R272" s="539">
        <f>AI272</f>
      </c>
      <c r="S272" s="23">
        <f>Y272*100</f>
      </c>
      <c r="T272" s="539">
        <f>ROUND(R272*S272/100,-1)</f>
      </c>
      <c r="U272" s="539">
        <f>IF(Q272=0,"",(T272-Q272)/Q272*100)</f>
      </c>
      <c r="V272" s="27" t="n"/>
      <c r="W272" s="601"/>
      <c r="X272" s="602">
        <f>($W$5-K272)/365</f>
      </c>
      <c r="Y272" s="127">
        <f>(W272-X272)/W272</f>
      </c>
      <c r="Z272" s="127"/>
      <c r="AA272" s="127">
        <f>Y272/2+Z272/2</f>
      </c>
      <c r="AB272" s="603">
        <f>P272/I272</f>
      </c>
      <c r="AC272" s="604">
        <f>AB272*AD272</f>
      </c>
      <c r="AD272" s="129"/>
      <c r="AE272" s="583" t="n"/>
      <c r="AF272" s="583">
        <f>AC272*0.13/(1+0.13)</f>
      </c>
      <c r="AG272" s="605">
        <f>AC272-AF272</f>
      </c>
      <c r="AH272" s="605">
        <f>AC272*I272</f>
      </c>
      <c r="AI272" s="583">
        <f>ROUND(AG272*I272,-1)</f>
      </c>
    </row>
    <row r="273" ht="15.5" customHeight="1">
      <c r="A273" s="63" t="n"/>
      <c r="B273" s="56"/>
      <c r="C273" s="56"/>
      <c r="D273" s="59" t="n"/>
      <c r="E273" s="63" t="n"/>
      <c r="F273" s="24" t="n"/>
      <c r="G273" s="63"/>
      <c r="H273" s="21"/>
      <c r="I273" s="23"/>
      <c r="J273" s="558"/>
      <c r="K273" s="558"/>
      <c r="L273" s="539" t="n"/>
      <c r="M273" s="539" t="n"/>
      <c r="N273" s="539" t="n"/>
      <c r="O273" s="539" t="n"/>
      <c r="P273" s="539"/>
      <c r="Q273" s="539"/>
      <c r="R273" s="539">
        <f>AI273</f>
      </c>
      <c r="S273" s="23">
        <f>Y273*100</f>
      </c>
      <c r="T273" s="539">
        <f>ROUND(R273*S273/100,-1)</f>
      </c>
      <c r="U273" s="539">
        <f>IF(Q273=0,"",(T273-Q273)/Q273*100)</f>
      </c>
      <c r="V273" s="27" t="n"/>
      <c r="W273" s="601"/>
      <c r="X273" s="602">
        <f>($W$5-K273)/365</f>
      </c>
      <c r="Y273" s="127">
        <f>(W273-X273)/W273</f>
      </c>
      <c r="Z273" s="127"/>
      <c r="AA273" s="127">
        <f>Y273/2+Z273/2</f>
      </c>
      <c r="AB273" s="603">
        <f>P273/I273</f>
      </c>
      <c r="AC273" s="604">
        <f>AB273*AD273</f>
      </c>
      <c r="AD273" s="129"/>
      <c r="AE273" s="583" t="n"/>
      <c r="AF273" s="583">
        <f>AC273*0.13/(1+0.13)</f>
      </c>
      <c r="AG273" s="605">
        <f>AC273-AF273</f>
      </c>
      <c r="AH273" s="605">
        <f>AC273*I273</f>
      </c>
      <c r="AI273" s="583">
        <f>ROUND(AG273*I273,-1)</f>
      </c>
    </row>
    <row r="274" ht="15.5" customHeight="1">
      <c r="A274" s="63" t="n"/>
      <c r="B274" s="56"/>
      <c r="C274" s="56"/>
      <c r="D274" s="59" t="n"/>
      <c r="E274" s="63" t="n"/>
      <c r="F274" s="24" t="n"/>
      <c r="G274" s="63"/>
      <c r="H274" s="21"/>
      <c r="I274" s="23"/>
      <c r="J274" s="558"/>
      <c r="K274" s="558"/>
      <c r="L274" s="539" t="n"/>
      <c r="M274" s="539" t="n"/>
      <c r="N274" s="539" t="n"/>
      <c r="O274" s="539" t="n"/>
      <c r="P274" s="539"/>
      <c r="Q274" s="539"/>
      <c r="R274" s="539">
        <f>AI274</f>
      </c>
      <c r="S274" s="23">
        <f>Y274*100</f>
      </c>
      <c r="T274" s="539">
        <f>ROUND(R274*S274/100,-1)</f>
      </c>
      <c r="U274" s="539">
        <f>IF(Q274=0,"",(T274-Q274)/Q274*100)</f>
      </c>
      <c r="V274" s="27" t="n"/>
      <c r="W274" s="601"/>
      <c r="X274" s="602">
        <f>($W$5-K274)/365</f>
      </c>
      <c r="Y274" s="127">
        <f>(W274-X274)/W274</f>
      </c>
      <c r="Z274" s="127"/>
      <c r="AA274" s="127">
        <f>Y274/2+Z274/2</f>
      </c>
      <c r="AB274" s="603">
        <f>P274/I274</f>
      </c>
      <c r="AC274" s="604">
        <f>AB274*AD274</f>
      </c>
      <c r="AD274" s="129"/>
      <c r="AE274" s="583" t="n"/>
      <c r="AF274" s="583">
        <f>AC274*0.13/(1+0.13)</f>
      </c>
      <c r="AG274" s="605">
        <f>AC274-AF274</f>
      </c>
      <c r="AH274" s="605">
        <f>AC274*I274</f>
      </c>
      <c r="AI274" s="583">
        <f>ROUND(AG274*I274,-1)</f>
      </c>
    </row>
    <row r="275" ht="15.5" customHeight="1">
      <c r="A275" s="63" t="n"/>
      <c r="B275" s="56"/>
      <c r="C275" s="56"/>
      <c r="D275" s="59" t="n"/>
      <c r="E275" s="63" t="n"/>
      <c r="F275" s="24" t="n"/>
      <c r="G275" s="63"/>
      <c r="H275" s="21"/>
      <c r="I275" s="23"/>
      <c r="J275" s="558"/>
      <c r="K275" s="558"/>
      <c r="L275" s="539" t="n"/>
      <c r="M275" s="539" t="n"/>
      <c r="N275" s="539" t="n"/>
      <c r="O275" s="539" t="n"/>
      <c r="P275" s="539"/>
      <c r="Q275" s="539"/>
      <c r="R275" s="539">
        <f>AI275</f>
      </c>
      <c r="S275" s="23">
        <f>Y275*100</f>
      </c>
      <c r="T275" s="539">
        <f>ROUND(R275*S275/100,-1)</f>
      </c>
      <c r="U275" s="539">
        <f>IF(Q275=0,"",(T275-Q275)/Q275*100)</f>
      </c>
      <c r="V275" s="27" t="n"/>
      <c r="W275" s="601"/>
      <c r="X275" s="602">
        <f>($W$5-K275)/365</f>
      </c>
      <c r="Y275" s="127">
        <f>(W275-X275)/W275</f>
      </c>
      <c r="Z275" s="127"/>
      <c r="AA275" s="127">
        <f>Y275/2+Z275/2</f>
      </c>
      <c r="AB275" s="603">
        <f>P275/I275</f>
      </c>
      <c r="AC275" s="604">
        <f>AB275*AD275</f>
      </c>
      <c r="AD275" s="129"/>
      <c r="AE275" s="583" t="n"/>
      <c r="AF275" s="583">
        <f>AC275*0.13/(1+0.13)</f>
      </c>
      <c r="AG275" s="605">
        <f>AC275-AF275</f>
      </c>
      <c r="AH275" s="605">
        <f>AC275*I275</f>
      </c>
      <c r="AI275" s="583">
        <f>ROUND(AG275*I275,-1)</f>
      </c>
    </row>
    <row r="276" ht="15.5" customHeight="1">
      <c r="A276" s="63" t="n"/>
      <c r="B276" s="56"/>
      <c r="C276" s="56"/>
      <c r="D276" s="59" t="n"/>
      <c r="E276" s="63" t="n"/>
      <c r="F276" s="24" t="n"/>
      <c r="G276" s="63"/>
      <c r="H276" s="21"/>
      <c r="I276" s="23"/>
      <c r="J276" s="558"/>
      <c r="K276" s="558"/>
      <c r="L276" s="539" t="n"/>
      <c r="M276" s="539" t="n"/>
      <c r="N276" s="539" t="n"/>
      <c r="O276" s="539" t="n"/>
      <c r="P276" s="539"/>
      <c r="Q276" s="539"/>
      <c r="R276" s="539">
        <f>AI276</f>
      </c>
      <c r="S276" s="23">
        <f>Y276*100</f>
      </c>
      <c r="T276" s="539">
        <f>ROUND(R276*S276/100,-1)</f>
      </c>
      <c r="U276" s="539">
        <f>IF(Q276=0,"",(T276-Q276)/Q276*100)</f>
      </c>
      <c r="V276" s="27" t="n"/>
      <c r="W276" s="601"/>
      <c r="X276" s="602">
        <f>($W$5-K276)/365</f>
      </c>
      <c r="Y276" s="127">
        <f>(W276-X276)/W276</f>
      </c>
      <c r="Z276" s="127"/>
      <c r="AA276" s="127">
        <f>Y276/2+Z276/2</f>
      </c>
      <c r="AB276" s="603">
        <f>P276/I276</f>
      </c>
      <c r="AC276" s="604">
        <f>AB276*AD276</f>
      </c>
      <c r="AD276" s="129"/>
      <c r="AE276" s="583" t="n"/>
      <c r="AF276" s="583">
        <f>AC276*0.13/(1+0.13)</f>
      </c>
      <c r="AG276" s="605">
        <f>AC276-AF276</f>
      </c>
      <c r="AH276" s="605">
        <f>AC276*I276</f>
      </c>
      <c r="AI276" s="583">
        <f>ROUND(AG276*I276,-1)</f>
      </c>
    </row>
    <row r="277" ht="15.5" customHeight="1">
      <c r="A277" s="63" t="n"/>
      <c r="B277" s="56"/>
      <c r="C277" s="56"/>
      <c r="D277" s="59" t="n"/>
      <c r="E277" s="63" t="n"/>
      <c r="F277" s="24" t="n"/>
      <c r="G277" s="63"/>
      <c r="H277" s="21"/>
      <c r="I277" s="23"/>
      <c r="J277" s="558"/>
      <c r="K277" s="558"/>
      <c r="L277" s="539" t="n"/>
      <c r="M277" s="539" t="n"/>
      <c r="N277" s="539" t="n"/>
      <c r="O277" s="539" t="n"/>
      <c r="P277" s="539"/>
      <c r="Q277" s="539"/>
      <c r="R277" s="539">
        <f>AI277</f>
      </c>
      <c r="S277" s="23">
        <f>Y277*100</f>
      </c>
      <c r="T277" s="539">
        <f>ROUND(R277*S277/100,-1)</f>
      </c>
      <c r="U277" s="539">
        <f>IF(Q277=0,"",(T277-Q277)/Q277*100)</f>
      </c>
      <c r="V277" s="27" t="n"/>
      <c r="W277" s="601"/>
      <c r="X277" s="602">
        <f>($W$5-K277)/365</f>
      </c>
      <c r="Y277" s="127">
        <f>(W277-X277)/W277</f>
      </c>
      <c r="Z277" s="127"/>
      <c r="AA277" s="127">
        <f>Y277/2+Z277/2</f>
      </c>
      <c r="AB277" s="603">
        <f>P277/I277</f>
      </c>
      <c r="AC277" s="604">
        <f>AB277*AD277</f>
      </c>
      <c r="AD277" s="129"/>
      <c r="AE277" s="583" t="n"/>
      <c r="AF277" s="583">
        <f>AC277*0.13/(1+0.13)</f>
      </c>
      <c r="AG277" s="605">
        <f>AC277-AF277</f>
      </c>
      <c r="AH277" s="605">
        <f>AC277*I277</f>
      </c>
      <c r="AI277" s="583">
        <f>ROUND(AG277*I277,-1)</f>
      </c>
    </row>
    <row r="278" ht="15.5" customHeight="1">
      <c r="A278" s="63" t="n"/>
      <c r="B278" s="56"/>
      <c r="C278" s="56"/>
      <c r="D278" s="59" t="n"/>
      <c r="E278" s="63" t="n"/>
      <c r="F278" s="24" t="n"/>
      <c r="G278" s="63"/>
      <c r="H278" s="21"/>
      <c r="I278" s="23"/>
      <c r="J278" s="558"/>
      <c r="K278" s="558"/>
      <c r="L278" s="539" t="n"/>
      <c r="M278" s="539" t="n"/>
      <c r="N278" s="539" t="n"/>
      <c r="O278" s="539" t="n"/>
      <c r="P278" s="539"/>
      <c r="Q278" s="539"/>
      <c r="R278" s="539">
        <f>AI278</f>
      </c>
      <c r="S278" s="23">
        <f>Y278*100</f>
      </c>
      <c r="T278" s="539">
        <f>ROUND(R278*S278/100,-1)</f>
      </c>
      <c r="U278" s="539">
        <f>IF(Q278=0,"",(T278-Q278)/Q278*100)</f>
      </c>
      <c r="V278" s="27" t="n"/>
      <c r="W278" s="601"/>
      <c r="X278" s="602">
        <f>($W$5-K278)/365</f>
      </c>
      <c r="Y278" s="127">
        <f>(W278-X278)/W278</f>
      </c>
      <c r="Z278" s="127"/>
      <c r="AA278" s="127">
        <f>Y278/2+Z278/2</f>
      </c>
      <c r="AB278" s="603">
        <f>P278/I278</f>
      </c>
      <c r="AC278" s="604">
        <f>AB278*AD278</f>
      </c>
      <c r="AD278" s="129"/>
      <c r="AE278" s="583" t="n"/>
      <c r="AF278" s="583">
        <f>AC278*0.13/(1+0.13)</f>
      </c>
      <c r="AG278" s="605">
        <f>AC278-AF278</f>
      </c>
      <c r="AH278" s="605">
        <f>AC278*I278</f>
      </c>
      <c r="AI278" s="583">
        <f>ROUND(AG278*I278,-1)</f>
      </c>
    </row>
    <row r="279" ht="15.5" customHeight="1">
      <c r="A279" s="63" t="n"/>
      <c r="B279" s="56"/>
      <c r="C279" s="56"/>
      <c r="D279" s="59" t="n"/>
      <c r="E279" s="63" t="n"/>
      <c r="F279" s="24" t="n"/>
      <c r="G279" s="63"/>
      <c r="H279" s="21"/>
      <c r="I279" s="23"/>
      <c r="J279" s="558"/>
      <c r="K279" s="558"/>
      <c r="L279" s="539" t="n"/>
      <c r="M279" s="539" t="n"/>
      <c r="N279" s="539" t="n"/>
      <c r="O279" s="539" t="n"/>
      <c r="P279" s="539"/>
      <c r="Q279" s="539"/>
      <c r="R279" s="539">
        <f>AI279</f>
      </c>
      <c r="S279" s="23">
        <f>Y279*100</f>
      </c>
      <c r="T279" s="539">
        <f>ROUND(R279*S279/100,-1)</f>
      </c>
      <c r="U279" s="539">
        <f>IF(Q279=0,"",(T279-Q279)/Q279*100)</f>
      </c>
      <c r="V279" s="27" t="n"/>
      <c r="W279" s="601"/>
      <c r="X279" s="602">
        <f>($W$5-K279)/365</f>
      </c>
      <c r="Y279" s="127">
        <f>(W279-X279)/W279</f>
      </c>
      <c r="Z279" s="127"/>
      <c r="AA279" s="127">
        <f>Y279/2+Z279/2</f>
      </c>
      <c r="AB279" s="603">
        <f>P279/I279</f>
      </c>
      <c r="AC279" s="604">
        <f>AB279*AD279</f>
      </c>
      <c r="AD279" s="129"/>
      <c r="AE279" s="583" t="n"/>
      <c r="AF279" s="583">
        <f>AC279*0.13/(1+0.13)</f>
      </c>
      <c r="AG279" s="605">
        <f>AC279-AF279</f>
      </c>
      <c r="AH279" s="605">
        <f>AC279*I279</f>
      </c>
      <c r="AI279" s="583">
        <f>ROUND(AG279*I279,-1)</f>
      </c>
    </row>
    <row r="280" ht="15.5" customHeight="1">
      <c r="A280" s="63" t="n"/>
      <c r="B280" s="56"/>
      <c r="C280" s="56"/>
      <c r="D280" s="59" t="n"/>
      <c r="E280" s="63" t="n"/>
      <c r="F280" s="24" t="n"/>
      <c r="G280" s="63"/>
      <c r="H280" s="21"/>
      <c r="I280" s="23"/>
      <c r="J280" s="558"/>
      <c r="K280" s="558"/>
      <c r="L280" s="539" t="n"/>
      <c r="M280" s="539" t="n"/>
      <c r="N280" s="539" t="n"/>
      <c r="O280" s="539" t="n"/>
      <c r="P280" s="539"/>
      <c r="Q280" s="539"/>
      <c r="R280" s="539">
        <f>AI280</f>
      </c>
      <c r="S280" s="23">
        <f>Y280*100</f>
      </c>
      <c r="T280" s="539">
        <f>ROUND(R280*S280/100,-1)</f>
      </c>
      <c r="U280" s="539">
        <f>IF(Q280=0,"",(T280-Q280)/Q280*100)</f>
      </c>
      <c r="V280" s="27" t="n"/>
      <c r="W280" s="601"/>
      <c r="X280" s="602">
        <f>($W$5-K280)/365</f>
      </c>
      <c r="Y280" s="127">
        <f>(W280-X280)/W280</f>
      </c>
      <c r="Z280" s="127"/>
      <c r="AA280" s="127">
        <f>Y280/2+Z280/2</f>
      </c>
      <c r="AB280" s="603">
        <f>P280/I280</f>
      </c>
      <c r="AC280" s="604">
        <f>AB280*AD280</f>
      </c>
      <c r="AD280" s="129"/>
      <c r="AE280" s="583" t="n"/>
      <c r="AF280" s="583">
        <f>AC280*0.13/(1+0.13)</f>
      </c>
      <c r="AG280" s="605">
        <f>AC280-AF280</f>
      </c>
      <c r="AH280" s="605">
        <f>AC280*I280</f>
      </c>
      <c r="AI280" s="583">
        <f>ROUND(AG280*I280,-1)</f>
      </c>
    </row>
    <row r="281" ht="15.5" customHeight="1">
      <c r="A281" s="63" t="n"/>
      <c r="B281" s="56"/>
      <c r="C281" s="56"/>
      <c r="D281" s="59" t="n"/>
      <c r="E281" s="63" t="n"/>
      <c r="F281" s="24" t="n"/>
      <c r="G281" s="63"/>
      <c r="H281" s="21"/>
      <c r="I281" s="23"/>
      <c r="J281" s="558"/>
      <c r="K281" s="558"/>
      <c r="L281" s="539" t="n"/>
      <c r="M281" s="539" t="n"/>
      <c r="N281" s="539" t="n"/>
      <c r="O281" s="539" t="n"/>
      <c r="P281" s="539"/>
      <c r="Q281" s="539"/>
      <c r="R281" s="539">
        <f>AI281</f>
      </c>
      <c r="S281" s="23">
        <f>Y281*100</f>
      </c>
      <c r="T281" s="539">
        <f>ROUND(R281*S281/100,-1)</f>
      </c>
      <c r="U281" s="539">
        <f>IF(Q281=0,"",(T281-Q281)/Q281*100)</f>
      </c>
      <c r="V281" s="27" t="n"/>
      <c r="W281" s="601"/>
      <c r="X281" s="602">
        <f>($W$5-K281)/365</f>
      </c>
      <c r="Y281" s="127">
        <f>(W281-X281)/W281</f>
      </c>
      <c r="Z281" s="127"/>
      <c r="AA281" s="127">
        <f>Y281/2+Z281/2</f>
      </c>
      <c r="AB281" s="603">
        <f>P281/I281</f>
      </c>
      <c r="AC281" s="604">
        <f>AB281*AD281</f>
      </c>
      <c r="AD281" s="129"/>
      <c r="AE281" s="583" t="n"/>
      <c r="AF281" s="583">
        <f>AC281*0.13/(1+0.13)</f>
      </c>
      <c r="AG281" s="605">
        <f>AC281-AF281</f>
      </c>
      <c r="AH281" s="605">
        <f>AC281*I281</f>
      </c>
      <c r="AI281" s="583">
        <f>ROUND(AG281*I281,-1)</f>
      </c>
    </row>
    <row r="282" ht="15.5" customHeight="1">
      <c r="A282" s="63" t="n"/>
      <c r="B282" s="56"/>
      <c r="C282" s="56"/>
      <c r="D282" s="59" t="n"/>
      <c r="E282" s="63" t="n"/>
      <c r="F282" s="24" t="n"/>
      <c r="G282" s="63"/>
      <c r="H282" s="21"/>
      <c r="I282" s="23"/>
      <c r="J282" s="558"/>
      <c r="K282" s="558"/>
      <c r="L282" s="539" t="n"/>
      <c r="M282" s="539" t="n"/>
      <c r="N282" s="539" t="n"/>
      <c r="O282" s="539" t="n"/>
      <c r="P282" s="539"/>
      <c r="Q282" s="539"/>
      <c r="R282" s="539">
        <f>AI282</f>
      </c>
      <c r="S282" s="23">
        <f>Y282*100</f>
      </c>
      <c r="T282" s="539">
        <f>ROUND(R282*S282/100,-1)</f>
      </c>
      <c r="U282" s="539">
        <f>IF(Q282=0,"",(T282-Q282)/Q282*100)</f>
      </c>
      <c r="V282" s="27" t="n"/>
      <c r="W282" s="601"/>
      <c r="X282" s="602">
        <f>($W$5-K282)/365</f>
      </c>
      <c r="Y282" s="127">
        <f>(W282-X282)/W282</f>
      </c>
      <c r="Z282" s="127"/>
      <c r="AA282" s="127">
        <f>Y282/2+Z282/2</f>
      </c>
      <c r="AB282" s="603">
        <f>P282/I282</f>
      </c>
      <c r="AC282" s="604">
        <f>AB282*AD282</f>
      </c>
      <c r="AD282" s="129"/>
      <c r="AE282" s="583" t="n"/>
      <c r="AF282" s="583">
        <f>AC282*0.13/(1+0.13)</f>
      </c>
      <c r="AG282" s="605">
        <f>AC282-AF282</f>
      </c>
      <c r="AH282" s="605">
        <f>AC282*I282</f>
      </c>
      <c r="AI282" s="583">
        <f>ROUND(AG282*I282,-1)</f>
      </c>
    </row>
    <row r="283" ht="15.5" customHeight="1">
      <c r="A283" s="63" t="n"/>
      <c r="B283" s="56"/>
      <c r="C283" s="56"/>
      <c r="D283" s="59" t="n"/>
      <c r="E283" s="63" t="n"/>
      <c r="F283" s="24" t="n"/>
      <c r="G283" s="63"/>
      <c r="H283" s="21"/>
      <c r="I283" s="23"/>
      <c r="J283" s="558"/>
      <c r="K283" s="558"/>
      <c r="L283" s="539" t="n"/>
      <c r="M283" s="539" t="n"/>
      <c r="N283" s="539" t="n"/>
      <c r="O283" s="539" t="n"/>
      <c r="P283" s="539"/>
      <c r="Q283" s="539"/>
      <c r="R283" s="539">
        <f>AI283</f>
      </c>
      <c r="S283" s="23">
        <f>Y283*100</f>
      </c>
      <c r="T283" s="539">
        <f>ROUND(R283*S283/100,-1)</f>
      </c>
      <c r="U283" s="539">
        <f>IF(Q283=0,"",(T283-Q283)/Q283*100)</f>
      </c>
      <c r="V283" s="27" t="n"/>
      <c r="W283" s="601"/>
      <c r="X283" s="602">
        <f>($W$5-K283)/365</f>
      </c>
      <c r="Y283" s="127">
        <f>(W283-X283)/W283</f>
      </c>
      <c r="Z283" s="127"/>
      <c r="AA283" s="127">
        <f>Y283/2+Z283/2</f>
      </c>
      <c r="AB283" s="603">
        <f>P283/I283</f>
      </c>
      <c r="AC283" s="604">
        <f>AB283*AD283</f>
      </c>
      <c r="AD283" s="129"/>
      <c r="AE283" s="583" t="n"/>
      <c r="AF283" s="583">
        <f>AC283*0.13/(1+0.13)</f>
      </c>
      <c r="AG283" s="605">
        <f>AC283-AF283</f>
      </c>
      <c r="AH283" s="605">
        <f>AC283*I283</f>
      </c>
      <c r="AI283" s="583">
        <f>ROUND(AG283*I283,-1)</f>
      </c>
    </row>
    <row r="284" ht="15.5" customHeight="1">
      <c r="A284" s="63" t="n"/>
      <c r="B284" s="56"/>
      <c r="C284" s="56"/>
      <c r="D284" s="59" t="n"/>
      <c r="E284" s="63" t="n"/>
      <c r="F284" s="24" t="n"/>
      <c r="G284" s="63"/>
      <c r="H284" s="21"/>
      <c r="I284" s="23"/>
      <c r="J284" s="558"/>
      <c r="K284" s="558"/>
      <c r="L284" s="539" t="n"/>
      <c r="M284" s="539" t="n"/>
      <c r="N284" s="539" t="n"/>
      <c r="O284" s="539" t="n"/>
      <c r="P284" s="539"/>
      <c r="Q284" s="539"/>
      <c r="R284" s="539">
        <f>AI284</f>
      </c>
      <c r="S284" s="23">
        <f>Y284*100</f>
      </c>
      <c r="T284" s="539">
        <f>ROUND(R284*S284/100,-1)</f>
      </c>
      <c r="U284" s="539">
        <f>IF(Q284=0,"",(T284-Q284)/Q284*100)</f>
      </c>
      <c r="V284" s="27" t="n"/>
      <c r="W284" s="601"/>
      <c r="X284" s="602">
        <f>($W$5-K284)/365</f>
      </c>
      <c r="Y284" s="127">
        <f>(W284-X284)/W284</f>
      </c>
      <c r="Z284" s="127"/>
      <c r="AA284" s="127">
        <f>Y284/2+Z284/2</f>
      </c>
      <c r="AB284" s="603">
        <f>P284/I284</f>
      </c>
      <c r="AC284" s="604">
        <f>AB284*AD284</f>
      </c>
      <c r="AD284" s="129"/>
      <c r="AE284" s="583" t="n"/>
      <c r="AF284" s="583">
        <f>AC284*0.13/(1+0.13)</f>
      </c>
      <c r="AG284" s="605">
        <f>AC284-AF284</f>
      </c>
      <c r="AH284" s="605">
        <f>AC284*I284</f>
      </c>
      <c r="AI284" s="583">
        <f>ROUND(AG284*I284,-1)</f>
      </c>
    </row>
    <row r="285" ht="15.5" customHeight="1">
      <c r="A285" s="63" t="n"/>
      <c r="B285" s="56"/>
      <c r="C285" s="56"/>
      <c r="D285" s="59" t="n"/>
      <c r="E285" s="63" t="n"/>
      <c r="F285" s="24" t="n"/>
      <c r="G285" s="63"/>
      <c r="H285" s="21"/>
      <c r="I285" s="23"/>
      <c r="J285" s="558"/>
      <c r="K285" s="558"/>
      <c r="L285" s="539" t="n"/>
      <c r="M285" s="539" t="n"/>
      <c r="N285" s="539" t="n"/>
      <c r="O285" s="539" t="n"/>
      <c r="P285" s="539"/>
      <c r="Q285" s="539"/>
      <c r="R285" s="539">
        <f>AI285</f>
      </c>
      <c r="S285" s="23">
        <f>Y285*100</f>
      </c>
      <c r="T285" s="539">
        <f>ROUND(R285*S285/100,-1)</f>
      </c>
      <c r="U285" s="539">
        <f>IF(Q285=0,"",(T285-Q285)/Q285*100)</f>
      </c>
      <c r="V285" s="27" t="n"/>
      <c r="W285" s="601"/>
      <c r="X285" s="602">
        <f>($W$5-K285)/365</f>
      </c>
      <c r="Y285" s="127">
        <f>(W285-X285)/W285</f>
      </c>
      <c r="Z285" s="127"/>
      <c r="AA285" s="127">
        <f>Y285/2+Z285/2</f>
      </c>
      <c r="AB285" s="603">
        <f>P285/I285</f>
      </c>
      <c r="AC285" s="604">
        <f>AB285*AD285</f>
      </c>
      <c r="AD285" s="129"/>
      <c r="AE285" s="583" t="n"/>
      <c r="AF285" s="583">
        <f>AC285*0.13/(1+0.13)</f>
      </c>
      <c r="AG285" s="605">
        <f>AC285-AF285</f>
      </c>
      <c r="AH285" s="605">
        <f>AC285*I285</f>
      </c>
      <c r="AI285" s="583">
        <f>ROUND(AG285*I285,-1)</f>
      </c>
    </row>
    <row r="286" ht="15.5" customHeight="1">
      <c r="A286" s="63" t="n"/>
      <c r="B286" s="56"/>
      <c r="C286" s="56"/>
      <c r="D286" s="59" t="n"/>
      <c r="E286" s="63" t="n"/>
      <c r="F286" s="24" t="n"/>
      <c r="G286" s="63"/>
      <c r="H286" s="21"/>
      <c r="I286" s="23"/>
      <c r="J286" s="558"/>
      <c r="K286" s="558"/>
      <c r="L286" s="539" t="n"/>
      <c r="M286" s="539" t="n"/>
      <c r="N286" s="539" t="n"/>
      <c r="O286" s="539" t="n"/>
      <c r="P286" s="539"/>
      <c r="Q286" s="539"/>
      <c r="R286" s="539">
        <f>AI286</f>
      </c>
      <c r="S286" s="23">
        <f>Y286*100</f>
      </c>
      <c r="T286" s="539">
        <f>ROUND(R286*S286/100,-1)</f>
      </c>
      <c r="U286" s="539">
        <f>IF(Q286=0,"",(T286-Q286)/Q286*100)</f>
      </c>
      <c r="V286" s="27" t="n"/>
      <c r="W286" s="601"/>
      <c r="X286" s="602">
        <f>($W$5-K286)/365</f>
      </c>
      <c r="Y286" s="127">
        <f>(W286-X286)/W286</f>
      </c>
      <c r="Z286" s="127"/>
      <c r="AA286" s="127">
        <f>Y286/2+Z286/2</f>
      </c>
      <c r="AB286" s="603">
        <f>P286/I286</f>
      </c>
      <c r="AC286" s="604">
        <f>AB286*AD286</f>
      </c>
      <c r="AD286" s="129"/>
      <c r="AE286" s="583" t="n"/>
      <c r="AF286" s="583">
        <f>AC286*0.13/(1+0.13)</f>
      </c>
      <c r="AG286" s="605">
        <f>AC286-AF286</f>
      </c>
      <c r="AH286" s="605">
        <f>AC286*I286</f>
      </c>
      <c r="AI286" s="583">
        <f>ROUND(AG286*I286,-1)</f>
      </c>
    </row>
    <row r="287" ht="15.5" customHeight="1">
      <c r="A287" s="63" t="n"/>
      <c r="B287" s="56"/>
      <c r="C287" s="56"/>
      <c r="D287" s="59" t="n"/>
      <c r="E287" s="63" t="n"/>
      <c r="F287" s="24" t="n"/>
      <c r="G287" s="63"/>
      <c r="H287" s="21"/>
      <c r="I287" s="23"/>
      <c r="J287" s="558"/>
      <c r="K287" s="558"/>
      <c r="L287" s="539" t="n"/>
      <c r="M287" s="539" t="n"/>
      <c r="N287" s="539" t="n"/>
      <c r="O287" s="539" t="n"/>
      <c r="P287" s="539"/>
      <c r="Q287" s="539"/>
      <c r="R287" s="539">
        <f>AI287</f>
      </c>
      <c r="S287" s="23">
        <f>Y287*100</f>
      </c>
      <c r="T287" s="539">
        <f>ROUND(R287*S287/100,-1)</f>
      </c>
      <c r="U287" s="539">
        <f>IF(Q287=0,"",(T287-Q287)/Q287*100)</f>
      </c>
      <c r="V287" s="27" t="n"/>
      <c r="W287" s="601"/>
      <c r="X287" s="602">
        <f>($W$5-K287)/365</f>
      </c>
      <c r="Y287" s="127">
        <f>(W287-X287)/W287</f>
      </c>
      <c r="Z287" s="127"/>
      <c r="AA287" s="127">
        <f>Y287/2+Z287/2</f>
      </c>
      <c r="AB287" s="603">
        <f>P287/I287</f>
      </c>
      <c r="AC287" s="604">
        <f>AB287*AD287</f>
      </c>
      <c r="AD287" s="129"/>
      <c r="AE287" s="583" t="n"/>
      <c r="AF287" s="583">
        <f>AC287*0.13/(1+0.13)</f>
      </c>
      <c r="AG287" s="605">
        <f>AC287-AF287</f>
      </c>
      <c r="AH287" s="605">
        <f>AC287*I287</f>
      </c>
      <c r="AI287" s="583">
        <f>ROUND(AG287*I287,-1)</f>
      </c>
    </row>
    <row r="288" ht="15.5" customHeight="1">
      <c r="A288" s="63" t="n"/>
      <c r="B288" s="56"/>
      <c r="C288" s="56"/>
      <c r="D288" s="59" t="n"/>
      <c r="E288" s="63" t="n"/>
      <c r="F288" s="24" t="n"/>
      <c r="G288" s="63"/>
      <c r="H288" s="21"/>
      <c r="I288" s="23"/>
      <c r="J288" s="558"/>
      <c r="K288" s="558"/>
      <c r="L288" s="539" t="n"/>
      <c r="M288" s="539" t="n"/>
      <c r="N288" s="539" t="n"/>
      <c r="O288" s="539" t="n"/>
      <c r="P288" s="539"/>
      <c r="Q288" s="539"/>
      <c r="R288" s="539">
        <f>AI288</f>
      </c>
      <c r="S288" s="23">
        <f>Y288*100</f>
      </c>
      <c r="T288" s="539">
        <f>ROUND(R288*S288/100,-1)</f>
      </c>
      <c r="U288" s="539">
        <f>IF(Q288=0,"",(T288-Q288)/Q288*100)</f>
      </c>
      <c r="V288" s="27" t="n"/>
      <c r="W288" s="601"/>
      <c r="X288" s="602">
        <f>($W$5-K288)/365</f>
      </c>
      <c r="Y288" s="127">
        <f>(W288-X288)/W288</f>
      </c>
      <c r="Z288" s="127"/>
      <c r="AA288" s="127">
        <f>Y288/2+Z288/2</f>
      </c>
      <c r="AB288" s="603">
        <f>P288/I288</f>
      </c>
      <c r="AC288" s="604">
        <f>AB288*AD288</f>
      </c>
      <c r="AD288" s="129"/>
      <c r="AE288" s="583" t="n"/>
      <c r="AF288" s="583">
        <f>AC288*0.13/(1+0.13)</f>
      </c>
      <c r="AG288" s="605">
        <f>AC288-AF288</f>
      </c>
      <c r="AH288" s="605">
        <f>AC288*I288</f>
      </c>
      <c r="AI288" s="583">
        <f>ROUND(AG288*I288,-1)</f>
      </c>
    </row>
    <row r="289" ht="15.5" customHeight="1">
      <c r="A289" s="63" t="n"/>
      <c r="B289" s="56"/>
      <c r="C289" s="56"/>
      <c r="D289" s="59" t="n"/>
      <c r="E289" s="63" t="n"/>
      <c r="F289" s="24" t="n"/>
      <c r="G289" s="63"/>
      <c r="H289" s="21"/>
      <c r="I289" s="23"/>
      <c r="J289" s="558"/>
      <c r="K289" s="558"/>
      <c r="L289" s="539" t="n"/>
      <c r="M289" s="539" t="n"/>
      <c r="N289" s="539" t="n"/>
      <c r="O289" s="539" t="n"/>
      <c r="P289" s="539"/>
      <c r="Q289" s="539"/>
      <c r="R289" s="539">
        <f>AI289</f>
      </c>
      <c r="S289" s="23">
        <f>Y289*100</f>
      </c>
      <c r="T289" s="539">
        <f>ROUND(R289*S289/100,-1)</f>
      </c>
      <c r="U289" s="539">
        <f>IF(Q289=0,"",(T289-Q289)/Q289*100)</f>
      </c>
      <c r="V289" s="27" t="n"/>
      <c r="W289" s="601"/>
      <c r="X289" s="602">
        <f>($W$5-K289)/365</f>
      </c>
      <c r="Y289" s="127">
        <f>(W289-X289)/W289</f>
      </c>
      <c r="Z289" s="127"/>
      <c r="AA289" s="127">
        <f>Y289/2+Z289/2</f>
      </c>
      <c r="AB289" s="603">
        <f>P289/I289</f>
      </c>
      <c r="AC289" s="604">
        <f>AB289*AD289</f>
      </c>
      <c r="AD289" s="129"/>
      <c r="AE289" s="583" t="n"/>
      <c r="AF289" s="583">
        <f>AC289*0.13/(1+0.13)</f>
      </c>
      <c r="AG289" s="605">
        <f>AC289-AF289</f>
      </c>
      <c r="AH289" s="605">
        <f>AC289*I289</f>
      </c>
      <c r="AI289" s="583">
        <f>ROUND(AG289*I289,-1)</f>
      </c>
    </row>
    <row r="290" ht="15.5" customHeight="1">
      <c r="A290" s="63" t="n"/>
      <c r="B290" s="56"/>
      <c r="C290" s="56"/>
      <c r="D290" s="59" t="n"/>
      <c r="E290" s="63" t="n"/>
      <c r="F290" s="24" t="n"/>
      <c r="G290" s="63"/>
      <c r="H290" s="21"/>
      <c r="I290" s="23"/>
      <c r="J290" s="558"/>
      <c r="K290" s="558"/>
      <c r="L290" s="539" t="n"/>
      <c r="M290" s="539" t="n"/>
      <c r="N290" s="539" t="n"/>
      <c r="O290" s="539" t="n"/>
      <c r="P290" s="539"/>
      <c r="Q290" s="539"/>
      <c r="R290" s="539">
        <f>AI290</f>
      </c>
      <c r="S290" s="23">
        <f>Y290*100</f>
      </c>
      <c r="T290" s="539">
        <f>ROUND(R290*S290/100,-1)</f>
      </c>
      <c r="U290" s="539">
        <f>IF(Q290=0,"",(T290-Q290)/Q290*100)</f>
      </c>
      <c r="V290" s="27" t="n"/>
      <c r="W290" s="601"/>
      <c r="X290" s="602">
        <f>($W$5-K290)/365</f>
      </c>
      <c r="Y290" s="127">
        <f>(W290-X290)/W290</f>
      </c>
      <c r="Z290" s="127"/>
      <c r="AA290" s="127">
        <f>Y290/2+Z290/2</f>
      </c>
      <c r="AB290" s="603">
        <f>P290/I290</f>
      </c>
      <c r="AC290" s="604">
        <f>AB290*AD290</f>
      </c>
      <c r="AD290" s="129"/>
      <c r="AE290" s="583" t="n"/>
      <c r="AF290" s="583">
        <f>AC290*0.13/(1+0.13)</f>
      </c>
      <c r="AG290" s="605">
        <f>AC290-AF290</f>
      </c>
      <c r="AH290" s="605">
        <f>AC290*I290</f>
      </c>
      <c r="AI290" s="583">
        <f>ROUND(AG290*I290,-1)</f>
      </c>
    </row>
    <row r="291" ht="15.5" customHeight="1">
      <c r="A291" s="63" t="n"/>
      <c r="B291" s="56"/>
      <c r="C291" s="56"/>
      <c r="D291" s="59" t="n"/>
      <c r="E291" s="63" t="n"/>
      <c r="F291" s="24" t="n"/>
      <c r="G291" s="63"/>
      <c r="H291" s="21"/>
      <c r="I291" s="23"/>
      <c r="J291" s="558"/>
      <c r="K291" s="558"/>
      <c r="L291" s="539" t="n"/>
      <c r="M291" s="539" t="n"/>
      <c r="N291" s="539" t="n"/>
      <c r="O291" s="539" t="n"/>
      <c r="P291" s="539"/>
      <c r="Q291" s="539"/>
      <c r="R291" s="539">
        <f>AI291</f>
      </c>
      <c r="S291" s="23">
        <f>Y291*100</f>
      </c>
      <c r="T291" s="539">
        <f>ROUND(R291*S291/100,-1)</f>
      </c>
      <c r="U291" s="539">
        <f>IF(Q291=0,"",(T291-Q291)/Q291*100)</f>
      </c>
      <c r="V291" s="27" t="n"/>
      <c r="W291" s="601"/>
      <c r="X291" s="602">
        <f>($W$5-K291)/365</f>
      </c>
      <c r="Y291" s="127">
        <f>(W291-X291)/W291</f>
      </c>
      <c r="Z291" s="127"/>
      <c r="AA291" s="127">
        <f>Y291/2+Z291/2</f>
      </c>
      <c r="AB291" s="603">
        <f>P291/I291</f>
      </c>
      <c r="AC291" s="604">
        <f>AB291*AD291</f>
      </c>
      <c r="AD291" s="129"/>
      <c r="AE291" s="583" t="n"/>
      <c r="AF291" s="583">
        <f>AC291*0.13/(1+0.13)</f>
      </c>
      <c r="AG291" s="605">
        <f>AC291-AF291</f>
      </c>
      <c r="AH291" s="605">
        <f>AC291*I291</f>
      </c>
      <c r="AI291" s="583">
        <f>ROUND(AG291*I291,-1)</f>
      </c>
    </row>
    <row r="292" ht="15.5" customHeight="1">
      <c r="A292" s="63" t="n"/>
      <c r="B292" s="56"/>
      <c r="C292" s="56"/>
      <c r="D292" s="59" t="n"/>
      <c r="E292" s="63" t="n"/>
      <c r="F292" s="24" t="n"/>
      <c r="G292" s="63"/>
      <c r="H292" s="21"/>
      <c r="I292" s="23"/>
      <c r="J292" s="558"/>
      <c r="K292" s="558"/>
      <c r="L292" s="539" t="n"/>
      <c r="M292" s="539" t="n"/>
      <c r="N292" s="539" t="n"/>
      <c r="O292" s="539" t="n"/>
      <c r="P292" s="539"/>
      <c r="Q292" s="539"/>
      <c r="R292" s="539">
        <f>AI292</f>
      </c>
      <c r="S292" s="23">
        <f>Y292*100</f>
      </c>
      <c r="T292" s="539">
        <f>ROUND(R292*S292/100,-1)</f>
      </c>
      <c r="U292" s="539">
        <f>IF(Q292=0,"",(T292-Q292)/Q292*100)</f>
      </c>
      <c r="V292" s="27" t="n"/>
      <c r="W292" s="601"/>
      <c r="X292" s="602">
        <f>($W$5-K292)/365</f>
      </c>
      <c r="Y292" s="127">
        <f>(W292-X292)/W292</f>
      </c>
      <c r="Z292" s="127"/>
      <c r="AA292" s="127">
        <f>Y292/2+Z292/2</f>
      </c>
      <c r="AB292" s="603">
        <f>P292/I292</f>
      </c>
      <c r="AC292" s="604">
        <f>AB292*AD292</f>
      </c>
      <c r="AD292" s="129"/>
      <c r="AE292" s="583" t="n"/>
      <c r="AF292" s="583">
        <f>AC292*0.13/(1+0.13)</f>
      </c>
      <c r="AG292" s="605">
        <f>AC292-AF292</f>
      </c>
      <c r="AH292" s="605">
        <f>AC292*I292</f>
      </c>
      <c r="AI292" s="583">
        <f>ROUND(AG292*I292,-1)</f>
      </c>
    </row>
    <row r="293" ht="15.5" customHeight="1">
      <c r="A293" s="63" t="n"/>
      <c r="B293" s="56"/>
      <c r="C293" s="56"/>
      <c r="D293" s="59" t="n"/>
      <c r="E293" s="63" t="n"/>
      <c r="F293" s="24" t="n"/>
      <c r="G293" s="63"/>
      <c r="H293" s="21"/>
      <c r="I293" s="23"/>
      <c r="J293" s="558"/>
      <c r="K293" s="558"/>
      <c r="L293" s="539" t="n"/>
      <c r="M293" s="539" t="n"/>
      <c r="N293" s="539" t="n"/>
      <c r="O293" s="539" t="n"/>
      <c r="P293" s="539"/>
      <c r="Q293" s="539"/>
      <c r="R293" s="539">
        <f>AI293</f>
      </c>
      <c r="S293" s="23">
        <f>Y293*100</f>
      </c>
      <c r="T293" s="539">
        <f>ROUND(R293*S293/100,-1)</f>
      </c>
      <c r="U293" s="539">
        <f>IF(Q293=0,"",(T293-Q293)/Q293*100)</f>
      </c>
      <c r="V293" s="27" t="n"/>
      <c r="W293" s="601"/>
      <c r="X293" s="602">
        <f>($W$5-K293)/365</f>
      </c>
      <c r="Y293" s="127">
        <f>(W293-X293)/W293</f>
      </c>
      <c r="Z293" s="127"/>
      <c r="AA293" s="127">
        <f>Y293/2+Z293/2</f>
      </c>
      <c r="AB293" s="603">
        <f>P293/I293</f>
      </c>
      <c r="AC293" s="604">
        <f>AB293*AD293</f>
      </c>
      <c r="AD293" s="129"/>
      <c r="AE293" s="583" t="n"/>
      <c r="AF293" s="583">
        <f>AC293*0.13/(1+0.13)</f>
      </c>
      <c r="AG293" s="605">
        <f>AC293-AF293</f>
      </c>
      <c r="AH293" s="605">
        <f>AC293*I293</f>
      </c>
      <c r="AI293" s="583">
        <f>ROUND(AG293*I293,-1)</f>
      </c>
    </row>
    <row r="294" ht="15.5" customHeight="1">
      <c r="A294" s="63" t="n"/>
      <c r="B294" s="56"/>
      <c r="C294" s="56"/>
      <c r="D294" s="59" t="n"/>
      <c r="E294" s="63" t="n"/>
      <c r="F294" s="24" t="n"/>
      <c r="G294" s="63"/>
      <c r="H294" s="21"/>
      <c r="I294" s="23"/>
      <c r="J294" s="558"/>
      <c r="K294" s="558"/>
      <c r="L294" s="539" t="n"/>
      <c r="M294" s="539" t="n"/>
      <c r="N294" s="539" t="n"/>
      <c r="O294" s="539" t="n"/>
      <c r="P294" s="539"/>
      <c r="Q294" s="539"/>
      <c r="R294" s="539">
        <f>AI294</f>
      </c>
      <c r="S294" s="23">
        <f>Y294*100</f>
      </c>
      <c r="T294" s="539">
        <f>ROUND(R294*S294/100,-1)</f>
      </c>
      <c r="U294" s="539">
        <f>IF(Q294=0,"",(T294-Q294)/Q294*100)</f>
      </c>
      <c r="V294" s="27" t="n"/>
      <c r="W294" s="601"/>
      <c r="X294" s="602">
        <f>($W$5-K294)/365</f>
      </c>
      <c r="Y294" s="127">
        <f>(W294-X294)/W294</f>
      </c>
      <c r="Z294" s="127"/>
      <c r="AA294" s="127">
        <f>Y294/2+Z294/2</f>
      </c>
      <c r="AB294" s="603">
        <f>P294/I294</f>
      </c>
      <c r="AC294" s="604">
        <f>AB294*AD294</f>
      </c>
      <c r="AD294" s="129"/>
      <c r="AE294" s="583" t="n"/>
      <c r="AF294" s="583">
        <f>AC294*0.13/(1+0.13)</f>
      </c>
      <c r="AG294" s="605">
        <f>AC294-AF294</f>
      </c>
      <c r="AH294" s="605">
        <f>AC294*I294</f>
      </c>
      <c r="AI294" s="583">
        <f>ROUND(AG294*I294,-1)</f>
      </c>
    </row>
    <row r="295" ht="15.5" customHeight="1">
      <c r="A295" s="63" t="n"/>
      <c r="B295" s="56"/>
      <c r="C295" s="56"/>
      <c r="D295" s="59" t="n"/>
      <c r="E295" s="63" t="n"/>
      <c r="F295" s="24" t="n"/>
      <c r="G295" s="63"/>
      <c r="H295" s="21"/>
      <c r="I295" s="23"/>
      <c r="J295" s="558"/>
      <c r="K295" s="558"/>
      <c r="L295" s="539" t="n"/>
      <c r="M295" s="539" t="n"/>
      <c r="N295" s="539" t="n"/>
      <c r="O295" s="539" t="n"/>
      <c r="P295" s="539"/>
      <c r="Q295" s="539"/>
      <c r="R295" s="539">
        <f>AI295</f>
      </c>
      <c r="S295" s="23">
        <f>Y295*100</f>
      </c>
      <c r="T295" s="539">
        <f>ROUND(R295*S295/100,-1)</f>
      </c>
      <c r="U295" s="539">
        <f>IF(Q295=0,"",(T295-Q295)/Q295*100)</f>
      </c>
      <c r="V295" s="27" t="n"/>
      <c r="W295" s="601"/>
      <c r="X295" s="602">
        <f>($W$5-K295)/365</f>
      </c>
      <c r="Y295" s="127">
        <f>(W295-X295)/W295</f>
      </c>
      <c r="Z295" s="127"/>
      <c r="AA295" s="127">
        <f>Y295/2+Z295/2</f>
      </c>
      <c r="AB295" s="603">
        <f>P295/I295</f>
      </c>
      <c r="AC295" s="604">
        <f>AB295*AD295</f>
      </c>
      <c r="AD295" s="129"/>
      <c r="AE295" s="583" t="n"/>
      <c r="AF295" s="583">
        <f>AC295*0.13/(1+0.13)</f>
      </c>
      <c r="AG295" s="605">
        <f>AC295-AF295</f>
      </c>
      <c r="AH295" s="605">
        <f>AC295*I295</f>
      </c>
      <c r="AI295" s="583">
        <f>ROUND(AG295*I295,-1)</f>
      </c>
    </row>
    <row r="296" ht="15.5" customHeight="1">
      <c r="A296" s="63" t="n"/>
      <c r="B296" s="56"/>
      <c r="C296" s="56"/>
      <c r="D296" s="59" t="n"/>
      <c r="E296" s="63" t="n"/>
      <c r="F296" s="24" t="n"/>
      <c r="G296" s="63"/>
      <c r="H296" s="21"/>
      <c r="I296" s="23"/>
      <c r="J296" s="558"/>
      <c r="K296" s="558"/>
      <c r="L296" s="539" t="n"/>
      <c r="M296" s="539" t="n"/>
      <c r="N296" s="539" t="n"/>
      <c r="O296" s="539" t="n"/>
      <c r="P296" s="539"/>
      <c r="Q296" s="539"/>
      <c r="R296" s="539">
        <f>AI296</f>
      </c>
      <c r="S296" s="23">
        <f>Y296*100</f>
      </c>
      <c r="T296" s="539">
        <f>ROUND(R296*S296/100,-1)</f>
      </c>
      <c r="U296" s="539">
        <f>IF(Q296=0,"",(T296-Q296)/Q296*100)</f>
      </c>
      <c r="V296" s="27" t="n"/>
      <c r="W296" s="601"/>
      <c r="X296" s="602">
        <f>($W$5-K296)/365</f>
      </c>
      <c r="Y296" s="127">
        <f>(W296-X296)/W296</f>
      </c>
      <c r="Z296" s="127"/>
      <c r="AA296" s="127">
        <f>Y296/2+Z296/2</f>
      </c>
      <c r="AB296" s="603">
        <f>P296/I296</f>
      </c>
      <c r="AC296" s="604">
        <f>AB296*AD296</f>
      </c>
      <c r="AD296" s="129"/>
      <c r="AE296" s="583" t="n"/>
      <c r="AF296" s="583">
        <f>AC296*0.13/(1+0.13)</f>
      </c>
      <c r="AG296" s="605">
        <f>AC296-AF296</f>
      </c>
      <c r="AH296" s="605">
        <f>AC296*I296</f>
      </c>
      <c r="AI296" s="583">
        <f>ROUND(AG296*I296,-1)</f>
      </c>
    </row>
    <row r="297" ht="15.5" customHeight="1">
      <c r="A297" s="63" t="n"/>
      <c r="B297" s="56"/>
      <c r="C297" s="56"/>
      <c r="D297" s="59" t="n"/>
      <c r="E297" s="63" t="n"/>
      <c r="F297" s="24" t="n"/>
      <c r="G297" s="63"/>
      <c r="H297" s="21"/>
      <c r="I297" s="23"/>
      <c r="J297" s="558"/>
      <c r="K297" s="558"/>
      <c r="L297" s="539" t="n"/>
      <c r="M297" s="539" t="n"/>
      <c r="N297" s="539" t="n"/>
      <c r="O297" s="539" t="n"/>
      <c r="P297" s="539"/>
      <c r="Q297" s="539"/>
      <c r="R297" s="539">
        <f>AI297</f>
      </c>
      <c r="S297" s="23">
        <f>Y297*100</f>
      </c>
      <c r="T297" s="539">
        <f>ROUND(R297*S297/100,-1)</f>
      </c>
      <c r="U297" s="539">
        <f>IF(Q297=0,"",(T297-Q297)/Q297*100)</f>
      </c>
      <c r="V297" s="27" t="n"/>
      <c r="W297" s="601"/>
      <c r="X297" s="602">
        <f>($W$5-K297)/365</f>
      </c>
      <c r="Y297" s="127">
        <f>(W297-X297)/W297</f>
      </c>
      <c r="Z297" s="127"/>
      <c r="AA297" s="127">
        <f>Y297/2+Z297/2</f>
      </c>
      <c r="AB297" s="603">
        <f>P297/I297</f>
      </c>
      <c r="AC297" s="604">
        <f>AB297*AD297</f>
      </c>
      <c r="AD297" s="129"/>
      <c r="AE297" s="583" t="n"/>
      <c r="AF297" s="583">
        <f>AC297*0.13/(1+0.13)</f>
      </c>
      <c r="AG297" s="605">
        <f>AC297-AF297</f>
      </c>
      <c r="AH297" s="605">
        <f>AC297*I297</f>
      </c>
      <c r="AI297" s="583">
        <f>ROUND(AG297*I297,-1)</f>
      </c>
    </row>
    <row r="298" ht="15.5" customHeight="1">
      <c r="A298" s="63" t="n"/>
      <c r="B298" s="56"/>
      <c r="C298" s="56"/>
      <c r="D298" s="59" t="n"/>
      <c r="E298" s="63" t="n"/>
      <c r="F298" s="24" t="n"/>
      <c r="G298" s="63"/>
      <c r="H298" s="21"/>
      <c r="I298" s="23"/>
      <c r="J298" s="558"/>
      <c r="K298" s="558"/>
      <c r="L298" s="539" t="n"/>
      <c r="M298" s="539" t="n"/>
      <c r="N298" s="539" t="n"/>
      <c r="O298" s="539" t="n"/>
      <c r="P298" s="539"/>
      <c r="Q298" s="539"/>
      <c r="R298" s="539">
        <f>AI298</f>
      </c>
      <c r="S298" s="23">
        <f>Y298*100</f>
      </c>
      <c r="T298" s="539">
        <f>ROUND(R298*S298/100,-1)</f>
      </c>
      <c r="U298" s="539">
        <f>IF(Q298=0,"",(T298-Q298)/Q298*100)</f>
      </c>
      <c r="V298" s="27" t="n"/>
      <c r="W298" s="601"/>
      <c r="X298" s="602">
        <f>($W$5-K298)/365</f>
      </c>
      <c r="Y298" s="127">
        <f>(W298-X298)/W298</f>
      </c>
      <c r="Z298" s="127"/>
      <c r="AA298" s="127">
        <f>Y298/2+Z298/2</f>
      </c>
      <c r="AB298" s="603">
        <f>P298/I298</f>
      </c>
      <c r="AC298" s="604">
        <f>AB298*AD298</f>
      </c>
      <c r="AD298" s="129"/>
      <c r="AE298" s="583" t="n"/>
      <c r="AF298" s="583">
        <f>AC298*0.13/(1+0.13)</f>
      </c>
      <c r="AG298" s="605">
        <f>AC298-AF298</f>
      </c>
      <c r="AH298" s="605">
        <f>AC298*I298</f>
      </c>
      <c r="AI298" s="583">
        <f>ROUND(AG298*I298,-1)</f>
      </c>
    </row>
    <row r="299" ht="15.5" customHeight="1">
      <c r="A299" s="63" t="n"/>
      <c r="B299" s="56"/>
      <c r="C299" s="56"/>
      <c r="D299" s="59" t="n"/>
      <c r="E299" s="63" t="n"/>
      <c r="F299" s="24" t="n"/>
      <c r="G299" s="63"/>
      <c r="H299" s="21"/>
      <c r="I299" s="23"/>
      <c r="J299" s="558"/>
      <c r="K299" s="558"/>
      <c r="L299" s="539" t="n"/>
      <c r="M299" s="539" t="n"/>
      <c r="N299" s="539" t="n"/>
      <c r="O299" s="539" t="n"/>
      <c r="P299" s="539"/>
      <c r="Q299" s="539"/>
      <c r="R299" s="539">
        <f>AI299</f>
      </c>
      <c r="S299" s="23">
        <f>Y299*100</f>
      </c>
      <c r="T299" s="539">
        <f>ROUND(R299*S299/100,-1)</f>
      </c>
      <c r="U299" s="539">
        <f>IF(Q299=0,"",(T299-Q299)/Q299*100)</f>
      </c>
      <c r="V299" s="27" t="n"/>
      <c r="W299" s="601"/>
      <c r="X299" s="602">
        <f>($W$5-K299)/365</f>
      </c>
      <c r="Y299" s="127">
        <f>(W299-X299)/W299</f>
      </c>
      <c r="Z299" s="127"/>
      <c r="AA299" s="127">
        <f>Y299/2+Z299/2</f>
      </c>
      <c r="AB299" s="603">
        <f>P299/I299</f>
      </c>
      <c r="AC299" s="604">
        <f>AB299*AD299</f>
      </c>
      <c r="AD299" s="129"/>
      <c r="AE299" s="583" t="n"/>
      <c r="AF299" s="583">
        <f>AC299*0.13/(1+0.13)</f>
      </c>
      <c r="AG299" s="605">
        <f>AC299-AF299</f>
      </c>
      <c r="AH299" s="605">
        <f>AC299*I299</f>
      </c>
      <c r="AI299" s="583">
        <f>ROUND(AG299*I299,-1)</f>
      </c>
    </row>
    <row r="300" ht="15.5" customHeight="1">
      <c r="A300" s="63" t="n"/>
      <c r="B300" s="56"/>
      <c r="C300" s="56"/>
      <c r="D300" s="59" t="n"/>
      <c r="E300" s="63" t="n"/>
      <c r="F300" s="24" t="n"/>
      <c r="G300" s="63"/>
      <c r="H300" s="21"/>
      <c r="I300" s="23"/>
      <c r="J300" s="558"/>
      <c r="K300" s="558"/>
      <c r="L300" s="539" t="n"/>
      <c r="M300" s="539" t="n"/>
      <c r="N300" s="539" t="n"/>
      <c r="O300" s="539" t="n"/>
      <c r="P300" s="539"/>
      <c r="Q300" s="539"/>
      <c r="R300" s="539">
        <f>AI300</f>
      </c>
      <c r="S300" s="23">
        <f>Y300*100</f>
      </c>
      <c r="T300" s="539">
        <f>ROUND(R300*S300/100,-1)</f>
      </c>
      <c r="U300" s="539">
        <f>IF(Q300=0,"",(T300-Q300)/Q300*100)</f>
      </c>
      <c r="V300" s="27" t="n"/>
      <c r="W300" s="601"/>
      <c r="X300" s="602">
        <f>($W$5-K300)/365</f>
      </c>
      <c r="Y300" s="127">
        <f>(W300-X300)/W300</f>
      </c>
      <c r="Z300" s="127"/>
      <c r="AA300" s="127">
        <f>Y300/2+Z300/2</f>
      </c>
      <c r="AB300" s="603">
        <f>P300/I300</f>
      </c>
      <c r="AC300" s="604">
        <f>AB300*AD300</f>
      </c>
      <c r="AD300" s="129"/>
      <c r="AE300" s="583" t="n"/>
      <c r="AF300" s="583">
        <f>AC300*0.13/(1+0.13)</f>
      </c>
      <c r="AG300" s="605">
        <f>AC300-AF300</f>
      </c>
      <c r="AH300" s="605">
        <f>AC300*I300</f>
      </c>
      <c r="AI300" s="583">
        <f>ROUND(AG300*I300,-1)</f>
      </c>
    </row>
    <row r="301" ht="15.5" customHeight="1">
      <c r="A301" s="63" t="n"/>
      <c r="B301" s="56"/>
      <c r="C301" s="56"/>
      <c r="D301" s="59" t="n"/>
      <c r="E301" s="63" t="n"/>
      <c r="F301" s="24" t="n"/>
      <c r="G301" s="63"/>
      <c r="H301" s="21"/>
      <c r="I301" s="23"/>
      <c r="J301" s="558"/>
      <c r="K301" s="558"/>
      <c r="L301" s="539" t="n"/>
      <c r="M301" s="539" t="n"/>
      <c r="N301" s="539" t="n"/>
      <c r="O301" s="539" t="n"/>
      <c r="P301" s="539"/>
      <c r="Q301" s="539"/>
      <c r="R301" s="539">
        <f>AI301</f>
      </c>
      <c r="S301" s="23">
        <f>Y301*100</f>
      </c>
      <c r="T301" s="539">
        <f>ROUND(R301*S301/100,-1)</f>
      </c>
      <c r="U301" s="539">
        <f>IF(Q301=0,"",(T301-Q301)/Q301*100)</f>
      </c>
      <c r="V301" s="27" t="n"/>
      <c r="W301" s="601"/>
      <c r="X301" s="602">
        <f>($W$5-K301)/365</f>
      </c>
      <c r="Y301" s="127">
        <f>(W301-X301)/W301</f>
      </c>
      <c r="Z301" s="127"/>
      <c r="AA301" s="127">
        <f>Y301/2+Z301/2</f>
      </c>
      <c r="AB301" s="603">
        <f>P301/I301</f>
      </c>
      <c r="AC301" s="604">
        <f>AB301*AD301</f>
      </c>
      <c r="AD301" s="129"/>
      <c r="AE301" s="583" t="n"/>
      <c r="AF301" s="583">
        <f>AC301*0.13/(1+0.13)</f>
      </c>
      <c r="AG301" s="605">
        <f>AC301-AF301</f>
      </c>
      <c r="AH301" s="605">
        <f>AC301*I301</f>
      </c>
      <c r="AI301" s="583">
        <f>ROUND(AG301*I301,-1)</f>
      </c>
    </row>
    <row r="302" ht="15.5" customHeight="1">
      <c r="A302" s="63" t="n"/>
      <c r="B302" s="56"/>
      <c r="C302" s="56"/>
      <c r="D302" s="59" t="n"/>
      <c r="E302" s="63" t="n"/>
      <c r="F302" s="24" t="n"/>
      <c r="G302" s="63"/>
      <c r="H302" s="21"/>
      <c r="I302" s="23"/>
      <c r="J302" s="558"/>
      <c r="K302" s="558"/>
      <c r="L302" s="539" t="n"/>
      <c r="M302" s="539" t="n"/>
      <c r="N302" s="539" t="n"/>
      <c r="O302" s="539" t="n"/>
      <c r="P302" s="539"/>
      <c r="Q302" s="539"/>
      <c r="R302" s="539">
        <f>AI302</f>
      </c>
      <c r="S302" s="23">
        <f>Y302*100</f>
      </c>
      <c r="T302" s="539">
        <f>ROUND(R302*S302/100,-1)</f>
      </c>
      <c r="U302" s="539">
        <f>IF(Q302=0,"",(T302-Q302)/Q302*100)</f>
      </c>
      <c r="V302" s="27" t="n"/>
      <c r="W302" s="601"/>
      <c r="X302" s="602">
        <f>($W$5-K302)/365</f>
      </c>
      <c r="Y302" s="127">
        <f>(W302-X302)/W302</f>
      </c>
      <c r="Z302" s="127"/>
      <c r="AA302" s="127">
        <f>Y302/2+Z302/2</f>
      </c>
      <c r="AB302" s="603">
        <f>P302/I302</f>
      </c>
      <c r="AC302" s="604">
        <f>AB302*AD302</f>
      </c>
      <c r="AD302" s="129"/>
      <c r="AE302" s="583" t="n"/>
      <c r="AF302" s="583">
        <f>AC302*0.13/(1+0.13)</f>
      </c>
      <c r="AG302" s="605">
        <f>AC302-AF302</f>
      </c>
      <c r="AH302" s="605">
        <f>AC302*I302</f>
      </c>
      <c r="AI302" s="583">
        <f>ROUND(AG302*I302,-1)</f>
      </c>
    </row>
    <row r="303" ht="15.5" customHeight="1">
      <c r="A303" s="63" t="n"/>
      <c r="B303" s="56"/>
      <c r="C303" s="56"/>
      <c r="D303" s="59" t="n"/>
      <c r="E303" s="63" t="n"/>
      <c r="F303" s="24" t="n"/>
      <c r="G303" s="63"/>
      <c r="H303" s="21"/>
      <c r="I303" s="23"/>
      <c r="J303" s="558"/>
      <c r="K303" s="558"/>
      <c r="L303" s="539" t="n"/>
      <c r="M303" s="539" t="n"/>
      <c r="N303" s="539" t="n"/>
      <c r="O303" s="539" t="n"/>
      <c r="P303" s="539"/>
      <c r="Q303" s="539"/>
      <c r="R303" s="539">
        <f>AI303</f>
      </c>
      <c r="S303" s="23">
        <f>Y303*100</f>
      </c>
      <c r="T303" s="539">
        <f>ROUND(R303*S303/100,-1)</f>
      </c>
      <c r="U303" s="539">
        <f>IF(Q303=0,"",(T303-Q303)/Q303*100)</f>
      </c>
      <c r="V303" s="27" t="n"/>
      <c r="W303" s="601"/>
      <c r="X303" s="602">
        <f>($W$5-K303)/365</f>
      </c>
      <c r="Y303" s="127">
        <f>(W303-X303)/W303</f>
      </c>
      <c r="Z303" s="127"/>
      <c r="AA303" s="127">
        <f>Y303/2+Z303/2</f>
      </c>
      <c r="AB303" s="603">
        <f>P303/I303</f>
      </c>
      <c r="AC303" s="604">
        <f>AB303*AD303</f>
      </c>
      <c r="AD303" s="129"/>
      <c r="AE303" s="583" t="n"/>
      <c r="AF303" s="583">
        <f>AC303*0.13/(1+0.13)</f>
      </c>
      <c r="AG303" s="605">
        <f>AC303-AF303</f>
      </c>
      <c r="AH303" s="605">
        <f>AC303*I303</f>
      </c>
      <c r="AI303" s="583">
        <f>ROUND(AG303*I303,-1)</f>
      </c>
    </row>
    <row r="304" ht="15.5" customHeight="1">
      <c r="A304" s="63" t="n"/>
      <c r="B304" s="56"/>
      <c r="C304" s="56"/>
      <c r="D304" s="59" t="n"/>
      <c r="E304" s="63" t="n"/>
      <c r="F304" s="24" t="n"/>
      <c r="G304" s="63"/>
      <c r="H304" s="21"/>
      <c r="I304" s="23"/>
      <c r="J304" s="558"/>
      <c r="K304" s="558"/>
      <c r="L304" s="539" t="n"/>
      <c r="M304" s="539" t="n"/>
      <c r="N304" s="539" t="n"/>
      <c r="O304" s="539" t="n"/>
      <c r="P304" s="539"/>
      <c r="Q304" s="539"/>
      <c r="R304" s="539">
        <f>AI304</f>
      </c>
      <c r="S304" s="23">
        <f>Y304*100</f>
      </c>
      <c r="T304" s="539">
        <f>ROUND(R304*S304/100,-1)</f>
      </c>
      <c r="U304" s="539">
        <f>IF(Q304=0,"",(T304-Q304)/Q304*100)</f>
      </c>
      <c r="V304" s="27" t="n"/>
      <c r="W304" s="601"/>
      <c r="X304" s="602">
        <f>($W$5-K304)/365</f>
      </c>
      <c r="Y304" s="127">
        <f>(W304-X304)/W304</f>
      </c>
      <c r="Z304" s="127"/>
      <c r="AA304" s="127">
        <f>Y304/2+Z304/2</f>
      </c>
      <c r="AB304" s="603">
        <f>P304/I304</f>
      </c>
      <c r="AC304" s="604">
        <f>AB304*AD304</f>
      </c>
      <c r="AD304" s="129"/>
      <c r="AE304" s="583" t="n"/>
      <c r="AF304" s="583">
        <f>AC304*0.13/(1+0.13)</f>
      </c>
      <c r="AG304" s="605">
        <f>AC304-AF304</f>
      </c>
      <c r="AH304" s="605">
        <f>AC304*I304</f>
      </c>
      <c r="AI304" s="583">
        <f>ROUND(AG304*I304,-1)</f>
      </c>
    </row>
    <row r="305" ht="15.5" customHeight="1">
      <c r="A305" s="63" t="n"/>
      <c r="B305" s="56"/>
      <c r="C305" s="56"/>
      <c r="D305" s="59" t="n"/>
      <c r="E305" s="63" t="n"/>
      <c r="F305" s="24" t="n"/>
      <c r="G305" s="63"/>
      <c r="H305" s="21"/>
      <c r="I305" s="23"/>
      <c r="J305" s="558"/>
      <c r="K305" s="558"/>
      <c r="L305" s="539" t="n"/>
      <c r="M305" s="539" t="n"/>
      <c r="N305" s="539" t="n"/>
      <c r="O305" s="539" t="n"/>
      <c r="P305" s="539"/>
      <c r="Q305" s="539"/>
      <c r="R305" s="539">
        <f>AI305</f>
      </c>
      <c r="S305" s="23">
        <f>Y305*100</f>
      </c>
      <c r="T305" s="539">
        <f>ROUND(R305*S305/100,-1)</f>
      </c>
      <c r="U305" s="539">
        <f>IF(Q305=0,"",(T305-Q305)/Q305*100)</f>
      </c>
      <c r="V305" s="27" t="n"/>
      <c r="W305" s="601"/>
      <c r="X305" s="602">
        <f>($W$5-K305)/365</f>
      </c>
      <c r="Y305" s="127">
        <f>(W305-X305)/W305</f>
      </c>
      <c r="Z305" s="127"/>
      <c r="AA305" s="127">
        <f>Y305/2+Z305/2</f>
      </c>
      <c r="AB305" s="603">
        <f>P305/I305</f>
      </c>
      <c r="AC305" s="604">
        <f>AB305*AD305</f>
      </c>
      <c r="AD305" s="129"/>
      <c r="AE305" s="583" t="n"/>
      <c r="AF305" s="583">
        <f>AC305*0.13/(1+0.13)</f>
      </c>
      <c r="AG305" s="605">
        <f>AC305-AF305</f>
      </c>
      <c r="AH305" s="605">
        <f>AC305*I305</f>
      </c>
      <c r="AI305" s="583">
        <f>ROUND(AG305*I305,-1)</f>
      </c>
    </row>
    <row r="306" ht="15.5" customHeight="1">
      <c r="A306" s="63" t="n"/>
      <c r="B306" s="56"/>
      <c r="C306" s="56"/>
      <c r="D306" s="59" t="n"/>
      <c r="E306" s="63" t="n"/>
      <c r="F306" s="24" t="n"/>
      <c r="G306" s="63"/>
      <c r="H306" s="21"/>
      <c r="I306" s="23"/>
      <c r="J306" s="558"/>
      <c r="K306" s="558"/>
      <c r="L306" s="539" t="n"/>
      <c r="M306" s="539" t="n"/>
      <c r="N306" s="539" t="n"/>
      <c r="O306" s="539" t="n"/>
      <c r="P306" s="539"/>
      <c r="Q306" s="539"/>
      <c r="R306" s="539">
        <f>AI306</f>
      </c>
      <c r="S306" s="23">
        <f>Y306*100</f>
      </c>
      <c r="T306" s="539">
        <f>ROUND(R306*S306/100,-1)</f>
      </c>
      <c r="U306" s="539">
        <f>IF(Q306=0,"",(T306-Q306)/Q306*100)</f>
      </c>
      <c r="V306" s="27" t="n"/>
      <c r="W306" s="601"/>
      <c r="X306" s="602">
        <f>($W$5-K306)/365</f>
      </c>
      <c r="Y306" s="127">
        <f>(W306-X306)/W306</f>
      </c>
      <c r="Z306" s="127"/>
      <c r="AA306" s="127">
        <f>Y306/2+Z306/2</f>
      </c>
      <c r="AB306" s="603">
        <f>P306/I306</f>
      </c>
      <c r="AC306" s="604">
        <f>AB306*AD306</f>
      </c>
      <c r="AD306" s="129"/>
      <c r="AE306" s="583" t="n"/>
      <c r="AF306" s="583">
        <f>AC306*0.13/(1+0.13)</f>
      </c>
      <c r="AG306" s="605">
        <f>AC306-AF306</f>
      </c>
      <c r="AH306" s="605">
        <f>AC306*I306</f>
      </c>
      <c r="AI306" s="583">
        <f>ROUND(AG306*I306,-1)</f>
      </c>
    </row>
    <row r="307" ht="15.5" customHeight="1">
      <c r="A307" s="63" t="n"/>
      <c r="B307" s="56"/>
      <c r="C307" s="56"/>
      <c r="D307" s="59" t="n"/>
      <c r="E307" s="63" t="n"/>
      <c r="F307" s="24" t="n"/>
      <c r="G307" s="63"/>
      <c r="H307" s="21"/>
      <c r="I307" s="23"/>
      <c r="J307" s="558"/>
      <c r="K307" s="558"/>
      <c r="L307" s="539" t="n"/>
      <c r="M307" s="539" t="n"/>
      <c r="N307" s="539" t="n"/>
      <c r="O307" s="539" t="n"/>
      <c r="P307" s="539"/>
      <c r="Q307" s="539"/>
      <c r="R307" s="539">
        <f>AI307</f>
      </c>
      <c r="S307" s="23">
        <f>Y307*100</f>
      </c>
      <c r="T307" s="539">
        <f>ROUND(R307*S307/100,-1)</f>
      </c>
      <c r="U307" s="539">
        <f>IF(Q307=0,"",(T307-Q307)/Q307*100)</f>
      </c>
      <c r="V307" s="27" t="n"/>
      <c r="W307" s="601"/>
      <c r="X307" s="602">
        <f>($W$5-K307)/365</f>
      </c>
      <c r="Y307" s="127">
        <f>(W307-X307)/W307</f>
      </c>
      <c r="Z307" s="127"/>
      <c r="AA307" s="127">
        <f>Y307/2+Z307/2</f>
      </c>
      <c r="AB307" s="603">
        <f>P307/I307</f>
      </c>
      <c r="AC307" s="604">
        <f>AB307*AD307</f>
      </c>
      <c r="AD307" s="129"/>
      <c r="AE307" s="583" t="n"/>
      <c r="AF307" s="583">
        <f>AC307*0.13/(1+0.13)</f>
      </c>
      <c r="AG307" s="605">
        <f>AC307-AF307</f>
      </c>
      <c r="AH307" s="605">
        <f>AC307*I307</f>
      </c>
      <c r="AI307" s="583">
        <f>ROUND(AG307*I307,-1)</f>
      </c>
    </row>
    <row r="308" ht="15.5" customHeight="1">
      <c r="A308" s="63" t="n"/>
      <c r="B308" s="56"/>
      <c r="C308" s="56"/>
      <c r="D308" s="59" t="n"/>
      <c r="E308" s="63" t="n"/>
      <c r="F308" s="24" t="n"/>
      <c r="G308" s="63"/>
      <c r="H308" s="21"/>
      <c r="I308" s="23"/>
      <c r="J308" s="558"/>
      <c r="K308" s="558"/>
      <c r="L308" s="539" t="n"/>
      <c r="M308" s="539" t="n"/>
      <c r="N308" s="539" t="n"/>
      <c r="O308" s="539" t="n"/>
      <c r="P308" s="539"/>
      <c r="Q308" s="539"/>
      <c r="R308" s="539">
        <f>AI308</f>
      </c>
      <c r="S308" s="23">
        <f>Y308*100</f>
      </c>
      <c r="T308" s="539">
        <f>ROUND(R308*S308/100,-1)</f>
      </c>
      <c r="U308" s="539">
        <f>IF(Q308=0,"",(T308-Q308)/Q308*100)</f>
      </c>
      <c r="V308" s="27" t="n"/>
      <c r="W308" s="601"/>
      <c r="X308" s="602">
        <f>($W$5-K308)/365</f>
      </c>
      <c r="Y308" s="127">
        <f>(W308-X308)/W308</f>
      </c>
      <c r="Z308" s="127"/>
      <c r="AA308" s="127">
        <f>Y308/2+Z308/2</f>
      </c>
      <c r="AB308" s="603">
        <f>P308/I308</f>
      </c>
      <c r="AC308" s="604">
        <f>AB308*AD308</f>
      </c>
      <c r="AD308" s="129"/>
      <c r="AE308" s="583" t="n"/>
      <c r="AF308" s="583">
        <f>AC308*0.13/(1+0.13)</f>
      </c>
      <c r="AG308" s="605">
        <f>AC308-AF308</f>
      </c>
      <c r="AH308" s="605">
        <f>AC308*I308</f>
      </c>
      <c r="AI308" s="583">
        <f>ROUND(AG308*I308,-1)</f>
      </c>
    </row>
    <row r="309" ht="15.5" customHeight="1">
      <c r="A309" s="63" t="n"/>
      <c r="B309" s="56"/>
      <c r="C309" s="56"/>
      <c r="D309" s="59" t="n"/>
      <c r="E309" s="63" t="n"/>
      <c r="F309" s="24" t="n"/>
      <c r="G309" s="63"/>
      <c r="H309" s="21"/>
      <c r="I309" s="23"/>
      <c r="J309" s="558"/>
      <c r="K309" s="558"/>
      <c r="L309" s="539" t="n"/>
      <c r="M309" s="539" t="n"/>
      <c r="N309" s="539" t="n"/>
      <c r="O309" s="539" t="n"/>
      <c r="P309" s="539"/>
      <c r="Q309" s="539"/>
      <c r="R309" s="539">
        <f>AI309</f>
      </c>
      <c r="S309" s="23">
        <f>Y309*100</f>
      </c>
      <c r="T309" s="539">
        <f>ROUND(R309*S309/100,-1)</f>
      </c>
      <c r="U309" s="539">
        <f>IF(Q309=0,"",(T309-Q309)/Q309*100)</f>
      </c>
      <c r="V309" s="27" t="n"/>
      <c r="W309" s="601"/>
      <c r="X309" s="602">
        <f>($W$5-K309)/365</f>
      </c>
      <c r="Y309" s="127">
        <f>(W309-X309)/W309</f>
      </c>
      <c r="Z309" s="127"/>
      <c r="AA309" s="127">
        <f>Y309/2+Z309/2</f>
      </c>
      <c r="AB309" s="603">
        <f>P309/I309</f>
      </c>
      <c r="AC309" s="604">
        <f>AB309*AD309</f>
      </c>
      <c r="AD309" s="129"/>
      <c r="AE309" s="583" t="n"/>
      <c r="AF309" s="583">
        <f>AC309*0.13/(1+0.13)</f>
      </c>
      <c r="AG309" s="605">
        <f>AC309-AF309</f>
      </c>
      <c r="AH309" s="605">
        <f>AC309*I309</f>
      </c>
      <c r="AI309" s="583">
        <f>ROUND(AG309*I309,-1)</f>
      </c>
    </row>
    <row r="310" ht="15.5" customHeight="1">
      <c r="A310" s="63" t="n"/>
      <c r="B310" s="56"/>
      <c r="C310" s="56"/>
      <c r="D310" s="59" t="n"/>
      <c r="E310" s="63" t="n"/>
      <c r="F310" s="24" t="n"/>
      <c r="G310" s="63"/>
      <c r="H310" s="21"/>
      <c r="I310" s="23"/>
      <c r="J310" s="558"/>
      <c r="K310" s="558"/>
      <c r="L310" s="539" t="n"/>
      <c r="M310" s="539" t="n"/>
      <c r="N310" s="539" t="n"/>
      <c r="O310" s="539" t="n"/>
      <c r="P310" s="539"/>
      <c r="Q310" s="539"/>
      <c r="R310" s="539">
        <f>AI310</f>
      </c>
      <c r="S310" s="23">
        <f>Y310*100</f>
      </c>
      <c r="T310" s="539">
        <f>ROUND(R310*S310/100,-1)</f>
      </c>
      <c r="U310" s="539">
        <f>IF(Q310=0,"",(T310-Q310)/Q310*100)</f>
      </c>
      <c r="V310" s="27" t="n"/>
      <c r="W310" s="601"/>
      <c r="X310" s="602">
        <f>($W$5-K310)/365</f>
      </c>
      <c r="Y310" s="127">
        <f>(W310-X310)/W310</f>
      </c>
      <c r="Z310" s="127"/>
      <c r="AA310" s="127">
        <f>Y310/2+Z310/2</f>
      </c>
      <c r="AB310" s="603">
        <f>P310/I310</f>
      </c>
      <c r="AC310" s="604">
        <f>AB310*AD310</f>
      </c>
      <c r="AD310" s="129"/>
      <c r="AE310" s="583" t="n"/>
      <c r="AF310" s="583">
        <f>AC310*0.13/(1+0.13)</f>
      </c>
      <c r="AG310" s="605">
        <f>AC310-AF310</f>
      </c>
      <c r="AH310" s="605">
        <f>AC310*I310</f>
      </c>
      <c r="AI310" s="583">
        <f>ROUND(AG310*I310,-1)</f>
      </c>
    </row>
    <row r="311" ht="15.5" customHeight="1">
      <c r="A311" s="63" t="n"/>
      <c r="B311" s="56"/>
      <c r="C311" s="56"/>
      <c r="D311" s="59" t="n"/>
      <c r="E311" s="63" t="n"/>
      <c r="F311" s="24" t="n"/>
      <c r="G311" s="63"/>
      <c r="H311" s="21"/>
      <c r="I311" s="23"/>
      <c r="J311" s="558"/>
      <c r="K311" s="558"/>
      <c r="L311" s="539" t="n"/>
      <c r="M311" s="539" t="n"/>
      <c r="N311" s="539" t="n"/>
      <c r="O311" s="539" t="n"/>
      <c r="P311" s="539"/>
      <c r="Q311" s="539"/>
      <c r="R311" s="539">
        <f>AI311</f>
      </c>
      <c r="S311" s="23">
        <f>Y311*100</f>
      </c>
      <c r="T311" s="539">
        <f>ROUND(R311*S311/100,-1)</f>
      </c>
      <c r="U311" s="539">
        <f>IF(Q311=0,"",(T311-Q311)/Q311*100)</f>
      </c>
      <c r="V311" s="27" t="n"/>
      <c r="W311" s="601"/>
      <c r="X311" s="602">
        <f>($W$5-K311)/365</f>
      </c>
      <c r="Y311" s="127">
        <f>(W311-X311)/W311</f>
      </c>
      <c r="Z311" s="127"/>
      <c r="AA311" s="127">
        <f>Y311/2+Z311/2</f>
      </c>
      <c r="AB311" s="603">
        <f>P311/I311</f>
      </c>
      <c r="AC311" s="604">
        <f>AB311*AD311</f>
      </c>
      <c r="AD311" s="129"/>
      <c r="AE311" s="583" t="n"/>
      <c r="AF311" s="583">
        <f>AC311*0.13/(1+0.13)</f>
      </c>
      <c r="AG311" s="605">
        <f>AC311-AF311</f>
      </c>
      <c r="AH311" s="605">
        <f>AC311*I311</f>
      </c>
      <c r="AI311" s="583">
        <f>ROUND(AG311*I311,-1)</f>
      </c>
    </row>
    <row r="312" ht="15.5" customHeight="1">
      <c r="A312" s="63" t="n"/>
      <c r="B312" s="56"/>
      <c r="C312" s="56"/>
      <c r="D312" s="59" t="n"/>
      <c r="E312" s="63" t="n"/>
      <c r="F312" s="24" t="n"/>
      <c r="G312" s="63"/>
      <c r="H312" s="21"/>
      <c r="I312" s="23"/>
      <c r="J312" s="558"/>
      <c r="K312" s="558"/>
      <c r="L312" s="539" t="n"/>
      <c r="M312" s="539" t="n"/>
      <c r="N312" s="539" t="n"/>
      <c r="O312" s="539" t="n"/>
      <c r="P312" s="539"/>
      <c r="Q312" s="539"/>
      <c r="R312" s="539">
        <f>AI312</f>
      </c>
      <c r="S312" s="23">
        <f>Y312*100</f>
      </c>
      <c r="T312" s="539">
        <f>ROUND(R312*S312/100,-1)</f>
      </c>
      <c r="U312" s="539">
        <f>IF(Q312=0,"",(T312-Q312)/Q312*100)</f>
      </c>
      <c r="V312" s="27" t="n"/>
      <c r="W312" s="601"/>
      <c r="X312" s="602">
        <f>($W$5-K312)/365</f>
      </c>
      <c r="Y312" s="127">
        <f>(W312-X312)/W312</f>
      </c>
      <c r="Z312" s="127"/>
      <c r="AA312" s="127">
        <f>Y312/2+Z312/2</f>
      </c>
      <c r="AB312" s="603">
        <f>P312/I312</f>
      </c>
      <c r="AC312" s="604">
        <f>AB312*AD312</f>
      </c>
      <c r="AD312" s="129"/>
      <c r="AE312" s="583" t="n"/>
      <c r="AF312" s="583">
        <f>AC312*0.13/(1+0.13)</f>
      </c>
      <c r="AG312" s="605">
        <f>AC312-AF312</f>
      </c>
      <c r="AH312" s="605">
        <f>AC312*I312</f>
      </c>
      <c r="AI312" s="583">
        <f>ROUND(AG312*I312,-1)</f>
      </c>
    </row>
    <row r="313" ht="15.5" customHeight="1">
      <c r="A313" s="63" t="n"/>
      <c r="B313" s="56"/>
      <c r="C313" s="56"/>
      <c r="D313" s="59" t="n"/>
      <c r="E313" s="63" t="n"/>
      <c r="F313" s="24" t="n"/>
      <c r="G313" s="63"/>
      <c r="H313" s="21"/>
      <c r="I313" s="23"/>
      <c r="J313" s="558"/>
      <c r="K313" s="558"/>
      <c r="L313" s="539" t="n"/>
      <c r="M313" s="539" t="n"/>
      <c r="N313" s="539" t="n"/>
      <c r="O313" s="539" t="n"/>
      <c r="P313" s="539"/>
      <c r="Q313" s="539"/>
      <c r="R313" s="539">
        <f>AI313</f>
      </c>
      <c r="S313" s="23">
        <f>Y313*100</f>
      </c>
      <c r="T313" s="539">
        <f>ROUND(R313*S313/100,-1)</f>
      </c>
      <c r="U313" s="539">
        <f>IF(Q313=0,"",(T313-Q313)/Q313*100)</f>
      </c>
      <c r="V313" s="27" t="n"/>
      <c r="W313" s="601"/>
      <c r="X313" s="602">
        <f>($W$5-K313)/365</f>
      </c>
      <c r="Y313" s="127">
        <f>(W313-X313)/W313</f>
      </c>
      <c r="Z313" s="127"/>
      <c r="AA313" s="127">
        <f>Y313/2+Z313/2</f>
      </c>
      <c r="AB313" s="603">
        <f>P313/I313</f>
      </c>
      <c r="AC313" s="604">
        <f>AB313*AD313</f>
      </c>
      <c r="AD313" s="129"/>
      <c r="AE313" s="583" t="n"/>
      <c r="AF313" s="583">
        <f>AC313*0.13/(1+0.13)</f>
      </c>
      <c r="AG313" s="605">
        <f>AC313-AF313</f>
      </c>
      <c r="AH313" s="605">
        <f>AC313*I313</f>
      </c>
      <c r="AI313" s="583">
        <f>ROUND(AG313*I313,-1)</f>
      </c>
    </row>
    <row r="314" ht="15.5" customHeight="1">
      <c r="A314" s="63" t="n"/>
      <c r="B314" s="56"/>
      <c r="C314" s="56"/>
      <c r="D314" s="59" t="n"/>
      <c r="E314" s="63" t="n"/>
      <c r="F314" s="24" t="n"/>
      <c r="G314" s="63"/>
      <c r="H314" s="21"/>
      <c r="I314" s="23"/>
      <c r="J314" s="558"/>
      <c r="K314" s="558"/>
      <c r="L314" s="539" t="n"/>
      <c r="M314" s="539" t="n"/>
      <c r="N314" s="539" t="n"/>
      <c r="O314" s="539" t="n"/>
      <c r="P314" s="539"/>
      <c r="Q314" s="539"/>
      <c r="R314" s="539">
        <f>AI314</f>
      </c>
      <c r="S314" s="23">
        <f>Y314*100</f>
      </c>
      <c r="T314" s="539">
        <f>ROUND(R314*S314/100,-1)</f>
      </c>
      <c r="U314" s="539">
        <f>IF(Q314=0,"",(T314-Q314)/Q314*100)</f>
      </c>
      <c r="V314" s="27" t="n"/>
      <c r="W314" s="601"/>
      <c r="X314" s="602">
        <f>($W$5-K314)/365</f>
      </c>
      <c r="Y314" s="127">
        <f>(W314-X314)/W314</f>
      </c>
      <c r="Z314" s="127"/>
      <c r="AA314" s="127">
        <f>Y314/2+Z314/2</f>
      </c>
      <c r="AB314" s="603">
        <f>P314/I314</f>
      </c>
      <c r="AC314" s="604">
        <f>AB314*AD314</f>
      </c>
      <c r="AD314" s="129"/>
      <c r="AE314" s="583" t="n"/>
      <c r="AF314" s="583">
        <f>AC314*0.13/(1+0.13)</f>
      </c>
      <c r="AG314" s="605">
        <f>AC314-AF314</f>
      </c>
      <c r="AH314" s="605">
        <f>AC314*I314</f>
      </c>
      <c r="AI314" s="583">
        <f>ROUND(AG314*I314,-1)</f>
      </c>
    </row>
    <row r="315" ht="15.5" customHeight="1">
      <c r="A315" s="63" t="n"/>
      <c r="B315" s="56"/>
      <c r="C315" s="56"/>
      <c r="D315" s="59" t="n"/>
      <c r="E315" s="63" t="n"/>
      <c r="F315" s="24" t="n"/>
      <c r="G315" s="63"/>
      <c r="H315" s="21"/>
      <c r="I315" s="23"/>
      <c r="J315" s="558"/>
      <c r="K315" s="558"/>
      <c r="L315" s="539" t="n"/>
      <c r="M315" s="539" t="n"/>
      <c r="N315" s="539" t="n"/>
      <c r="O315" s="539" t="n"/>
      <c r="P315" s="539"/>
      <c r="Q315" s="539"/>
      <c r="R315" s="539">
        <f>AI315</f>
      </c>
      <c r="S315" s="23">
        <f>Y315*100</f>
      </c>
      <c r="T315" s="539">
        <f>ROUND(R315*S315/100,-1)</f>
      </c>
      <c r="U315" s="539">
        <f>IF(Q315=0,"",(T315-Q315)/Q315*100)</f>
      </c>
      <c r="V315" s="27" t="n"/>
      <c r="W315" s="601"/>
      <c r="X315" s="602">
        <f>($W$5-K315)/365</f>
      </c>
      <c r="Y315" s="127">
        <f>(W315-X315)/W315</f>
      </c>
      <c r="Z315" s="127"/>
      <c r="AA315" s="127">
        <f>Y315/2+Z315/2</f>
      </c>
      <c r="AB315" s="603">
        <f>P315/I315</f>
      </c>
      <c r="AC315" s="604">
        <f>AB315*AD315</f>
      </c>
      <c r="AD315" s="129"/>
      <c r="AE315" s="583" t="n"/>
      <c r="AF315" s="583">
        <f>AC315*0.13/(1+0.13)</f>
      </c>
      <c r="AG315" s="605">
        <f>AC315-AF315</f>
      </c>
      <c r="AH315" s="605">
        <f>AC315*I315</f>
      </c>
      <c r="AI315" s="583">
        <f>ROUND(AG315*I315,-1)</f>
      </c>
    </row>
    <row r="316" ht="15.5" customHeight="1">
      <c r="A316" s="63" t="n"/>
      <c r="B316" s="56"/>
      <c r="C316" s="56"/>
      <c r="D316" s="59" t="n"/>
      <c r="E316" s="63" t="n"/>
      <c r="F316" s="24" t="n"/>
      <c r="G316" s="63"/>
      <c r="H316" s="21"/>
      <c r="I316" s="23"/>
      <c r="J316" s="558"/>
      <c r="K316" s="558"/>
      <c r="L316" s="539" t="n"/>
      <c r="M316" s="539" t="n"/>
      <c r="N316" s="539" t="n"/>
      <c r="O316" s="539" t="n"/>
      <c r="P316" s="539"/>
      <c r="Q316" s="539"/>
      <c r="R316" s="539">
        <f>AI316</f>
      </c>
      <c r="S316" s="23">
        <f>Y316*100</f>
      </c>
      <c r="T316" s="539">
        <f>ROUND(R316*S316/100,-1)</f>
      </c>
      <c r="U316" s="539">
        <f>IF(Q316=0,"",(T316-Q316)/Q316*100)</f>
      </c>
      <c r="V316" s="27" t="n"/>
      <c r="W316" s="601"/>
      <c r="X316" s="602">
        <f>($W$5-K316)/365</f>
      </c>
      <c r="Y316" s="127">
        <f>(W316-X316)/W316</f>
      </c>
      <c r="Z316" s="127"/>
      <c r="AA316" s="127">
        <f>Y316/2+Z316/2</f>
      </c>
      <c r="AB316" s="603">
        <f>P316/I316</f>
      </c>
      <c r="AC316" s="604">
        <f>AB316*AD316</f>
      </c>
      <c r="AD316" s="129"/>
      <c r="AE316" s="583" t="n"/>
      <c r="AF316" s="583">
        <f>AC316*0.13/(1+0.13)</f>
      </c>
      <c r="AG316" s="605">
        <f>AC316-AF316</f>
      </c>
      <c r="AH316" s="605">
        <f>AC316*I316</f>
      </c>
      <c r="AI316" s="583">
        <f>ROUND(AG316*I316,-1)</f>
      </c>
    </row>
    <row r="317" ht="15.5" customHeight="1">
      <c r="A317" s="63" t="n"/>
      <c r="B317" s="56"/>
      <c r="C317" s="56"/>
      <c r="D317" s="59" t="n"/>
      <c r="E317" s="63" t="n"/>
      <c r="F317" s="24" t="n"/>
      <c r="G317" s="63"/>
      <c r="H317" s="21"/>
      <c r="I317" s="23"/>
      <c r="J317" s="558"/>
      <c r="K317" s="558"/>
      <c r="L317" s="539" t="n"/>
      <c r="M317" s="539" t="n"/>
      <c r="N317" s="539" t="n"/>
      <c r="O317" s="539" t="n"/>
      <c r="P317" s="539"/>
      <c r="Q317" s="539"/>
      <c r="R317" s="539">
        <f>AI317</f>
      </c>
      <c r="S317" s="23">
        <f>Y317*100</f>
      </c>
      <c r="T317" s="539">
        <f>ROUND(R317*S317/100,-1)</f>
      </c>
      <c r="U317" s="539">
        <f>IF(Q317=0,"",(T317-Q317)/Q317*100)</f>
      </c>
      <c r="V317" s="27" t="n"/>
      <c r="W317" s="601"/>
      <c r="X317" s="602">
        <f>($W$5-K317)/365</f>
      </c>
      <c r="Y317" s="127">
        <f>(W317-X317)/W317</f>
      </c>
      <c r="Z317" s="127"/>
      <c r="AA317" s="127">
        <f>Y317/2+Z317/2</f>
      </c>
      <c r="AB317" s="603">
        <f>P317/I317</f>
      </c>
      <c r="AC317" s="604">
        <f>AB317*AD317</f>
      </c>
      <c r="AD317" s="129"/>
      <c r="AE317" s="583" t="n"/>
      <c r="AF317" s="583">
        <f>AC317*0.13/(1+0.13)</f>
      </c>
      <c r="AG317" s="605">
        <f>AC317-AF317</f>
      </c>
      <c r="AH317" s="605">
        <f>AC317*I317</f>
      </c>
      <c r="AI317" s="583">
        <f>ROUND(AG317*I317,-1)</f>
      </c>
    </row>
    <row r="318" ht="15.5" customHeight="1">
      <c r="A318" s="63" t="n"/>
      <c r="B318" s="56"/>
      <c r="C318" s="56"/>
      <c r="D318" s="59" t="n"/>
      <c r="E318" s="63" t="n"/>
      <c r="F318" s="24" t="n"/>
      <c r="G318" s="63"/>
      <c r="H318" s="21"/>
      <c r="I318" s="23"/>
      <c r="J318" s="558"/>
      <c r="K318" s="558"/>
      <c r="L318" s="539" t="n"/>
      <c r="M318" s="539" t="n"/>
      <c r="N318" s="539" t="n"/>
      <c r="O318" s="539" t="n"/>
      <c r="P318" s="539"/>
      <c r="Q318" s="539"/>
      <c r="R318" s="539">
        <f>AI318</f>
      </c>
      <c r="S318" s="23">
        <f>Y318*100</f>
      </c>
      <c r="T318" s="539">
        <f>ROUND(R318*S318/100,-1)</f>
      </c>
      <c r="U318" s="539">
        <f>IF(Q318=0,"",(T318-Q318)/Q318*100)</f>
      </c>
      <c r="V318" s="27" t="n"/>
      <c r="W318" s="601"/>
      <c r="X318" s="602">
        <f>($W$5-K318)/365</f>
      </c>
      <c r="Y318" s="127">
        <f>(W318-X318)/W318</f>
      </c>
      <c r="Z318" s="127"/>
      <c r="AA318" s="127">
        <f>Y318/2+Z318/2</f>
      </c>
      <c r="AB318" s="603">
        <f>P318/I318</f>
      </c>
      <c r="AC318" s="604">
        <f>AB318*AD318</f>
      </c>
      <c r="AD318" s="129"/>
      <c r="AE318" s="583" t="n"/>
      <c r="AF318" s="583">
        <f>AC318*0.13/(1+0.13)</f>
      </c>
      <c r="AG318" s="605">
        <f>AC318-AF318</f>
      </c>
      <c r="AH318" s="605">
        <f>AC318*I318</f>
      </c>
      <c r="AI318" s="583">
        <f>ROUND(AG318*I318,-1)</f>
      </c>
    </row>
    <row r="319" ht="15.5" customHeight="1">
      <c r="A319" s="63" t="n"/>
      <c r="B319" s="56"/>
      <c r="C319" s="56"/>
      <c r="D319" s="59" t="n"/>
      <c r="E319" s="63" t="n"/>
      <c r="F319" s="24" t="n"/>
      <c r="G319" s="63"/>
      <c r="H319" s="21"/>
      <c r="I319" s="23"/>
      <c r="J319" s="558"/>
      <c r="K319" s="558"/>
      <c r="L319" s="539" t="n"/>
      <c r="M319" s="539" t="n"/>
      <c r="N319" s="539" t="n"/>
      <c r="O319" s="539" t="n"/>
      <c r="P319" s="539"/>
      <c r="Q319" s="539"/>
      <c r="R319" s="539">
        <f>AI319</f>
      </c>
      <c r="S319" s="23">
        <f>Y319*100</f>
      </c>
      <c r="T319" s="539">
        <f>ROUND(R319*S319/100,-1)</f>
      </c>
      <c r="U319" s="539">
        <f>IF(Q319=0,"",(T319-Q319)/Q319*100)</f>
      </c>
      <c r="V319" s="27" t="n"/>
      <c r="W319" s="601"/>
      <c r="X319" s="602">
        <f>($W$5-K319)/365</f>
      </c>
      <c r="Y319" s="127">
        <f>(W319-X319)/W319</f>
      </c>
      <c r="Z319" s="127"/>
      <c r="AA319" s="127">
        <f>Y319/2+Z319/2</f>
      </c>
      <c r="AB319" s="603">
        <f>P319/I319</f>
      </c>
      <c r="AC319" s="604">
        <f>AB319*AD319</f>
      </c>
      <c r="AD319" s="129"/>
      <c r="AE319" s="583" t="n"/>
      <c r="AF319" s="583">
        <f>AC319*0.13/(1+0.13)</f>
      </c>
      <c r="AG319" s="605">
        <f>AC319-AF319</f>
      </c>
      <c r="AH319" s="605">
        <f>AC319*I319</f>
      </c>
      <c r="AI319" s="583">
        <f>ROUND(AG319*I319,-1)</f>
      </c>
    </row>
    <row r="320" ht="15.5" customHeight="1">
      <c r="A320" s="63" t="n"/>
      <c r="B320" s="56"/>
      <c r="C320" s="56"/>
      <c r="D320" s="59" t="n"/>
      <c r="E320" s="63" t="n"/>
      <c r="F320" s="24" t="n"/>
      <c r="G320" s="63"/>
      <c r="H320" s="21"/>
      <c r="I320" s="23"/>
      <c r="J320" s="558"/>
      <c r="K320" s="558"/>
      <c r="L320" s="539" t="n"/>
      <c r="M320" s="539" t="n"/>
      <c r="N320" s="539" t="n"/>
      <c r="O320" s="539" t="n"/>
      <c r="P320" s="539"/>
      <c r="Q320" s="539"/>
      <c r="R320" s="539">
        <f>AI320</f>
      </c>
      <c r="S320" s="23">
        <f>Y320*100</f>
      </c>
      <c r="T320" s="539">
        <f>ROUND(R320*S320/100,-1)</f>
      </c>
      <c r="U320" s="539">
        <f>IF(Q320=0,"",(T320-Q320)/Q320*100)</f>
      </c>
      <c r="V320" s="27" t="n"/>
      <c r="W320" s="601"/>
      <c r="X320" s="602">
        <f>($W$5-K320)/365</f>
      </c>
      <c r="Y320" s="127">
        <f>(W320-X320)/W320</f>
      </c>
      <c r="Z320" s="127"/>
      <c r="AA320" s="127">
        <f>Y320/2+Z320/2</f>
      </c>
      <c r="AB320" s="603">
        <f>P320/I320</f>
      </c>
      <c r="AC320" s="604">
        <f>AB320*AD320</f>
      </c>
      <c r="AD320" s="129"/>
      <c r="AE320" s="583" t="n"/>
      <c r="AF320" s="583">
        <f>AC320*0.13/(1+0.13)</f>
      </c>
      <c r="AG320" s="605">
        <f>AC320-AF320</f>
      </c>
      <c r="AH320" s="605">
        <f>AC320*I320</f>
      </c>
      <c r="AI320" s="583">
        <f>ROUND(AG320*I320,-1)</f>
      </c>
    </row>
    <row r="321" ht="15.5" customHeight="1">
      <c r="A321" s="63" t="n"/>
      <c r="B321" s="56"/>
      <c r="C321" s="56"/>
      <c r="D321" s="59" t="n"/>
      <c r="E321" s="63" t="n"/>
      <c r="F321" s="24" t="n"/>
      <c r="G321" s="63"/>
      <c r="H321" s="21"/>
      <c r="I321" s="23"/>
      <c r="J321" s="558"/>
      <c r="K321" s="558"/>
      <c r="L321" s="539" t="n"/>
      <c r="M321" s="539" t="n"/>
      <c r="N321" s="539" t="n"/>
      <c r="O321" s="539" t="n"/>
      <c r="P321" s="539"/>
      <c r="Q321" s="539"/>
      <c r="R321" s="539">
        <f>AI321</f>
      </c>
      <c r="S321" s="23">
        <f>Y321*100</f>
      </c>
      <c r="T321" s="539">
        <f>ROUND(R321*S321/100,-1)</f>
      </c>
      <c r="U321" s="539">
        <f>IF(Q321=0,"",(T321-Q321)/Q321*100)</f>
      </c>
      <c r="V321" s="27" t="n"/>
      <c r="W321" s="601"/>
      <c r="X321" s="602">
        <f>($W$5-K321)/365</f>
      </c>
      <c r="Y321" s="127">
        <f>(W321-X321)/W321</f>
      </c>
      <c r="Z321" s="127"/>
      <c r="AA321" s="127">
        <f>Y321/2+Z321/2</f>
      </c>
      <c r="AB321" s="603">
        <f>P321/I321</f>
      </c>
      <c r="AC321" s="604">
        <f>AB321*AD321</f>
      </c>
      <c r="AD321" s="129"/>
      <c r="AE321" s="583" t="n"/>
      <c r="AF321" s="583">
        <f>AC321*0.13/(1+0.13)</f>
      </c>
      <c r="AG321" s="605">
        <f>AC321-AF321</f>
      </c>
      <c r="AH321" s="605">
        <f>AC321*I321</f>
      </c>
      <c r="AI321" s="583">
        <f>ROUND(AG321*I321,-1)</f>
      </c>
    </row>
    <row r="322" ht="15.5" customHeight="1">
      <c r="A322" s="63" t="n"/>
      <c r="B322" s="56"/>
      <c r="C322" s="56"/>
      <c r="D322" s="59" t="n"/>
      <c r="E322" s="63" t="n"/>
      <c r="F322" s="24" t="n"/>
      <c r="G322" s="63"/>
      <c r="H322" s="21"/>
      <c r="I322" s="23"/>
      <c r="J322" s="558"/>
      <c r="K322" s="558"/>
      <c r="L322" s="539" t="n"/>
      <c r="M322" s="539" t="n"/>
      <c r="N322" s="539" t="n"/>
      <c r="O322" s="539" t="n"/>
      <c r="P322" s="539"/>
      <c r="Q322" s="539"/>
      <c r="R322" s="539">
        <f>AI322</f>
      </c>
      <c r="S322" s="23">
        <f>Y322*100</f>
      </c>
      <c r="T322" s="539">
        <f>ROUND(R322*S322/100,-1)</f>
      </c>
      <c r="U322" s="539">
        <f>IF(Q322=0,"",(T322-Q322)/Q322*100)</f>
      </c>
      <c r="V322" s="27" t="n"/>
      <c r="W322" s="601"/>
      <c r="X322" s="602">
        <f>($W$5-K322)/365</f>
      </c>
      <c r="Y322" s="127">
        <f>(W322-X322)/W322</f>
      </c>
      <c r="Z322" s="127"/>
      <c r="AA322" s="127">
        <f>Y322/2+Z322/2</f>
      </c>
      <c r="AB322" s="603">
        <f>P322/I322</f>
      </c>
      <c r="AC322" s="604">
        <f>AB322*AD322</f>
      </c>
      <c r="AD322" s="129"/>
      <c r="AE322" s="583" t="n"/>
      <c r="AF322" s="583">
        <f>AC322*0.13/(1+0.13)</f>
      </c>
      <c r="AG322" s="605">
        <f>AC322-AF322</f>
      </c>
      <c r="AH322" s="605">
        <f>AC322*I322</f>
      </c>
      <c r="AI322" s="583">
        <f>ROUND(AG322*I322,-1)</f>
      </c>
    </row>
    <row r="323" ht="15.5" customHeight="1">
      <c r="A323" s="63" t="n"/>
      <c r="B323" s="56"/>
      <c r="C323" s="56"/>
      <c r="D323" s="59" t="n"/>
      <c r="E323" s="63" t="n"/>
      <c r="F323" s="24" t="n"/>
      <c r="G323" s="63"/>
      <c r="H323" s="21"/>
      <c r="I323" s="23"/>
      <c r="J323" s="558"/>
      <c r="K323" s="558"/>
      <c r="L323" s="539" t="n"/>
      <c r="M323" s="539" t="n"/>
      <c r="N323" s="539" t="n"/>
      <c r="O323" s="539" t="n"/>
      <c r="P323" s="539"/>
      <c r="Q323" s="539"/>
      <c r="R323" s="539">
        <f>AI323</f>
      </c>
      <c r="S323" s="23">
        <f>Y323*100</f>
      </c>
      <c r="T323" s="539">
        <f>ROUND(R323*S323/100,-1)</f>
      </c>
      <c r="U323" s="539">
        <f>IF(Q323=0,"",(T323-Q323)/Q323*100)</f>
      </c>
      <c r="V323" s="27" t="n"/>
      <c r="W323" s="601"/>
      <c r="X323" s="602">
        <f>($W$5-K323)/365</f>
      </c>
      <c r="Y323" s="127">
        <f>(W323-X323)/W323</f>
      </c>
      <c r="Z323" s="127"/>
      <c r="AA323" s="127">
        <f>Y323/2+Z323/2</f>
      </c>
      <c r="AB323" s="603">
        <f>P323/I323</f>
      </c>
      <c r="AC323" s="604">
        <f>AB323*AD323</f>
      </c>
      <c r="AD323" s="129"/>
      <c r="AE323" s="583" t="n"/>
      <c r="AF323" s="583">
        <f>AC323*0.13/(1+0.13)</f>
      </c>
      <c r="AG323" s="605">
        <f>AC323-AF323</f>
      </c>
      <c r="AH323" s="605">
        <f>AC323*I323</f>
      </c>
      <c r="AI323" s="583">
        <f>ROUND(AG323*I323,-1)</f>
      </c>
    </row>
    <row r="324" ht="15.5" customHeight="1">
      <c r="A324" s="63" t="n"/>
      <c r="B324" s="56"/>
      <c r="C324" s="56"/>
      <c r="D324" s="59" t="n"/>
      <c r="E324" s="63" t="n"/>
      <c r="F324" s="24" t="n"/>
      <c r="G324" s="63"/>
      <c r="H324" s="21"/>
      <c r="I324" s="23"/>
      <c r="J324" s="558"/>
      <c r="K324" s="558"/>
      <c r="L324" s="539" t="n"/>
      <c r="M324" s="539" t="n"/>
      <c r="N324" s="539" t="n"/>
      <c r="O324" s="539" t="n"/>
      <c r="P324" s="539"/>
      <c r="Q324" s="539"/>
      <c r="R324" s="539">
        <f>AI324</f>
      </c>
      <c r="S324" s="23">
        <f>Y324*100</f>
      </c>
      <c r="T324" s="539">
        <f>ROUND(R324*S324/100,-1)</f>
      </c>
      <c r="U324" s="539">
        <f>IF(Q324=0,"",(T324-Q324)/Q324*100)</f>
      </c>
      <c r="V324" s="27" t="n"/>
      <c r="W324" s="601"/>
      <c r="X324" s="602">
        <f>($W$5-K324)/365</f>
      </c>
      <c r="Y324" s="127">
        <f>(W324-X324)/W324</f>
      </c>
      <c r="Z324" s="127"/>
      <c r="AA324" s="127">
        <f>Y324/2+Z324/2</f>
      </c>
      <c r="AB324" s="603">
        <f>P324/I324</f>
      </c>
      <c r="AC324" s="604">
        <f>AB324*AD324</f>
      </c>
      <c r="AD324" s="129"/>
      <c r="AE324" s="583" t="n"/>
      <c r="AF324" s="583">
        <f>AC324*0.13/(1+0.13)</f>
      </c>
      <c r="AG324" s="605">
        <f>AC324-AF324</f>
      </c>
      <c r="AH324" s="605">
        <f>AC324*I324</f>
      </c>
      <c r="AI324" s="583">
        <f>ROUND(AG324*I324,-1)</f>
      </c>
    </row>
    <row r="325" ht="15.5" customHeight="1">
      <c r="A325" s="63" t="n"/>
      <c r="B325" s="56"/>
      <c r="C325" s="56"/>
      <c r="D325" s="59" t="n"/>
      <c r="E325" s="63" t="n"/>
      <c r="F325" s="24" t="n"/>
      <c r="G325" s="63"/>
      <c r="H325" s="21"/>
      <c r="I325" s="23"/>
      <c r="J325" s="558"/>
      <c r="K325" s="558"/>
      <c r="L325" s="539" t="n"/>
      <c r="M325" s="539" t="n"/>
      <c r="N325" s="539" t="n"/>
      <c r="O325" s="539" t="n"/>
      <c r="P325" s="539"/>
      <c r="Q325" s="539"/>
      <c r="R325" s="539">
        <f>AI325</f>
      </c>
      <c r="S325" s="23">
        <f>Y325*100</f>
      </c>
      <c r="T325" s="539">
        <f>ROUND(R325*S325/100,-1)</f>
      </c>
      <c r="U325" s="539">
        <f>IF(Q325=0,"",(T325-Q325)/Q325*100)</f>
      </c>
      <c r="V325" s="27" t="n"/>
      <c r="W325" s="601"/>
      <c r="X325" s="602">
        <f>($W$5-K325)/365</f>
      </c>
      <c r="Y325" s="127">
        <f>(W325-X325)/W325</f>
      </c>
      <c r="Z325" s="127"/>
      <c r="AA325" s="127">
        <f>Y325/2+Z325/2</f>
      </c>
      <c r="AB325" s="603">
        <f>P325/I325</f>
      </c>
      <c r="AC325" s="604">
        <f>AB325*AD325</f>
      </c>
      <c r="AD325" s="129"/>
      <c r="AE325" s="583" t="n"/>
      <c r="AF325" s="583">
        <f>AC325*0.13/(1+0.13)</f>
      </c>
      <c r="AG325" s="605">
        <f>AC325-AF325</f>
      </c>
      <c r="AH325" s="605">
        <f>AC325*I325</f>
      </c>
      <c r="AI325" s="583">
        <f>ROUND(AG325*I325,-1)</f>
      </c>
    </row>
    <row r="326" ht="15.5" customHeight="1">
      <c r="A326" s="63" t="n"/>
      <c r="B326" s="56"/>
      <c r="C326" s="56"/>
      <c r="D326" s="59" t="n"/>
      <c r="E326" s="63" t="n"/>
      <c r="F326" s="24" t="n"/>
      <c r="G326" s="63"/>
      <c r="H326" s="21"/>
      <c r="I326" s="23"/>
      <c r="J326" s="558"/>
      <c r="K326" s="558"/>
      <c r="L326" s="539" t="n"/>
      <c r="M326" s="539" t="n"/>
      <c r="N326" s="539" t="n"/>
      <c r="O326" s="539" t="n"/>
      <c r="P326" s="539"/>
      <c r="Q326" s="539"/>
      <c r="R326" s="539">
        <f>AI326</f>
      </c>
      <c r="S326" s="23">
        <f>Y326*100</f>
      </c>
      <c r="T326" s="539">
        <f>ROUND(R326*S326/100,-1)</f>
      </c>
      <c r="U326" s="539">
        <f>IF(Q326=0,"",(T326-Q326)/Q326*100)</f>
      </c>
      <c r="V326" s="27" t="n"/>
      <c r="W326" s="601"/>
      <c r="X326" s="602">
        <f>($W$5-K326)/365</f>
      </c>
      <c r="Y326" s="127">
        <f>(W326-X326)/W326</f>
      </c>
      <c r="Z326" s="127"/>
      <c r="AA326" s="127">
        <f>Y326/2+Z326/2</f>
      </c>
      <c r="AB326" s="603">
        <f>P326/I326</f>
      </c>
      <c r="AC326" s="604">
        <f>AB326*AD326</f>
      </c>
      <c r="AD326" s="129"/>
      <c r="AE326" s="583" t="n"/>
      <c r="AF326" s="583">
        <f>AC326*0.13/(1+0.13)</f>
      </c>
      <c r="AG326" s="605">
        <f>AC326-AF326</f>
      </c>
      <c r="AH326" s="605">
        <f>AC326*I326</f>
      </c>
      <c r="AI326" s="583">
        <f>ROUND(AG326*I326,-1)</f>
      </c>
    </row>
    <row r="327" ht="15.5" customHeight="1">
      <c r="A327" s="63" t="n"/>
      <c r="B327" s="56"/>
      <c r="C327" s="56"/>
      <c r="D327" s="59" t="n"/>
      <c r="E327" s="63" t="n"/>
      <c r="F327" s="24" t="n"/>
      <c r="G327" s="63"/>
      <c r="H327" s="21"/>
      <c r="I327" s="23"/>
      <c r="J327" s="558"/>
      <c r="K327" s="558"/>
      <c r="L327" s="539" t="n"/>
      <c r="M327" s="539" t="n"/>
      <c r="N327" s="539" t="n"/>
      <c r="O327" s="539" t="n"/>
      <c r="P327" s="539"/>
      <c r="Q327" s="539"/>
      <c r="R327" s="539">
        <f>AI327</f>
      </c>
      <c r="S327" s="23">
        <f>Y327*100</f>
      </c>
      <c r="T327" s="539">
        <f>ROUND(R327*S327/100,-1)</f>
      </c>
      <c r="U327" s="539">
        <f>IF(Q327=0,"",(T327-Q327)/Q327*100)</f>
      </c>
      <c r="V327" s="27" t="n"/>
      <c r="W327" s="601"/>
      <c r="X327" s="602">
        <f>($W$5-K327)/365</f>
      </c>
      <c r="Y327" s="127">
        <f>(W327-X327)/W327</f>
      </c>
      <c r="Z327" s="127"/>
      <c r="AA327" s="127">
        <f>Y327/2+Z327/2</f>
      </c>
      <c r="AB327" s="603">
        <f>P327/I327</f>
      </c>
      <c r="AC327" s="604">
        <f>AB327*AD327</f>
      </c>
      <c r="AD327" s="129"/>
      <c r="AE327" s="583" t="n"/>
      <c r="AF327" s="583">
        <f>AC327*0.13/(1+0.13)</f>
      </c>
      <c r="AG327" s="605">
        <f>AC327-AF327</f>
      </c>
      <c r="AH327" s="605">
        <f>AC327*I327</f>
      </c>
      <c r="AI327" s="583">
        <f>ROUND(AG327*I327,-1)</f>
      </c>
    </row>
    <row r="328" ht="15.5" customHeight="1">
      <c r="A328" s="63" t="n"/>
      <c r="B328" s="56"/>
      <c r="C328" s="56"/>
      <c r="D328" s="59" t="n"/>
      <c r="E328" s="63" t="n"/>
      <c r="F328" s="24" t="n"/>
      <c r="G328" s="63"/>
      <c r="H328" s="21"/>
      <c r="I328" s="23"/>
      <c r="J328" s="558"/>
      <c r="K328" s="558"/>
      <c r="L328" s="539" t="n"/>
      <c r="M328" s="539" t="n"/>
      <c r="N328" s="539" t="n"/>
      <c r="O328" s="539" t="n"/>
      <c r="P328" s="539"/>
      <c r="Q328" s="539"/>
      <c r="R328" s="539">
        <f>AI328</f>
      </c>
      <c r="S328" s="23">
        <f>Y328*100</f>
      </c>
      <c r="T328" s="539">
        <f>ROUND(R328*S328/100,-1)</f>
      </c>
      <c r="U328" s="539">
        <f>IF(Q328=0,"",(T328-Q328)/Q328*100)</f>
      </c>
      <c r="V328" s="27" t="n"/>
      <c r="W328" s="601"/>
      <c r="X328" s="602">
        <f>($W$5-K328)/365</f>
      </c>
      <c r="Y328" s="127">
        <f>(W328-X328)/W328</f>
      </c>
      <c r="Z328" s="127"/>
      <c r="AA328" s="127">
        <f>Y328/2+Z328/2</f>
      </c>
      <c r="AB328" s="603">
        <f>P328/I328</f>
      </c>
      <c r="AC328" s="604">
        <f>AB328*AD328</f>
      </c>
      <c r="AD328" s="129"/>
      <c r="AE328" s="583" t="n"/>
      <c r="AF328" s="583">
        <f>AC328*0.13/(1+0.13)</f>
      </c>
      <c r="AG328" s="605">
        <f>AC328-AF328</f>
      </c>
      <c r="AH328" s="605">
        <f>AC328*I328</f>
      </c>
      <c r="AI328" s="583">
        <f>ROUND(AG328*I328,-1)</f>
      </c>
    </row>
    <row r="329" ht="15.5" customHeight="1">
      <c r="A329" s="63" t="n"/>
      <c r="B329" s="56"/>
      <c r="C329" s="56"/>
      <c r="D329" s="59" t="n"/>
      <c r="E329" s="63" t="n"/>
      <c r="F329" s="24" t="n"/>
      <c r="G329" s="63"/>
      <c r="H329" s="21"/>
      <c r="I329" s="23"/>
      <c r="J329" s="558"/>
      <c r="K329" s="558"/>
      <c r="L329" s="539" t="n"/>
      <c r="M329" s="539" t="n"/>
      <c r="N329" s="539" t="n"/>
      <c r="O329" s="539" t="n"/>
      <c r="P329" s="539"/>
      <c r="Q329" s="539"/>
      <c r="R329" s="539">
        <f>AI329</f>
      </c>
      <c r="S329" s="23">
        <f>Y329*100</f>
      </c>
      <c r="T329" s="539">
        <f>ROUND(R329*S329/100,-1)</f>
      </c>
      <c r="U329" s="539">
        <f>IF(Q329=0,"",(T329-Q329)/Q329*100)</f>
      </c>
      <c r="V329" s="27" t="n"/>
      <c r="W329" s="601"/>
      <c r="X329" s="602">
        <f>($W$5-K329)/365</f>
      </c>
      <c r="Y329" s="127">
        <f>(W329-X329)/W329</f>
      </c>
      <c r="Z329" s="127"/>
      <c r="AA329" s="127">
        <f>Y329/2+Z329/2</f>
      </c>
      <c r="AB329" s="603">
        <f>P329/I329</f>
      </c>
      <c r="AC329" s="604">
        <f>AB329*AD329</f>
      </c>
      <c r="AD329" s="129"/>
      <c r="AE329" s="583" t="n"/>
      <c r="AF329" s="583">
        <f>AC329*0.13/(1+0.13)</f>
      </c>
      <c r="AG329" s="605">
        <f>AC329-AF329</f>
      </c>
      <c r="AH329" s="605">
        <f>AC329*I329</f>
      </c>
      <c r="AI329" s="583">
        <f>ROUND(AG329*I329,-1)</f>
      </c>
    </row>
    <row r="330" ht="15.5" customHeight="1">
      <c r="A330" s="63" t="n"/>
      <c r="B330" s="56"/>
      <c r="C330" s="56"/>
      <c r="D330" s="59" t="n"/>
      <c r="E330" s="63" t="n"/>
      <c r="F330" s="24" t="n"/>
      <c r="G330" s="63"/>
      <c r="H330" s="21"/>
      <c r="I330" s="23"/>
      <c r="J330" s="558"/>
      <c r="K330" s="558"/>
      <c r="L330" s="539" t="n"/>
      <c r="M330" s="539" t="n"/>
      <c r="N330" s="539" t="n"/>
      <c r="O330" s="539" t="n"/>
      <c r="P330" s="539"/>
      <c r="Q330" s="539"/>
      <c r="R330" s="539">
        <f>AI330</f>
      </c>
      <c r="S330" s="23">
        <f>Y330*100</f>
      </c>
      <c r="T330" s="539">
        <f>ROUND(R330*S330/100,-1)</f>
      </c>
      <c r="U330" s="539">
        <f>IF(Q330=0,"",(T330-Q330)/Q330*100)</f>
      </c>
      <c r="V330" s="27" t="n"/>
      <c r="W330" s="601"/>
      <c r="X330" s="602">
        <f>($W$5-K330)/365</f>
      </c>
      <c r="Y330" s="127">
        <f>(W330-X330)/W330</f>
      </c>
      <c r="Z330" s="127"/>
      <c r="AA330" s="127">
        <f>Y330/2+Z330/2</f>
      </c>
      <c r="AB330" s="603">
        <f>P330/I330</f>
      </c>
      <c r="AC330" s="604">
        <f>AB330*AD330</f>
      </c>
      <c r="AD330" s="129"/>
      <c r="AE330" s="583" t="n"/>
      <c r="AF330" s="583">
        <f>AC330*0.13/(1+0.13)</f>
      </c>
      <c r="AG330" s="605">
        <f>AC330-AF330</f>
      </c>
      <c r="AH330" s="605">
        <f>AC330*I330</f>
      </c>
      <c r="AI330" s="583">
        <f>ROUND(AG330*I330,-1)</f>
      </c>
    </row>
    <row r="331" ht="15.5" customHeight="1">
      <c r="A331" s="63" t="n"/>
      <c r="B331" s="56"/>
      <c r="C331" s="56"/>
      <c r="D331" s="59" t="n"/>
      <c r="E331" s="63" t="n"/>
      <c r="F331" s="24" t="n"/>
      <c r="G331" s="63"/>
      <c r="H331" s="21"/>
      <c r="I331" s="23"/>
      <c r="J331" s="558"/>
      <c r="K331" s="558"/>
      <c r="L331" s="539" t="n"/>
      <c r="M331" s="539" t="n"/>
      <c r="N331" s="539" t="n"/>
      <c r="O331" s="539" t="n"/>
      <c r="P331" s="539"/>
      <c r="Q331" s="539"/>
      <c r="R331" s="539">
        <f>AI331</f>
      </c>
      <c r="S331" s="23">
        <f>Y331*100</f>
      </c>
      <c r="T331" s="539">
        <f>ROUND(R331*S331/100,-1)</f>
      </c>
      <c r="U331" s="539">
        <f>IF(Q331=0,"",(T331-Q331)/Q331*100)</f>
      </c>
      <c r="V331" s="27" t="n"/>
      <c r="W331" s="601"/>
      <c r="X331" s="602">
        <f>($W$5-K331)/365</f>
      </c>
      <c r="Y331" s="127">
        <f>(W331-X331)/W331</f>
      </c>
      <c r="Z331" s="127"/>
      <c r="AA331" s="127">
        <f>Y331/2+Z331/2</f>
      </c>
      <c r="AB331" s="603">
        <f>P331/I331</f>
      </c>
      <c r="AC331" s="604">
        <f>AB331*AD331</f>
      </c>
      <c r="AD331" s="129"/>
      <c r="AE331" s="583" t="n"/>
      <c r="AF331" s="583">
        <f>AC331*0.13/(1+0.13)</f>
      </c>
      <c r="AG331" s="605">
        <f>AC331-AF331</f>
      </c>
      <c r="AH331" s="605">
        <f>AC331*I331</f>
      </c>
      <c r="AI331" s="583">
        <f>ROUND(AG331*I331,-1)</f>
      </c>
    </row>
    <row r="332" ht="15.5" customHeight="1">
      <c r="A332" s="63" t="n"/>
      <c r="B332" s="56"/>
      <c r="C332" s="56"/>
      <c r="D332" s="59" t="n"/>
      <c r="E332" s="63" t="n"/>
      <c r="F332" s="24" t="n"/>
      <c r="G332" s="63"/>
      <c r="H332" s="21"/>
      <c r="I332" s="23"/>
      <c r="J332" s="558"/>
      <c r="K332" s="558"/>
      <c r="L332" s="539" t="n"/>
      <c r="M332" s="539" t="n"/>
      <c r="N332" s="539" t="n"/>
      <c r="O332" s="539" t="n"/>
      <c r="P332" s="539"/>
      <c r="Q332" s="539"/>
      <c r="R332" s="539">
        <f>AI332</f>
      </c>
      <c r="S332" s="23">
        <f>Y332*100</f>
      </c>
      <c r="T332" s="539">
        <f>ROUND(R332*S332/100,-1)</f>
      </c>
      <c r="U332" s="539">
        <f>IF(Q332=0,"",(T332-Q332)/Q332*100)</f>
      </c>
      <c r="V332" s="27" t="n"/>
      <c r="W332" s="601"/>
      <c r="X332" s="602">
        <f>($W$5-K332)/365</f>
      </c>
      <c r="Y332" s="127">
        <f>(W332-X332)/W332</f>
      </c>
      <c r="Z332" s="127"/>
      <c r="AA332" s="127">
        <f>Y332/2+Z332/2</f>
      </c>
      <c r="AB332" s="603">
        <f>P332/I332</f>
      </c>
      <c r="AC332" s="604">
        <f>AB332*AD332</f>
      </c>
      <c r="AD332" s="129"/>
      <c r="AE332" s="583" t="n"/>
      <c r="AF332" s="583">
        <f>AC332*0.13/(1+0.13)</f>
      </c>
      <c r="AG332" s="605">
        <f>AC332-AF332</f>
      </c>
      <c r="AH332" s="605">
        <f>AC332*I332</f>
      </c>
      <c r="AI332" s="583">
        <f>ROUND(AG332*I332,-1)</f>
      </c>
    </row>
    <row r="333" ht="15.5" customHeight="1">
      <c r="A333" s="63" t="n"/>
      <c r="B333" s="56"/>
      <c r="C333" s="56"/>
      <c r="D333" s="59" t="n"/>
      <c r="E333" s="63" t="n"/>
      <c r="F333" s="24" t="n"/>
      <c r="G333" s="63"/>
      <c r="H333" s="21"/>
      <c r="I333" s="23"/>
      <c r="J333" s="558"/>
      <c r="K333" s="558"/>
      <c r="L333" s="539" t="n"/>
      <c r="M333" s="539" t="n"/>
      <c r="N333" s="539" t="n"/>
      <c r="O333" s="539" t="n"/>
      <c r="P333" s="539"/>
      <c r="Q333" s="539"/>
      <c r="R333" s="539">
        <f>AI333</f>
      </c>
      <c r="S333" s="23">
        <f>Y333*100</f>
      </c>
      <c r="T333" s="539">
        <f>ROUND(R333*S333/100,-1)</f>
      </c>
      <c r="U333" s="539">
        <f>IF(Q333=0,"",(T333-Q333)/Q333*100)</f>
      </c>
      <c r="V333" s="27" t="n"/>
      <c r="W333" s="601"/>
      <c r="X333" s="602">
        <f>($W$5-K333)/365</f>
      </c>
      <c r="Y333" s="127">
        <f>(W333-X333)/W333</f>
      </c>
      <c r="Z333" s="127"/>
      <c r="AA333" s="127">
        <f>Y333/2+Z333/2</f>
      </c>
      <c r="AB333" s="603">
        <f>P333/I333</f>
      </c>
      <c r="AC333" s="604">
        <f>AB333*AD333</f>
      </c>
      <c r="AD333" s="129"/>
      <c r="AE333" s="583" t="n"/>
      <c r="AF333" s="583">
        <f>AC333*0.13/(1+0.13)</f>
      </c>
      <c r="AG333" s="605">
        <f>AC333-AF333</f>
      </c>
      <c r="AH333" s="605">
        <f>AC333*I333</f>
      </c>
      <c r="AI333" s="583">
        <f>ROUND(AG333*I333,-1)</f>
      </c>
    </row>
    <row r="334" ht="15.5" customHeight="1">
      <c r="A334" s="63" t="n"/>
      <c r="B334" s="56"/>
      <c r="C334" s="56"/>
      <c r="D334" s="59" t="n"/>
      <c r="E334" s="63" t="n"/>
      <c r="F334" s="24" t="n"/>
      <c r="G334" s="63"/>
      <c r="H334" s="21"/>
      <c r="I334" s="23"/>
      <c r="J334" s="558"/>
      <c r="K334" s="558"/>
      <c r="L334" s="539" t="n"/>
      <c r="M334" s="539" t="n"/>
      <c r="N334" s="539" t="n"/>
      <c r="O334" s="539" t="n"/>
      <c r="P334" s="539"/>
      <c r="Q334" s="539"/>
      <c r="R334" s="539">
        <f>AI334</f>
      </c>
      <c r="S334" s="23">
        <f>Y334*100</f>
      </c>
      <c r="T334" s="539">
        <f>ROUND(R334*S334/100,-1)</f>
      </c>
      <c r="U334" s="539">
        <f>IF(Q334=0,"",(T334-Q334)/Q334*100)</f>
      </c>
      <c r="V334" s="27" t="n"/>
      <c r="W334" s="601"/>
      <c r="X334" s="602">
        <f>($W$5-K334)/365</f>
      </c>
      <c r="Y334" s="127">
        <f>(W334-X334)/W334</f>
      </c>
      <c r="Z334" s="127"/>
      <c r="AA334" s="127">
        <f>Y334/2+Z334/2</f>
      </c>
      <c r="AB334" s="603">
        <f>P334/I334</f>
      </c>
      <c r="AC334" s="604">
        <f>AB334*AD334</f>
      </c>
      <c r="AD334" s="129"/>
      <c r="AE334" s="583" t="n"/>
      <c r="AF334" s="583">
        <f>AC334*0.13/(1+0.13)</f>
      </c>
      <c r="AG334" s="605">
        <f>AC334-AF334</f>
      </c>
      <c r="AH334" s="605">
        <f>AC334*I334</f>
      </c>
      <c r="AI334" s="583">
        <f>ROUND(AG334*I334,-1)</f>
      </c>
    </row>
    <row r="335" ht="15.5" customHeight="1">
      <c r="A335" s="63" t="n"/>
      <c r="B335" s="56"/>
      <c r="C335" s="56"/>
      <c r="D335" s="59" t="n"/>
      <c r="E335" s="63" t="n"/>
      <c r="F335" s="24" t="n"/>
      <c r="G335" s="63"/>
      <c r="H335" s="21"/>
      <c r="I335" s="23"/>
      <c r="J335" s="558"/>
      <c r="K335" s="558"/>
      <c r="L335" s="539" t="n"/>
      <c r="M335" s="539" t="n"/>
      <c r="N335" s="539" t="n"/>
      <c r="O335" s="539" t="n"/>
      <c r="P335" s="539"/>
      <c r="Q335" s="539"/>
      <c r="R335" s="539">
        <f>AI335</f>
      </c>
      <c r="S335" s="23">
        <f>Y335*100</f>
      </c>
      <c r="T335" s="539">
        <f>ROUND(R335*S335/100,-1)</f>
      </c>
      <c r="U335" s="539">
        <f>IF(Q335=0,"",(T335-Q335)/Q335*100)</f>
      </c>
      <c r="V335" s="27" t="n"/>
      <c r="W335" s="601"/>
      <c r="X335" s="602">
        <f>($W$5-K335)/365</f>
      </c>
      <c r="Y335" s="127">
        <f>(W335-X335)/W335</f>
      </c>
      <c r="Z335" s="127"/>
      <c r="AA335" s="127">
        <f>Y335/2+Z335/2</f>
      </c>
      <c r="AB335" s="603">
        <f>P335/I335</f>
      </c>
      <c r="AC335" s="604">
        <f>AB335*AD335</f>
      </c>
      <c r="AD335" s="129"/>
      <c r="AE335" s="583" t="n"/>
      <c r="AF335" s="583">
        <f>AC335*0.13/(1+0.13)</f>
      </c>
      <c r="AG335" s="605">
        <f>AC335-AF335</f>
      </c>
      <c r="AH335" s="605">
        <f>AC335*I335</f>
      </c>
      <c r="AI335" s="583">
        <f>ROUND(AG335*I335,-1)</f>
      </c>
    </row>
    <row r="336" ht="15.5" customHeight="1">
      <c r="A336" s="63" t="n"/>
      <c r="B336" s="56"/>
      <c r="C336" s="56"/>
      <c r="D336" s="59" t="n"/>
      <c r="E336" s="63" t="n"/>
      <c r="F336" s="24" t="n"/>
      <c r="G336" s="63"/>
      <c r="H336" s="21"/>
      <c r="I336" s="23"/>
      <c r="J336" s="558"/>
      <c r="K336" s="558"/>
      <c r="L336" s="539" t="n"/>
      <c r="M336" s="539" t="n"/>
      <c r="N336" s="539" t="n"/>
      <c r="O336" s="539" t="n"/>
      <c r="P336" s="539"/>
      <c r="Q336" s="539"/>
      <c r="R336" s="539">
        <f>AI336</f>
      </c>
      <c r="S336" s="23">
        <f>Y336*100</f>
      </c>
      <c r="T336" s="539">
        <f>ROUND(R336*S336/100,-1)</f>
      </c>
      <c r="U336" s="539">
        <f>IF(Q336=0,"",(T336-Q336)/Q336*100)</f>
      </c>
      <c r="V336" s="27" t="n"/>
      <c r="W336" s="601"/>
      <c r="X336" s="602">
        <f>($W$5-K336)/365</f>
      </c>
      <c r="Y336" s="127">
        <f>(W336-X336)/W336</f>
      </c>
      <c r="Z336" s="127"/>
      <c r="AA336" s="127">
        <f>Y336/2+Z336/2</f>
      </c>
      <c r="AB336" s="603">
        <f>P336/I336</f>
      </c>
      <c r="AC336" s="604">
        <f>AB336*AD336</f>
      </c>
      <c r="AD336" s="129"/>
      <c r="AE336" s="583" t="n"/>
      <c r="AF336" s="583">
        <f>AC336*0.13/(1+0.13)</f>
      </c>
      <c r="AG336" s="605">
        <f>AC336-AF336</f>
      </c>
      <c r="AH336" s="605">
        <f>AC336*I336</f>
      </c>
      <c r="AI336" s="583">
        <f>ROUND(AG336*I336,-1)</f>
      </c>
    </row>
    <row r="337" ht="15.5" customHeight="1">
      <c r="A337" s="63" t="n"/>
      <c r="B337" s="56"/>
      <c r="C337" s="56"/>
      <c r="D337" s="59" t="n"/>
      <c r="E337" s="63" t="n"/>
      <c r="F337" s="24" t="n"/>
      <c r="G337" s="63"/>
      <c r="H337" s="21"/>
      <c r="I337" s="23"/>
      <c r="J337" s="558"/>
      <c r="K337" s="558"/>
      <c r="L337" s="539" t="n"/>
      <c r="M337" s="539" t="n"/>
      <c r="N337" s="539" t="n"/>
      <c r="O337" s="539" t="n"/>
      <c r="P337" s="539"/>
      <c r="Q337" s="539"/>
      <c r="R337" s="539">
        <f>AI337</f>
      </c>
      <c r="S337" s="23">
        <f>Y337*100</f>
      </c>
      <c r="T337" s="539">
        <f>ROUND(R337*S337/100,-1)</f>
      </c>
      <c r="U337" s="539">
        <f>IF(Q337=0,"",(T337-Q337)/Q337*100)</f>
      </c>
      <c r="V337" s="27" t="n"/>
      <c r="W337" s="601"/>
      <c r="X337" s="602">
        <f>($W$5-K337)/365</f>
      </c>
      <c r="Y337" s="127">
        <f>(W337-X337)/W337</f>
      </c>
      <c r="Z337" s="127"/>
      <c r="AA337" s="127">
        <f>Y337/2+Z337/2</f>
      </c>
      <c r="AB337" s="603">
        <f>P337/I337</f>
      </c>
      <c r="AC337" s="604">
        <f>AB337*AD337</f>
      </c>
      <c r="AD337" s="129"/>
      <c r="AE337" s="583" t="n"/>
      <c r="AF337" s="583">
        <f>AC337*0.13/(1+0.13)</f>
      </c>
      <c r="AG337" s="605">
        <f>AC337-AF337</f>
      </c>
      <c r="AH337" s="605">
        <f>AC337*I337</f>
      </c>
      <c r="AI337" s="583">
        <f>ROUND(AG337*I337,-1)</f>
      </c>
    </row>
    <row r="338" ht="15.5" customHeight="1">
      <c r="A338" s="63" t="n"/>
      <c r="B338" s="56"/>
      <c r="C338" s="56"/>
      <c r="D338" s="59" t="n"/>
      <c r="E338" s="63" t="n"/>
      <c r="F338" s="24" t="n"/>
      <c r="G338" s="63"/>
      <c r="H338" s="21"/>
      <c r="I338" s="23"/>
      <c r="J338" s="558"/>
      <c r="K338" s="558"/>
      <c r="L338" s="539" t="n"/>
      <c r="M338" s="539" t="n"/>
      <c r="N338" s="539" t="n"/>
      <c r="O338" s="539" t="n"/>
      <c r="P338" s="539"/>
      <c r="Q338" s="539"/>
      <c r="R338" s="539">
        <f>AI338</f>
      </c>
      <c r="S338" s="23">
        <f>Y338*100</f>
      </c>
      <c r="T338" s="539">
        <f>ROUND(R338*S338/100,-1)</f>
      </c>
      <c r="U338" s="539">
        <f>IF(Q338=0,"",(T338-Q338)/Q338*100)</f>
      </c>
      <c r="V338" s="27" t="n"/>
      <c r="W338" s="601"/>
      <c r="X338" s="602">
        <f>($W$5-K338)/365</f>
      </c>
      <c r="Y338" s="127">
        <f>(W338-X338)/W338</f>
      </c>
      <c r="Z338" s="127"/>
      <c r="AA338" s="127">
        <f>Y338/2+Z338/2</f>
      </c>
      <c r="AB338" s="603">
        <f>P338/I338</f>
      </c>
      <c r="AC338" s="604">
        <f>AB338*AD338</f>
      </c>
      <c r="AD338" s="129"/>
      <c r="AE338" s="583" t="n"/>
      <c r="AF338" s="583">
        <f>AC338*0.13/(1+0.13)</f>
      </c>
      <c r="AG338" s="605">
        <f>AC338-AF338</f>
      </c>
      <c r="AH338" s="605">
        <f>AC338*I338</f>
      </c>
      <c r="AI338" s="583">
        <f>ROUND(AG338*I338,-1)</f>
      </c>
    </row>
    <row r="339" ht="15.5" customHeight="1">
      <c r="A339" s="63" t="n"/>
      <c r="B339" s="56"/>
      <c r="C339" s="56"/>
      <c r="D339" s="59" t="n"/>
      <c r="E339" s="63" t="n"/>
      <c r="F339" s="24" t="n"/>
      <c r="G339" s="63"/>
      <c r="H339" s="21"/>
      <c r="I339" s="23"/>
      <c r="J339" s="558"/>
      <c r="K339" s="558"/>
      <c r="L339" s="539" t="n"/>
      <c r="M339" s="539" t="n"/>
      <c r="N339" s="539" t="n"/>
      <c r="O339" s="539" t="n"/>
      <c r="P339" s="539"/>
      <c r="Q339" s="539"/>
      <c r="R339" s="539">
        <f>AI339</f>
      </c>
      <c r="S339" s="23">
        <f>Y339*100</f>
      </c>
      <c r="T339" s="539">
        <f>ROUND(R339*S339/100,-1)</f>
      </c>
      <c r="U339" s="539">
        <f>IF(Q339=0,"",(T339-Q339)/Q339*100)</f>
      </c>
      <c r="V339" s="27" t="n"/>
      <c r="W339" s="601"/>
      <c r="X339" s="602">
        <f>($W$5-K339)/365</f>
      </c>
      <c r="Y339" s="127">
        <f>(W339-X339)/W339</f>
      </c>
      <c r="Z339" s="127"/>
      <c r="AA339" s="127">
        <f>Y339/2+Z339/2</f>
      </c>
      <c r="AB339" s="603">
        <f>P339/I339</f>
      </c>
      <c r="AC339" s="604">
        <f>AB339*AD339</f>
      </c>
      <c r="AD339" s="129"/>
      <c r="AE339" s="583" t="n"/>
      <c r="AF339" s="583">
        <f>AC339*0.13/(1+0.13)</f>
      </c>
      <c r="AG339" s="605">
        <f>AC339-AF339</f>
      </c>
      <c r="AH339" s="605">
        <f>AC339*I339</f>
      </c>
      <c r="AI339" s="583">
        <f>ROUND(AG339*I339,-1)</f>
      </c>
    </row>
    <row r="340" ht="15.5" customHeight="1">
      <c r="A340" s="63" t="n"/>
      <c r="B340" s="56"/>
      <c r="C340" s="56"/>
      <c r="D340" s="59" t="n"/>
      <c r="E340" s="63" t="n"/>
      <c r="F340" s="24" t="n"/>
      <c r="G340" s="63"/>
      <c r="H340" s="21"/>
      <c r="I340" s="23"/>
      <c r="J340" s="558"/>
      <c r="K340" s="558"/>
      <c r="L340" s="539" t="n"/>
      <c r="M340" s="539" t="n"/>
      <c r="N340" s="539" t="n"/>
      <c r="O340" s="539" t="n"/>
      <c r="P340" s="539"/>
      <c r="Q340" s="539"/>
      <c r="R340" s="539">
        <f>AI340</f>
      </c>
      <c r="S340" s="23">
        <f>Y340*100</f>
      </c>
      <c r="T340" s="539">
        <f>ROUND(R340*S340/100,-1)</f>
      </c>
      <c r="U340" s="539">
        <f>IF(Q340=0,"",(T340-Q340)/Q340*100)</f>
      </c>
      <c r="V340" s="27" t="n"/>
      <c r="W340" s="601"/>
      <c r="X340" s="602">
        <f>($W$5-K340)/365</f>
      </c>
      <c r="Y340" s="127">
        <f>(W340-X340)/W340</f>
      </c>
      <c r="Z340" s="127"/>
      <c r="AA340" s="127">
        <f>Y340/2+Z340/2</f>
      </c>
      <c r="AB340" s="603">
        <f>P340/I340</f>
      </c>
      <c r="AC340" s="604">
        <f>AB340*AD340</f>
      </c>
      <c r="AD340" s="129"/>
      <c r="AE340" s="583" t="n"/>
      <c r="AF340" s="583">
        <f>AC340*0.13/(1+0.13)</f>
      </c>
      <c r="AG340" s="605">
        <f>AC340-AF340</f>
      </c>
      <c r="AH340" s="605">
        <f>AC340*I340</f>
      </c>
      <c r="AI340" s="583">
        <f>ROUND(AG340*I340,-1)</f>
      </c>
    </row>
    <row r="341" ht="15.5" customHeight="1">
      <c r="A341" s="63" t="n"/>
      <c r="B341" s="56"/>
      <c r="C341" s="56"/>
      <c r="D341" s="59" t="n"/>
      <c r="E341" s="63" t="n"/>
      <c r="F341" s="24" t="n"/>
      <c r="G341" s="63"/>
      <c r="H341" s="21"/>
      <c r="I341" s="23"/>
      <c r="J341" s="558"/>
      <c r="K341" s="558"/>
      <c r="L341" s="539" t="n"/>
      <c r="M341" s="539" t="n"/>
      <c r="N341" s="539" t="n"/>
      <c r="O341" s="539" t="n"/>
      <c r="P341" s="539"/>
      <c r="Q341" s="539"/>
      <c r="R341" s="539">
        <f>AI341</f>
      </c>
      <c r="S341" s="23">
        <f>Y341*100</f>
      </c>
      <c r="T341" s="539">
        <f>ROUND(R341*S341/100,-1)</f>
      </c>
      <c r="U341" s="539">
        <f>IF(Q341=0,"",(T341-Q341)/Q341*100)</f>
      </c>
      <c r="V341" s="27" t="n"/>
      <c r="W341" s="601"/>
      <c r="X341" s="602">
        <f>($W$5-K341)/365</f>
      </c>
      <c r="Y341" s="127">
        <f>(W341-X341)/W341</f>
      </c>
      <c r="Z341" s="127"/>
      <c r="AA341" s="127">
        <f>Y341/2+Z341/2</f>
      </c>
      <c r="AB341" s="603">
        <f>P341/I341</f>
      </c>
      <c r="AC341" s="604">
        <f>AB341*AD341</f>
      </c>
      <c r="AD341" s="129"/>
      <c r="AE341" s="583" t="n"/>
      <c r="AF341" s="583">
        <f>AC341*0.13/(1+0.13)</f>
      </c>
      <c r="AG341" s="605">
        <f>AC341-AF341</f>
      </c>
      <c r="AH341" s="605">
        <f>AC341*I341</f>
      </c>
      <c r="AI341" s="583">
        <f>ROUND(AG341*I341,-1)</f>
      </c>
    </row>
    <row r="342" ht="15.5" customHeight="1">
      <c r="A342" s="63" t="n"/>
      <c r="B342" s="56"/>
      <c r="C342" s="56"/>
      <c r="D342" s="59" t="n"/>
      <c r="E342" s="63" t="n"/>
      <c r="F342" s="24" t="n"/>
      <c r="G342" s="63"/>
      <c r="H342" s="21"/>
      <c r="I342" s="23"/>
      <c r="J342" s="558"/>
      <c r="K342" s="558"/>
      <c r="L342" s="539" t="n"/>
      <c r="M342" s="539" t="n"/>
      <c r="N342" s="539" t="n"/>
      <c r="O342" s="539" t="n"/>
      <c r="P342" s="539"/>
      <c r="Q342" s="539"/>
      <c r="R342" s="539">
        <f>AI342</f>
      </c>
      <c r="S342" s="23">
        <f>Y342*100</f>
      </c>
      <c r="T342" s="539">
        <f>ROUND(R342*S342/100,-1)</f>
      </c>
      <c r="U342" s="539">
        <f>IF(Q342=0,"",(T342-Q342)/Q342*100)</f>
      </c>
      <c r="V342" s="27" t="n"/>
      <c r="W342" s="601"/>
      <c r="X342" s="602">
        <f>($W$5-K342)/365</f>
      </c>
      <c r="Y342" s="127">
        <f>(W342-X342)/W342</f>
      </c>
      <c r="Z342" s="127"/>
      <c r="AA342" s="127">
        <f>Y342/2+Z342/2</f>
      </c>
      <c r="AB342" s="603">
        <f>P342/I342</f>
      </c>
      <c r="AC342" s="604">
        <f>AB342*AD342</f>
      </c>
      <c r="AD342" s="129"/>
      <c r="AE342" s="583" t="n"/>
      <c r="AF342" s="583">
        <f>AC342*0.13/(1+0.13)</f>
      </c>
      <c r="AG342" s="605">
        <f>AC342-AF342</f>
      </c>
      <c r="AH342" s="605">
        <f>AC342*I342</f>
      </c>
      <c r="AI342" s="583">
        <f>ROUND(AG342*I342,-1)</f>
      </c>
    </row>
    <row r="343" ht="15.5" customHeight="1">
      <c r="A343" s="63" t="n"/>
      <c r="B343" s="56"/>
      <c r="C343" s="56"/>
      <c r="D343" s="59" t="n"/>
      <c r="E343" s="63" t="n"/>
      <c r="F343" s="24" t="n"/>
      <c r="G343" s="63"/>
      <c r="H343" s="21"/>
      <c r="I343" s="23"/>
      <c r="J343" s="558"/>
      <c r="K343" s="558"/>
      <c r="L343" s="539" t="n"/>
      <c r="M343" s="539" t="n"/>
      <c r="N343" s="539" t="n"/>
      <c r="O343" s="539" t="n"/>
      <c r="P343" s="539"/>
      <c r="Q343" s="539"/>
      <c r="R343" s="539">
        <f>AI343</f>
      </c>
      <c r="S343" s="23">
        <f>Y343*100</f>
      </c>
      <c r="T343" s="539">
        <f>ROUND(R343*S343/100,-1)</f>
      </c>
      <c r="U343" s="539">
        <f>IF(Q343=0,"",(T343-Q343)/Q343*100)</f>
      </c>
      <c r="V343" s="27" t="n"/>
      <c r="W343" s="601"/>
      <c r="X343" s="602">
        <f>($W$5-K343)/365</f>
      </c>
      <c r="Y343" s="127">
        <f>(W343-X343)/W343</f>
      </c>
      <c r="Z343" s="127"/>
      <c r="AA343" s="127">
        <f>Y343/2+Z343/2</f>
      </c>
      <c r="AB343" s="603">
        <f>P343/I343</f>
      </c>
      <c r="AC343" s="604">
        <f>AB343*AD343</f>
      </c>
      <c r="AD343" s="129"/>
      <c r="AE343" s="583" t="n"/>
      <c r="AF343" s="583">
        <f>AC343*0.13/(1+0.13)</f>
      </c>
      <c r="AG343" s="605">
        <f>AC343-AF343</f>
      </c>
      <c r="AH343" s="605">
        <f>AC343*I343</f>
      </c>
      <c r="AI343" s="583">
        <f>ROUND(AG343*I343,-1)</f>
      </c>
    </row>
    <row r="344" ht="15.5" customHeight="1">
      <c r="A344" s="63" t="n"/>
      <c r="B344" s="56"/>
      <c r="C344" s="56"/>
      <c r="D344" s="59" t="n"/>
      <c r="E344" s="63" t="n"/>
      <c r="F344" s="24" t="n"/>
      <c r="G344" s="63"/>
      <c r="H344" s="21"/>
      <c r="I344" s="23"/>
      <c r="J344" s="558"/>
      <c r="K344" s="558"/>
      <c r="L344" s="539" t="n"/>
      <c r="M344" s="539" t="n"/>
      <c r="N344" s="539" t="n"/>
      <c r="O344" s="539" t="n"/>
      <c r="P344" s="539"/>
      <c r="Q344" s="539"/>
      <c r="R344" s="539">
        <f>AI344</f>
      </c>
      <c r="S344" s="23">
        <f>Y344*100</f>
      </c>
      <c r="T344" s="539">
        <f>ROUND(R344*S344/100,-1)</f>
      </c>
      <c r="U344" s="539">
        <f>IF(Q344=0,"",(T344-Q344)/Q344*100)</f>
      </c>
      <c r="V344" s="27" t="n"/>
      <c r="W344" s="601"/>
      <c r="X344" s="602">
        <f>($W$5-K344)/365</f>
      </c>
      <c r="Y344" s="127">
        <f>(W344-X344)/W344</f>
      </c>
      <c r="Z344" s="127"/>
      <c r="AA344" s="127">
        <f>Y344/2+Z344/2</f>
      </c>
      <c r="AB344" s="603">
        <f>P344/I344</f>
      </c>
      <c r="AC344" s="604">
        <f>AB344*AD344</f>
      </c>
      <c r="AD344" s="129"/>
      <c r="AE344" s="583" t="n"/>
      <c r="AF344" s="583">
        <f>AC344*0.13/(1+0.13)</f>
      </c>
      <c r="AG344" s="605">
        <f>AC344-AF344</f>
      </c>
      <c r="AH344" s="605">
        <f>AC344*I344</f>
      </c>
      <c r="AI344" s="583">
        <f>ROUND(AG344*I344,-1)</f>
      </c>
    </row>
    <row r="345" ht="15.5" customHeight="1">
      <c r="A345" s="63" t="n"/>
      <c r="B345" s="56"/>
      <c r="C345" s="56"/>
      <c r="D345" s="59" t="n"/>
      <c r="E345" s="63" t="n"/>
      <c r="F345" s="24" t="n"/>
      <c r="G345" s="63"/>
      <c r="H345" s="21"/>
      <c r="I345" s="23"/>
      <c r="J345" s="558"/>
      <c r="K345" s="558"/>
      <c r="L345" s="539" t="n"/>
      <c r="M345" s="539" t="n"/>
      <c r="N345" s="539" t="n"/>
      <c r="O345" s="539" t="n"/>
      <c r="P345" s="539"/>
      <c r="Q345" s="539"/>
      <c r="R345" s="539">
        <f>AI345</f>
      </c>
      <c r="S345" s="23">
        <f>Y345*100</f>
      </c>
      <c r="T345" s="539">
        <f>ROUND(R345*S345/100,-1)</f>
      </c>
      <c r="U345" s="539">
        <f>IF(Q345=0,"",(T345-Q345)/Q345*100)</f>
      </c>
      <c r="V345" s="27" t="n"/>
      <c r="W345" s="601"/>
      <c r="X345" s="602">
        <f>($W$5-K345)/365</f>
      </c>
      <c r="Y345" s="127">
        <f>(W345-X345)/W345</f>
      </c>
      <c r="Z345" s="127"/>
      <c r="AA345" s="127">
        <f>Y345/2+Z345/2</f>
      </c>
      <c r="AB345" s="603">
        <f>P345/I345</f>
      </c>
      <c r="AC345" s="604">
        <f>AB345*AD345</f>
      </c>
      <c r="AD345" s="129"/>
      <c r="AE345" s="583" t="n"/>
      <c r="AF345" s="583">
        <f>AC345*0.13/(1+0.13)</f>
      </c>
      <c r="AG345" s="605">
        <f>AC345-AF345</f>
      </c>
      <c r="AH345" s="605">
        <f>AC345*I345</f>
      </c>
      <c r="AI345" s="583">
        <f>ROUND(AG345*I345,-1)</f>
      </c>
    </row>
    <row r="346" ht="15.5" customHeight="1">
      <c r="A346" s="63" t="n"/>
      <c r="B346" s="56"/>
      <c r="C346" s="56"/>
      <c r="D346" s="59" t="n"/>
      <c r="E346" s="63" t="n"/>
      <c r="F346" s="24" t="n"/>
      <c r="G346" s="63"/>
      <c r="H346" s="21"/>
      <c r="I346" s="23"/>
      <c r="J346" s="558"/>
      <c r="K346" s="558"/>
      <c r="L346" s="539" t="n"/>
      <c r="M346" s="539" t="n"/>
      <c r="N346" s="539" t="n"/>
      <c r="O346" s="539" t="n"/>
      <c r="P346" s="539"/>
      <c r="Q346" s="539"/>
      <c r="R346" s="539">
        <f>AI346</f>
      </c>
      <c r="S346" s="23">
        <f>Y346*100</f>
      </c>
      <c r="T346" s="539">
        <f>ROUND(R346*S346/100,-1)</f>
      </c>
      <c r="U346" s="539">
        <f>IF(Q346=0,"",(T346-Q346)/Q346*100)</f>
      </c>
      <c r="V346" s="27" t="n"/>
      <c r="W346" s="601"/>
      <c r="X346" s="602">
        <f>($W$5-K346)/365</f>
      </c>
      <c r="Y346" s="127">
        <f>(W346-X346)/W346</f>
      </c>
      <c r="Z346" s="127"/>
      <c r="AA346" s="127">
        <f>Y346/2+Z346/2</f>
      </c>
      <c r="AB346" s="603">
        <f>P346/I346</f>
      </c>
      <c r="AC346" s="604">
        <f>AB346*AD346</f>
      </c>
      <c r="AD346" s="129"/>
      <c r="AE346" s="583" t="n"/>
      <c r="AF346" s="583">
        <f>AC346*0.13/(1+0.13)</f>
      </c>
      <c r="AG346" s="605">
        <f>AC346-AF346</f>
      </c>
      <c r="AH346" s="605">
        <f>AC346*I346</f>
      </c>
      <c r="AI346" s="583">
        <f>ROUND(AG346*I346,-1)</f>
      </c>
    </row>
    <row r="347" ht="15.5" customHeight="1">
      <c r="A347" s="63" t="n"/>
      <c r="B347" s="56"/>
      <c r="C347" s="56"/>
      <c r="D347" s="59" t="n"/>
      <c r="E347" s="63" t="n"/>
      <c r="F347" s="24" t="n"/>
      <c r="G347" s="63"/>
      <c r="H347" s="21"/>
      <c r="I347" s="23"/>
      <c r="J347" s="558"/>
      <c r="K347" s="558"/>
      <c r="L347" s="539" t="n"/>
      <c r="M347" s="539" t="n"/>
      <c r="N347" s="539" t="n"/>
      <c r="O347" s="539" t="n"/>
      <c r="P347" s="539"/>
      <c r="Q347" s="539"/>
      <c r="R347" s="539">
        <f>AI347</f>
      </c>
      <c r="S347" s="23">
        <f>Y347*100</f>
      </c>
      <c r="T347" s="539">
        <f>ROUND(R347*S347/100,-1)</f>
      </c>
      <c r="U347" s="539">
        <f>IF(Q347=0,"",(T347-Q347)/Q347*100)</f>
      </c>
      <c r="V347" s="27" t="n"/>
      <c r="W347" s="601"/>
      <c r="X347" s="602">
        <f>($W$5-K347)/365</f>
      </c>
      <c r="Y347" s="127">
        <f>(W347-X347)/W347</f>
      </c>
      <c r="Z347" s="127"/>
      <c r="AA347" s="127">
        <f>Y347/2+Z347/2</f>
      </c>
      <c r="AB347" s="603">
        <f>P347/I347</f>
      </c>
      <c r="AC347" s="604">
        <f>AB347*AD347</f>
      </c>
      <c r="AD347" s="129"/>
      <c r="AE347" s="583" t="n"/>
      <c r="AF347" s="583">
        <f>AC347*0.13/(1+0.13)</f>
      </c>
      <c r="AG347" s="605">
        <f>AC347-AF347</f>
      </c>
      <c r="AH347" s="605">
        <f>AC347*I347</f>
      </c>
      <c r="AI347" s="583">
        <f>ROUND(AG347*I347,-1)</f>
      </c>
    </row>
    <row r="348" ht="15.5" customHeight="1">
      <c r="A348" s="63" t="n"/>
      <c r="B348" s="56"/>
      <c r="C348" s="56"/>
      <c r="D348" s="59" t="n"/>
      <c r="E348" s="63" t="n"/>
      <c r="F348" s="24" t="n"/>
      <c r="G348" s="63"/>
      <c r="H348" s="21"/>
      <c r="I348" s="23"/>
      <c r="J348" s="558"/>
      <c r="K348" s="558"/>
      <c r="L348" s="539" t="n"/>
      <c r="M348" s="539" t="n"/>
      <c r="N348" s="539" t="n"/>
      <c r="O348" s="539" t="n"/>
      <c r="P348" s="539"/>
      <c r="Q348" s="539"/>
      <c r="R348" s="539">
        <f>AI348</f>
      </c>
      <c r="S348" s="23">
        <f>Y348*100</f>
      </c>
      <c r="T348" s="539">
        <f>ROUND(R348*S348/100,-1)</f>
      </c>
      <c r="U348" s="539">
        <f>IF(Q348=0,"",(T348-Q348)/Q348*100)</f>
      </c>
      <c r="V348" s="27" t="n"/>
      <c r="W348" s="601"/>
      <c r="X348" s="602">
        <f>($W$5-K348)/365</f>
      </c>
      <c r="Y348" s="127">
        <f>(W348-X348)/W348</f>
      </c>
      <c r="Z348" s="127"/>
      <c r="AA348" s="127">
        <f>Y348/2+Z348/2</f>
      </c>
      <c r="AB348" s="603">
        <f>P348/I348</f>
      </c>
      <c r="AC348" s="604">
        <f>AB348*AD348</f>
      </c>
      <c r="AD348" s="129"/>
      <c r="AE348" s="583" t="n"/>
      <c r="AF348" s="583">
        <f>AC348*0.13/(1+0.13)</f>
      </c>
      <c r="AG348" s="605">
        <f>AC348-AF348</f>
      </c>
      <c r="AH348" s="605">
        <f>AC348*I348</f>
      </c>
      <c r="AI348" s="583">
        <f>ROUND(AG348*I348,-1)</f>
      </c>
    </row>
    <row r="349" ht="15.5" customHeight="1">
      <c r="A349" s="63" t="n"/>
      <c r="B349" s="56"/>
      <c r="C349" s="56"/>
      <c r="D349" s="59" t="n"/>
      <c r="E349" s="63" t="n"/>
      <c r="F349" s="24" t="n"/>
      <c r="G349" s="63"/>
      <c r="H349" s="21"/>
      <c r="I349" s="23"/>
      <c r="J349" s="558"/>
      <c r="K349" s="558"/>
      <c r="L349" s="539" t="n"/>
      <c r="M349" s="539" t="n"/>
      <c r="N349" s="539" t="n"/>
      <c r="O349" s="539" t="n"/>
      <c r="P349" s="539"/>
      <c r="Q349" s="539"/>
      <c r="R349" s="539">
        <f>AI349</f>
      </c>
      <c r="S349" s="23">
        <f>Y349*100</f>
      </c>
      <c r="T349" s="539">
        <f>ROUND(R349*S349/100,-1)</f>
      </c>
      <c r="U349" s="539">
        <f>IF(Q349=0,"",(T349-Q349)/Q349*100)</f>
      </c>
      <c r="V349" s="27" t="n"/>
      <c r="W349" s="601"/>
      <c r="X349" s="602">
        <f>($W$5-K349)/365</f>
      </c>
      <c r="Y349" s="127">
        <f>(W349-X349)/W349</f>
      </c>
      <c r="Z349" s="127"/>
      <c r="AA349" s="127">
        <f>Y349/2+Z349/2</f>
      </c>
      <c r="AB349" s="603">
        <f>P349/I349</f>
      </c>
      <c r="AC349" s="604">
        <f>AB349*AD349</f>
      </c>
      <c r="AD349" s="129"/>
      <c r="AE349" s="583" t="n"/>
      <c r="AF349" s="583">
        <f>AC349*0.13/(1+0.13)</f>
      </c>
      <c r="AG349" s="605">
        <f>AC349-AF349</f>
      </c>
      <c r="AH349" s="605">
        <f>AC349*I349</f>
      </c>
      <c r="AI349" s="583">
        <f>ROUND(AG349*I349,-1)</f>
      </c>
    </row>
    <row r="350" ht="15.5" customHeight="1">
      <c r="A350" s="63" t="n"/>
      <c r="B350" s="56"/>
      <c r="C350" s="56"/>
      <c r="D350" s="59" t="n"/>
      <c r="E350" s="63" t="n"/>
      <c r="F350" s="24" t="n"/>
      <c r="G350" s="63"/>
      <c r="H350" s="21"/>
      <c r="I350" s="23"/>
      <c r="J350" s="558"/>
      <c r="K350" s="558"/>
      <c r="L350" s="539" t="n"/>
      <c r="M350" s="539" t="n"/>
      <c r="N350" s="539" t="n"/>
      <c r="O350" s="539" t="n"/>
      <c r="P350" s="539"/>
      <c r="Q350" s="539"/>
      <c r="R350" s="539">
        <f>AI350</f>
      </c>
      <c r="S350" s="23">
        <f>Y350*100</f>
      </c>
      <c r="T350" s="539">
        <f>ROUND(R350*S350/100,-1)</f>
      </c>
      <c r="U350" s="539">
        <f>IF(Q350=0,"",(T350-Q350)/Q350*100)</f>
      </c>
      <c r="V350" s="27" t="n"/>
      <c r="W350" s="601"/>
      <c r="X350" s="602">
        <f>($W$5-K350)/365</f>
      </c>
      <c r="Y350" s="127">
        <f>(W350-X350)/W350</f>
      </c>
      <c r="Z350" s="127"/>
      <c r="AA350" s="127">
        <f>Y350/2+Z350/2</f>
      </c>
      <c r="AB350" s="603">
        <f>P350/I350</f>
      </c>
      <c r="AC350" s="604">
        <f>AB350*AD350</f>
      </c>
      <c r="AD350" s="129"/>
      <c r="AE350" s="583" t="n"/>
      <c r="AF350" s="583">
        <f>AC350*0.13/(1+0.13)</f>
      </c>
      <c r="AG350" s="605">
        <f>AC350-AF350</f>
      </c>
      <c r="AH350" s="605">
        <f>AC350*I350</f>
      </c>
      <c r="AI350" s="583">
        <f>ROUND(AG350*I350,-1)</f>
      </c>
    </row>
    <row r="351" ht="15.5" customHeight="1">
      <c r="A351" s="63" t="n"/>
      <c r="B351" s="56"/>
      <c r="C351" s="56"/>
      <c r="D351" s="59" t="n"/>
      <c r="E351" s="63" t="n"/>
      <c r="F351" s="24" t="n"/>
      <c r="G351" s="63"/>
      <c r="H351" s="21"/>
      <c r="I351" s="23"/>
      <c r="J351" s="558"/>
      <c r="K351" s="558"/>
      <c r="L351" s="539" t="n"/>
      <c r="M351" s="539" t="n"/>
      <c r="N351" s="539" t="n"/>
      <c r="O351" s="539" t="n"/>
      <c r="P351" s="539"/>
      <c r="Q351" s="539"/>
      <c r="R351" s="539">
        <f>AI351</f>
      </c>
      <c r="S351" s="23">
        <f>Y351*100</f>
      </c>
      <c r="T351" s="539">
        <f>ROUND(R351*S351/100,-1)</f>
      </c>
      <c r="U351" s="539">
        <f>IF(Q351=0,"",(T351-Q351)/Q351*100)</f>
      </c>
      <c r="V351" s="27" t="n"/>
      <c r="W351" s="601"/>
      <c r="X351" s="602">
        <f>($W$5-K351)/365</f>
      </c>
      <c r="Y351" s="127">
        <f>(W351-X351)/W351</f>
      </c>
      <c r="Z351" s="127"/>
      <c r="AA351" s="127">
        <f>Y351/2+Z351/2</f>
      </c>
      <c r="AB351" s="603">
        <f>P351/I351</f>
      </c>
      <c r="AC351" s="604">
        <f>AB351*AD351</f>
      </c>
      <c r="AD351" s="129"/>
      <c r="AE351" s="583" t="n"/>
      <c r="AF351" s="583">
        <f>AC351*0.13/(1+0.13)</f>
      </c>
      <c r="AG351" s="605">
        <f>AC351-AF351</f>
      </c>
      <c r="AH351" s="605">
        <f>AC351*I351</f>
      </c>
      <c r="AI351" s="583">
        <f>ROUND(AG351*I351,-1)</f>
      </c>
    </row>
    <row r="352" ht="15.5" customHeight="1">
      <c r="A352" s="63" t="n"/>
      <c r="B352" s="56"/>
      <c r="C352" s="56"/>
      <c r="D352" s="59" t="n"/>
      <c r="E352" s="63" t="n"/>
      <c r="F352" s="24" t="n"/>
      <c r="G352" s="63"/>
      <c r="H352" s="21"/>
      <c r="I352" s="23"/>
      <c r="J352" s="558"/>
      <c r="K352" s="558"/>
      <c r="L352" s="539" t="n"/>
      <c r="M352" s="539" t="n"/>
      <c r="N352" s="539" t="n"/>
      <c r="O352" s="539" t="n"/>
      <c r="P352" s="539"/>
      <c r="Q352" s="539"/>
      <c r="R352" s="539">
        <f>AI352</f>
      </c>
      <c r="S352" s="23">
        <f>Y352*100</f>
      </c>
      <c r="T352" s="539">
        <f>ROUND(R352*S352/100,-1)</f>
      </c>
      <c r="U352" s="539">
        <f>IF(Q352=0,"",(T352-Q352)/Q352*100)</f>
      </c>
      <c r="V352" s="27" t="n"/>
      <c r="W352" s="601"/>
      <c r="X352" s="602">
        <f>($W$5-K352)/365</f>
      </c>
      <c r="Y352" s="127">
        <f>(W352-X352)/W352</f>
      </c>
      <c r="Z352" s="127"/>
      <c r="AA352" s="127">
        <f>Y352/2+Z352/2</f>
      </c>
      <c r="AB352" s="603">
        <f>P352/I352</f>
      </c>
      <c r="AC352" s="604">
        <f>AB352*AD352</f>
      </c>
      <c r="AD352" s="129"/>
      <c r="AE352" s="583" t="n"/>
      <c r="AF352" s="583">
        <f>AC352*0.13/(1+0.13)</f>
      </c>
      <c r="AG352" s="605">
        <f>AC352-AF352</f>
      </c>
      <c r="AH352" s="605">
        <f>AC352*I352</f>
      </c>
      <c r="AI352" s="583">
        <f>ROUND(AG352*I352,-1)</f>
      </c>
    </row>
    <row r="353" ht="15.5" customHeight="1">
      <c r="A353" s="63" t="n"/>
      <c r="B353" s="56"/>
      <c r="C353" s="56"/>
      <c r="D353" s="59" t="n"/>
      <c r="E353" s="63" t="n"/>
      <c r="F353" s="24" t="n"/>
      <c r="G353" s="63"/>
      <c r="H353" s="21"/>
      <c r="I353" s="23"/>
      <c r="J353" s="558"/>
      <c r="K353" s="558"/>
      <c r="L353" s="539" t="n"/>
      <c r="M353" s="539" t="n"/>
      <c r="N353" s="539" t="n"/>
      <c r="O353" s="539" t="n"/>
      <c r="P353" s="539"/>
      <c r="Q353" s="539"/>
      <c r="R353" s="539">
        <f>AI353</f>
      </c>
      <c r="S353" s="23">
        <f>Y353*100</f>
      </c>
      <c r="T353" s="539">
        <f>ROUND(R353*S353/100,-1)</f>
      </c>
      <c r="U353" s="539">
        <f>IF(Q353=0,"",(T353-Q353)/Q353*100)</f>
      </c>
      <c r="V353" s="27" t="n"/>
      <c r="W353" s="601"/>
      <c r="X353" s="602">
        <f>($W$5-K353)/365</f>
      </c>
      <c r="Y353" s="127">
        <f>(W353-X353)/W353</f>
      </c>
      <c r="Z353" s="127"/>
      <c r="AA353" s="127">
        <f>Y353/2+Z353/2</f>
      </c>
      <c r="AB353" s="603">
        <f>P353/I353</f>
      </c>
      <c r="AC353" s="604">
        <f>AB353*AD353</f>
      </c>
      <c r="AD353" s="129"/>
      <c r="AE353" s="583" t="n"/>
      <c r="AF353" s="583">
        <f>AC353*0.13/(1+0.13)</f>
      </c>
      <c r="AG353" s="605">
        <f>AC353-AF353</f>
      </c>
      <c r="AH353" s="605">
        <f>AC353*I353</f>
      </c>
      <c r="AI353" s="583">
        <f>ROUND(AG353*I353,-1)</f>
      </c>
    </row>
    <row r="354" ht="15.5" customHeight="1">
      <c r="A354" s="63" t="n"/>
      <c r="B354" s="56"/>
      <c r="C354" s="56"/>
      <c r="D354" s="59" t="n"/>
      <c r="E354" s="63" t="n"/>
      <c r="F354" s="24" t="n"/>
      <c r="G354" s="63"/>
      <c r="H354" s="21"/>
      <c r="I354" s="23"/>
      <c r="J354" s="558"/>
      <c r="K354" s="558"/>
      <c r="L354" s="539" t="n"/>
      <c r="M354" s="539" t="n"/>
      <c r="N354" s="539" t="n"/>
      <c r="O354" s="539" t="n"/>
      <c r="P354" s="539"/>
      <c r="Q354" s="539"/>
      <c r="R354" s="539">
        <f>AI354</f>
      </c>
      <c r="S354" s="23">
        <f>Y354*100</f>
      </c>
      <c r="T354" s="539">
        <f>ROUND(R354*S354/100,-1)</f>
      </c>
      <c r="U354" s="539">
        <f>IF(Q354=0,"",(T354-Q354)/Q354*100)</f>
      </c>
      <c r="V354" s="27" t="n"/>
      <c r="W354" s="601"/>
      <c r="X354" s="602">
        <f>($W$5-K354)/365</f>
      </c>
      <c r="Y354" s="127">
        <f>(W354-X354)/W354</f>
      </c>
      <c r="Z354" s="127"/>
      <c r="AA354" s="127">
        <f>Y354/2+Z354/2</f>
      </c>
      <c r="AB354" s="603">
        <f>P354/I354</f>
      </c>
      <c r="AC354" s="604">
        <f>AB354*AD354</f>
      </c>
      <c r="AD354" s="129"/>
      <c r="AE354" s="583" t="n"/>
      <c r="AF354" s="583">
        <f>AC354*0.13/(1+0.13)</f>
      </c>
      <c r="AG354" s="605">
        <f>AC354-AF354</f>
      </c>
      <c r="AH354" s="605">
        <f>AC354*I354</f>
      </c>
      <c r="AI354" s="583">
        <f>ROUND(AG354*I354,-1)</f>
      </c>
    </row>
    <row r="355" ht="15.5" customHeight="1">
      <c r="A355" s="63" t="n"/>
      <c r="B355" s="56"/>
      <c r="C355" s="56"/>
      <c r="D355" s="59" t="n"/>
      <c r="E355" s="63" t="n"/>
      <c r="F355" s="24" t="n"/>
      <c r="G355" s="63"/>
      <c r="H355" s="21"/>
      <c r="I355" s="23"/>
      <c r="J355" s="558"/>
      <c r="K355" s="558"/>
      <c r="L355" s="539" t="n"/>
      <c r="M355" s="539" t="n"/>
      <c r="N355" s="539" t="n"/>
      <c r="O355" s="539" t="n"/>
      <c r="P355" s="539"/>
      <c r="Q355" s="539"/>
      <c r="R355" s="539">
        <f>AI355</f>
      </c>
      <c r="S355" s="23">
        <f>Y355*100</f>
      </c>
      <c r="T355" s="539">
        <f>ROUND(R355*S355/100,-1)</f>
      </c>
      <c r="U355" s="539">
        <f>IF(Q355=0,"",(T355-Q355)/Q355*100)</f>
      </c>
      <c r="V355" s="27" t="n"/>
      <c r="W355" s="601"/>
      <c r="X355" s="602">
        <f>($W$5-K355)/365</f>
      </c>
      <c r="Y355" s="127">
        <f>(W355-X355)/W355</f>
      </c>
      <c r="Z355" s="127"/>
      <c r="AA355" s="127">
        <f>Y355/2+Z355/2</f>
      </c>
      <c r="AB355" s="603">
        <f>P355/I355</f>
      </c>
      <c r="AC355" s="604">
        <f>AB355*AD355</f>
      </c>
      <c r="AD355" s="129"/>
      <c r="AE355" s="583" t="n"/>
      <c r="AF355" s="583">
        <f>AC355*0.13/(1+0.13)</f>
      </c>
      <c r="AG355" s="605">
        <f>AC355-AF355</f>
      </c>
      <c r="AH355" s="605">
        <f>AC355*I355</f>
      </c>
      <c r="AI355" s="583">
        <f>ROUND(AG355*I355,-1)</f>
      </c>
    </row>
    <row r="356" ht="15.5" customHeight="1">
      <c r="A356" s="63" t="n"/>
      <c r="B356" s="56"/>
      <c r="C356" s="56"/>
      <c r="D356" s="59" t="n"/>
      <c r="E356" s="63" t="n"/>
      <c r="F356" s="24" t="n"/>
      <c r="G356" s="63"/>
      <c r="H356" s="21"/>
      <c r="I356" s="23"/>
      <c r="J356" s="558"/>
      <c r="K356" s="558"/>
      <c r="L356" s="539" t="n"/>
      <c r="M356" s="539" t="n"/>
      <c r="N356" s="539" t="n"/>
      <c r="O356" s="539" t="n"/>
      <c r="P356" s="539"/>
      <c r="Q356" s="539"/>
      <c r="R356" s="539">
        <f>AI356</f>
      </c>
      <c r="S356" s="23">
        <f>Y356*100</f>
      </c>
      <c r="T356" s="539">
        <f>ROUND(R356*S356/100,-1)</f>
      </c>
      <c r="U356" s="539">
        <f>IF(Q356=0,"",(T356-Q356)/Q356*100)</f>
      </c>
      <c r="V356" s="27" t="n"/>
      <c r="W356" s="601"/>
      <c r="X356" s="602">
        <f>($W$5-K356)/365</f>
      </c>
      <c r="Y356" s="127">
        <f>(W356-X356)/W356</f>
      </c>
      <c r="Z356" s="127"/>
      <c r="AA356" s="127">
        <f>Y356/2+Z356/2</f>
      </c>
      <c r="AB356" s="603">
        <f>P356/I356</f>
      </c>
      <c r="AC356" s="604">
        <f>AB356*AD356</f>
      </c>
      <c r="AD356" s="129"/>
      <c r="AE356" s="583" t="n"/>
      <c r="AF356" s="583">
        <f>AC356*0.13/(1+0.13)</f>
      </c>
      <c r="AG356" s="605">
        <f>AC356-AF356</f>
      </c>
      <c r="AH356" s="605">
        <f>AC356*I356</f>
      </c>
      <c r="AI356" s="583">
        <f>ROUND(AG356*I356,-1)</f>
      </c>
    </row>
    <row r="357" ht="15.5" customHeight="1">
      <c r="A357" s="63" t="n"/>
      <c r="B357" s="56"/>
      <c r="C357" s="56"/>
      <c r="D357" s="59" t="n"/>
      <c r="E357" s="63" t="n"/>
      <c r="F357" s="24" t="n"/>
      <c r="G357" s="63"/>
      <c r="H357" s="21"/>
      <c r="I357" s="23"/>
      <c r="J357" s="558"/>
      <c r="K357" s="558"/>
      <c r="L357" s="539" t="n"/>
      <c r="M357" s="539" t="n"/>
      <c r="N357" s="539" t="n"/>
      <c r="O357" s="539" t="n"/>
      <c r="P357" s="539"/>
      <c r="Q357" s="539"/>
      <c r="R357" s="539">
        <f>AI357</f>
      </c>
      <c r="S357" s="23">
        <f>Y357*100</f>
      </c>
      <c r="T357" s="539">
        <f>ROUND(R357*S357/100,-1)</f>
      </c>
      <c r="U357" s="539">
        <f>IF(Q357=0,"",(T357-Q357)/Q357*100)</f>
      </c>
      <c r="V357" s="27" t="n"/>
      <c r="W357" s="601"/>
      <c r="X357" s="602">
        <f>($W$5-K357)/365</f>
      </c>
      <c r="Y357" s="127">
        <f>(W357-X357)/W357</f>
      </c>
      <c r="Z357" s="127"/>
      <c r="AA357" s="127">
        <f>Y357/2+Z357/2</f>
      </c>
      <c r="AB357" s="603">
        <f>P357/I357</f>
      </c>
      <c r="AC357" s="604">
        <f>AB357*AD357</f>
      </c>
      <c r="AD357" s="129"/>
      <c r="AE357" s="583" t="n"/>
      <c r="AF357" s="583">
        <f>AC357*0.13/(1+0.13)</f>
      </c>
      <c r="AG357" s="605">
        <f>AC357-AF357</f>
      </c>
      <c r="AH357" s="605">
        <f>AC357*I357</f>
      </c>
      <c r="AI357" s="583">
        <f>ROUND(AG357*I357,-1)</f>
      </c>
    </row>
    <row r="358" ht="15.5" customHeight="1">
      <c r="A358" s="63" t="n"/>
      <c r="B358" s="56"/>
      <c r="C358" s="56"/>
      <c r="D358" s="59" t="n"/>
      <c r="E358" s="63" t="n"/>
      <c r="F358" s="24" t="n"/>
      <c r="G358" s="63"/>
      <c r="H358" s="21"/>
      <c r="I358" s="23"/>
      <c r="J358" s="558"/>
      <c r="K358" s="558"/>
      <c r="L358" s="539" t="n"/>
      <c r="M358" s="539" t="n"/>
      <c r="N358" s="539" t="n"/>
      <c r="O358" s="539" t="n"/>
      <c r="P358" s="539"/>
      <c r="Q358" s="539"/>
      <c r="R358" s="539">
        <f>AI358</f>
      </c>
      <c r="S358" s="23">
        <f>Y358*100</f>
      </c>
      <c r="T358" s="539">
        <f>ROUND(R358*S358/100,-1)</f>
      </c>
      <c r="U358" s="539">
        <f>IF(Q358=0,"",(T358-Q358)/Q358*100)</f>
      </c>
      <c r="V358" s="27" t="n"/>
      <c r="W358" s="601"/>
      <c r="X358" s="602">
        <f>($W$5-K358)/365</f>
      </c>
      <c r="Y358" s="127">
        <f>(W358-X358)/W358</f>
      </c>
      <c r="Z358" s="127"/>
      <c r="AA358" s="127">
        <f>Y358/2+Z358/2</f>
      </c>
      <c r="AB358" s="603">
        <f>P358/I358</f>
      </c>
      <c r="AC358" s="604">
        <f>AB358*AD358</f>
      </c>
      <c r="AD358" s="129"/>
      <c r="AE358" s="583" t="n"/>
      <c r="AF358" s="583">
        <f>AC358*0.13/(1+0.13)</f>
      </c>
      <c r="AG358" s="605">
        <f>AC358-AF358</f>
      </c>
      <c r="AH358" s="605">
        <f>AC358*I358</f>
      </c>
      <c r="AI358" s="583">
        <f>ROUND(AG358*I358,-1)</f>
      </c>
    </row>
    <row r="359" ht="15.5" customHeight="1">
      <c r="A359" s="63" t="n"/>
      <c r="B359" s="56"/>
      <c r="C359" s="56"/>
      <c r="D359" s="59" t="n"/>
      <c r="E359" s="63" t="n"/>
      <c r="F359" s="24" t="n"/>
      <c r="G359" s="63"/>
      <c r="H359" s="21"/>
      <c r="I359" s="23"/>
      <c r="J359" s="558"/>
      <c r="K359" s="558"/>
      <c r="L359" s="539" t="n"/>
      <c r="M359" s="539" t="n"/>
      <c r="N359" s="539" t="n"/>
      <c r="O359" s="539" t="n"/>
      <c r="P359" s="539"/>
      <c r="Q359" s="539"/>
      <c r="R359" s="539">
        <f>AI359</f>
      </c>
      <c r="S359" s="23">
        <f>Y359*100</f>
      </c>
      <c r="T359" s="539">
        <f>ROUND(R359*S359/100,-1)</f>
      </c>
      <c r="U359" s="539">
        <f>IF(Q359=0,"",(T359-Q359)/Q359*100)</f>
      </c>
      <c r="V359" s="27" t="n"/>
      <c r="W359" s="601"/>
      <c r="X359" s="602">
        <f>($W$5-K359)/365</f>
      </c>
      <c r="Y359" s="127">
        <f>(W359-X359)/W359</f>
      </c>
      <c r="Z359" s="127"/>
      <c r="AA359" s="127">
        <f>Y359/2+Z359/2</f>
      </c>
      <c r="AB359" s="603">
        <f>P359/I359</f>
      </c>
      <c r="AC359" s="604">
        <f>AB359*AD359</f>
      </c>
      <c r="AD359" s="129"/>
      <c r="AE359" s="583" t="n"/>
      <c r="AF359" s="583">
        <f>AC359*0.13/(1+0.13)</f>
      </c>
      <c r="AG359" s="605">
        <f>AC359-AF359</f>
      </c>
      <c r="AH359" s="605">
        <f>AC359*I359</f>
      </c>
      <c r="AI359" s="583">
        <f>ROUND(AG359*I359,-1)</f>
      </c>
    </row>
    <row r="360" ht="15.5" customHeight="1">
      <c r="A360" s="63" t="n"/>
      <c r="B360" s="56"/>
      <c r="C360" s="56"/>
      <c r="D360" s="59" t="n"/>
      <c r="E360" s="63" t="n"/>
      <c r="F360" s="24" t="n"/>
      <c r="G360" s="63"/>
      <c r="H360" s="21"/>
      <c r="I360" s="23"/>
      <c r="J360" s="558"/>
      <c r="K360" s="558"/>
      <c r="L360" s="539" t="n"/>
      <c r="M360" s="539" t="n"/>
      <c r="N360" s="539" t="n"/>
      <c r="O360" s="539" t="n"/>
      <c r="P360" s="539"/>
      <c r="Q360" s="539"/>
      <c r="R360" s="539">
        <f>AI360</f>
      </c>
      <c r="S360" s="23">
        <f>Y360*100</f>
      </c>
      <c r="T360" s="539">
        <f>ROUND(R360*S360/100,-1)</f>
      </c>
      <c r="U360" s="539">
        <f>IF(Q360=0,"",(T360-Q360)/Q360*100)</f>
      </c>
      <c r="V360" s="27" t="n"/>
      <c r="W360" s="601"/>
      <c r="X360" s="602">
        <f>($W$5-K360)/365</f>
      </c>
      <c r="Y360" s="127">
        <f>(W360-X360)/W360</f>
      </c>
      <c r="Z360" s="127"/>
      <c r="AA360" s="127">
        <f>Y360/2+Z360/2</f>
      </c>
      <c r="AB360" s="603">
        <f>P360/I360</f>
      </c>
      <c r="AC360" s="604">
        <f>AB360*AD360</f>
      </c>
      <c r="AD360" s="129"/>
      <c r="AE360" s="583" t="n"/>
      <c r="AF360" s="583">
        <f>AC360*0.13/(1+0.13)</f>
      </c>
      <c r="AG360" s="605">
        <f>AC360-AF360</f>
      </c>
      <c r="AH360" s="605">
        <f>AC360*I360</f>
      </c>
      <c r="AI360" s="583">
        <f>ROUND(AG360*I360,-1)</f>
      </c>
    </row>
    <row r="361" ht="15.5" customHeight="1">
      <c r="A361" s="63" t="n"/>
      <c r="B361" s="56"/>
      <c r="C361" s="56"/>
      <c r="D361" s="59" t="n"/>
      <c r="E361" s="63" t="n"/>
      <c r="F361" s="24" t="n"/>
      <c r="G361" s="63"/>
      <c r="H361" s="21"/>
      <c r="I361" s="23"/>
      <c r="J361" s="558"/>
      <c r="K361" s="558"/>
      <c r="L361" s="539" t="n"/>
      <c r="M361" s="539" t="n"/>
      <c r="N361" s="539" t="n"/>
      <c r="O361" s="539" t="n"/>
      <c r="P361" s="539"/>
      <c r="Q361" s="539"/>
      <c r="R361" s="539">
        <f>AI361</f>
      </c>
      <c r="S361" s="23">
        <f>Y361*100</f>
      </c>
      <c r="T361" s="539">
        <f>ROUND(R361*S361/100,-1)</f>
      </c>
      <c r="U361" s="539">
        <f>IF(Q361=0,"",(T361-Q361)/Q361*100)</f>
      </c>
      <c r="V361" s="27" t="n"/>
      <c r="W361" s="601"/>
      <c r="X361" s="602">
        <f>($W$5-K361)/365</f>
      </c>
      <c r="Y361" s="127">
        <f>(W361-X361)/W361</f>
      </c>
      <c r="Z361" s="127"/>
      <c r="AA361" s="127">
        <f>Y361/2+Z361/2</f>
      </c>
      <c r="AB361" s="603">
        <f>P361/I361</f>
      </c>
      <c r="AC361" s="604">
        <f>AB361*AD361</f>
      </c>
      <c r="AD361" s="129"/>
      <c r="AE361" s="583" t="n"/>
      <c r="AF361" s="583">
        <f>AC361*0.13/(1+0.13)</f>
      </c>
      <c r="AG361" s="605">
        <f>AC361-AF361</f>
      </c>
      <c r="AH361" s="605">
        <f>AC361*I361</f>
      </c>
      <c r="AI361" s="583">
        <f>ROUND(AG361*I361,-1)</f>
      </c>
    </row>
    <row r="362" ht="15.5" customHeight="1">
      <c r="A362" s="63" t="n"/>
      <c r="B362" s="56"/>
      <c r="C362" s="56"/>
      <c r="D362" s="59" t="n"/>
      <c r="E362" s="63" t="n"/>
      <c r="F362" s="24" t="n"/>
      <c r="G362" s="63"/>
      <c r="H362" s="21"/>
      <c r="I362" s="23"/>
      <c r="J362" s="558"/>
      <c r="K362" s="558"/>
      <c r="L362" s="539" t="n"/>
      <c r="M362" s="539" t="n"/>
      <c r="N362" s="539" t="n"/>
      <c r="O362" s="539" t="n"/>
      <c r="P362" s="539"/>
      <c r="Q362" s="539"/>
      <c r="R362" s="539">
        <f>AI362</f>
      </c>
      <c r="S362" s="23">
        <f>Y362*100</f>
      </c>
      <c r="T362" s="539">
        <f>ROUND(R362*S362/100,-1)</f>
      </c>
      <c r="U362" s="539">
        <f>IF(Q362=0,"",(T362-Q362)/Q362*100)</f>
      </c>
      <c r="V362" s="27" t="n"/>
      <c r="W362" s="601"/>
      <c r="X362" s="602">
        <f>($W$5-K362)/365</f>
      </c>
      <c r="Y362" s="127">
        <f>(W362-X362)/W362</f>
      </c>
      <c r="Z362" s="127"/>
      <c r="AA362" s="127">
        <f>Y362/2+Z362/2</f>
      </c>
      <c r="AB362" s="603">
        <f>P362/I362</f>
      </c>
      <c r="AC362" s="604">
        <f>AB362*AD362</f>
      </c>
      <c r="AD362" s="129"/>
      <c r="AE362" s="583" t="n"/>
      <c r="AF362" s="583">
        <f>AC362*0.13/(1+0.13)</f>
      </c>
      <c r="AG362" s="605">
        <f>AC362-AF362</f>
      </c>
      <c r="AH362" s="605">
        <f>AC362*I362</f>
      </c>
      <c r="AI362" s="583">
        <f>ROUND(AG362*I362,-1)</f>
      </c>
    </row>
    <row r="363" ht="15.5" customHeight="1">
      <c r="A363" s="63" t="n"/>
      <c r="B363" s="56"/>
      <c r="C363" s="56"/>
      <c r="D363" s="59" t="n"/>
      <c r="E363" s="63" t="n"/>
      <c r="F363" s="24" t="n"/>
      <c r="G363" s="63"/>
      <c r="H363" s="21"/>
      <c r="I363" s="23"/>
      <c r="J363" s="558"/>
      <c r="K363" s="558"/>
      <c r="L363" s="539" t="n"/>
      <c r="M363" s="539" t="n"/>
      <c r="N363" s="539" t="n"/>
      <c r="O363" s="539" t="n"/>
      <c r="P363" s="539"/>
      <c r="Q363" s="539"/>
      <c r="R363" s="539">
        <f>AI363</f>
      </c>
      <c r="S363" s="23">
        <f>Y363*100</f>
      </c>
      <c r="T363" s="539">
        <f>ROUND(R363*S363/100,-1)</f>
      </c>
      <c r="U363" s="539">
        <f>IF(Q363=0,"",(T363-Q363)/Q363*100)</f>
      </c>
      <c r="V363" s="27" t="n"/>
      <c r="W363" s="601"/>
      <c r="X363" s="602">
        <f>($W$5-K363)/365</f>
      </c>
      <c r="Y363" s="127">
        <f>(W363-X363)/W363</f>
      </c>
      <c r="Z363" s="127"/>
      <c r="AA363" s="127">
        <f>Y363/2+Z363/2</f>
      </c>
      <c r="AB363" s="603">
        <f>P363/I363</f>
      </c>
      <c r="AC363" s="604">
        <f>AB363*AD363</f>
      </c>
      <c r="AD363" s="129"/>
      <c r="AE363" s="583" t="n"/>
      <c r="AF363" s="583">
        <f>AC363*0.13/(1+0.13)</f>
      </c>
      <c r="AG363" s="605">
        <f>AC363-AF363</f>
      </c>
      <c r="AH363" s="605">
        <f>AC363*I363</f>
      </c>
      <c r="AI363" s="583">
        <f>ROUND(AG363*I363,-1)</f>
      </c>
    </row>
    <row r="364" ht="15.5" customHeight="1">
      <c r="A364" s="63" t="n"/>
      <c r="B364" s="56"/>
      <c r="C364" s="56"/>
      <c r="D364" s="59" t="n"/>
      <c r="E364" s="63" t="n"/>
      <c r="F364" s="24" t="n"/>
      <c r="G364" s="63"/>
      <c r="H364" s="21"/>
      <c r="I364" s="23"/>
      <c r="J364" s="558"/>
      <c r="K364" s="558"/>
      <c r="L364" s="539" t="n"/>
      <c r="M364" s="539" t="n"/>
      <c r="N364" s="539" t="n"/>
      <c r="O364" s="539" t="n"/>
      <c r="P364" s="539"/>
      <c r="Q364" s="539"/>
      <c r="R364" s="539">
        <f>AI364</f>
      </c>
      <c r="S364" s="23">
        <f>Y364*100</f>
      </c>
      <c r="T364" s="539">
        <f>ROUND(R364*S364/100,-1)</f>
      </c>
      <c r="U364" s="539">
        <f>IF(Q364=0,"",(T364-Q364)/Q364*100)</f>
      </c>
      <c r="V364" s="27" t="n"/>
      <c r="W364" s="601"/>
      <c r="X364" s="602">
        <f>($W$5-K364)/365</f>
      </c>
      <c r="Y364" s="127">
        <f>(W364-X364)/W364</f>
      </c>
      <c r="Z364" s="127"/>
      <c r="AA364" s="127">
        <f>Y364/2+Z364/2</f>
      </c>
      <c r="AB364" s="603">
        <f>P364/I364</f>
      </c>
      <c r="AC364" s="604">
        <f>AB364*AD364</f>
      </c>
      <c r="AD364" s="129"/>
      <c r="AE364" s="583" t="n"/>
      <c r="AF364" s="583">
        <f>AC364*0.13/(1+0.13)</f>
      </c>
      <c r="AG364" s="605">
        <f>AC364-AF364</f>
      </c>
      <c r="AH364" s="605">
        <f>AC364*I364</f>
      </c>
      <c r="AI364" s="583">
        <f>ROUND(AG364*I364,-1)</f>
      </c>
    </row>
    <row r="365" ht="15.5" customHeight="1">
      <c r="A365" s="63" t="n"/>
      <c r="B365" s="56"/>
      <c r="C365" s="56"/>
      <c r="D365" s="59" t="n"/>
      <c r="E365" s="63" t="n"/>
      <c r="F365" s="24" t="n"/>
      <c r="G365" s="63"/>
      <c r="H365" s="21"/>
      <c r="I365" s="23"/>
      <c r="J365" s="558"/>
      <c r="K365" s="558"/>
      <c r="L365" s="539" t="n"/>
      <c r="M365" s="539" t="n"/>
      <c r="N365" s="539" t="n"/>
      <c r="O365" s="539" t="n"/>
      <c r="P365" s="539"/>
      <c r="Q365" s="539"/>
      <c r="R365" s="539">
        <f>AI365</f>
      </c>
      <c r="S365" s="23">
        <f>Y365*100</f>
      </c>
      <c r="T365" s="539">
        <f>ROUND(R365*S365/100,-1)</f>
      </c>
      <c r="U365" s="539">
        <f>IF(Q365=0,"",(T365-Q365)/Q365*100)</f>
      </c>
      <c r="V365" s="27" t="n"/>
      <c r="W365" s="601"/>
      <c r="X365" s="602">
        <f>($W$5-K365)/365</f>
      </c>
      <c r="Y365" s="127">
        <f>(W365-X365)/W365</f>
      </c>
      <c r="Z365" s="127"/>
      <c r="AA365" s="127">
        <f>Y365/2+Z365/2</f>
      </c>
      <c r="AB365" s="603">
        <f>P365/I365</f>
      </c>
      <c r="AC365" s="604">
        <f>AB365*AD365</f>
      </c>
      <c r="AD365" s="129"/>
      <c r="AE365" s="583" t="n"/>
      <c r="AF365" s="583">
        <f>AC365*0.13/(1+0.13)</f>
      </c>
      <c r="AG365" s="605">
        <f>AC365-AF365</f>
      </c>
      <c r="AH365" s="605">
        <f>AC365*I365</f>
      </c>
      <c r="AI365" s="583">
        <f>ROUND(AG365*I365,-1)</f>
      </c>
    </row>
    <row r="366" ht="15.5" customHeight="1">
      <c r="A366" s="63" t="n"/>
      <c r="B366" s="56"/>
      <c r="C366" s="56"/>
      <c r="D366" s="59" t="n"/>
      <c r="E366" s="63" t="n"/>
      <c r="F366" s="24" t="n"/>
      <c r="G366" s="63"/>
      <c r="H366" s="21"/>
      <c r="I366" s="23"/>
      <c r="J366" s="558"/>
      <c r="K366" s="558"/>
      <c r="L366" s="539" t="n"/>
      <c r="M366" s="539" t="n"/>
      <c r="N366" s="539" t="n"/>
      <c r="O366" s="539" t="n"/>
      <c r="P366" s="539"/>
      <c r="Q366" s="539"/>
      <c r="R366" s="539">
        <f>AI366</f>
      </c>
      <c r="S366" s="23">
        <f>Y366*100</f>
      </c>
      <c r="T366" s="539">
        <f>ROUND(R366*S366/100,-1)</f>
      </c>
      <c r="U366" s="539">
        <f>IF(Q366=0,"",(T366-Q366)/Q366*100)</f>
      </c>
      <c r="V366" s="27" t="n"/>
      <c r="W366" s="601"/>
      <c r="X366" s="602">
        <f>($W$5-K366)/365</f>
      </c>
      <c r="Y366" s="127">
        <f>(W366-X366)/W366</f>
      </c>
      <c r="Z366" s="127"/>
      <c r="AA366" s="127">
        <f>Y366/2+Z366/2</f>
      </c>
      <c r="AB366" s="603">
        <f>P366/I366</f>
      </c>
      <c r="AC366" s="604">
        <f>AB366*AD366</f>
      </c>
      <c r="AD366" s="129"/>
      <c r="AE366" s="583" t="n"/>
      <c r="AF366" s="583">
        <f>AC366*0.13/(1+0.13)</f>
      </c>
      <c r="AG366" s="605">
        <f>AC366-AF366</f>
      </c>
      <c r="AH366" s="605">
        <f>AC366*I366</f>
      </c>
      <c r="AI366" s="583">
        <f>ROUND(AG366*I366,-1)</f>
      </c>
    </row>
    <row r="367" ht="15.5" customHeight="1">
      <c r="A367" s="63" t="n"/>
      <c r="B367" s="56"/>
      <c r="C367" s="56"/>
      <c r="D367" s="59" t="n"/>
      <c r="E367" s="63" t="n"/>
      <c r="F367" s="24" t="n"/>
      <c r="G367" s="63"/>
      <c r="H367" s="21"/>
      <c r="I367" s="23"/>
      <c r="J367" s="558"/>
      <c r="K367" s="558"/>
      <c r="L367" s="539" t="n"/>
      <c r="M367" s="539" t="n"/>
      <c r="N367" s="539" t="n"/>
      <c r="O367" s="539" t="n"/>
      <c r="P367" s="539"/>
      <c r="Q367" s="539"/>
      <c r="R367" s="539">
        <f>AI367</f>
      </c>
      <c r="S367" s="23">
        <f>Y367*100</f>
      </c>
      <c r="T367" s="539">
        <f>ROUND(R367*S367/100,-1)</f>
      </c>
      <c r="U367" s="539">
        <f>IF(Q367=0,"",(T367-Q367)/Q367*100)</f>
      </c>
      <c r="V367" s="27" t="n"/>
      <c r="W367" s="601"/>
      <c r="X367" s="602">
        <f>($W$5-K367)/365</f>
      </c>
      <c r="Y367" s="127">
        <f>(W367-X367)/W367</f>
      </c>
      <c r="Z367" s="127"/>
      <c r="AA367" s="127">
        <f>Y367/2+Z367/2</f>
      </c>
      <c r="AB367" s="603">
        <f>P367/I367</f>
      </c>
      <c r="AC367" s="604">
        <f>AB367*AD367</f>
      </c>
      <c r="AD367" s="129"/>
      <c r="AE367" s="583" t="n"/>
      <c r="AF367" s="583">
        <f>AC367*0.13/(1+0.13)</f>
      </c>
      <c r="AG367" s="605">
        <f>AC367-AF367</f>
      </c>
      <c r="AH367" s="605">
        <f>AC367*I367</f>
      </c>
      <c r="AI367" s="583">
        <f>ROUND(AG367*I367,-1)</f>
      </c>
    </row>
    <row r="368" ht="15.5" customHeight="1">
      <c r="A368" s="63" t="n"/>
      <c r="B368" s="56"/>
      <c r="C368" s="56"/>
      <c r="D368" s="59" t="n"/>
      <c r="E368" s="63" t="n"/>
      <c r="F368" s="24" t="n"/>
      <c r="G368" s="63"/>
      <c r="H368" s="21"/>
      <c r="I368" s="23"/>
      <c r="J368" s="558"/>
      <c r="K368" s="558"/>
      <c r="L368" s="539" t="n"/>
      <c r="M368" s="539" t="n"/>
      <c r="N368" s="539" t="n"/>
      <c r="O368" s="539" t="n"/>
      <c r="P368" s="539"/>
      <c r="Q368" s="539"/>
      <c r="R368" s="539">
        <f>AI368</f>
      </c>
      <c r="S368" s="23">
        <f>Y368*100</f>
      </c>
      <c r="T368" s="539">
        <f>ROUND(R368*S368/100,-1)</f>
      </c>
      <c r="U368" s="539">
        <f>IF(Q368=0,"",(T368-Q368)/Q368*100)</f>
      </c>
      <c r="V368" s="27" t="n"/>
      <c r="W368" s="601"/>
      <c r="X368" s="602">
        <f>($W$5-K368)/365</f>
      </c>
      <c r="Y368" s="127">
        <f>(W368-X368)/W368</f>
      </c>
      <c r="Z368" s="127"/>
      <c r="AA368" s="127">
        <f>Y368/2+Z368/2</f>
      </c>
      <c r="AB368" s="603">
        <f>P368/I368</f>
      </c>
      <c r="AC368" s="604">
        <f>AB368*AD368</f>
      </c>
      <c r="AD368" s="129"/>
      <c r="AE368" s="583" t="n"/>
      <c r="AF368" s="583">
        <f>AC368*0.13/(1+0.13)</f>
      </c>
      <c r="AG368" s="605">
        <f>AC368-AF368</f>
      </c>
      <c r="AH368" s="605">
        <f>AC368*I368</f>
      </c>
      <c r="AI368" s="583">
        <f>ROUND(AG368*I368,-1)</f>
      </c>
    </row>
    <row r="369" ht="15.5" customHeight="1">
      <c r="A369" s="63" t="n"/>
      <c r="B369" s="56"/>
      <c r="C369" s="56"/>
      <c r="D369" s="59" t="n"/>
      <c r="E369" s="63" t="n"/>
      <c r="F369" s="24" t="n"/>
      <c r="G369" s="63"/>
      <c r="H369" s="21"/>
      <c r="I369" s="23"/>
      <c r="J369" s="558"/>
      <c r="K369" s="558"/>
      <c r="L369" s="539" t="n"/>
      <c r="M369" s="539" t="n"/>
      <c r="N369" s="539" t="n"/>
      <c r="O369" s="539" t="n"/>
      <c r="P369" s="539"/>
      <c r="Q369" s="539"/>
      <c r="R369" s="539">
        <f>AI369</f>
      </c>
      <c r="S369" s="23">
        <f>Y369*100</f>
      </c>
      <c r="T369" s="539">
        <f>ROUND(R369*S369/100,-1)</f>
      </c>
      <c r="U369" s="539">
        <f>IF(Q369=0,"",(T369-Q369)/Q369*100)</f>
      </c>
      <c r="V369" s="27" t="n"/>
      <c r="W369" s="601"/>
      <c r="X369" s="602">
        <f>($W$5-K369)/365</f>
      </c>
      <c r="Y369" s="127">
        <f>(W369-X369)/W369</f>
      </c>
      <c r="Z369" s="127"/>
      <c r="AA369" s="127">
        <f>Y369/2+Z369/2</f>
      </c>
      <c r="AB369" s="603">
        <f>P369/I369</f>
      </c>
      <c r="AC369" s="604">
        <f>AB369*AD369</f>
      </c>
      <c r="AD369" s="129"/>
      <c r="AE369" s="583" t="n"/>
      <c r="AF369" s="583">
        <f>AC369*0.13/(1+0.13)</f>
      </c>
      <c r="AG369" s="605">
        <f>AC369-AF369</f>
      </c>
      <c r="AH369" s="605">
        <f>AC369*I369</f>
      </c>
      <c r="AI369" s="583">
        <f>ROUND(AG369*I369,-1)</f>
      </c>
    </row>
    <row r="370" ht="15.5" customHeight="1">
      <c r="A370" s="63" t="n"/>
      <c r="B370" s="56"/>
      <c r="C370" s="56"/>
      <c r="D370" s="59" t="n"/>
      <c r="E370" s="63" t="n"/>
      <c r="F370" s="24" t="n"/>
      <c r="G370" s="63"/>
      <c r="H370" s="21"/>
      <c r="I370" s="23"/>
      <c r="J370" s="558"/>
      <c r="K370" s="558"/>
      <c r="L370" s="539" t="n"/>
      <c r="M370" s="539" t="n"/>
      <c r="N370" s="539" t="n"/>
      <c r="O370" s="539" t="n"/>
      <c r="P370" s="539"/>
      <c r="Q370" s="539"/>
      <c r="R370" s="539">
        <f>AI370</f>
      </c>
      <c r="S370" s="23">
        <f>Y370*100</f>
      </c>
      <c r="T370" s="539">
        <f>ROUND(R370*S370/100,-1)</f>
      </c>
      <c r="U370" s="539">
        <f>IF(Q370=0,"",(T370-Q370)/Q370*100)</f>
      </c>
      <c r="V370" s="27" t="n"/>
      <c r="W370" s="601"/>
      <c r="X370" s="602">
        <f>($W$5-K370)/365</f>
      </c>
      <c r="Y370" s="127">
        <f>(W370-X370)/W370</f>
      </c>
      <c r="Z370" s="127"/>
      <c r="AA370" s="127">
        <f>Y370/2+Z370/2</f>
      </c>
      <c r="AB370" s="603">
        <f>P370/I370</f>
      </c>
      <c r="AC370" s="604">
        <f>AB370*AD370</f>
      </c>
      <c r="AD370" s="129"/>
      <c r="AE370" s="583" t="n"/>
      <c r="AF370" s="583">
        <f>AC370*0.13/(1+0.13)</f>
      </c>
      <c r="AG370" s="605">
        <f>AC370-AF370</f>
      </c>
      <c r="AH370" s="605">
        <f>AC370*I370</f>
      </c>
      <c r="AI370" s="583">
        <f>ROUND(AG370*I370,-1)</f>
      </c>
    </row>
    <row r="371" ht="15.5" customHeight="1">
      <c r="A371" s="63" t="n"/>
      <c r="B371" s="56"/>
      <c r="C371" s="56"/>
      <c r="D371" s="59" t="n"/>
      <c r="E371" s="63" t="n"/>
      <c r="F371" s="24" t="n"/>
      <c r="G371" s="63"/>
      <c r="H371" s="21"/>
      <c r="I371" s="23"/>
      <c r="J371" s="558"/>
      <c r="K371" s="558"/>
      <c r="L371" s="539" t="n"/>
      <c r="M371" s="539" t="n"/>
      <c r="N371" s="539" t="n"/>
      <c r="O371" s="539" t="n"/>
      <c r="P371" s="539"/>
      <c r="Q371" s="539"/>
      <c r="R371" s="539">
        <f>AI371</f>
      </c>
      <c r="S371" s="23">
        <f>Y371*100</f>
      </c>
      <c r="T371" s="539">
        <f>ROUND(R371*S371/100,-1)</f>
      </c>
      <c r="U371" s="539">
        <f>IF(Q371=0,"",(T371-Q371)/Q371*100)</f>
      </c>
      <c r="V371" s="27" t="n"/>
      <c r="W371" s="601"/>
      <c r="X371" s="602">
        <f>($W$5-K371)/365</f>
      </c>
      <c r="Y371" s="127">
        <f>(W371-X371)/W371</f>
      </c>
      <c r="Z371" s="127"/>
      <c r="AA371" s="127">
        <f>Y371/2+Z371/2</f>
      </c>
      <c r="AB371" s="603">
        <f>P371/I371</f>
      </c>
      <c r="AC371" s="604">
        <f>AB371*AD371</f>
      </c>
      <c r="AD371" s="129"/>
      <c r="AE371" s="583" t="n"/>
      <c r="AF371" s="583">
        <f>AC371*0.13/(1+0.13)</f>
      </c>
      <c r="AG371" s="605">
        <f>AC371-AF371</f>
      </c>
      <c r="AH371" s="605">
        <f>AC371*I371</f>
      </c>
      <c r="AI371" s="583">
        <f>ROUND(AG371*I371,-1)</f>
      </c>
    </row>
    <row r="372" ht="15.5" customHeight="1">
      <c r="A372" s="63" t="n"/>
      <c r="B372" s="56"/>
      <c r="C372" s="56"/>
      <c r="D372" s="59" t="n"/>
      <c r="E372" s="63" t="n"/>
      <c r="F372" s="24" t="n"/>
      <c r="G372" s="63"/>
      <c r="H372" s="21"/>
      <c r="I372" s="23"/>
      <c r="J372" s="558"/>
      <c r="K372" s="558"/>
      <c r="L372" s="539" t="n"/>
      <c r="M372" s="539" t="n"/>
      <c r="N372" s="539" t="n"/>
      <c r="O372" s="539" t="n"/>
      <c r="P372" s="539"/>
      <c r="Q372" s="539"/>
      <c r="R372" s="539">
        <f>AI372</f>
      </c>
      <c r="S372" s="23">
        <f>Y372*100</f>
      </c>
      <c r="T372" s="539">
        <f>ROUND(R372*S372/100,-1)</f>
      </c>
      <c r="U372" s="539">
        <f>IF(Q372=0,"",(T372-Q372)/Q372*100)</f>
      </c>
      <c r="V372" s="27" t="n"/>
      <c r="W372" s="601"/>
      <c r="X372" s="602">
        <f>($W$5-K372)/365</f>
      </c>
      <c r="Y372" s="127">
        <f>(W372-X372)/W372</f>
      </c>
      <c r="Z372" s="127"/>
      <c r="AA372" s="127">
        <f>Y372/2+Z372/2</f>
      </c>
      <c r="AB372" s="603">
        <f>P372/I372</f>
      </c>
      <c r="AC372" s="604">
        <f>AB372*AD372</f>
      </c>
      <c r="AD372" s="129"/>
      <c r="AE372" s="583" t="n"/>
      <c r="AF372" s="583">
        <f>AC372*0.13/(1+0.13)</f>
      </c>
      <c r="AG372" s="605">
        <f>AC372-AF372</f>
      </c>
      <c r="AH372" s="605">
        <f>AC372*I372</f>
      </c>
      <c r="AI372" s="583">
        <f>ROUND(AG372*I372,-1)</f>
      </c>
    </row>
    <row r="373" ht="15.5" customHeight="1">
      <c r="A373" s="63" t="n"/>
      <c r="B373" s="56"/>
      <c r="C373" s="56"/>
      <c r="D373" s="59" t="n"/>
      <c r="E373" s="63" t="n"/>
      <c r="F373" s="24" t="n"/>
      <c r="G373" s="63"/>
      <c r="H373" s="21"/>
      <c r="I373" s="23"/>
      <c r="J373" s="558"/>
      <c r="K373" s="558"/>
      <c r="L373" s="539" t="n"/>
      <c r="M373" s="539" t="n"/>
      <c r="N373" s="539" t="n"/>
      <c r="O373" s="539" t="n"/>
      <c r="P373" s="539"/>
      <c r="Q373" s="539"/>
      <c r="R373" s="539">
        <f>AI373</f>
      </c>
      <c r="S373" s="23">
        <f>Y373*100</f>
      </c>
      <c r="T373" s="539">
        <f>ROUND(R373*S373/100,-1)</f>
      </c>
      <c r="U373" s="539">
        <f>IF(Q373=0,"",(T373-Q373)/Q373*100)</f>
      </c>
      <c r="V373" s="27" t="n"/>
      <c r="W373" s="601"/>
      <c r="X373" s="602">
        <f>($W$5-K373)/365</f>
      </c>
      <c r="Y373" s="127">
        <f>(W373-X373)/W373</f>
      </c>
      <c r="Z373" s="127"/>
      <c r="AA373" s="127">
        <f>Y373/2+Z373/2</f>
      </c>
      <c r="AB373" s="603">
        <f>P373/I373</f>
      </c>
      <c r="AC373" s="604">
        <f>AB373*AD373</f>
      </c>
      <c r="AD373" s="129"/>
      <c r="AE373" s="583" t="n"/>
      <c r="AF373" s="583">
        <f>AC373*0.13/(1+0.13)</f>
      </c>
      <c r="AG373" s="605">
        <f>AC373-AF373</f>
      </c>
      <c r="AH373" s="605">
        <f>AC373*I373</f>
      </c>
      <c r="AI373" s="583">
        <f>ROUND(AG373*I373,-1)</f>
      </c>
    </row>
    <row r="374" ht="15.5" customHeight="1">
      <c r="A374" s="63" t="n"/>
      <c r="B374" s="56"/>
      <c r="C374" s="56"/>
      <c r="D374" s="59" t="n"/>
      <c r="E374" s="63" t="n"/>
      <c r="F374" s="24" t="n"/>
      <c r="G374" s="63"/>
      <c r="H374" s="21"/>
      <c r="I374" s="23"/>
      <c r="J374" s="558"/>
      <c r="K374" s="558"/>
      <c r="L374" s="539" t="n"/>
      <c r="M374" s="539" t="n"/>
      <c r="N374" s="539" t="n"/>
      <c r="O374" s="539" t="n"/>
      <c r="P374" s="539"/>
      <c r="Q374" s="539"/>
      <c r="R374" s="539">
        <f>AI374</f>
      </c>
      <c r="S374" s="23">
        <f>Y374*100</f>
      </c>
      <c r="T374" s="539">
        <f>ROUND(R374*S374/100,-1)</f>
      </c>
      <c r="U374" s="539">
        <f>IF(Q374=0,"",(T374-Q374)/Q374*100)</f>
      </c>
      <c r="V374" s="27" t="n"/>
      <c r="W374" s="601"/>
      <c r="X374" s="602">
        <f>($W$5-K374)/365</f>
      </c>
      <c r="Y374" s="127">
        <f>(W374-X374)/W374</f>
      </c>
      <c r="Z374" s="127"/>
      <c r="AA374" s="127">
        <f>Y374/2+Z374/2</f>
      </c>
      <c r="AB374" s="603">
        <f>P374/I374</f>
      </c>
      <c r="AC374" s="604">
        <f>AB374*AD374</f>
      </c>
      <c r="AD374" s="129"/>
      <c r="AE374" s="583" t="n"/>
      <c r="AF374" s="583">
        <f>AC374*0.13/(1+0.13)</f>
      </c>
      <c r="AG374" s="605">
        <f>AC374-AF374</f>
      </c>
      <c r="AH374" s="605">
        <f>AC374*I374</f>
      </c>
      <c r="AI374" s="583">
        <f>ROUND(AG374*I374,-1)</f>
      </c>
    </row>
    <row r="375" ht="15.5" customHeight="1">
      <c r="A375" s="63" t="n"/>
      <c r="B375" s="56"/>
      <c r="C375" s="56"/>
      <c r="D375" s="59" t="n"/>
      <c r="E375" s="63" t="n"/>
      <c r="F375" s="24" t="n"/>
      <c r="G375" s="63"/>
      <c r="H375" s="21"/>
      <c r="I375" s="23"/>
      <c r="J375" s="558"/>
      <c r="K375" s="558"/>
      <c r="L375" s="539" t="n"/>
      <c r="M375" s="539" t="n"/>
      <c r="N375" s="539" t="n"/>
      <c r="O375" s="539" t="n"/>
      <c r="P375" s="539"/>
      <c r="Q375" s="539"/>
      <c r="R375" s="539">
        <f>AI375</f>
      </c>
      <c r="S375" s="23">
        <f>Y375*100</f>
      </c>
      <c r="T375" s="539">
        <f>ROUND(R375*S375/100,-1)</f>
      </c>
      <c r="U375" s="539">
        <f>IF(Q375=0,"",(T375-Q375)/Q375*100)</f>
      </c>
      <c r="V375" s="27" t="n"/>
      <c r="W375" s="601"/>
      <c r="X375" s="602">
        <f>($W$5-K375)/365</f>
      </c>
      <c r="Y375" s="127">
        <f>(W375-X375)/W375</f>
      </c>
      <c r="Z375" s="127"/>
      <c r="AA375" s="127">
        <f>Y375/2+Z375/2</f>
      </c>
      <c r="AB375" s="603">
        <f>P375/I375</f>
      </c>
      <c r="AC375" s="604">
        <f>AB375*AD375</f>
      </c>
      <c r="AD375" s="129"/>
      <c r="AE375" s="583" t="n"/>
      <c r="AF375" s="583">
        <f>AC375*0.13/(1+0.13)</f>
      </c>
      <c r="AG375" s="605">
        <f>AC375-AF375</f>
      </c>
      <c r="AH375" s="605">
        <f>AC375*I375</f>
      </c>
      <c r="AI375" s="583">
        <f>ROUND(AG375*I375,-1)</f>
      </c>
    </row>
    <row r="376" ht="15.5" customHeight="1">
      <c r="A376" s="63" t="n"/>
      <c r="B376" s="56"/>
      <c r="C376" s="56"/>
      <c r="D376" s="59" t="n"/>
      <c r="E376" s="63" t="n"/>
      <c r="F376" s="24" t="n"/>
      <c r="G376" s="63"/>
      <c r="H376" s="21"/>
      <c r="I376" s="23"/>
      <c r="J376" s="558"/>
      <c r="K376" s="558"/>
      <c r="L376" s="539" t="n"/>
      <c r="M376" s="539" t="n"/>
      <c r="N376" s="539" t="n"/>
      <c r="O376" s="539" t="n"/>
      <c r="P376" s="539"/>
      <c r="Q376" s="539"/>
      <c r="R376" s="539">
        <f>AI376</f>
      </c>
      <c r="S376" s="23">
        <f>Y376*100</f>
      </c>
      <c r="T376" s="539">
        <f>ROUND(R376*S376/100,-1)</f>
      </c>
      <c r="U376" s="539">
        <f>IF(Q376=0,"",(T376-Q376)/Q376*100)</f>
      </c>
      <c r="V376" s="27" t="n"/>
      <c r="W376" s="601"/>
      <c r="X376" s="602">
        <f>($W$5-K376)/365</f>
      </c>
      <c r="Y376" s="127">
        <f>(W376-X376)/W376</f>
      </c>
      <c r="Z376" s="127"/>
      <c r="AA376" s="127">
        <f>Y376/2+Z376/2</f>
      </c>
      <c r="AB376" s="603">
        <f>P376/I376</f>
      </c>
      <c r="AC376" s="604">
        <f>AB376*AD376</f>
      </c>
      <c r="AD376" s="129"/>
      <c r="AE376" s="583" t="n"/>
      <c r="AF376" s="583">
        <f>AC376*0.13/(1+0.13)</f>
      </c>
      <c r="AG376" s="605">
        <f>AC376-AF376</f>
      </c>
      <c r="AH376" s="605">
        <f>AC376*I376</f>
      </c>
      <c r="AI376" s="583">
        <f>ROUND(AG376*I376,-1)</f>
      </c>
    </row>
    <row r="377" ht="15.5" customHeight="1">
      <c r="A377" s="63" t="n"/>
      <c r="B377" s="56"/>
      <c r="C377" s="56"/>
      <c r="D377" s="59" t="n"/>
      <c r="E377" s="63" t="n"/>
      <c r="F377" s="24" t="n"/>
      <c r="G377" s="63"/>
      <c r="H377" s="21"/>
      <c r="I377" s="23"/>
      <c r="J377" s="558"/>
      <c r="K377" s="558"/>
      <c r="L377" s="539" t="n"/>
      <c r="M377" s="539" t="n"/>
      <c r="N377" s="539" t="n"/>
      <c r="O377" s="539" t="n"/>
      <c r="P377" s="539"/>
      <c r="Q377" s="539"/>
      <c r="R377" s="539">
        <f>AI377</f>
      </c>
      <c r="S377" s="23">
        <f>Y377*100</f>
      </c>
      <c r="T377" s="539">
        <f>ROUND(R377*S377/100,-1)</f>
      </c>
      <c r="U377" s="539">
        <f>IF(Q377=0,"",(T377-Q377)/Q377*100)</f>
      </c>
      <c r="V377" s="27" t="n"/>
      <c r="W377" s="601"/>
      <c r="X377" s="602">
        <f>($W$5-K377)/365</f>
      </c>
      <c r="Y377" s="127">
        <f>(W377-X377)/W377</f>
      </c>
      <c r="Z377" s="127"/>
      <c r="AA377" s="127">
        <f>Y377/2+Z377/2</f>
      </c>
      <c r="AB377" s="603">
        <f>P377/I377</f>
      </c>
      <c r="AC377" s="604">
        <f>AB377*AD377</f>
      </c>
      <c r="AD377" s="129"/>
      <c r="AE377" s="583" t="n"/>
      <c r="AF377" s="583">
        <f>AC377*0.13/(1+0.13)</f>
      </c>
      <c r="AG377" s="605">
        <f>AC377-AF377</f>
      </c>
      <c r="AH377" s="605">
        <f>AC377*I377</f>
      </c>
      <c r="AI377" s="583">
        <f>ROUND(AG377*I377,-1)</f>
      </c>
    </row>
    <row r="378" ht="15.5" customHeight="1">
      <c r="A378" s="63" t="n"/>
      <c r="B378" s="56"/>
      <c r="C378" s="56"/>
      <c r="D378" s="59" t="n"/>
      <c r="E378" s="63" t="n"/>
      <c r="F378" s="24" t="n"/>
      <c r="G378" s="63"/>
      <c r="H378" s="21"/>
      <c r="I378" s="23"/>
      <c r="J378" s="558"/>
      <c r="K378" s="558"/>
      <c r="L378" s="539" t="n"/>
      <c r="M378" s="539" t="n"/>
      <c r="N378" s="539" t="n"/>
      <c r="O378" s="539" t="n"/>
      <c r="P378" s="539"/>
      <c r="Q378" s="539"/>
      <c r="R378" s="539">
        <f>AI378</f>
      </c>
      <c r="S378" s="23">
        <f>Y378*100</f>
      </c>
      <c r="T378" s="539">
        <f>ROUND(R378*S378/100,-1)</f>
      </c>
      <c r="U378" s="539">
        <f>IF(Q378=0,"",(T378-Q378)/Q378*100)</f>
      </c>
      <c r="V378" s="27" t="n"/>
      <c r="W378" s="601"/>
      <c r="X378" s="602">
        <f>($W$5-K378)/365</f>
      </c>
      <c r="Y378" s="127">
        <f>(W378-X378)/W378</f>
      </c>
      <c r="Z378" s="127"/>
      <c r="AA378" s="127">
        <f>Y378/2+Z378/2</f>
      </c>
      <c r="AB378" s="603">
        <f>P378/I378</f>
      </c>
      <c r="AC378" s="604">
        <f>AB378*AD378</f>
      </c>
      <c r="AD378" s="129"/>
      <c r="AE378" s="583" t="n"/>
      <c r="AF378" s="583">
        <f>AC378*0.13/(1+0.13)</f>
      </c>
      <c r="AG378" s="605">
        <f>AC378-AF378</f>
      </c>
      <c r="AH378" s="605">
        <f>AC378*I378</f>
      </c>
      <c r="AI378" s="583">
        <f>ROUND(AG378*I378,-1)</f>
      </c>
    </row>
    <row r="379" ht="15.5" customHeight="1">
      <c r="A379" s="63" t="n"/>
      <c r="B379" s="56"/>
      <c r="C379" s="56"/>
      <c r="D379" s="59" t="n"/>
      <c r="E379" s="63" t="n"/>
      <c r="F379" s="24" t="n"/>
      <c r="G379" s="63"/>
      <c r="H379" s="21"/>
      <c r="I379" s="23"/>
      <c r="J379" s="558"/>
      <c r="K379" s="558"/>
      <c r="L379" s="539" t="n"/>
      <c r="M379" s="539" t="n"/>
      <c r="N379" s="539" t="n"/>
      <c r="O379" s="539" t="n"/>
      <c r="P379" s="539"/>
      <c r="Q379" s="539"/>
      <c r="R379" s="539">
        <f>AI379</f>
      </c>
      <c r="S379" s="23">
        <f>Y379*100</f>
      </c>
      <c r="T379" s="539">
        <f>ROUND(R379*S379/100,-1)</f>
      </c>
      <c r="U379" s="539">
        <f>IF(Q379=0,"",(T379-Q379)/Q379*100)</f>
      </c>
      <c r="V379" s="27" t="n"/>
      <c r="W379" s="601"/>
      <c r="X379" s="602">
        <f>($W$5-K379)/365</f>
      </c>
      <c r="Y379" s="127">
        <f>(W379-X379)/W379</f>
      </c>
      <c r="Z379" s="127"/>
      <c r="AA379" s="127">
        <f>Y379/2+Z379/2</f>
      </c>
      <c r="AB379" s="603">
        <f>P379/I379</f>
      </c>
      <c r="AC379" s="604">
        <f>AB379*AD379</f>
      </c>
      <c r="AD379" s="129"/>
      <c r="AE379" s="583" t="n"/>
      <c r="AF379" s="583">
        <f>AC379*0.13/(1+0.13)</f>
      </c>
      <c r="AG379" s="605">
        <f>AC379-AF379</f>
      </c>
      <c r="AH379" s="605">
        <f>AC379*I379</f>
      </c>
      <c r="AI379" s="583">
        <f>ROUND(AG379*I379,-1)</f>
      </c>
    </row>
    <row r="380" ht="15.5" customHeight="1">
      <c r="A380" s="63" t="n"/>
      <c r="B380" s="56"/>
      <c r="C380" s="56"/>
      <c r="D380" s="59" t="n"/>
      <c r="E380" s="63" t="n"/>
      <c r="F380" s="24" t="n"/>
      <c r="G380" s="63"/>
      <c r="H380" s="21"/>
      <c r="I380" s="23"/>
      <c r="J380" s="558"/>
      <c r="K380" s="558"/>
      <c r="L380" s="539" t="n"/>
      <c r="M380" s="539" t="n"/>
      <c r="N380" s="539" t="n"/>
      <c r="O380" s="539" t="n"/>
      <c r="P380" s="539"/>
      <c r="Q380" s="539"/>
      <c r="R380" s="539">
        <f>AI380</f>
      </c>
      <c r="S380" s="23">
        <f>Y380*100</f>
      </c>
      <c r="T380" s="539">
        <f>ROUND(R380*S380/100,-1)</f>
      </c>
      <c r="U380" s="539">
        <f>IF(Q380=0,"",(T380-Q380)/Q380*100)</f>
      </c>
      <c r="V380" s="27" t="n"/>
      <c r="W380" s="601"/>
      <c r="X380" s="602">
        <f>($W$5-K380)/365</f>
      </c>
      <c r="Y380" s="127">
        <f>(W380-X380)/W380</f>
      </c>
      <c r="Z380" s="127"/>
      <c r="AA380" s="127">
        <f>Y380/2+Z380/2</f>
      </c>
      <c r="AB380" s="603">
        <f>P380/I380</f>
      </c>
      <c r="AC380" s="604">
        <f>AB380*AD380</f>
      </c>
      <c r="AD380" s="129"/>
      <c r="AE380" s="583" t="n"/>
      <c r="AF380" s="583">
        <f>AC380*0.13/(1+0.13)</f>
      </c>
      <c r="AG380" s="605">
        <f>AC380-AF380</f>
      </c>
      <c r="AH380" s="605">
        <f>AC380*I380</f>
      </c>
      <c r="AI380" s="583">
        <f>ROUND(AG380*I380,-1)</f>
      </c>
    </row>
    <row r="381" ht="15.5" customHeight="1">
      <c r="A381" s="63" t="n"/>
      <c r="B381" s="56"/>
      <c r="C381" s="56"/>
      <c r="D381" s="59" t="n"/>
      <c r="E381" s="63" t="n"/>
      <c r="F381" s="24" t="n"/>
      <c r="G381" s="63"/>
      <c r="H381" s="21"/>
      <c r="I381" s="23"/>
      <c r="J381" s="558"/>
      <c r="K381" s="558"/>
      <c r="L381" s="539" t="n"/>
      <c r="M381" s="539" t="n"/>
      <c r="N381" s="539" t="n"/>
      <c r="O381" s="539" t="n"/>
      <c r="P381" s="539"/>
      <c r="Q381" s="539"/>
      <c r="R381" s="539">
        <f>AI381</f>
      </c>
      <c r="S381" s="23">
        <f>Y381*100</f>
      </c>
      <c r="T381" s="539">
        <f>ROUND(R381*S381/100,-1)</f>
      </c>
      <c r="U381" s="539">
        <f>IF(Q381=0,"",(T381-Q381)/Q381*100)</f>
      </c>
      <c r="V381" s="27" t="n"/>
      <c r="W381" s="601"/>
      <c r="X381" s="602">
        <f>($W$5-K381)/365</f>
      </c>
      <c r="Y381" s="127">
        <f>(W381-X381)/W381</f>
      </c>
      <c r="Z381" s="127"/>
      <c r="AA381" s="127">
        <f>Y381/2+Z381/2</f>
      </c>
      <c r="AB381" s="603">
        <f>P381/I381</f>
      </c>
      <c r="AC381" s="604">
        <f>AB381*AD381</f>
      </c>
      <c r="AD381" s="129"/>
      <c r="AE381" s="583" t="n"/>
      <c r="AF381" s="583">
        <f>AC381*0.13/(1+0.13)</f>
      </c>
      <c r="AG381" s="605">
        <f>AC381-AF381</f>
      </c>
      <c r="AH381" s="605">
        <f>AC381*I381</f>
      </c>
      <c r="AI381" s="583">
        <f>ROUND(AG381*I381,-1)</f>
      </c>
    </row>
    <row r="382" ht="15.5" customHeight="1">
      <c r="A382" s="63" t="n"/>
      <c r="B382" s="56"/>
      <c r="C382" s="56"/>
      <c r="D382" s="59" t="n"/>
      <c r="E382" s="63" t="n"/>
      <c r="F382" s="24" t="n"/>
      <c r="G382" s="63"/>
      <c r="H382" s="21"/>
      <c r="I382" s="23"/>
      <c r="J382" s="558"/>
      <c r="K382" s="558"/>
      <c r="L382" s="539" t="n"/>
      <c r="M382" s="539" t="n"/>
      <c r="N382" s="539" t="n"/>
      <c r="O382" s="539" t="n"/>
      <c r="P382" s="539"/>
      <c r="Q382" s="539"/>
      <c r="R382" s="539">
        <f>AI382</f>
      </c>
      <c r="S382" s="23">
        <f>Y382*100</f>
      </c>
      <c r="T382" s="539">
        <f>ROUND(R382*S382/100,-1)</f>
      </c>
      <c r="U382" s="539">
        <f>IF(Q382=0,"",(T382-Q382)/Q382*100)</f>
      </c>
      <c r="V382" s="27" t="n"/>
      <c r="W382" s="601"/>
      <c r="X382" s="602">
        <f>($W$5-K382)/365</f>
      </c>
      <c r="Y382" s="127">
        <f>(W382-X382)/W382</f>
      </c>
      <c r="Z382" s="127"/>
      <c r="AA382" s="127">
        <f>Y382/2+Z382/2</f>
      </c>
      <c r="AB382" s="603">
        <f>P382/I382</f>
      </c>
      <c r="AC382" s="604">
        <f>AB382*AD382</f>
      </c>
      <c r="AD382" s="129"/>
      <c r="AE382" s="583" t="n"/>
      <c r="AF382" s="583">
        <f>AC382*0.13/(1+0.13)</f>
      </c>
      <c r="AG382" s="605">
        <f>AC382-AF382</f>
      </c>
      <c r="AH382" s="605">
        <f>AC382*I382</f>
      </c>
      <c r="AI382" s="583">
        <f>ROUND(AG382*I382,-1)</f>
      </c>
    </row>
    <row r="383" ht="15.5" customHeight="1">
      <c r="A383" s="63" t="n"/>
      <c r="B383" s="56"/>
      <c r="C383" s="56"/>
      <c r="D383" s="59" t="n"/>
      <c r="E383" s="63" t="n"/>
      <c r="F383" s="24" t="n"/>
      <c r="G383" s="63"/>
      <c r="H383" s="21"/>
      <c r="I383" s="23"/>
      <c r="J383" s="558"/>
      <c r="K383" s="558"/>
      <c r="L383" s="539" t="n"/>
      <c r="M383" s="539" t="n"/>
      <c r="N383" s="539" t="n"/>
      <c r="O383" s="539" t="n"/>
      <c r="P383" s="539"/>
      <c r="Q383" s="539"/>
      <c r="R383" s="539">
        <f>AI383</f>
      </c>
      <c r="S383" s="23">
        <f>Y383*100</f>
      </c>
      <c r="T383" s="539">
        <f>ROUND(R383*S383/100,-1)</f>
      </c>
      <c r="U383" s="539">
        <f>IF(Q383=0,"",(T383-Q383)/Q383*100)</f>
      </c>
      <c r="V383" s="27" t="n"/>
      <c r="W383" s="601"/>
      <c r="X383" s="602">
        <f>($W$5-K383)/365</f>
      </c>
      <c r="Y383" s="127">
        <f>(W383-X383)/W383</f>
      </c>
      <c r="Z383" s="127"/>
      <c r="AA383" s="127">
        <f>Y383/2+Z383/2</f>
      </c>
      <c r="AB383" s="603">
        <f>P383/I383</f>
      </c>
      <c r="AC383" s="604">
        <f>AB383*AD383</f>
      </c>
      <c r="AD383" s="129"/>
      <c r="AE383" s="583" t="n"/>
      <c r="AF383" s="583">
        <f>AC383*0.13/(1+0.13)</f>
      </c>
      <c r="AG383" s="605">
        <f>AC383-AF383</f>
      </c>
      <c r="AH383" s="605">
        <f>AC383*I383</f>
      </c>
      <c r="AI383" s="583">
        <f>ROUND(AG383*I383,-1)</f>
      </c>
    </row>
    <row r="384" ht="15.5" customHeight="1">
      <c r="A384" s="63" t="n"/>
      <c r="B384" s="56"/>
      <c r="C384" s="56"/>
      <c r="D384" s="59" t="n"/>
      <c r="E384" s="63" t="n"/>
      <c r="F384" s="24" t="n"/>
      <c r="G384" s="63"/>
      <c r="H384" s="21"/>
      <c r="I384" s="23"/>
      <c r="J384" s="558"/>
      <c r="K384" s="558"/>
      <c r="L384" s="539" t="n"/>
      <c r="M384" s="539" t="n"/>
      <c r="N384" s="539" t="n"/>
      <c r="O384" s="539" t="n"/>
      <c r="P384" s="539"/>
      <c r="Q384" s="539"/>
      <c r="R384" s="539">
        <f>AI384</f>
      </c>
      <c r="S384" s="23">
        <f>Y384*100</f>
      </c>
      <c r="T384" s="539">
        <f>ROUND(R384*S384/100,-1)</f>
      </c>
      <c r="U384" s="539">
        <f>IF(Q384=0,"",(T384-Q384)/Q384*100)</f>
      </c>
      <c r="V384" s="27" t="n"/>
      <c r="W384" s="601"/>
      <c r="X384" s="602">
        <f>($W$5-K384)/365</f>
      </c>
      <c r="Y384" s="127">
        <f>(W384-X384)/W384</f>
      </c>
      <c r="Z384" s="127"/>
      <c r="AA384" s="127">
        <f>Y384/2+Z384/2</f>
      </c>
      <c r="AB384" s="603">
        <f>P384/I384</f>
      </c>
      <c r="AC384" s="604">
        <f>AB384*AD384</f>
      </c>
      <c r="AD384" s="129"/>
      <c r="AE384" s="583" t="n"/>
      <c r="AF384" s="583">
        <f>AC384*0.13/(1+0.13)</f>
      </c>
      <c r="AG384" s="605">
        <f>AC384-AF384</f>
      </c>
      <c r="AH384" s="605">
        <f>AC384*I384</f>
      </c>
      <c r="AI384" s="583">
        <f>ROUND(AG384*I384,-1)</f>
      </c>
    </row>
    <row r="385" ht="15.5" customHeight="1">
      <c r="A385" s="63" t="n"/>
      <c r="B385" s="56"/>
      <c r="C385" s="56"/>
      <c r="D385" s="59" t="n"/>
      <c r="E385" s="63" t="n"/>
      <c r="F385" s="24" t="n"/>
      <c r="G385" s="63"/>
      <c r="H385" s="21"/>
      <c r="I385" s="23"/>
      <c r="J385" s="558"/>
      <c r="K385" s="558"/>
      <c r="L385" s="539" t="n"/>
      <c r="M385" s="539" t="n"/>
      <c r="N385" s="539" t="n"/>
      <c r="O385" s="539" t="n"/>
      <c r="P385" s="539"/>
      <c r="Q385" s="539"/>
      <c r="R385" s="539">
        <f>AI385</f>
      </c>
      <c r="S385" s="23">
        <f>Y385*100</f>
      </c>
      <c r="T385" s="539">
        <f>ROUND(R385*S385/100,-1)</f>
      </c>
      <c r="U385" s="539">
        <f>IF(Q385=0,"",(T385-Q385)/Q385*100)</f>
      </c>
      <c r="V385" s="27" t="n"/>
      <c r="W385" s="601"/>
      <c r="X385" s="602">
        <f>($W$5-K385)/365</f>
      </c>
      <c r="Y385" s="127">
        <f>(W385-X385)/W385</f>
      </c>
      <c r="Z385" s="127"/>
      <c r="AA385" s="127">
        <f>Y385/2+Z385/2</f>
      </c>
      <c r="AB385" s="603">
        <f>P385/I385</f>
      </c>
      <c r="AC385" s="604">
        <f>AB385*AD385</f>
      </c>
      <c r="AD385" s="129"/>
      <c r="AE385" s="583" t="n"/>
      <c r="AF385" s="583">
        <f>AC385*0.13/(1+0.13)</f>
      </c>
      <c r="AG385" s="605">
        <f>AC385-AF385</f>
      </c>
      <c r="AH385" s="605">
        <f>AC385*I385</f>
      </c>
      <c r="AI385" s="583">
        <f>ROUND(AG385*I385,-1)</f>
      </c>
    </row>
    <row r="386" ht="15.5" customHeight="1">
      <c r="A386" s="63" t="n"/>
      <c r="B386" s="56"/>
      <c r="C386" s="56"/>
      <c r="D386" s="59" t="n"/>
      <c r="E386" s="63" t="n"/>
      <c r="F386" s="24" t="n"/>
      <c r="G386" s="63"/>
      <c r="H386" s="21"/>
      <c r="I386" s="23"/>
      <c r="J386" s="558"/>
      <c r="K386" s="558"/>
      <c r="L386" s="539" t="n"/>
      <c r="M386" s="539" t="n"/>
      <c r="N386" s="539" t="n"/>
      <c r="O386" s="539" t="n"/>
      <c r="P386" s="539"/>
      <c r="Q386" s="539"/>
      <c r="R386" s="539">
        <f>AI386</f>
      </c>
      <c r="S386" s="23">
        <f>Y386*100</f>
      </c>
      <c r="T386" s="539">
        <f>ROUND(R386*S386/100,-1)</f>
      </c>
      <c r="U386" s="539">
        <f>IF(Q386=0,"",(T386-Q386)/Q386*100)</f>
      </c>
      <c r="V386" s="27" t="n"/>
      <c r="W386" s="601"/>
      <c r="X386" s="602">
        <f>($W$5-K386)/365</f>
      </c>
      <c r="Y386" s="127">
        <f>(W386-X386)/W386</f>
      </c>
      <c r="Z386" s="127"/>
      <c r="AA386" s="127">
        <f>Y386/2+Z386/2</f>
      </c>
      <c r="AB386" s="603">
        <f>P386/I386</f>
      </c>
      <c r="AC386" s="604">
        <f>AB386*AD386</f>
      </c>
      <c r="AD386" s="129"/>
      <c r="AE386" s="583" t="n"/>
      <c r="AF386" s="583">
        <f>AC386*0.13/(1+0.13)</f>
      </c>
      <c r="AG386" s="605">
        <f>AC386-AF386</f>
      </c>
      <c r="AH386" s="605">
        <f>AC386*I386</f>
      </c>
      <c r="AI386" s="583">
        <f>ROUND(AG386*I386,-1)</f>
      </c>
    </row>
    <row r="387" ht="15.5" customHeight="1">
      <c r="A387" s="63" t="n"/>
      <c r="B387" s="56"/>
      <c r="C387" s="56"/>
      <c r="D387" s="59" t="n"/>
      <c r="E387" s="63" t="n"/>
      <c r="F387" s="24" t="n"/>
      <c r="G387" s="63"/>
      <c r="H387" s="21"/>
      <c r="I387" s="23"/>
      <c r="J387" s="558"/>
      <c r="K387" s="558"/>
      <c r="L387" s="539" t="n"/>
      <c r="M387" s="539" t="n"/>
      <c r="N387" s="539" t="n"/>
      <c r="O387" s="539" t="n"/>
      <c r="P387" s="539"/>
      <c r="Q387" s="539"/>
      <c r="R387" s="539">
        <f>AI387</f>
      </c>
      <c r="S387" s="23">
        <f>Y387*100</f>
      </c>
      <c r="T387" s="539">
        <f>ROUND(R387*S387/100,-1)</f>
      </c>
      <c r="U387" s="539">
        <f>IF(Q387=0,"",(T387-Q387)/Q387*100)</f>
      </c>
      <c r="V387" s="27" t="n"/>
      <c r="W387" s="601"/>
      <c r="X387" s="602">
        <f>($W$5-K387)/365</f>
      </c>
      <c r="Y387" s="127">
        <f>(W387-X387)/W387</f>
      </c>
      <c r="Z387" s="127"/>
      <c r="AA387" s="127">
        <f>Y387/2+Z387/2</f>
      </c>
      <c r="AB387" s="603">
        <f>P387/I387</f>
      </c>
      <c r="AC387" s="604">
        <f>AB387*AD387</f>
      </c>
      <c r="AD387" s="129"/>
      <c r="AE387" s="583" t="n"/>
      <c r="AF387" s="583">
        <f>AC387*0.13/(1+0.13)</f>
      </c>
      <c r="AG387" s="605">
        <f>AC387-AF387</f>
      </c>
      <c r="AH387" s="605">
        <f>AC387*I387</f>
      </c>
      <c r="AI387" s="583">
        <f>ROUND(AG387*I387,-1)</f>
      </c>
    </row>
    <row r="388" ht="15.5" customHeight="1">
      <c r="A388" s="63" t="n"/>
      <c r="B388" s="56"/>
      <c r="C388" s="56"/>
      <c r="D388" s="59" t="n"/>
      <c r="E388" s="63" t="n"/>
      <c r="F388" s="24" t="n"/>
      <c r="G388" s="63"/>
      <c r="H388" s="21"/>
      <c r="I388" s="23"/>
      <c r="J388" s="558"/>
      <c r="K388" s="558"/>
      <c r="L388" s="539" t="n"/>
      <c r="M388" s="539" t="n"/>
      <c r="N388" s="539" t="n"/>
      <c r="O388" s="539" t="n"/>
      <c r="P388" s="539"/>
      <c r="Q388" s="539"/>
      <c r="R388" s="539">
        <f>AI388</f>
      </c>
      <c r="S388" s="23">
        <f>Y388*100</f>
      </c>
      <c r="T388" s="539">
        <f>ROUND(R388*S388/100,-1)</f>
      </c>
      <c r="U388" s="539">
        <f>IF(Q388=0,"",(T388-Q388)/Q388*100)</f>
      </c>
      <c r="V388" s="27" t="n"/>
      <c r="W388" s="601"/>
      <c r="X388" s="602">
        <f>($W$5-K388)/365</f>
      </c>
      <c r="Y388" s="127">
        <f>(W388-X388)/W388</f>
      </c>
      <c r="Z388" s="127"/>
      <c r="AA388" s="127">
        <f>Y388/2+Z388/2</f>
      </c>
      <c r="AB388" s="603">
        <f>P388/I388</f>
      </c>
      <c r="AC388" s="604">
        <f>AB388*AD388</f>
      </c>
      <c r="AD388" s="129"/>
      <c r="AE388" s="583" t="n"/>
      <c r="AF388" s="583">
        <f>AC388*0.13/(1+0.13)</f>
      </c>
      <c r="AG388" s="605">
        <f>AC388-AF388</f>
      </c>
      <c r="AH388" s="605">
        <f>AC388*I388</f>
      </c>
      <c r="AI388" s="583">
        <f>ROUND(AG388*I388,-1)</f>
      </c>
    </row>
    <row r="389" ht="15.5" customHeight="1">
      <c r="A389" s="63" t="n"/>
      <c r="B389" s="56"/>
      <c r="C389" s="56"/>
      <c r="D389" s="58"/>
      <c r="E389" s="63" t="n"/>
      <c r="F389" s="24" t="n"/>
      <c r="G389" s="63"/>
      <c r="H389" s="21"/>
      <c r="I389" s="23"/>
      <c r="J389" s="558"/>
      <c r="K389" s="558"/>
      <c r="L389" s="539" t="n"/>
      <c r="M389" s="539" t="n"/>
      <c r="N389" s="539" t="n"/>
      <c r="O389" s="539" t="n"/>
      <c r="P389" s="539"/>
      <c r="Q389" s="539"/>
      <c r="R389" s="539">
        <f>AI389</f>
      </c>
      <c r="S389" s="23">
        <f>Y389*100</f>
      </c>
      <c r="T389" s="539">
        <f>ROUND(R389*S389/100,-1)</f>
      </c>
      <c r="U389" s="539">
        <f>IF(Q389=0,"",(T389-Q389)/Q389*100)</f>
      </c>
      <c r="V389" s="27" t="n"/>
      <c r="W389" s="601"/>
      <c r="X389" s="602">
        <f>($W$5-K389)/365</f>
      </c>
      <c r="Y389" s="127">
        <f>(W389-X389)/W389</f>
      </c>
      <c r="Z389" s="127"/>
      <c r="AA389" s="127">
        <f>Y389/2+Z389/2</f>
      </c>
      <c r="AB389" s="603">
        <f>P389/I389</f>
      </c>
      <c r="AC389" s="604">
        <f>AB389*AD389</f>
      </c>
      <c r="AD389" s="129"/>
      <c r="AE389" s="583" t="n"/>
      <c r="AF389" s="583">
        <f>AC389*0.13/(1+0.13)</f>
      </c>
      <c r="AG389" s="605">
        <f>AC389-AF389</f>
      </c>
      <c r="AH389" s="605">
        <f>AC389*I389</f>
      </c>
      <c r="AI389" s="583">
        <f>ROUND(AG389*I389,-1)</f>
      </c>
    </row>
    <row r="390" ht="15.5" customHeight="1">
      <c r="A390" s="63" t="n"/>
      <c r="B390" s="56"/>
      <c r="C390" s="56"/>
      <c r="D390" s="58"/>
      <c r="E390" s="63" t="n"/>
      <c r="F390" s="24" t="n"/>
      <c r="G390" s="63"/>
      <c r="H390" s="21"/>
      <c r="I390" s="23"/>
      <c r="J390" s="558"/>
      <c r="K390" s="558"/>
      <c r="L390" s="539" t="n"/>
      <c r="M390" s="539" t="n"/>
      <c r="N390" s="539" t="n"/>
      <c r="O390" s="539" t="n"/>
      <c r="P390" s="539"/>
      <c r="Q390" s="539"/>
      <c r="R390" s="539">
        <f>AI390</f>
      </c>
      <c r="S390" s="23">
        <f>Y390*100</f>
      </c>
      <c r="T390" s="539">
        <f>ROUND(R390*S390/100,-1)</f>
      </c>
      <c r="U390" s="539">
        <f>IF(Q390=0,"",(T390-Q390)/Q390*100)</f>
      </c>
      <c r="V390" s="27" t="n"/>
      <c r="W390" s="601"/>
      <c r="X390" s="602">
        <f>($W$5-K390)/365</f>
      </c>
      <c r="Y390" s="127">
        <f>(W390-X390)/W390</f>
      </c>
      <c r="Z390" s="127"/>
      <c r="AA390" s="127">
        <f>Y390/2+Z390/2</f>
      </c>
      <c r="AB390" s="603">
        <f>P390/I390</f>
      </c>
      <c r="AC390" s="604">
        <f>AB390*AD390</f>
      </c>
      <c r="AD390" s="129"/>
      <c r="AE390" s="583" t="n"/>
      <c r="AF390" s="583">
        <f>AC390*0.13/(1+0.13)</f>
      </c>
      <c r="AG390" s="605">
        <f>AC390-AF390</f>
      </c>
      <c r="AH390" s="605">
        <f>AC390*I390</f>
      </c>
      <c r="AI390" s="583">
        <f>ROUND(AG390*I390,-1)</f>
      </c>
    </row>
    <row r="391" ht="15.5" customHeight="1">
      <c r="A391" s="63" t="n"/>
      <c r="B391" s="56"/>
      <c r="C391" s="56"/>
      <c r="D391" s="58"/>
      <c r="E391" s="63" t="n"/>
      <c r="F391" s="24" t="n"/>
      <c r="G391" s="63"/>
      <c r="H391" s="21"/>
      <c r="I391" s="23"/>
      <c r="J391" s="558"/>
      <c r="K391" s="558"/>
      <c r="L391" s="539" t="n"/>
      <c r="M391" s="539" t="n"/>
      <c r="N391" s="539" t="n"/>
      <c r="O391" s="539" t="n"/>
      <c r="P391" s="539"/>
      <c r="Q391" s="539"/>
      <c r="R391" s="539">
        <f>AI391</f>
      </c>
      <c r="S391" s="23">
        <f>Y391*100</f>
      </c>
      <c r="T391" s="539">
        <f>ROUND(R391*S391/100,-1)</f>
      </c>
      <c r="U391" s="539">
        <f>IF(Q391=0,"",(T391-Q391)/Q391*100)</f>
      </c>
      <c r="V391" s="27" t="n"/>
      <c r="W391" s="601"/>
      <c r="X391" s="602">
        <f>($W$5-K391)/365</f>
      </c>
      <c r="Y391" s="127">
        <f>(W391-X391)/W391</f>
      </c>
      <c r="Z391" s="127"/>
      <c r="AA391" s="127">
        <f>Y391/2+Z391/2</f>
      </c>
      <c r="AB391" s="603">
        <f>P391/I391</f>
      </c>
      <c r="AC391" s="604">
        <f>AB391*AD391</f>
      </c>
      <c r="AD391" s="129"/>
      <c r="AE391" s="583" t="n"/>
      <c r="AF391" s="583">
        <f>AC391*0.13/(1+0.13)</f>
      </c>
      <c r="AG391" s="605">
        <f>AC391-AF391</f>
      </c>
      <c r="AH391" s="605">
        <f>AC391*I391</f>
      </c>
      <c r="AI391" s="583">
        <f>ROUND(AG391*I391,-1)</f>
      </c>
    </row>
    <row r="392" ht="15.5" customHeight="1">
      <c r="A392" s="63" t="n"/>
      <c r="B392" s="56"/>
      <c r="C392" s="56"/>
      <c r="D392" s="58"/>
      <c r="E392" s="63" t="n"/>
      <c r="F392" s="24" t="n"/>
      <c r="G392" s="63"/>
      <c r="H392" s="21"/>
      <c r="I392" s="23"/>
      <c r="J392" s="558"/>
      <c r="K392" s="558"/>
      <c r="L392" s="539" t="n"/>
      <c r="M392" s="539" t="n"/>
      <c r="N392" s="539" t="n"/>
      <c r="O392" s="539" t="n"/>
      <c r="P392" s="539"/>
      <c r="Q392" s="539"/>
      <c r="R392" s="539">
        <f>AI392</f>
      </c>
      <c r="S392" s="23">
        <f>Y392*100</f>
      </c>
      <c r="T392" s="539">
        <f>ROUND(R392*S392/100,-1)</f>
      </c>
      <c r="U392" s="539">
        <f>IF(Q392=0,"",(T392-Q392)/Q392*100)</f>
      </c>
      <c r="V392" s="27" t="n"/>
      <c r="W392" s="601"/>
      <c r="X392" s="602">
        <f>($W$5-K392)/365</f>
      </c>
      <c r="Y392" s="127">
        <f>(W392-X392)/W392</f>
      </c>
      <c r="Z392" s="127"/>
      <c r="AA392" s="127">
        <f>Y392/2+Z392/2</f>
      </c>
      <c r="AB392" s="603">
        <f>P392/I392</f>
      </c>
      <c r="AC392" s="604">
        <f>AB392*AD392</f>
      </c>
      <c r="AD392" s="129"/>
      <c r="AE392" s="583" t="n"/>
      <c r="AF392" s="583">
        <f>AC392*0.13/(1+0.13)</f>
      </c>
      <c r="AG392" s="605">
        <f>AC392-AF392</f>
      </c>
      <c r="AH392" s="605">
        <f>AC392*I392</f>
      </c>
      <c r="AI392" s="583">
        <f>ROUND(AG392*I392,-1)</f>
      </c>
    </row>
    <row r="393" ht="15.5" customHeight="1">
      <c r="A393" s="63" t="n"/>
      <c r="B393" s="56"/>
      <c r="C393" s="56"/>
      <c r="D393" s="58"/>
      <c r="E393" s="63" t="n"/>
      <c r="F393" s="24" t="n"/>
      <c r="G393" s="63"/>
      <c r="H393" s="21"/>
      <c r="I393" s="23"/>
      <c r="J393" s="558"/>
      <c r="K393" s="558"/>
      <c r="L393" s="539" t="n"/>
      <c r="M393" s="539" t="n"/>
      <c r="N393" s="539" t="n"/>
      <c r="O393" s="539" t="n"/>
      <c r="P393" s="539"/>
      <c r="Q393" s="539"/>
      <c r="R393" s="539">
        <f>AI393</f>
      </c>
      <c r="S393" s="23">
        <f>Y393*100</f>
      </c>
      <c r="T393" s="539">
        <f>ROUND(R393*S393/100,-1)</f>
      </c>
      <c r="U393" s="539">
        <f>IF(Q393=0,"",(T393-Q393)/Q393*100)</f>
      </c>
      <c r="V393" s="27" t="n"/>
      <c r="W393" s="601"/>
      <c r="X393" s="602">
        <f>($W$5-K393)/365</f>
      </c>
      <c r="Y393" s="127">
        <f>(W393-X393)/W393</f>
      </c>
      <c r="Z393" s="127"/>
      <c r="AA393" s="127">
        <f>Y393/2+Z393/2</f>
      </c>
      <c r="AB393" s="603">
        <f>P393/I393</f>
      </c>
      <c r="AC393" s="604">
        <f>AB393*AD393</f>
      </c>
      <c r="AD393" s="129"/>
      <c r="AE393" s="583" t="n"/>
      <c r="AF393" s="583">
        <f>AC393*0.13/(1+0.13)</f>
      </c>
      <c r="AG393" s="605">
        <f>AC393-AF393</f>
      </c>
      <c r="AH393" s="605">
        <f>AC393*I393</f>
      </c>
      <c r="AI393" s="583">
        <f>ROUND(AG393*I393,-1)</f>
      </c>
    </row>
    <row r="394" ht="15.5" customHeight="1">
      <c r="A394" s="63" t="n"/>
      <c r="B394" s="56"/>
      <c r="C394" s="56"/>
      <c r="D394" s="59"/>
      <c r="E394" s="63"/>
      <c r="F394" s="24" t="n"/>
      <c r="G394" s="58"/>
      <c r="H394" s="21"/>
      <c r="I394" s="23"/>
      <c r="J394" s="558"/>
      <c r="K394" s="558"/>
      <c r="L394" s="539" t="n"/>
      <c r="M394" s="539" t="n"/>
      <c r="N394" s="539" t="n"/>
      <c r="O394" s="539" t="n"/>
      <c r="P394" s="539"/>
      <c r="Q394" s="539"/>
      <c r="R394" s="539">
        <f>AI394</f>
      </c>
      <c r="S394" s="23">
        <f>Y394*100</f>
      </c>
      <c r="T394" s="539">
        <f>ROUND(R394*S394/100,-1)</f>
      </c>
      <c r="U394" s="539">
        <f>IF(Q394=0,"",(T394-Q394)/Q394*100)</f>
      </c>
      <c r="V394" s="27" t="n"/>
      <c r="W394" s="601"/>
      <c r="X394" s="602">
        <f>($W$5-K394)/365</f>
      </c>
      <c r="Y394" s="127">
        <f>(W394-X394)/W394</f>
      </c>
      <c r="Z394" s="127"/>
      <c r="AA394" s="127">
        <f>Y394/2+Z394/2</f>
      </c>
      <c r="AB394" s="603">
        <f>P394/I394</f>
      </c>
      <c r="AC394" s="604">
        <f>AB394*AD394</f>
      </c>
      <c r="AD394" s="129"/>
      <c r="AE394" s="583" t="n"/>
      <c r="AF394" s="583">
        <f>AC394*0.13/(1+0.13)</f>
      </c>
      <c r="AG394" s="605">
        <f>AC394-AF394</f>
      </c>
      <c r="AH394" s="605">
        <f>AC394*I394</f>
      </c>
      <c r="AI394" s="583">
        <f>ROUND(AG394*I394,-1)</f>
      </c>
    </row>
    <row r="395" ht="15.5" customHeight="1">
      <c r="A395" s="63" t="n"/>
      <c r="B395" s="56"/>
      <c r="C395" s="56"/>
      <c r="D395" s="59"/>
      <c r="E395" s="63"/>
      <c r="F395" s="24" t="n"/>
      <c r="G395" s="58"/>
      <c r="H395" s="21"/>
      <c r="I395" s="23"/>
      <c r="J395" s="558"/>
      <c r="K395" s="558"/>
      <c r="L395" s="539" t="n"/>
      <c r="M395" s="539" t="n"/>
      <c r="N395" s="539" t="n"/>
      <c r="O395" s="539" t="n"/>
      <c r="P395" s="539"/>
      <c r="Q395" s="539"/>
      <c r="R395" s="539">
        <f>AI395</f>
      </c>
      <c r="S395" s="23">
        <f>Y395*100</f>
      </c>
      <c r="T395" s="539">
        <f>ROUND(R395*S395/100,-1)</f>
      </c>
      <c r="U395" s="539">
        <f>IF(Q395=0,"",(T395-Q395)/Q395*100)</f>
      </c>
      <c r="V395" s="27" t="n"/>
      <c r="W395" s="601"/>
      <c r="X395" s="602">
        <f>($W$5-K395)/365</f>
      </c>
      <c r="Y395" s="127">
        <f>(W395-X395)/W395</f>
      </c>
      <c r="Z395" s="127"/>
      <c r="AA395" s="127">
        <f>Y395/2+Z395/2</f>
      </c>
      <c r="AB395" s="603">
        <f>P395/I395</f>
      </c>
      <c r="AC395" s="604"/>
      <c r="AD395" s="583" t="n"/>
      <c r="AE395" s="583" t="n"/>
      <c r="AF395" s="583">
        <f>AC395*0.13/(1+0.13)</f>
      </c>
      <c r="AG395" s="605">
        <f>AC395-AF395</f>
      </c>
      <c r="AH395" s="605">
        <f>AC395*I395</f>
      </c>
      <c r="AI395" s="583">
        <f>ROUND(AG395*I395,-1)</f>
      </c>
      <c r="AJ395" s="136" t="inlineStr">
        <is>
          <t>https://item.jd.com/10040654779710.html?uabt=872_12138_1_0&amp;pcdk=axGR2EOPw-_wPmzq0SmLBnuKYeK_U_-N7fR-Ux5hrCI%3D.ZNqn.8PYs&amp;cu=true&amp;utm_source=lianmeng__10__kong__go.smzdm.com&amp;utm_medium=tuiguang&amp;utm_campaign=t_1000089893_156_0_184__1aaf00ca47fff68a&amp;utm_term=94b28be62c82be968d3d00523e5376e8&amp;purchasetab=gfgm</t>
        </is>
      </c>
    </row>
    <row r="396" ht="15.5" customHeight="1">
      <c r="A396" s="63" t="n"/>
      <c r="B396" s="56"/>
      <c r="C396" s="56"/>
      <c r="D396" s="59"/>
      <c r="E396" s="63"/>
      <c r="F396" s="24" t="n"/>
      <c r="G396" s="58"/>
      <c r="H396" s="21"/>
      <c r="I396" s="23"/>
      <c r="J396" s="558"/>
      <c r="K396" s="558"/>
      <c r="L396" s="539" t="n"/>
      <c r="M396" s="539" t="n"/>
      <c r="N396" s="539" t="n"/>
      <c r="O396" s="539" t="n"/>
      <c r="P396" s="539"/>
      <c r="Q396" s="539"/>
      <c r="R396" s="539">
        <f>AI396</f>
      </c>
      <c r="S396" s="23">
        <f>Y396*100</f>
      </c>
      <c r="T396" s="539">
        <f>ROUND(R396*S396/100,-1)</f>
      </c>
      <c r="U396" s="539">
        <f>IF(Q396=0,"",(T396-Q396)/Q396*100)</f>
      </c>
      <c r="V396" s="27" t="n"/>
      <c r="W396" s="601"/>
      <c r="X396" s="602">
        <f>($W$5-K396)/365</f>
      </c>
      <c r="Y396" s="127">
        <f>(W396-X396)/W396</f>
      </c>
      <c r="Z396" s="127"/>
      <c r="AA396" s="127">
        <f>Y396/2+Z396/2</f>
      </c>
      <c r="AB396" s="603">
        <f>P396/I396</f>
      </c>
      <c r="AC396" s="604"/>
      <c r="AD396" s="583" t="n"/>
      <c r="AE396" s="583" t="n"/>
      <c r="AF396" s="583">
        <f>AC396*0.13/(1+0.13)</f>
      </c>
      <c r="AG396" s="605">
        <f>AC396-AF396</f>
      </c>
      <c r="AH396" s="605">
        <f>AC396*I396</f>
      </c>
      <c r="AI396" s="583">
        <f>ROUND(AG396*I396,-1)</f>
      </c>
      <c r="AJ396" s="136" t="inlineStr">
        <is>
          <t>https://item.jd.com/10052392698142.html?uabt=872_12138_1_0&amp;pcdk=Mf8Zq4cBIGXbrTRXqs8OiNMCHbX1Gi9qkPMbX8oJ9rI%3D.ZNqn.8PYs&amp;cu=true&amp;utm_source=lianmeng__10__kong__detail.zol.com.cn&amp;utm_medium=jingfen&amp;utm_campaign=t_2032288013_&amp;utm_term=9769d5671ef2ddcc39dbb7edc8a9b3d1&amp;purchasetab=gfgm</t>
        </is>
      </c>
    </row>
    <row r="397" ht="15.5" customHeight="1">
      <c r="A397" s="63" t="n"/>
      <c r="B397" s="56"/>
      <c r="C397" s="56"/>
      <c r="D397" s="59"/>
      <c r="E397" s="63"/>
      <c r="F397" s="24" t="n"/>
      <c r="G397" s="58"/>
      <c r="H397" s="21"/>
      <c r="I397" s="23"/>
      <c r="J397" s="558"/>
      <c r="K397" s="558"/>
      <c r="L397" s="539" t="n"/>
      <c r="M397" s="539" t="n"/>
      <c r="N397" s="539" t="n"/>
      <c r="O397" s="539" t="n"/>
      <c r="P397" s="539"/>
      <c r="Q397" s="539"/>
      <c r="R397" s="539">
        <f>AI397</f>
      </c>
      <c r="S397" s="23">
        <f>Y397*100</f>
      </c>
      <c r="T397" s="539">
        <f>ROUND(R397*S397/100,-1)</f>
      </c>
      <c r="U397" s="539">
        <f>IF(Q397=0,"",(T397-Q397)/Q397*100)</f>
      </c>
      <c r="V397" s="27" t="n"/>
      <c r="W397" s="601"/>
      <c r="X397" s="602">
        <f>($W$5-K397)/365</f>
      </c>
      <c r="Y397" s="127">
        <f>(W397-X397)/W397</f>
      </c>
      <c r="Z397" s="127"/>
      <c r="AA397" s="127">
        <f>Y397/2+Z397/2</f>
      </c>
      <c r="AB397" s="603">
        <f>P397/I397</f>
      </c>
      <c r="AC397" s="604"/>
      <c r="AD397" s="583" t="n"/>
      <c r="AE397" s="583" t="n"/>
      <c r="AF397" s="583">
        <f>AC397*0.13/(1+0.13)</f>
      </c>
      <c r="AG397" s="605">
        <f>AC397-AF397</f>
      </c>
      <c r="AH397" s="605">
        <f>AC397*I397</f>
      </c>
      <c r="AI397" s="583">
        <f>ROUND(AG397*I397,-1)</f>
      </c>
      <c r="AJ397" s="136" t="inlineStr">
        <is>
          <t>https://item.jd.com/10040654779710.html?uabt=872_12138_1_0&amp;pcdk=axGR2EOPw-_wPmzq0SmLBnuKYeK_U_-N7fR-Ux5hrCI%3D.ZNqn.8PYs&amp;cu=true&amp;utm_source=lianmeng__10__kong__go.smzdm.com&amp;utm_medium=tuiguang&amp;utm_campaign=t_1000089893_156_0_184__1aaf00ca47fff68a&amp;utm_term=94b28be62c82be968d3d00523e5376e8&amp;purchasetab=gfgm</t>
        </is>
      </c>
    </row>
    <row r="398" ht="15.5" customHeight="1">
      <c r="A398" s="63" t="n"/>
      <c r="B398" s="56"/>
      <c r="C398" s="56"/>
      <c r="D398" s="59"/>
      <c r="E398" s="63"/>
      <c r="F398" s="24" t="n"/>
      <c r="G398" s="58"/>
      <c r="H398" s="21"/>
      <c r="I398" s="23"/>
      <c r="J398" s="558"/>
      <c r="K398" s="558"/>
      <c r="L398" s="539" t="n"/>
      <c r="M398" s="539" t="n"/>
      <c r="N398" s="539" t="n"/>
      <c r="O398" s="539" t="n"/>
      <c r="P398" s="539"/>
      <c r="Q398" s="539"/>
      <c r="R398" s="539">
        <f>AI398</f>
      </c>
      <c r="S398" s="23">
        <f>Y398*100</f>
      </c>
      <c r="T398" s="539">
        <f>ROUND(R398*S398/100,-1)</f>
      </c>
      <c r="U398" s="539">
        <f>IF(Q398=0,"",(T398-Q398)/Q398*100)</f>
      </c>
      <c r="V398" s="27" t="n"/>
      <c r="W398" s="601"/>
      <c r="X398" s="602">
        <f>($W$5-K398)/365</f>
      </c>
      <c r="Y398" s="127">
        <f>(W398-X398)/W398</f>
      </c>
      <c r="Z398" s="127"/>
      <c r="AA398" s="127">
        <f>Y398/2+Z398/2</f>
      </c>
      <c r="AB398" s="603">
        <f>P398/I398</f>
      </c>
      <c r="AC398" s="604"/>
      <c r="AD398" s="583" t="n"/>
      <c r="AE398" s="583" t="n"/>
      <c r="AF398" s="583">
        <f>AC398*0.13/(1+0.13)</f>
      </c>
      <c r="AG398" s="605">
        <f>AC398-AF398</f>
      </c>
      <c r="AH398" s="605">
        <f>AC398*I398</f>
      </c>
      <c r="AI398" s="583">
        <f>ROUND(AG398*I398,-1)</f>
      </c>
      <c r="AJ398" s="136" t="inlineStr">
        <is>
          <t>https://item.jd.com/10040654779710.html?uabt=872_12138_1_0&amp;pcdk=axGR2EOPw-_wPmzq0SmLBnuKYeK_U_-N7fR-Ux5hrCI%3D.ZNqn.8PYs&amp;cu=true&amp;utm_source=lianmeng__10__kong__go.smzdm.com&amp;utm_medium=tuiguang&amp;utm_campaign=t_1000089893_156_0_184__1aaf00ca47fff68a&amp;utm_term=94b28be62c82be968d3d00523e5376e8&amp;purchasetab=gfgm</t>
        </is>
      </c>
    </row>
    <row r="399" ht="15.5" customHeight="1">
      <c r="A399" s="63" t="n"/>
      <c r="B399" s="56"/>
      <c r="C399" s="56"/>
      <c r="D399" s="59"/>
      <c r="E399" s="63"/>
      <c r="F399" s="24" t="n"/>
      <c r="G399" s="58"/>
      <c r="H399" s="21"/>
      <c r="I399" s="23"/>
      <c r="J399" s="558"/>
      <c r="K399" s="558"/>
      <c r="L399" s="539" t="n"/>
      <c r="M399" s="539" t="n"/>
      <c r="N399" s="539" t="n"/>
      <c r="O399" s="539" t="n"/>
      <c r="P399" s="539"/>
      <c r="Q399" s="539"/>
      <c r="R399" s="539">
        <f>AI399</f>
      </c>
      <c r="S399" s="23">
        <f>Y399*100</f>
      </c>
      <c r="T399" s="539">
        <f>ROUND(R399*S399/100,-1)</f>
      </c>
      <c r="U399" s="539">
        <f>IF(Q399=0,"",(T399-Q399)/Q399*100)</f>
      </c>
      <c r="V399" s="27" t="n"/>
      <c r="W399" s="601"/>
      <c r="X399" s="602">
        <f>($W$5-K399)/365</f>
      </c>
      <c r="Y399" s="127">
        <f>(W399-X399)/W399</f>
      </c>
      <c r="Z399" s="127"/>
      <c r="AA399" s="127">
        <f>Y399/2+Z399/2</f>
      </c>
      <c r="AB399" s="603">
        <f>P399/I399</f>
      </c>
      <c r="AC399" s="604"/>
      <c r="AD399" s="583" t="n"/>
      <c r="AE399" s="583" t="n"/>
      <c r="AF399" s="583">
        <f>AC399*0.13/(1+0.13)</f>
      </c>
      <c r="AG399" s="605">
        <f>AC399-AF399</f>
      </c>
      <c r="AH399" s="605">
        <f>AC399*I399</f>
      </c>
      <c r="AI399" s="583">
        <f>ROUND(AG399*I399,-1)</f>
      </c>
      <c r="AJ399" s="136" t="inlineStr">
        <is>
          <t>https://item.jd.com/10052392698142.html?uabt=872_12138_1_0&amp;pcdk=Mf8Zq4cBIGXbrTRXqs8OiNMCHbX1Gi9qkPMbX8oJ9rI%3D.ZNqn.8PYs&amp;cu=true&amp;utm_source=lianmeng__10__kong__detail.zol.com.cn&amp;utm_medium=jingfen&amp;utm_campaign=t_2032288013_&amp;utm_term=9769d5671ef2ddcc39dbb7edc8a9b3d1&amp;purchasetab=gfgm</t>
        </is>
      </c>
    </row>
    <row r="400" ht="15.5" customHeight="1">
      <c r="A400" s="63" t="n"/>
      <c r="B400" s="56"/>
      <c r="C400" s="56"/>
      <c r="D400" s="59"/>
      <c r="E400" s="63"/>
      <c r="F400" s="24" t="n"/>
      <c r="G400" s="58"/>
      <c r="H400" s="21"/>
      <c r="I400" s="23"/>
      <c r="J400" s="558"/>
      <c r="K400" s="558"/>
      <c r="L400" s="539" t="n"/>
      <c r="M400" s="539" t="n"/>
      <c r="N400" s="539" t="n"/>
      <c r="O400" s="539" t="n"/>
      <c r="P400" s="539"/>
      <c r="Q400" s="539"/>
      <c r="R400" s="539">
        <f>AI400</f>
      </c>
      <c r="S400" s="23">
        <f>Y400*100</f>
      </c>
      <c r="T400" s="539">
        <f>ROUND(R400*S400/100,-1)</f>
      </c>
      <c r="U400" s="539">
        <f>IF(Q400=0,"",(T400-Q400)/Q400*100)</f>
      </c>
      <c r="V400" s="27" t="n"/>
      <c r="W400" s="601"/>
      <c r="X400" s="602">
        <f>($W$5-K400)/365</f>
      </c>
      <c r="Y400" s="127">
        <f>(W400-X400)/W400</f>
      </c>
      <c r="Z400" s="127"/>
      <c r="AA400" s="127">
        <f>Y400/2+Z400/2</f>
      </c>
      <c r="AB400" s="603">
        <f>P400/I400</f>
      </c>
      <c r="AC400" s="604"/>
      <c r="AD400" s="583" t="n"/>
      <c r="AE400" s="583" t="n"/>
      <c r="AF400" s="583">
        <f>AC400*0.13/(1+0.13)</f>
      </c>
      <c r="AG400" s="605">
        <f>AC400-AF400</f>
      </c>
      <c r="AH400" s="605">
        <f>AC400*I400</f>
      </c>
      <c r="AI400" s="583">
        <f>ROUND(AG400*I400,-1)</f>
      </c>
      <c r="AJ400" s="136" t="inlineStr">
        <is>
          <t>https://item.jd.com/10052392698142.html?uabt=872_12138_1_0&amp;pcdk=Mf8Zq4cBIGXbrTRXqs8OiNMCHbX1Gi9qkPMbX8oJ9rI%3D.ZNqn.8PYs&amp;cu=true&amp;utm_source=lianmeng__10__kong__detail.zol.com.cn&amp;utm_medium=jingfen&amp;utm_campaign=t_2032288013_&amp;utm_term=9769d5671ef2ddcc39dbb7edc8a9b3d1&amp;purchasetab=gfgm</t>
        </is>
      </c>
    </row>
    <row r="401" ht="15.5" customHeight="1">
      <c r="A401" s="63" t="n"/>
      <c r="B401" s="56"/>
      <c r="C401" s="56"/>
      <c r="D401" s="59"/>
      <c r="E401" s="63"/>
      <c r="F401" s="24" t="n"/>
      <c r="G401" s="58"/>
      <c r="H401" s="21"/>
      <c r="I401" s="21"/>
      <c r="J401" s="558"/>
      <c r="K401" s="558"/>
      <c r="L401" s="539" t="n"/>
      <c r="M401" s="539" t="n"/>
      <c r="N401" s="539" t="n"/>
      <c r="O401" s="539" t="n"/>
      <c r="P401" s="539"/>
      <c r="Q401" s="539"/>
      <c r="R401" s="539">
        <f>AI401</f>
      </c>
      <c r="S401" s="23">
        <f>Y401*100</f>
      </c>
      <c r="T401" s="539">
        <f>ROUND(R401*S401/100,-1)</f>
      </c>
      <c r="U401" s="539">
        <f>IF(Q401=0,"",(T401-Q401)/Q401*100)</f>
      </c>
      <c r="V401" s="27" t="n"/>
      <c r="W401" s="601"/>
      <c r="X401" s="602">
        <f>($W$5-K401)/365</f>
      </c>
      <c r="Y401" s="127">
        <f>(W401-X401)/W401</f>
      </c>
      <c r="Z401" s="127"/>
      <c r="AA401" s="127">
        <f>Y401/2+Z401/2</f>
      </c>
      <c r="AB401" s="603">
        <f>P401/I401</f>
      </c>
      <c r="AC401" s="604"/>
      <c r="AD401" s="583" t="n"/>
      <c r="AE401" s="583" t="n"/>
      <c r="AF401" s="583">
        <f>AC401*0.13/(1+0.13)</f>
      </c>
      <c r="AG401" s="605">
        <f>AC401-AF401</f>
      </c>
      <c r="AH401" s="605">
        <f>AC401*I401</f>
      </c>
      <c r="AI401" s="583">
        <f>ROUND(AG401*I401,-1)</f>
      </c>
      <c r="AJ401" s="136" t="inlineStr">
        <is>
          <t>https://item.jd.com/10052392698142.html?uabt=872_12138_1_0&amp;pcdk=Mf8Zq4cBIGXbrTRXqs8OiNMCHbX1Gi9qkPMbX8oJ9rI%3D.ZNqn.8PYs&amp;cu=true&amp;utm_source=lianmeng__10__kong__detail.zol.com.cn&amp;utm_medium=jingfen&amp;utm_campaign=t_2032288013_&amp;utm_term=9769d5671ef2ddcc39dbb7edc8a9b3d1&amp;purchasetab=gfgm</t>
        </is>
      </c>
    </row>
    <row r="402" ht="15.5" customHeight="1">
      <c r="A402" s="63" t="n"/>
      <c r="B402" s="56"/>
      <c r="C402" s="56"/>
      <c r="D402" s="59"/>
      <c r="E402" s="63" t="n"/>
      <c r="F402" s="24" t="n"/>
      <c r="G402" s="137"/>
      <c r="H402" s="21"/>
      <c r="I402" s="21"/>
      <c r="J402" s="558"/>
      <c r="K402" s="558"/>
      <c r="L402" s="539" t="n"/>
      <c r="M402" s="539" t="n"/>
      <c r="N402" s="539" t="n"/>
      <c r="O402" s="539" t="n"/>
      <c r="P402" s="539"/>
      <c r="Q402" s="539"/>
      <c r="R402" s="539">
        <f>AI402</f>
      </c>
      <c r="S402" s="23">
        <f>Y402*100</f>
      </c>
      <c r="T402" s="539">
        <f>ROUND(R402*S402/100,-1)</f>
      </c>
      <c r="U402" s="539">
        <f>IF(Q402=0,"",(T402-Q402)/Q402*100)</f>
      </c>
      <c r="V402" s="27" t="n"/>
      <c r="W402" s="601"/>
      <c r="X402" s="602">
        <f>($W$5-K402)/365</f>
      </c>
      <c r="Y402" s="127">
        <f>(W402-X402)/W402</f>
      </c>
      <c r="Z402" s="127"/>
      <c r="AA402" s="127">
        <f>Y402/2+Z402/2</f>
      </c>
      <c r="AB402" s="603">
        <f>P402/I402</f>
      </c>
      <c r="AC402" s="604">
        <f>AB402*AD402</f>
      </c>
      <c r="AD402" s="129"/>
      <c r="AE402" s="583" t="n"/>
      <c r="AF402" s="583">
        <f>AC402*0.13/(1+0.13)</f>
      </c>
      <c r="AG402" s="605">
        <f>AC402-AF402</f>
      </c>
      <c r="AH402" s="605">
        <f>AC402*I402</f>
      </c>
      <c r="AI402" s="583">
        <f>ROUND(AG402*I402,-1)</f>
      </c>
    </row>
    <row r="403" ht="15.5" customHeight="1">
      <c r="A403" s="63" t="n"/>
      <c r="B403" s="56"/>
      <c r="C403" s="56"/>
      <c r="D403" s="59"/>
      <c r="E403" s="63" t="n"/>
      <c r="F403" s="24" t="n"/>
      <c r="G403" s="137"/>
      <c r="H403" s="21"/>
      <c r="I403" s="21"/>
      <c r="J403" s="558"/>
      <c r="K403" s="558"/>
      <c r="L403" s="539" t="n"/>
      <c r="M403" s="539" t="n"/>
      <c r="N403" s="539" t="n"/>
      <c r="O403" s="539" t="n"/>
      <c r="P403" s="539"/>
      <c r="Q403" s="539"/>
      <c r="R403" s="539">
        <f>AI403</f>
      </c>
      <c r="S403" s="23">
        <f>Y403*100</f>
      </c>
      <c r="T403" s="539">
        <f>ROUND(R403*S403/100,-1)</f>
      </c>
      <c r="U403" s="539">
        <f>IF(Q403=0,"",(T403-Q403)/Q403*100)</f>
      </c>
      <c r="V403" s="27" t="n"/>
      <c r="W403" s="601"/>
      <c r="X403" s="602">
        <f>($W$5-K403)/365</f>
      </c>
      <c r="Y403" s="127">
        <f>(W403-X403)/W403</f>
      </c>
      <c r="Z403" s="127"/>
      <c r="AA403" s="127">
        <f>Y403/2+Z403/2</f>
      </c>
      <c r="AB403" s="603">
        <f>P403/I403</f>
      </c>
      <c r="AC403" s="604">
        <f>AB403*AD403</f>
      </c>
      <c r="AD403" s="129"/>
      <c r="AE403" s="583" t="n"/>
      <c r="AF403" s="583">
        <f>AC403*0.13/(1+0.13)</f>
      </c>
      <c r="AG403" s="605">
        <f>AC403-AF403</f>
      </c>
      <c r="AH403" s="605">
        <f>AC403*I403</f>
      </c>
      <c r="AI403" s="583">
        <f>ROUND(AG403*I403,-1)</f>
      </c>
    </row>
    <row r="404" ht="15.5" customHeight="1">
      <c r="A404" s="63" t="n"/>
      <c r="B404" s="56"/>
      <c r="C404" s="56"/>
      <c r="D404" s="59"/>
      <c r="E404" s="63" t="n"/>
      <c r="F404" s="24" t="n"/>
      <c r="G404" s="137"/>
      <c r="H404" s="21"/>
      <c r="I404" s="23"/>
      <c r="J404" s="558"/>
      <c r="K404" s="558"/>
      <c r="L404" s="539" t="n"/>
      <c r="M404" s="539" t="n"/>
      <c r="N404" s="539" t="n"/>
      <c r="O404" s="539" t="n"/>
      <c r="P404" s="539"/>
      <c r="Q404" s="539"/>
      <c r="R404" s="539">
        <f>AI404</f>
      </c>
      <c r="S404" s="23">
        <f>Y404*100</f>
      </c>
      <c r="T404" s="539">
        <f>ROUND(R404*S404/100,-1)</f>
      </c>
      <c r="U404" s="539">
        <f>IF(Q404=0,"",(T404-Q404)/Q404*100)</f>
      </c>
      <c r="V404" s="27" t="n"/>
      <c r="W404" s="601"/>
      <c r="X404" s="602">
        <f>($W$5-K404)/365</f>
      </c>
      <c r="Y404" s="127">
        <f>(W404-X404)/W404</f>
      </c>
      <c r="Z404" s="127"/>
      <c r="AA404" s="127">
        <f>Y404/2+Z404/2</f>
      </c>
      <c r="AB404" s="603">
        <f>P404/I404</f>
      </c>
      <c r="AC404" s="604">
        <f>AB404*AD404</f>
      </c>
      <c r="AD404" s="129"/>
      <c r="AE404" s="583" t="n"/>
      <c r="AF404" s="583">
        <f>AC404*0.13/(1+0.13)</f>
      </c>
      <c r="AG404" s="605">
        <f>AC404-AF404</f>
      </c>
      <c r="AH404" s="605">
        <f>AC404*I404</f>
      </c>
      <c r="AI404" s="583">
        <f>ROUND(AG404*I404,-1)</f>
      </c>
    </row>
    <row r="405" ht="15.5" customHeight="1">
      <c r="A405" s="63" t="n"/>
      <c r="B405" s="56"/>
      <c r="C405" s="56"/>
      <c r="D405" s="59"/>
      <c r="E405" s="63" t="n"/>
      <c r="F405" s="24" t="n"/>
      <c r="G405" s="137"/>
      <c r="H405" s="21"/>
      <c r="I405" s="21"/>
      <c r="J405" s="558"/>
      <c r="K405" s="558"/>
      <c r="L405" s="539" t="n"/>
      <c r="M405" s="539" t="n"/>
      <c r="N405" s="539" t="n"/>
      <c r="O405" s="539" t="n"/>
      <c r="P405" s="539"/>
      <c r="Q405" s="539"/>
      <c r="R405" s="539">
        <f>AI405</f>
      </c>
      <c r="S405" s="23">
        <f>Y405*100</f>
      </c>
      <c r="T405" s="539">
        <f>ROUND(R405*S405/100,-1)</f>
      </c>
      <c r="U405" s="539">
        <f>IF(Q405=0,"",(T405-Q405)/Q405*100)</f>
      </c>
      <c r="V405" s="27" t="n"/>
      <c r="W405" s="601"/>
      <c r="X405" s="602">
        <f>($W$5-K405)/365</f>
      </c>
      <c r="Y405" s="127">
        <f>(W405-X405)/W405</f>
      </c>
      <c r="Z405" s="127"/>
      <c r="AA405" s="127">
        <f>Y405/2+Z405/2</f>
      </c>
      <c r="AB405" s="603">
        <f>P405/I405</f>
      </c>
      <c r="AC405" s="604">
        <f>AB405*AD405</f>
      </c>
      <c r="AD405" s="129"/>
      <c r="AE405" s="583" t="n"/>
      <c r="AF405" s="583">
        <f>AC405*0.13/(1+0.13)</f>
      </c>
      <c r="AG405" s="605">
        <f>AC405-AF405</f>
      </c>
      <c r="AH405" s="605">
        <f>AC405*I405</f>
      </c>
      <c r="AI405" s="583">
        <f>ROUND(AG405*I405,-1)</f>
      </c>
    </row>
    <row r="406" ht="15.5" customHeight="1">
      <c r="A406" s="63" t="n"/>
      <c r="B406" s="56"/>
      <c r="C406" s="56"/>
      <c r="D406" s="59" t="n"/>
      <c r="E406" s="63" t="n"/>
      <c r="F406" s="24" t="n"/>
      <c r="G406" s="63"/>
      <c r="H406" s="21" t="n"/>
      <c r="I406" s="23"/>
      <c r="J406" s="558"/>
      <c r="K406" s="558"/>
      <c r="L406" s="539" t="n"/>
      <c r="M406" s="539" t="n"/>
      <c r="N406" s="539" t="n"/>
      <c r="O406" s="539" t="n"/>
      <c r="P406" s="539"/>
      <c r="Q406" s="539"/>
      <c r="R406" s="539">
        <f>AI406</f>
      </c>
      <c r="S406" s="23">
        <f>Y406*100</f>
      </c>
      <c r="T406" s="539">
        <f>ROUND(R406*S406/100,-1)</f>
      </c>
      <c r="U406" s="539">
        <f>IF(Q406=0,"",(T406-Q406)/Q406*100)</f>
      </c>
      <c r="V406" s="27" t="n"/>
      <c r="W406" s="601"/>
      <c r="X406" s="602">
        <f>($W$5-K406)/365</f>
      </c>
      <c r="Y406" s="127">
        <f>(W406-X406)/W406</f>
      </c>
      <c r="Z406" s="127"/>
      <c r="AA406" s="127">
        <f>Y406/2+Z406/2</f>
      </c>
      <c r="AB406" s="603">
        <f>P406/I406</f>
      </c>
      <c r="AC406" s="604">
        <f>AB406*AD406</f>
      </c>
      <c r="AD406" s="129"/>
      <c r="AE406" s="583" t="n"/>
      <c r="AF406" s="583">
        <f>AC406*0.13/(1+0.13)</f>
      </c>
      <c r="AG406" s="605">
        <f>AC406-AF406</f>
      </c>
      <c r="AH406" s="605">
        <f>AC406*I406</f>
      </c>
      <c r="AI406" s="583">
        <f>ROUND(AG406*I406,-1)</f>
      </c>
    </row>
    <row r="407" ht="15.5" customHeight="1">
      <c r="A407" s="63" t="n"/>
      <c r="B407" s="56"/>
      <c r="C407" s="56"/>
      <c r="D407" s="59" t="n"/>
      <c r="E407" s="63" t="n"/>
      <c r="F407" s="24" t="n"/>
      <c r="G407" s="63"/>
      <c r="H407" s="21" t="n"/>
      <c r="I407" s="23"/>
      <c r="J407" s="558"/>
      <c r="K407" s="558"/>
      <c r="L407" s="539" t="n"/>
      <c r="M407" s="539" t="n"/>
      <c r="N407" s="539" t="n"/>
      <c r="O407" s="539" t="n"/>
      <c r="P407" s="539"/>
      <c r="Q407" s="539"/>
      <c r="R407" s="539">
        <f>AI407</f>
      </c>
      <c r="S407" s="23">
        <f>Y407*100</f>
      </c>
      <c r="T407" s="539">
        <f>ROUND(R407*S407/100,-1)</f>
      </c>
      <c r="U407" s="539">
        <f>IF(Q407=0,"",(T407-Q407)/Q407*100)</f>
      </c>
      <c r="V407" s="27" t="n"/>
      <c r="W407" s="601"/>
      <c r="X407" s="602">
        <f>($W$5-K407)/365</f>
      </c>
      <c r="Y407" s="127">
        <f>(W407-X407)/W407</f>
      </c>
      <c r="Z407" s="127"/>
      <c r="AA407" s="127">
        <f>Y407/2+Z407/2</f>
      </c>
      <c r="AB407" s="603">
        <f>P407/I407</f>
      </c>
      <c r="AC407" s="604">
        <f>AB407*AD407</f>
      </c>
      <c r="AD407" s="129"/>
      <c r="AE407" s="583" t="n"/>
      <c r="AF407" s="583">
        <f>AC407*0.13/(1+0.13)</f>
      </c>
      <c r="AG407" s="605">
        <f>AC407-AF407</f>
      </c>
      <c r="AH407" s="605">
        <f>AC407*I407</f>
      </c>
      <c r="AI407" s="583">
        <f>ROUND(AG407*I407,-1)</f>
      </c>
    </row>
    <row r="408" ht="15.5" customHeight="1">
      <c r="A408" s="63" t="n"/>
      <c r="B408" s="56"/>
      <c r="C408" s="56"/>
      <c r="D408" s="59"/>
      <c r="E408" s="63"/>
      <c r="F408" s="24" t="n"/>
      <c r="G408" s="58"/>
      <c r="H408" s="21"/>
      <c r="I408" s="23"/>
      <c r="J408" s="558"/>
      <c r="K408" s="558"/>
      <c r="L408" s="539" t="n"/>
      <c r="M408" s="539" t="n"/>
      <c r="N408" s="539" t="n"/>
      <c r="O408" s="539" t="n"/>
      <c r="P408" s="539"/>
      <c r="Q408" s="539"/>
      <c r="R408" s="539">
        <f>AI408</f>
      </c>
      <c r="S408" s="23">
        <f>Y408*100</f>
      </c>
      <c r="T408" s="539">
        <f>ROUND(R408*S408/100,-1)</f>
      </c>
      <c r="U408" s="539">
        <f>IF(Q408=0,"",(T408-Q408)/Q408*100)</f>
      </c>
      <c r="V408" s="27" t="n"/>
      <c r="W408" s="601"/>
      <c r="X408" s="602">
        <f>($W$5-K408)/365</f>
      </c>
      <c r="Y408" s="127">
        <f>(W408-X408)/W408</f>
      </c>
      <c r="Z408" s="127"/>
      <c r="AA408" s="127">
        <f>Y408/2+Z408/2</f>
      </c>
      <c r="AB408" s="603">
        <f>P408/I408</f>
      </c>
      <c r="AC408" s="604"/>
      <c r="AD408" s="583" t="n"/>
      <c r="AE408" s="583" t="n"/>
      <c r="AF408" s="583">
        <f>AC408*0.13/(1+0.13)</f>
      </c>
      <c r="AG408" s="605">
        <f>AC408-AF408</f>
      </c>
      <c r="AH408" s="605">
        <f>AC408*I408</f>
      </c>
      <c r="AI408" s="583">
        <f>ROUND(AG408*I408,-1)</f>
      </c>
      <c r="AJ408" s="136" t="inlineStr">
        <is>
          <t>https://item.jd.com/10052392698142.html?uabt=872_12138_1_0&amp;pcdk=Mf8Zq4cBIGXbrTRXqs8OiNMCHbX1Gi9qkPMbX8oJ9rI%3D.ZNqn.8PYs&amp;cu=true&amp;utm_source=lianmeng__10__kong__detail.zol.com.cn&amp;utm_medium=jingfen&amp;utm_campaign=t_2032288013_&amp;utm_term=9769d5671ef2ddcc39dbb7edc8a9b3d1&amp;purchasetab=gfgm</t>
        </is>
      </c>
    </row>
    <row r="409" ht="15.5" customHeight="1">
      <c r="A409" s="63" t="n"/>
      <c r="B409" s="56"/>
      <c r="C409" s="56"/>
      <c r="D409" s="59"/>
      <c r="E409" s="63"/>
      <c r="F409" s="24" t="n"/>
      <c r="G409" s="58"/>
      <c r="H409" s="21"/>
      <c r="I409" s="23"/>
      <c r="J409" s="558"/>
      <c r="K409" s="558"/>
      <c r="L409" s="539" t="n"/>
      <c r="M409" s="539" t="n"/>
      <c r="N409" s="539" t="n"/>
      <c r="O409" s="539" t="n"/>
      <c r="P409" s="539"/>
      <c r="Q409" s="539"/>
      <c r="R409" s="539">
        <f>AI409</f>
      </c>
      <c r="S409" s="23">
        <f>Y409*100</f>
      </c>
      <c r="T409" s="539">
        <f>ROUND(R409*S409/100,-1)</f>
      </c>
      <c r="U409" s="539">
        <f>IF(Q409=0,"",(T409-Q409)/Q409*100)</f>
      </c>
      <c r="V409" s="27" t="n"/>
      <c r="W409" s="601"/>
      <c r="X409" s="602">
        <f>($W$5-K409)/365</f>
      </c>
      <c r="Y409" s="127">
        <f>(W409-X409)/W409</f>
      </c>
      <c r="Z409" s="127"/>
      <c r="AA409" s="127">
        <f>Y409/2+Z409/2</f>
      </c>
      <c r="AB409" s="603">
        <f>P409/I409</f>
      </c>
      <c r="AC409" s="604">
        <f>AB409*AD409</f>
      </c>
      <c r="AD409" s="129"/>
      <c r="AE409" s="583" t="n"/>
      <c r="AF409" s="583">
        <f>AC409*0.13/(1+0.13)</f>
      </c>
      <c r="AG409" s="605">
        <f>AC409-AF409</f>
      </c>
      <c r="AH409" s="605">
        <f>AC409*I409</f>
      </c>
      <c r="AI409" s="583">
        <f>ROUND(AG409*I409,-1)</f>
      </c>
    </row>
    <row r="410" ht="15.5" customHeight="1">
      <c r="A410" s="63" t="n"/>
      <c r="B410" s="56"/>
      <c r="C410" s="56"/>
      <c r="D410" s="59"/>
      <c r="E410" s="63"/>
      <c r="F410" s="24" t="n"/>
      <c r="G410" s="58"/>
      <c r="H410" s="21"/>
      <c r="I410" s="23"/>
      <c r="J410" s="558"/>
      <c r="K410" s="558"/>
      <c r="L410" s="539" t="n"/>
      <c r="M410" s="539" t="n"/>
      <c r="N410" s="539" t="n"/>
      <c r="O410" s="539" t="n"/>
      <c r="P410" s="539"/>
      <c r="Q410" s="539"/>
      <c r="R410" s="539">
        <f>AI410</f>
      </c>
      <c r="S410" s="23">
        <f>Y410*100</f>
      </c>
      <c r="T410" s="539">
        <f>ROUND(R410*S410/100,-1)</f>
      </c>
      <c r="U410" s="539">
        <f>IF(Q410=0,"",(T410-Q410)/Q410*100)</f>
      </c>
      <c r="V410" s="27" t="n"/>
      <c r="W410" s="601"/>
      <c r="X410" s="602">
        <f>($W$5-K410)/365</f>
      </c>
      <c r="Y410" s="127">
        <f>(W410-X410)/W410</f>
      </c>
      <c r="Z410" s="127"/>
      <c r="AA410" s="127">
        <f>Y410/2+Z410/2</f>
      </c>
      <c r="AB410" s="603">
        <f>P410/I410</f>
      </c>
      <c r="AC410" s="604"/>
      <c r="AD410" s="583" t="n"/>
      <c r="AE410" s="583" t="n"/>
      <c r="AF410" s="583">
        <f>AC410*0.13/(1+0.13)</f>
      </c>
      <c r="AG410" s="605">
        <f>AC410-AF410</f>
      </c>
      <c r="AH410" s="605">
        <f>AC410*I410</f>
      </c>
      <c r="AI410" s="583">
        <f>ROUND(AG410*I410,-1)</f>
      </c>
      <c r="AJ410" s="136" t="inlineStr">
        <is>
          <t>https://item.jd.com/10052392698142.html?uabt=872_12138_1_0&amp;pcdk=Mf8Zq4cBIGXbrTRXqs8OiNMCHbX1Gi9qkPMbX8oJ9rI%3D.ZNqn.8PYs&amp;cu=true&amp;utm_source=lianmeng__10__kong__detail.zol.com.cn&amp;utm_medium=jingfen&amp;utm_campaign=t_2032288013_&amp;utm_term=9769d5671ef2ddcc39dbb7edc8a9b3d1&amp;purchasetab=gfgm</t>
        </is>
      </c>
    </row>
    <row r="411" ht="15.5" customHeight="1">
      <c r="A411" s="63" t="n"/>
      <c r="B411" s="56"/>
      <c r="C411" s="56"/>
      <c r="D411" s="59"/>
      <c r="E411" s="63"/>
      <c r="F411" s="24" t="n"/>
      <c r="G411" s="58"/>
      <c r="H411" s="21"/>
      <c r="I411" s="23"/>
      <c r="J411" s="558"/>
      <c r="K411" s="558"/>
      <c r="L411" s="539" t="n"/>
      <c r="M411" s="539" t="n"/>
      <c r="N411" s="539" t="n"/>
      <c r="O411" s="539" t="n"/>
      <c r="P411" s="539"/>
      <c r="Q411" s="539"/>
      <c r="R411" s="539">
        <f>AI411</f>
      </c>
      <c r="S411" s="23">
        <f>Y411*100</f>
      </c>
      <c r="T411" s="539">
        <f>ROUND(R411*S411/100,-1)</f>
      </c>
      <c r="U411" s="539">
        <f>IF(Q411=0,"",(T411-Q411)/Q411*100)</f>
      </c>
      <c r="V411" s="27" t="n"/>
      <c r="W411" s="601"/>
      <c r="X411" s="602">
        <f>($W$5-K411)/365</f>
      </c>
      <c r="Y411" s="127">
        <f>(W411-X411)/W411</f>
      </c>
      <c r="Z411" s="127"/>
      <c r="AA411" s="127">
        <f>Y411/2+Z411/2</f>
      </c>
      <c r="AB411" s="603">
        <f>P411/I411</f>
      </c>
      <c r="AC411" s="604"/>
      <c r="AD411" s="583" t="n"/>
      <c r="AE411" s="583" t="n"/>
      <c r="AF411" s="583">
        <f>AC411*0.13/(1+0.13)</f>
      </c>
      <c r="AG411" s="605">
        <f>AC411-AF411</f>
      </c>
      <c r="AH411" s="605">
        <f>AC411*I411</f>
      </c>
      <c r="AI411" s="583">
        <f>ROUND(AG411*I411,-1)</f>
      </c>
      <c r="AJ411" s="136" t="inlineStr">
        <is>
          <t>https://www.bing.com/?scope=web&amp;FORM=ANAB01&amp;pc=NMTS</t>
        </is>
      </c>
    </row>
    <row r="412" ht="15.5" customHeight="1">
      <c r="A412" s="63" t="n"/>
      <c r="B412" s="56"/>
      <c r="C412" s="56"/>
      <c r="D412" s="59" t="n"/>
      <c r="E412" s="63" t="n"/>
      <c r="F412" s="24" t="n"/>
      <c r="G412" s="63"/>
      <c r="H412" s="21"/>
      <c r="I412" s="23"/>
      <c r="J412" s="558"/>
      <c r="K412" s="558"/>
      <c r="L412" s="539" t="n"/>
      <c r="M412" s="539" t="n"/>
      <c r="N412" s="539" t="n"/>
      <c r="O412" s="539" t="n"/>
      <c r="P412" s="539"/>
      <c r="Q412" s="539"/>
      <c r="R412" s="539">
        <f>AI412</f>
      </c>
      <c r="S412" s="23">
        <f>Y412*100</f>
      </c>
      <c r="T412" s="539">
        <f>ROUND(R412*S412/100,-1)</f>
      </c>
      <c r="U412" s="539">
        <f>IF(Q412=0,"",(T412-Q412)/Q412*100)</f>
      </c>
      <c r="V412" s="27" t="n"/>
      <c r="W412" s="601"/>
      <c r="X412" s="602">
        <f>($W$5-K412)/365</f>
      </c>
      <c r="Y412" s="127">
        <f>(W412-X412)/W412</f>
      </c>
      <c r="Z412" s="127"/>
      <c r="AA412" s="127">
        <f>Y412/2+Z412/2</f>
      </c>
      <c r="AB412" s="603">
        <f>P412/I412</f>
      </c>
      <c r="AC412" s="604">
        <f>AB412*AD412</f>
      </c>
      <c r="AD412" s="129"/>
      <c r="AE412" s="583" t="n"/>
      <c r="AF412" s="583">
        <f>AC412*0.13/(1+0.13)</f>
      </c>
      <c r="AG412" s="605">
        <f>AC412-AF412</f>
      </c>
      <c r="AH412" s="605">
        <f>AC412*I412</f>
      </c>
      <c r="AI412" s="583">
        <f>ROUND(AG412*I412,-1)</f>
      </c>
    </row>
    <row r="413" ht="15.5" customHeight="1">
      <c r="A413" s="63" t="n"/>
      <c r="B413" s="56"/>
      <c r="C413" s="56"/>
      <c r="D413" s="59" t="n"/>
      <c r="E413" s="63" t="n"/>
      <c r="F413" s="24" t="n"/>
      <c r="G413" s="63"/>
      <c r="H413" s="21"/>
      <c r="I413" s="23"/>
      <c r="J413" s="558"/>
      <c r="K413" s="558"/>
      <c r="L413" s="539" t="n"/>
      <c r="M413" s="539" t="n"/>
      <c r="N413" s="539" t="n"/>
      <c r="O413" s="539" t="n"/>
      <c r="P413" s="539"/>
      <c r="Q413" s="539"/>
      <c r="R413" s="539">
        <f>AI413</f>
      </c>
      <c r="S413" s="23">
        <f>Y413*100</f>
      </c>
      <c r="T413" s="539">
        <f>ROUND(R413*S413/100,-1)</f>
      </c>
      <c r="U413" s="539">
        <f>IF(Q413=0,"",(T413-Q413)/Q413*100)</f>
      </c>
      <c r="V413" s="27" t="n"/>
      <c r="W413" s="601"/>
      <c r="X413" s="602">
        <f>($W$5-K413)/365</f>
      </c>
      <c r="Y413" s="127">
        <f>(W413-X413)/W413</f>
      </c>
      <c r="Z413" s="127"/>
      <c r="AA413" s="127">
        <f>Y413/2+Z413/2</f>
      </c>
      <c r="AB413" s="603">
        <f>P413/I413</f>
      </c>
      <c r="AC413" s="604">
        <f>AB413*AD413</f>
      </c>
      <c r="AD413" s="129"/>
      <c r="AE413" s="583" t="n"/>
      <c r="AF413" s="583">
        <f>AC413*0.13/(1+0.13)</f>
      </c>
      <c r="AG413" s="605">
        <f>AC413-AF413</f>
      </c>
      <c r="AH413" s="605">
        <f>AC413*I413</f>
      </c>
      <c r="AI413" s="583">
        <f>ROUND(AG413*I413,-1)</f>
      </c>
    </row>
    <row r="414" ht="15.5" customHeight="1">
      <c r="A414" s="63" t="n"/>
      <c r="B414" s="56"/>
      <c r="C414" s="56"/>
      <c r="D414" s="59" t="n"/>
      <c r="E414" s="63" t="n"/>
      <c r="F414" s="24" t="n"/>
      <c r="G414" s="63"/>
      <c r="H414" s="21"/>
      <c r="I414" s="23"/>
      <c r="J414" s="558"/>
      <c r="K414" s="558"/>
      <c r="L414" s="539" t="n"/>
      <c r="M414" s="539" t="n"/>
      <c r="N414" s="539" t="n"/>
      <c r="O414" s="539" t="n"/>
      <c r="P414" s="539"/>
      <c r="Q414" s="539"/>
      <c r="R414" s="539">
        <f>AI414</f>
      </c>
      <c r="S414" s="23">
        <f>Y414*100</f>
      </c>
      <c r="T414" s="539">
        <f>ROUND(R414*S414/100,-1)</f>
      </c>
      <c r="U414" s="539">
        <f>IF(Q414=0,"",(T414-Q414)/Q414*100)</f>
      </c>
      <c r="V414" s="27" t="n"/>
      <c r="W414" s="601"/>
      <c r="X414" s="602">
        <f>($W$5-K414)/365</f>
      </c>
      <c r="Y414" s="127">
        <f>(W414-X414)/W414</f>
      </c>
      <c r="Z414" s="127"/>
      <c r="AA414" s="127">
        <f>Y414/2+Z414/2</f>
      </c>
      <c r="AB414" s="603">
        <f>P414/I414</f>
      </c>
      <c r="AC414" s="604">
        <f>AB414*AD414</f>
      </c>
      <c r="AD414" s="129"/>
      <c r="AE414" s="583" t="n"/>
      <c r="AF414" s="583">
        <f>AC414*0.13/(1+0.13)</f>
      </c>
      <c r="AG414" s="605">
        <f>AC414-AF414</f>
      </c>
      <c r="AH414" s="605">
        <f>AC414*I414</f>
      </c>
      <c r="AI414" s="583">
        <f>ROUND(AG414*I414,-1)</f>
      </c>
    </row>
    <row r="415" ht="15.5" customHeight="1">
      <c r="A415" s="63" t="n"/>
      <c r="B415" s="56"/>
      <c r="C415" s="56"/>
      <c r="D415" s="59" t="n"/>
      <c r="E415" s="63" t="n"/>
      <c r="F415" s="24" t="n"/>
      <c r="G415" s="63"/>
      <c r="H415" s="21"/>
      <c r="I415" s="23"/>
      <c r="J415" s="558"/>
      <c r="K415" s="558"/>
      <c r="L415" s="539" t="n"/>
      <c r="M415" s="539" t="n"/>
      <c r="N415" s="539" t="n"/>
      <c r="O415" s="539" t="n"/>
      <c r="P415" s="539"/>
      <c r="Q415" s="539"/>
      <c r="R415" s="539">
        <f>AI415</f>
      </c>
      <c r="S415" s="23">
        <f>Y415*100</f>
      </c>
      <c r="T415" s="539">
        <f>ROUND(R415*S415/100,-1)</f>
      </c>
      <c r="U415" s="539">
        <f>IF(Q415=0,"",(T415-Q415)/Q415*100)</f>
      </c>
      <c r="V415" s="27" t="n"/>
      <c r="W415" s="601"/>
      <c r="X415" s="602">
        <f>($W$5-K415)/365</f>
      </c>
      <c r="Y415" s="127">
        <f>(W415-X415)/W415</f>
      </c>
      <c r="Z415" s="127"/>
      <c r="AA415" s="127">
        <f>Y415/2+Z415/2</f>
      </c>
      <c r="AB415" s="603">
        <f>P415/I415</f>
      </c>
      <c r="AC415" s="604">
        <f>AB415*AD415</f>
      </c>
      <c r="AD415" s="129"/>
      <c r="AE415" s="583" t="n"/>
      <c r="AF415" s="583">
        <f>AC415*0.13/(1+0.13)</f>
      </c>
      <c r="AG415" s="605">
        <f>AC415-AF415</f>
      </c>
      <c r="AH415" s="605">
        <f>AC415*I415</f>
      </c>
      <c r="AI415" s="583">
        <f>ROUND(AG415*I415,-1)</f>
      </c>
    </row>
    <row r="416" ht="15.5" customHeight="1">
      <c r="A416" s="63" t="n"/>
      <c r="B416" s="56"/>
      <c r="C416" s="56"/>
      <c r="D416" s="59" t="n"/>
      <c r="E416" s="63" t="n"/>
      <c r="F416" s="24" t="n"/>
      <c r="G416" s="63"/>
      <c r="H416" s="21"/>
      <c r="I416" s="23"/>
      <c r="J416" s="558"/>
      <c r="K416" s="558"/>
      <c r="L416" s="539" t="n"/>
      <c r="M416" s="539" t="n"/>
      <c r="N416" s="539" t="n"/>
      <c r="O416" s="539" t="n"/>
      <c r="P416" s="539"/>
      <c r="Q416" s="539"/>
      <c r="R416" s="539">
        <f>AI416</f>
      </c>
      <c r="S416" s="23">
        <f>Y416*100</f>
      </c>
      <c r="T416" s="539">
        <f>ROUND(R416*S416/100,-1)</f>
      </c>
      <c r="U416" s="539">
        <f>IF(Q416=0,"",(T416-Q416)/Q416*100)</f>
      </c>
      <c r="V416" s="27" t="n"/>
      <c r="W416" s="601"/>
      <c r="X416" s="602">
        <f>($W$5-K416)/365</f>
      </c>
      <c r="Y416" s="127">
        <f>(W416-X416)/W416</f>
      </c>
      <c r="Z416" s="127"/>
      <c r="AA416" s="127">
        <f>Y416/2+Z416/2</f>
      </c>
      <c r="AB416" s="603">
        <f>P416/I416</f>
      </c>
      <c r="AC416" s="604">
        <f>AB416*AD416</f>
      </c>
      <c r="AD416" s="129"/>
      <c r="AE416" s="583" t="n"/>
      <c r="AF416" s="583">
        <f>AC416*0.13/(1+0.13)</f>
      </c>
      <c r="AG416" s="605">
        <f>AC416-AF416</f>
      </c>
      <c r="AH416" s="605">
        <f>AC416*I416</f>
      </c>
      <c r="AI416" s="583">
        <f>ROUND(AG416*I416,-1)</f>
      </c>
    </row>
    <row r="417" ht="15.5" customHeight="1">
      <c r="A417" s="63" t="n"/>
      <c r="B417" s="56"/>
      <c r="C417" s="56"/>
      <c r="D417" s="59" t="n"/>
      <c r="E417" s="63" t="n"/>
      <c r="F417" s="24" t="n"/>
      <c r="G417" s="63"/>
      <c r="H417" s="21"/>
      <c r="I417" s="23"/>
      <c r="J417" s="558"/>
      <c r="K417" s="558"/>
      <c r="L417" s="539" t="n"/>
      <c r="M417" s="539" t="n"/>
      <c r="N417" s="539" t="n"/>
      <c r="O417" s="539" t="n"/>
      <c r="P417" s="539"/>
      <c r="Q417" s="539"/>
      <c r="R417" s="539">
        <f>AI417</f>
      </c>
      <c r="S417" s="23">
        <f>Y417*100</f>
      </c>
      <c r="T417" s="539">
        <f>ROUND(R417*S417/100,-1)</f>
      </c>
      <c r="U417" s="539">
        <f>IF(Q417=0,"",(T417-Q417)/Q417*100)</f>
      </c>
      <c r="V417" s="27" t="n"/>
      <c r="W417" s="601"/>
      <c r="X417" s="602">
        <f>($W$5-K417)/365</f>
      </c>
      <c r="Y417" s="127">
        <f>(W417-X417)/W417</f>
      </c>
      <c r="Z417" s="127"/>
      <c r="AA417" s="127">
        <f>Y417/2+Z417/2</f>
      </c>
      <c r="AB417" s="603">
        <f>P417/I417</f>
      </c>
      <c r="AC417" s="604">
        <f>AB417*AD417</f>
      </c>
      <c r="AD417" s="129"/>
      <c r="AE417" s="583" t="n"/>
      <c r="AF417" s="583">
        <f>AC417*0.13/(1+0.13)</f>
      </c>
      <c r="AG417" s="605">
        <f>AC417-AF417</f>
      </c>
      <c r="AH417" s="605">
        <f>AC417*I417</f>
      </c>
      <c r="AI417" s="583">
        <f>ROUND(AG417*I417,-1)</f>
      </c>
    </row>
    <row r="418" ht="15.5" customHeight="1">
      <c r="A418" s="63" t="n"/>
      <c r="B418" s="56"/>
      <c r="C418" s="56"/>
      <c r="D418" s="59" t="n"/>
      <c r="E418" s="63" t="n"/>
      <c r="F418" s="24" t="n"/>
      <c r="G418" s="63"/>
      <c r="H418" s="21"/>
      <c r="I418" s="23"/>
      <c r="J418" s="558"/>
      <c r="K418" s="558"/>
      <c r="L418" s="539" t="n"/>
      <c r="M418" s="539" t="n"/>
      <c r="N418" s="539" t="n"/>
      <c r="O418" s="539" t="n"/>
      <c r="P418" s="539"/>
      <c r="Q418" s="539"/>
      <c r="R418" s="539">
        <f>AI418</f>
      </c>
      <c r="S418" s="23">
        <f>Y418*100</f>
      </c>
      <c r="T418" s="539">
        <f>ROUND(R418*S418/100,-1)</f>
      </c>
      <c r="U418" s="539">
        <f>IF(Q418=0,"",(T418-Q418)/Q418*100)</f>
      </c>
      <c r="V418" s="27" t="n"/>
      <c r="W418" s="601"/>
      <c r="X418" s="602">
        <f>($W$5-K418)/365</f>
      </c>
      <c r="Y418" s="127">
        <f>(W418-X418)/W418</f>
      </c>
      <c r="Z418" s="127"/>
      <c r="AA418" s="127">
        <f>Y418/2+Z418/2</f>
      </c>
      <c r="AB418" s="603">
        <f>P418/I418</f>
      </c>
      <c r="AC418" s="604">
        <f>AB418*AD418</f>
      </c>
      <c r="AD418" s="129"/>
      <c r="AE418" s="583" t="n"/>
      <c r="AF418" s="583">
        <f>AC418*0.13/(1+0.13)</f>
      </c>
      <c r="AG418" s="605">
        <f>AC418-AF418</f>
      </c>
      <c r="AH418" s="605">
        <f>AC418*I418</f>
      </c>
      <c r="AI418" s="583">
        <f>ROUND(AG418*I418,-1)</f>
      </c>
    </row>
    <row r="419" ht="15.5" customHeight="1">
      <c r="A419" s="63" t="n"/>
      <c r="B419" s="56"/>
      <c r="C419" s="56"/>
      <c r="D419" s="59" t="n"/>
      <c r="E419" s="63" t="n"/>
      <c r="F419" s="24" t="n"/>
      <c r="G419" s="63"/>
      <c r="H419" s="21"/>
      <c r="I419" s="23"/>
      <c r="J419" s="558"/>
      <c r="K419" s="558"/>
      <c r="L419" s="539" t="n"/>
      <c r="M419" s="539" t="n"/>
      <c r="N419" s="539" t="n"/>
      <c r="O419" s="539" t="n"/>
      <c r="P419" s="539"/>
      <c r="Q419" s="539"/>
      <c r="R419" s="539">
        <f>AI419</f>
      </c>
      <c r="S419" s="23">
        <f>Y419*100</f>
      </c>
      <c r="T419" s="539">
        <f>ROUND(R419*S419/100,-1)</f>
      </c>
      <c r="U419" s="539">
        <f>IF(Q419=0,"",(T419-Q419)/Q419*100)</f>
      </c>
      <c r="V419" s="27" t="n"/>
      <c r="W419" s="601"/>
      <c r="X419" s="602">
        <f>($W$5-K419)/365</f>
      </c>
      <c r="Y419" s="127">
        <f>(W419-X419)/W419</f>
      </c>
      <c r="Z419" s="127"/>
      <c r="AA419" s="127">
        <f>Y419/2+Z419/2</f>
      </c>
      <c r="AB419" s="603">
        <f>P419/I419</f>
      </c>
      <c r="AC419" s="604">
        <f>AB419*AD419</f>
      </c>
      <c r="AD419" s="129"/>
      <c r="AE419" s="583" t="n"/>
      <c r="AF419" s="583">
        <f>AC419*0.13/(1+0.13)</f>
      </c>
      <c r="AG419" s="605">
        <f>AC419-AF419</f>
      </c>
      <c r="AH419" s="605">
        <f>AC419*I419</f>
      </c>
      <c r="AI419" s="583">
        <f>ROUND(AG419*I419,-1)</f>
      </c>
    </row>
    <row r="420" ht="15.5" customHeight="1">
      <c r="A420" s="63" t="n"/>
      <c r="B420" s="56"/>
      <c r="C420" s="56"/>
      <c r="D420" s="59" t="n"/>
      <c r="E420" s="63" t="n"/>
      <c r="F420" s="24" t="n"/>
      <c r="G420" s="63"/>
      <c r="H420" s="21"/>
      <c r="I420" s="23"/>
      <c r="J420" s="558"/>
      <c r="K420" s="558"/>
      <c r="L420" s="539" t="n"/>
      <c r="M420" s="539" t="n"/>
      <c r="N420" s="539" t="n"/>
      <c r="O420" s="539" t="n"/>
      <c r="P420" s="539"/>
      <c r="Q420" s="539"/>
      <c r="R420" s="539">
        <f>AI420</f>
      </c>
      <c r="S420" s="23">
        <f>Y420*100</f>
      </c>
      <c r="T420" s="539">
        <f>ROUND(R420*S420/100,-1)</f>
      </c>
      <c r="U420" s="539">
        <f>IF(Q420=0,"",(T420-Q420)/Q420*100)</f>
      </c>
      <c r="V420" s="27" t="n"/>
      <c r="W420" s="601"/>
      <c r="X420" s="602">
        <f>($W$5-K420)/365</f>
      </c>
      <c r="Y420" s="127">
        <f>(W420-X420)/W420</f>
      </c>
      <c r="Z420" s="127"/>
      <c r="AA420" s="127">
        <f>Y420/2+Z420/2</f>
      </c>
      <c r="AB420" s="603">
        <f>P420/I420</f>
      </c>
      <c r="AC420" s="604">
        <f>AB420*AD420</f>
      </c>
      <c r="AD420" s="129"/>
      <c r="AE420" s="583" t="n"/>
      <c r="AF420" s="583">
        <f>AC420*0.13/(1+0.13)</f>
      </c>
      <c r="AG420" s="605">
        <f>AC420-AF420</f>
      </c>
      <c r="AH420" s="605">
        <f>AC420*I420</f>
      </c>
      <c r="AI420" s="583">
        <f>ROUND(AG420*I420,-1)</f>
      </c>
    </row>
    <row r="421" ht="15.5" customHeight="1">
      <c r="A421" s="63" t="n"/>
      <c r="B421" s="56"/>
      <c r="C421" s="56"/>
      <c r="D421" s="59" t="n"/>
      <c r="E421" s="63" t="n"/>
      <c r="F421" s="24" t="n"/>
      <c r="G421" s="63"/>
      <c r="H421" s="21"/>
      <c r="I421" s="23"/>
      <c r="J421" s="558"/>
      <c r="K421" s="558"/>
      <c r="L421" s="539" t="n"/>
      <c r="M421" s="539" t="n"/>
      <c r="N421" s="539" t="n"/>
      <c r="O421" s="539" t="n"/>
      <c r="P421" s="539"/>
      <c r="Q421" s="539"/>
      <c r="R421" s="539">
        <f>AI421</f>
      </c>
      <c r="S421" s="23">
        <f>Y421*100</f>
      </c>
      <c r="T421" s="539">
        <f>ROUND(R421*S421/100,-1)</f>
      </c>
      <c r="U421" s="539">
        <f>IF(Q421=0,"",(T421-Q421)/Q421*100)</f>
      </c>
      <c r="V421" s="27" t="n"/>
      <c r="W421" s="601"/>
      <c r="X421" s="602">
        <f>($W$5-K421)/365</f>
      </c>
      <c r="Y421" s="127">
        <f>(W421-X421)/W421</f>
      </c>
      <c r="Z421" s="127"/>
      <c r="AA421" s="127">
        <f>Y421/2+Z421/2</f>
      </c>
      <c r="AB421" s="603">
        <f>P421/I421</f>
      </c>
      <c r="AC421" s="604">
        <f>AB421*AD421</f>
      </c>
      <c r="AD421" s="129"/>
      <c r="AE421" s="583" t="n"/>
      <c r="AF421" s="583">
        <f>AC421*0.13/(1+0.13)</f>
      </c>
      <c r="AG421" s="605">
        <f>AC421-AF421</f>
      </c>
      <c r="AH421" s="605">
        <f>AC421*I421</f>
      </c>
      <c r="AI421" s="583">
        <f>ROUND(AG421*I421,-1)</f>
      </c>
    </row>
    <row r="422" ht="15.5" customHeight="1">
      <c r="A422" s="63" t="n"/>
      <c r="B422" s="56"/>
      <c r="C422" s="56"/>
      <c r="D422" s="59" t="n"/>
      <c r="E422" s="63" t="n"/>
      <c r="F422" s="24" t="n"/>
      <c r="G422" s="63"/>
      <c r="H422" s="21"/>
      <c r="I422" s="23"/>
      <c r="J422" s="558"/>
      <c r="K422" s="558"/>
      <c r="L422" s="539" t="n"/>
      <c r="M422" s="539" t="n"/>
      <c r="N422" s="539" t="n"/>
      <c r="O422" s="539" t="n"/>
      <c r="P422" s="539"/>
      <c r="Q422" s="539"/>
      <c r="R422" s="539">
        <f>AI422</f>
      </c>
      <c r="S422" s="23">
        <f>Y422*100</f>
      </c>
      <c r="T422" s="539">
        <f>ROUND(R422*S422/100,-1)</f>
      </c>
      <c r="U422" s="539">
        <f>IF(Q422=0,"",(T422-Q422)/Q422*100)</f>
      </c>
      <c r="V422" s="27" t="n"/>
      <c r="W422" s="601"/>
      <c r="X422" s="602">
        <f>($W$5-K422)/365</f>
      </c>
      <c r="Y422" s="127">
        <f>(W422-X422)/W422</f>
      </c>
      <c r="Z422" s="127"/>
      <c r="AA422" s="127">
        <f>Y422/2+Z422/2</f>
      </c>
      <c r="AB422" s="603">
        <f>P422/I422</f>
      </c>
      <c r="AC422" s="604">
        <f>AB422*AD422</f>
      </c>
      <c r="AD422" s="129"/>
      <c r="AE422" s="583" t="n"/>
      <c r="AF422" s="583">
        <f>AC422*0.13/(1+0.13)</f>
      </c>
      <c r="AG422" s="605">
        <f>AC422-AF422</f>
      </c>
      <c r="AH422" s="605">
        <f>AC422*I422</f>
      </c>
      <c r="AI422" s="583">
        <f>ROUND(AG422*I422,-1)</f>
      </c>
    </row>
    <row r="423" ht="15.5" customHeight="1">
      <c r="A423" s="63" t="n"/>
      <c r="B423" s="56"/>
      <c r="C423" s="56"/>
      <c r="D423" s="59" t="n"/>
      <c r="E423" s="63" t="n"/>
      <c r="F423" s="24" t="n"/>
      <c r="G423" s="63"/>
      <c r="H423" s="21"/>
      <c r="I423" s="23"/>
      <c r="J423" s="558"/>
      <c r="K423" s="558"/>
      <c r="L423" s="539" t="n"/>
      <c r="M423" s="539" t="n"/>
      <c r="N423" s="539" t="n"/>
      <c r="O423" s="539" t="n"/>
      <c r="P423" s="539"/>
      <c r="Q423" s="539"/>
      <c r="R423" s="539">
        <f>AI423</f>
      </c>
      <c r="S423" s="23">
        <f>Y423*100</f>
      </c>
      <c r="T423" s="539">
        <f>ROUND(R423*S423/100,-1)</f>
      </c>
      <c r="U423" s="539">
        <f>IF(Q423=0,"",(T423-Q423)/Q423*100)</f>
      </c>
      <c r="V423" s="27" t="n"/>
      <c r="W423" s="601"/>
      <c r="X423" s="602">
        <f>($W$5-K423)/365</f>
      </c>
      <c r="Y423" s="127">
        <f>(W423-X423)/W423</f>
      </c>
      <c r="Z423" s="127"/>
      <c r="AA423" s="127">
        <f>Y423/2+Z423/2</f>
      </c>
      <c r="AB423" s="603">
        <f>P423/I423</f>
      </c>
      <c r="AC423" s="604">
        <f>AB423*AD423</f>
      </c>
      <c r="AD423" s="129"/>
      <c r="AE423" s="583" t="n"/>
      <c r="AF423" s="583">
        <f>AC423*0.13/(1+0.13)</f>
      </c>
      <c r="AG423" s="605">
        <f>AC423-AF423</f>
      </c>
      <c r="AH423" s="605">
        <f>AC423*I423</f>
      </c>
      <c r="AI423" s="583">
        <f>ROUND(AG423*I423,-1)</f>
      </c>
    </row>
    <row r="424" ht="15.5" customHeight="1">
      <c r="A424" s="63" t="n"/>
      <c r="B424" s="56"/>
      <c r="C424" s="56"/>
      <c r="D424" s="59" t="n"/>
      <c r="E424" s="63" t="n"/>
      <c r="F424" s="24" t="n"/>
      <c r="G424" s="63"/>
      <c r="H424" s="21"/>
      <c r="I424" s="23"/>
      <c r="J424" s="558"/>
      <c r="K424" s="558"/>
      <c r="L424" s="539" t="n"/>
      <c r="M424" s="539" t="n"/>
      <c r="N424" s="539" t="n"/>
      <c r="O424" s="539" t="n"/>
      <c r="P424" s="539"/>
      <c r="Q424" s="539"/>
      <c r="R424" s="539">
        <f>AI424</f>
      </c>
      <c r="S424" s="23">
        <f>Y424*100</f>
      </c>
      <c r="T424" s="539">
        <f>ROUND(R424*S424/100,-1)</f>
      </c>
      <c r="U424" s="539">
        <f>IF(Q424=0,"",(T424-Q424)/Q424*100)</f>
      </c>
      <c r="V424" s="27" t="n"/>
      <c r="W424" s="601"/>
      <c r="X424" s="602">
        <f>($W$5-K424)/365</f>
      </c>
      <c r="Y424" s="127">
        <f>(W424-X424)/W424</f>
      </c>
      <c r="Z424" s="127"/>
      <c r="AA424" s="127">
        <f>Y424/2+Z424/2</f>
      </c>
      <c r="AB424" s="603">
        <f>P424/I424</f>
      </c>
      <c r="AC424" s="604">
        <f>AB424*AD424</f>
      </c>
      <c r="AD424" s="129"/>
      <c r="AE424" s="583" t="n"/>
      <c r="AF424" s="583">
        <f>AC424*0.13/(1+0.13)</f>
      </c>
      <c r="AG424" s="605">
        <f>AC424-AF424</f>
      </c>
      <c r="AH424" s="605">
        <f>AC424*I424</f>
      </c>
      <c r="AI424" s="583">
        <f>ROUND(AG424*I424,-1)</f>
      </c>
    </row>
    <row r="425" ht="15.5" customHeight="1">
      <c r="A425" s="63" t="n"/>
      <c r="B425" s="56"/>
      <c r="C425" s="56"/>
      <c r="D425" s="59" t="n"/>
      <c r="E425" s="63" t="n"/>
      <c r="F425" s="24" t="n"/>
      <c r="G425" s="63"/>
      <c r="H425" s="21"/>
      <c r="I425" s="23"/>
      <c r="J425" s="558"/>
      <c r="K425" s="558"/>
      <c r="L425" s="539" t="n"/>
      <c r="M425" s="539" t="n"/>
      <c r="N425" s="539" t="n"/>
      <c r="O425" s="539" t="n"/>
      <c r="P425" s="539"/>
      <c r="Q425" s="539"/>
      <c r="R425" s="539">
        <f>AI425</f>
      </c>
      <c r="S425" s="23">
        <f>Y425*100</f>
      </c>
      <c r="T425" s="539">
        <f>ROUND(R425*S425/100,-1)</f>
      </c>
      <c r="U425" s="539">
        <f>IF(Q425=0,"",(T425-Q425)/Q425*100)</f>
      </c>
      <c r="V425" s="27" t="n"/>
      <c r="W425" s="601"/>
      <c r="X425" s="602">
        <f>($W$5-K425)/365</f>
      </c>
      <c r="Y425" s="127">
        <f>(W425-X425)/W425</f>
      </c>
      <c r="Z425" s="127"/>
      <c r="AA425" s="127">
        <f>Y425/2+Z425/2</f>
      </c>
      <c r="AB425" s="603">
        <f>P425/I425</f>
      </c>
      <c r="AC425" s="604">
        <f>AB425*AD425</f>
      </c>
      <c r="AD425" s="129"/>
      <c r="AE425" s="583" t="n"/>
      <c r="AF425" s="583">
        <f>AC425*0.13/(1+0.13)</f>
      </c>
      <c r="AG425" s="605">
        <f>AC425-AF425</f>
      </c>
      <c r="AH425" s="605">
        <f>AC425*I425</f>
      </c>
      <c r="AI425" s="583">
        <f>ROUND(AG425*I425,-1)</f>
      </c>
    </row>
    <row r="426" ht="15.5" customHeight="1">
      <c r="A426" s="63" t="n"/>
      <c r="B426" s="56"/>
      <c r="C426" s="56"/>
      <c r="D426" s="59" t="n"/>
      <c r="E426" s="63" t="n"/>
      <c r="F426" s="24" t="n"/>
      <c r="G426" s="63"/>
      <c r="H426" s="21"/>
      <c r="I426" s="23"/>
      <c r="J426" s="558"/>
      <c r="K426" s="558"/>
      <c r="L426" s="539" t="n"/>
      <c r="M426" s="539" t="n"/>
      <c r="N426" s="539" t="n"/>
      <c r="O426" s="539" t="n"/>
      <c r="P426" s="539"/>
      <c r="Q426" s="539"/>
      <c r="R426" s="539">
        <f>AI426</f>
      </c>
      <c r="S426" s="23">
        <f>Y426*100</f>
      </c>
      <c r="T426" s="539">
        <f>ROUND(R426*S426/100,-1)</f>
      </c>
      <c r="U426" s="539">
        <f>IF(Q426=0,"",(T426-Q426)/Q426*100)</f>
      </c>
      <c r="V426" s="27" t="n"/>
      <c r="W426" s="601"/>
      <c r="X426" s="602">
        <f>($W$5-K426)/365</f>
      </c>
      <c r="Y426" s="127">
        <f>(W426-X426)/W426</f>
      </c>
      <c r="Z426" s="127"/>
      <c r="AA426" s="127">
        <f>Y426/2+Z426/2</f>
      </c>
      <c r="AB426" s="603">
        <f>P426/I426</f>
      </c>
      <c r="AC426" s="604">
        <f>AB426*AD426</f>
      </c>
      <c r="AD426" s="129"/>
      <c r="AE426" s="583" t="n"/>
      <c r="AF426" s="583">
        <f>AC426*0.13/(1+0.13)</f>
      </c>
      <c r="AG426" s="605">
        <f>AC426-AF426</f>
      </c>
      <c r="AH426" s="605">
        <f>AC426*I426</f>
      </c>
      <c r="AI426" s="583">
        <f>ROUND(AG426*I426,-1)</f>
      </c>
    </row>
    <row r="427" ht="15.5" customHeight="1">
      <c r="A427" s="63" t="n"/>
      <c r="B427" s="56"/>
      <c r="C427" s="56"/>
      <c r="D427" s="59" t="n"/>
      <c r="E427" s="63" t="n"/>
      <c r="F427" s="24" t="n"/>
      <c r="G427" s="63"/>
      <c r="H427" s="21"/>
      <c r="I427" s="23"/>
      <c r="J427" s="558"/>
      <c r="K427" s="558"/>
      <c r="L427" s="539" t="n"/>
      <c r="M427" s="539" t="n"/>
      <c r="N427" s="539" t="n"/>
      <c r="O427" s="539" t="n"/>
      <c r="P427" s="539"/>
      <c r="Q427" s="539"/>
      <c r="R427" s="539">
        <f>AI427</f>
      </c>
      <c r="S427" s="23">
        <f>Y427*100</f>
      </c>
      <c r="T427" s="539">
        <f>ROUND(R427*S427/100,-1)</f>
      </c>
      <c r="U427" s="539">
        <f>IF(Q427=0,"",(T427-Q427)/Q427*100)</f>
      </c>
      <c r="V427" s="27" t="n"/>
      <c r="W427" s="601"/>
      <c r="X427" s="602">
        <f>($W$5-K427)/365</f>
      </c>
      <c r="Y427" s="127">
        <f>(W427-X427)/W427</f>
      </c>
      <c r="Z427" s="127"/>
      <c r="AA427" s="127">
        <f>Y427/2+Z427/2</f>
      </c>
      <c r="AB427" s="603">
        <f>P427/I427</f>
      </c>
      <c r="AC427" s="604">
        <f>AB427*AD427</f>
      </c>
      <c r="AD427" s="129"/>
      <c r="AE427" s="583" t="n"/>
      <c r="AF427" s="583">
        <f>AC427*0.13/(1+0.13)</f>
      </c>
      <c r="AG427" s="605">
        <f>AC427-AF427</f>
      </c>
      <c r="AH427" s="605">
        <f>AC427*I427</f>
      </c>
      <c r="AI427" s="583">
        <f>ROUND(AG427*I427,-1)</f>
      </c>
    </row>
    <row r="428" ht="15.5" customHeight="1">
      <c r="A428" s="63" t="n"/>
      <c r="B428" s="56"/>
      <c r="C428" s="56"/>
      <c r="D428" s="59" t="n"/>
      <c r="E428" s="63" t="n"/>
      <c r="F428" s="24" t="n"/>
      <c r="G428" s="63"/>
      <c r="H428" s="21"/>
      <c r="I428" s="23"/>
      <c r="J428" s="558"/>
      <c r="K428" s="558"/>
      <c r="L428" s="539" t="n"/>
      <c r="M428" s="539" t="n"/>
      <c r="N428" s="539" t="n"/>
      <c r="O428" s="539" t="n"/>
      <c r="P428" s="539"/>
      <c r="Q428" s="539"/>
      <c r="R428" s="539">
        <f>AI428</f>
      </c>
      <c r="S428" s="23">
        <f>Y428*100</f>
      </c>
      <c r="T428" s="539">
        <f>ROUND(R428*S428/100,-1)</f>
      </c>
      <c r="U428" s="539">
        <f>IF(Q428=0,"",(T428-Q428)/Q428*100)</f>
      </c>
      <c r="V428" s="27" t="n"/>
      <c r="W428" s="601"/>
      <c r="X428" s="602">
        <f>($W$5-K428)/365</f>
      </c>
      <c r="Y428" s="127">
        <f>(W428-X428)/W428</f>
      </c>
      <c r="Z428" s="127"/>
      <c r="AA428" s="127">
        <f>Y428/2+Z428/2</f>
      </c>
      <c r="AB428" s="603">
        <f>P428/I428</f>
      </c>
      <c r="AC428" s="604">
        <f>AB428*AD428</f>
      </c>
      <c r="AD428" s="129"/>
      <c r="AE428" s="583" t="n"/>
      <c r="AF428" s="583">
        <f>AC428*0.13/(1+0.13)</f>
      </c>
      <c r="AG428" s="605">
        <f>AC428-AF428</f>
      </c>
      <c r="AH428" s="605">
        <f>AC428*I428</f>
      </c>
      <c r="AI428" s="583">
        <f>ROUND(AG428*I428,-1)</f>
      </c>
    </row>
    <row r="429" ht="15.5" customHeight="1">
      <c r="A429" s="63" t="n"/>
      <c r="B429" s="56"/>
      <c r="C429" s="56"/>
      <c r="D429" s="59" t="n"/>
      <c r="E429" s="63" t="n"/>
      <c r="F429" s="24" t="n"/>
      <c r="G429" s="63"/>
      <c r="H429" s="21"/>
      <c r="I429" s="23"/>
      <c r="J429" s="558"/>
      <c r="K429" s="558"/>
      <c r="L429" s="539" t="n"/>
      <c r="M429" s="539" t="n"/>
      <c r="N429" s="539" t="n"/>
      <c r="O429" s="539" t="n"/>
      <c r="P429" s="539"/>
      <c r="Q429" s="539"/>
      <c r="R429" s="539">
        <f>AI429</f>
      </c>
      <c r="S429" s="23">
        <f>Y429*100</f>
      </c>
      <c r="T429" s="539">
        <f>ROUND(R429*S429/100,-1)</f>
      </c>
      <c r="U429" s="539">
        <f>IF(Q429=0,"",(T429-Q429)/Q429*100)</f>
      </c>
      <c r="V429" s="27" t="n"/>
      <c r="W429" s="601"/>
      <c r="X429" s="602">
        <f>($W$5-K429)/365</f>
      </c>
      <c r="Y429" s="127">
        <f>(W429-X429)/W429</f>
      </c>
      <c r="Z429" s="127"/>
      <c r="AA429" s="127">
        <f>Y429/2+Z429/2</f>
      </c>
      <c r="AB429" s="603">
        <f>P429/I429</f>
      </c>
      <c r="AC429" s="604">
        <f>AB429*AD429</f>
      </c>
      <c r="AD429" s="129"/>
      <c r="AE429" s="583" t="n"/>
      <c r="AF429" s="583">
        <f>AC429*0.13/(1+0.13)</f>
      </c>
      <c r="AG429" s="605">
        <f>AC429-AF429</f>
      </c>
      <c r="AH429" s="605">
        <f>AC429*I429</f>
      </c>
      <c r="AI429" s="583">
        <f>ROUND(AG429*I429,-1)</f>
      </c>
    </row>
    <row r="430" ht="15.5" customHeight="1">
      <c r="A430" s="63" t="n"/>
      <c r="B430" s="56"/>
      <c r="C430" s="56"/>
      <c r="D430" s="59" t="n"/>
      <c r="E430" s="63" t="n"/>
      <c r="F430" s="24" t="n"/>
      <c r="G430" s="63"/>
      <c r="H430" s="21"/>
      <c r="I430" s="23"/>
      <c r="J430" s="558"/>
      <c r="K430" s="558"/>
      <c r="L430" s="539" t="n"/>
      <c r="M430" s="539" t="n"/>
      <c r="N430" s="539" t="n"/>
      <c r="O430" s="539" t="n"/>
      <c r="P430" s="539"/>
      <c r="Q430" s="539"/>
      <c r="R430" s="539">
        <f>AI430</f>
      </c>
      <c r="S430" s="23">
        <f>Y430*100</f>
      </c>
      <c r="T430" s="539">
        <f>ROUND(R430*S430/100,-1)</f>
      </c>
      <c r="U430" s="539">
        <f>IF(Q430=0,"",(T430-Q430)/Q430*100)</f>
      </c>
      <c r="V430" s="27" t="n"/>
      <c r="W430" s="601"/>
      <c r="X430" s="602">
        <f>($W$5-K430)/365</f>
      </c>
      <c r="Y430" s="127">
        <f>(W430-X430)/W430</f>
      </c>
      <c r="Z430" s="127"/>
      <c r="AA430" s="127">
        <f>Y430/2+Z430/2</f>
      </c>
      <c r="AB430" s="603">
        <f>P430/I430</f>
      </c>
      <c r="AC430" s="604">
        <f>AB430*AD430</f>
      </c>
      <c r="AD430" s="129"/>
      <c r="AE430" s="583" t="n"/>
      <c r="AF430" s="583">
        <f>AC430*0.13/(1+0.13)</f>
      </c>
      <c r="AG430" s="605">
        <f>AC430-AF430</f>
      </c>
      <c r="AH430" s="605">
        <f>AC430*I430</f>
      </c>
      <c r="AI430" s="583">
        <f>ROUND(AG430*I430,-1)</f>
      </c>
    </row>
    <row r="431" ht="15.5" customHeight="1">
      <c r="A431" s="63" t="n"/>
      <c r="B431" s="56"/>
      <c r="C431" s="56"/>
      <c r="D431" s="59" t="n"/>
      <c r="E431" s="63" t="n"/>
      <c r="F431" s="24" t="n"/>
      <c r="G431" s="63"/>
      <c r="H431" s="21"/>
      <c r="I431" s="23"/>
      <c r="J431" s="558"/>
      <c r="K431" s="558"/>
      <c r="L431" s="539" t="n"/>
      <c r="M431" s="539" t="n"/>
      <c r="N431" s="539" t="n"/>
      <c r="O431" s="539" t="n"/>
      <c r="P431" s="539"/>
      <c r="Q431" s="539"/>
      <c r="R431" s="539">
        <f>AI431</f>
      </c>
      <c r="S431" s="23">
        <f>Y431*100</f>
      </c>
      <c r="T431" s="539">
        <f>ROUND(R431*S431/100,-1)</f>
      </c>
      <c r="U431" s="539">
        <f>IF(Q431=0,"",(T431-Q431)/Q431*100)</f>
      </c>
      <c r="V431" s="27" t="n"/>
      <c r="W431" s="601"/>
      <c r="X431" s="602">
        <f>($W$5-K431)/365</f>
      </c>
      <c r="Y431" s="127">
        <f>(W431-X431)/W431</f>
      </c>
      <c r="Z431" s="127"/>
      <c r="AA431" s="127">
        <f>Y431/2+Z431/2</f>
      </c>
      <c r="AB431" s="603">
        <f>P431/I431</f>
      </c>
      <c r="AC431" s="604">
        <f>AB431*AD431</f>
      </c>
      <c r="AD431" s="129"/>
      <c r="AE431" s="583" t="n"/>
      <c r="AF431" s="583">
        <f>AC431*0.13/(1+0.13)</f>
      </c>
      <c r="AG431" s="605">
        <f>AC431-AF431</f>
      </c>
      <c r="AH431" s="605">
        <f>AC431*I431</f>
      </c>
      <c r="AI431" s="583">
        <f>ROUND(AG431*I431,-1)</f>
      </c>
    </row>
    <row r="432" ht="15.5" customHeight="1">
      <c r="A432" s="63" t="n"/>
      <c r="B432" s="56"/>
      <c r="C432" s="56"/>
      <c r="D432" s="59" t="n"/>
      <c r="E432" s="63" t="n"/>
      <c r="F432" s="24" t="n"/>
      <c r="G432" s="63"/>
      <c r="H432" s="21"/>
      <c r="I432" s="23"/>
      <c r="J432" s="558"/>
      <c r="K432" s="558"/>
      <c r="L432" s="539" t="n"/>
      <c r="M432" s="539" t="n"/>
      <c r="N432" s="539" t="n"/>
      <c r="O432" s="539" t="n"/>
      <c r="P432" s="539"/>
      <c r="Q432" s="539"/>
      <c r="R432" s="539">
        <f>AI432</f>
      </c>
      <c r="S432" s="23">
        <f>Y432*100</f>
      </c>
      <c r="T432" s="539">
        <f>ROUND(R432*S432/100,-1)</f>
      </c>
      <c r="U432" s="539">
        <f>IF(Q432=0,"",(T432-Q432)/Q432*100)</f>
      </c>
      <c r="V432" s="27" t="n"/>
      <c r="W432" s="601"/>
      <c r="X432" s="602">
        <f>($W$5-K432)/365</f>
      </c>
      <c r="Y432" s="127">
        <f>(W432-X432)/W432</f>
      </c>
      <c r="Z432" s="127"/>
      <c r="AA432" s="127">
        <f>Y432/2+Z432/2</f>
      </c>
      <c r="AB432" s="603">
        <f>P432/I432</f>
      </c>
      <c r="AC432" s="604">
        <f>AB432*AD432</f>
      </c>
      <c r="AD432" s="129"/>
      <c r="AE432" s="583" t="n"/>
      <c r="AF432" s="583">
        <f>AC432*0.13/(1+0.13)</f>
      </c>
      <c r="AG432" s="605">
        <f>AC432-AF432</f>
      </c>
      <c r="AH432" s="605">
        <f>AC432*I432</f>
      </c>
      <c r="AI432" s="583">
        <f>ROUND(AG432*I432,-1)</f>
      </c>
    </row>
    <row r="433" ht="15.5" customHeight="1">
      <c r="A433" s="63" t="n"/>
      <c r="B433" s="56"/>
      <c r="C433" s="56"/>
      <c r="D433" s="59" t="n"/>
      <c r="E433" s="63" t="n"/>
      <c r="F433" s="24" t="n"/>
      <c r="G433" s="63"/>
      <c r="H433" s="21"/>
      <c r="I433" s="23"/>
      <c r="J433" s="558"/>
      <c r="K433" s="558"/>
      <c r="L433" s="539" t="n"/>
      <c r="M433" s="539" t="n"/>
      <c r="N433" s="539" t="n"/>
      <c r="O433" s="539" t="n"/>
      <c r="P433" s="539"/>
      <c r="Q433" s="539"/>
      <c r="R433" s="539">
        <f>AI433</f>
      </c>
      <c r="S433" s="23">
        <f>Y433*100</f>
      </c>
      <c r="T433" s="539">
        <f>ROUND(R433*S433/100,-1)</f>
      </c>
      <c r="U433" s="539">
        <f>IF(Q433=0,"",(T433-Q433)/Q433*100)</f>
      </c>
      <c r="V433" s="27" t="n"/>
      <c r="W433" s="601"/>
      <c r="X433" s="602">
        <f>($W$5-K433)/365</f>
      </c>
      <c r="Y433" s="127">
        <f>(W433-X433)/W433</f>
      </c>
      <c r="Z433" s="127"/>
      <c r="AA433" s="127">
        <f>Y433/2+Z433/2</f>
      </c>
      <c r="AB433" s="603">
        <f>P433/I433</f>
      </c>
      <c r="AC433" s="604">
        <f>AB433*AD433</f>
      </c>
      <c r="AD433" s="129"/>
      <c r="AE433" s="583" t="n"/>
      <c r="AF433" s="583">
        <f>AC433*0.13/(1+0.13)</f>
      </c>
      <c r="AG433" s="605">
        <f>AC433-AF433</f>
      </c>
      <c r="AH433" s="605">
        <f>AC433*I433</f>
      </c>
      <c r="AI433" s="583">
        <f>ROUND(AG433*I433,-1)</f>
      </c>
    </row>
    <row r="434" ht="15.5" customHeight="1">
      <c r="A434" s="63" t="n"/>
      <c r="B434" s="56"/>
      <c r="C434" s="56"/>
      <c r="D434" s="59" t="n"/>
      <c r="E434" s="63" t="n"/>
      <c r="F434" s="24" t="n"/>
      <c r="G434" s="63"/>
      <c r="H434" s="21"/>
      <c r="I434" s="23"/>
      <c r="J434" s="558"/>
      <c r="K434" s="558"/>
      <c r="L434" s="539" t="n"/>
      <c r="M434" s="539" t="n"/>
      <c r="N434" s="539" t="n"/>
      <c r="O434" s="539" t="n"/>
      <c r="P434" s="539"/>
      <c r="Q434" s="539"/>
      <c r="R434" s="539">
        <f>AI434</f>
      </c>
      <c r="S434" s="23">
        <f>Y434*100</f>
      </c>
      <c r="T434" s="539">
        <f>ROUND(R434*S434/100,-1)</f>
      </c>
      <c r="U434" s="539">
        <f>IF(Q434=0,"",(T434-Q434)/Q434*100)</f>
      </c>
      <c r="V434" s="27" t="n"/>
      <c r="W434" s="601"/>
      <c r="X434" s="602">
        <f>($W$5-K434)/365</f>
      </c>
      <c r="Y434" s="127">
        <f>(W434-X434)/W434</f>
      </c>
      <c r="Z434" s="127"/>
      <c r="AA434" s="127">
        <f>Y434/2+Z434/2</f>
      </c>
      <c r="AB434" s="603">
        <f>P434/I434</f>
      </c>
      <c r="AC434" s="604">
        <f>AB434*AD434</f>
      </c>
      <c r="AD434" s="129"/>
      <c r="AE434" s="583" t="n"/>
      <c r="AF434" s="583">
        <f>AC434*0.13/(1+0.13)</f>
      </c>
      <c r="AG434" s="605">
        <f>AC434-AF434</f>
      </c>
      <c r="AH434" s="605">
        <f>AC434*I434</f>
      </c>
      <c r="AI434" s="583">
        <f>ROUND(AG434*I434,-1)</f>
      </c>
    </row>
    <row r="435" ht="15.5" customHeight="1">
      <c r="A435" s="63" t="n"/>
      <c r="B435" s="56"/>
      <c r="C435" s="56"/>
      <c r="D435" s="59" t="n"/>
      <c r="E435" s="63" t="n"/>
      <c r="F435" s="24" t="n"/>
      <c r="G435" s="63"/>
      <c r="H435" s="21"/>
      <c r="I435" s="23"/>
      <c r="J435" s="558"/>
      <c r="K435" s="558"/>
      <c r="L435" s="539" t="n"/>
      <c r="M435" s="539" t="n"/>
      <c r="N435" s="539" t="n"/>
      <c r="O435" s="539" t="n"/>
      <c r="P435" s="539"/>
      <c r="Q435" s="539"/>
      <c r="R435" s="539">
        <f>AI435</f>
      </c>
      <c r="S435" s="23">
        <f>Y435*100</f>
      </c>
      <c r="T435" s="539">
        <f>ROUND(R435*S435/100,-1)</f>
      </c>
      <c r="U435" s="539">
        <f>IF(Q435=0,"",(T435-Q435)/Q435*100)</f>
      </c>
      <c r="V435" s="27" t="n"/>
      <c r="W435" s="601"/>
      <c r="X435" s="602">
        <f>($W$5-K435)/365</f>
      </c>
      <c r="Y435" s="127">
        <f>(W435-X435)/W435</f>
      </c>
      <c r="Z435" s="127"/>
      <c r="AA435" s="127">
        <f>Y435/2+Z435/2</f>
      </c>
      <c r="AB435" s="603">
        <f>P435/I435</f>
      </c>
      <c r="AC435" s="604">
        <f>AB435*AD435</f>
      </c>
      <c r="AD435" s="129"/>
      <c r="AE435" s="583" t="n"/>
      <c r="AF435" s="583">
        <f>AC435*0.13/(1+0.13)</f>
      </c>
      <c r="AG435" s="605">
        <f>AC435-AF435</f>
      </c>
      <c r="AH435" s="605">
        <f>AC435*I435</f>
      </c>
      <c r="AI435" s="583">
        <f>ROUND(AG435*I435,-1)</f>
      </c>
    </row>
    <row r="436" ht="15.5" customHeight="1">
      <c r="A436" s="63" t="n"/>
      <c r="B436" s="56"/>
      <c r="C436" s="56"/>
      <c r="D436" s="59" t="n"/>
      <c r="E436" s="63" t="n"/>
      <c r="F436" s="24" t="n"/>
      <c r="G436" s="63"/>
      <c r="H436" s="21"/>
      <c r="I436" s="23"/>
      <c r="J436" s="558"/>
      <c r="K436" s="558"/>
      <c r="L436" s="539" t="n"/>
      <c r="M436" s="539" t="n"/>
      <c r="N436" s="539" t="n"/>
      <c r="O436" s="539" t="n"/>
      <c r="P436" s="539"/>
      <c r="Q436" s="539"/>
      <c r="R436" s="539">
        <f>AI436</f>
      </c>
      <c r="S436" s="23">
        <f>Y436*100</f>
      </c>
      <c r="T436" s="539">
        <f>ROUND(R436*S436/100,-1)</f>
      </c>
      <c r="U436" s="539">
        <f>IF(Q436=0,"",(T436-Q436)/Q436*100)</f>
      </c>
      <c r="V436" s="27" t="n"/>
      <c r="W436" s="601"/>
      <c r="X436" s="602">
        <f>($W$5-K436)/365</f>
      </c>
      <c r="Y436" s="127">
        <f>(W436-X436)/W436</f>
      </c>
      <c r="Z436" s="127"/>
      <c r="AA436" s="127">
        <f>Y436/2+Z436/2</f>
      </c>
      <c r="AB436" s="603">
        <f>P436/I436</f>
      </c>
      <c r="AC436" s="604">
        <f>AB436*AD436</f>
      </c>
      <c r="AD436" s="129"/>
      <c r="AE436" s="583" t="n"/>
      <c r="AF436" s="583">
        <f>AC436*0.13/(1+0.13)</f>
      </c>
      <c r="AG436" s="605">
        <f>AC436-AF436</f>
      </c>
      <c r="AH436" s="605">
        <f>AC436*I436</f>
      </c>
      <c r="AI436" s="583">
        <f>ROUND(AG436*I436,-1)</f>
      </c>
    </row>
    <row r="437" ht="15.5" customHeight="1">
      <c r="A437" s="63" t="n"/>
      <c r="B437" s="56"/>
      <c r="C437" s="56"/>
      <c r="D437" s="59" t="n"/>
      <c r="E437" s="63" t="n"/>
      <c r="F437" s="24" t="n"/>
      <c r="G437" s="63"/>
      <c r="H437" s="21"/>
      <c r="I437" s="23"/>
      <c r="J437" s="558"/>
      <c r="K437" s="558"/>
      <c r="L437" s="539" t="n"/>
      <c r="M437" s="539" t="n"/>
      <c r="N437" s="539" t="n"/>
      <c r="O437" s="539" t="n"/>
      <c r="P437" s="539"/>
      <c r="Q437" s="539"/>
      <c r="R437" s="539">
        <f>AI437</f>
      </c>
      <c r="S437" s="23">
        <f>Y437*100</f>
      </c>
      <c r="T437" s="539">
        <f>ROUND(R437*S437/100,-1)</f>
      </c>
      <c r="U437" s="539">
        <f>IF(Q437=0,"",(T437-Q437)/Q437*100)</f>
      </c>
      <c r="V437" s="27" t="n"/>
      <c r="W437" s="601"/>
      <c r="X437" s="602">
        <f>($W$5-K437)/365</f>
      </c>
      <c r="Y437" s="127">
        <f>(W437-X437)/W437</f>
      </c>
      <c r="Z437" s="127"/>
      <c r="AA437" s="127">
        <f>Y437/2+Z437/2</f>
      </c>
      <c r="AB437" s="603">
        <f>P437/I437</f>
      </c>
      <c r="AC437" s="604">
        <f>AB437*AD437</f>
      </c>
      <c r="AD437" s="129"/>
      <c r="AE437" s="583" t="n"/>
      <c r="AF437" s="583">
        <f>AC437*0.13/(1+0.13)</f>
      </c>
      <c r="AG437" s="605">
        <f>AC437-AF437</f>
      </c>
      <c r="AH437" s="605">
        <f>AC437*I437</f>
      </c>
      <c r="AI437" s="583">
        <f>ROUND(AG437*I437,-1)</f>
      </c>
    </row>
    <row r="438" ht="15.5" customHeight="1">
      <c r="A438" s="63" t="n"/>
      <c r="B438" s="56"/>
      <c r="C438" s="56"/>
      <c r="D438" s="59" t="n"/>
      <c r="E438" s="63" t="n"/>
      <c r="F438" s="24" t="n"/>
      <c r="G438" s="63"/>
      <c r="H438" s="21"/>
      <c r="I438" s="23"/>
      <c r="J438" s="558"/>
      <c r="K438" s="558"/>
      <c r="L438" s="539" t="n"/>
      <c r="M438" s="539" t="n"/>
      <c r="N438" s="539" t="n"/>
      <c r="O438" s="539" t="n"/>
      <c r="P438" s="539"/>
      <c r="Q438" s="539"/>
      <c r="R438" s="539">
        <f>AI438</f>
      </c>
      <c r="S438" s="23">
        <f>Y438*100</f>
      </c>
      <c r="T438" s="539">
        <f>ROUND(R438*S438/100,-1)</f>
      </c>
      <c r="U438" s="539">
        <f>IF(Q438=0,"",(T438-Q438)/Q438*100)</f>
      </c>
      <c r="V438" s="27" t="n"/>
      <c r="W438" s="601"/>
      <c r="X438" s="602">
        <f>($W$5-K438)/365</f>
      </c>
      <c r="Y438" s="127">
        <f>(W438-X438)/W438</f>
      </c>
      <c r="Z438" s="127"/>
      <c r="AA438" s="127">
        <f>Y438/2+Z438/2</f>
      </c>
      <c r="AB438" s="603">
        <f>P438/I438</f>
      </c>
      <c r="AC438" s="604">
        <f>AB438*AD438</f>
      </c>
      <c r="AD438" s="129"/>
      <c r="AE438" s="583" t="n"/>
      <c r="AF438" s="583">
        <f>AC438*0.13/(1+0.13)</f>
      </c>
      <c r="AG438" s="605">
        <f>AC438-AF438</f>
      </c>
      <c r="AH438" s="605">
        <f>AC438*I438</f>
      </c>
      <c r="AI438" s="583">
        <f>ROUND(AG438*I438,-1)</f>
      </c>
    </row>
    <row r="439" ht="15.5" customHeight="1">
      <c r="A439" s="63" t="n"/>
      <c r="B439" s="56"/>
      <c r="C439" s="56"/>
      <c r="D439" s="59" t="n"/>
      <c r="E439" s="63" t="n"/>
      <c r="F439" s="24" t="n"/>
      <c r="G439" s="63"/>
      <c r="H439" s="21"/>
      <c r="I439" s="23"/>
      <c r="J439" s="558"/>
      <c r="K439" s="558"/>
      <c r="L439" s="539" t="n"/>
      <c r="M439" s="539" t="n"/>
      <c r="N439" s="539" t="n"/>
      <c r="O439" s="539" t="n"/>
      <c r="P439" s="539"/>
      <c r="Q439" s="539"/>
      <c r="R439" s="539">
        <f>AI439</f>
      </c>
      <c r="S439" s="23">
        <f>Y439*100</f>
      </c>
      <c r="T439" s="539">
        <f>ROUND(R439*S439/100,-1)</f>
      </c>
      <c r="U439" s="539">
        <f>IF(Q439=0,"",(T439-Q439)/Q439*100)</f>
      </c>
      <c r="V439" s="27" t="n"/>
      <c r="W439" s="601"/>
      <c r="X439" s="602">
        <f>($W$5-K439)/365</f>
      </c>
      <c r="Y439" s="127">
        <f>(W439-X439)/W439</f>
      </c>
      <c r="Z439" s="127"/>
      <c r="AA439" s="127">
        <f>Y439/2+Z439/2</f>
      </c>
      <c r="AB439" s="603">
        <f>P439/I439</f>
      </c>
      <c r="AC439" s="604">
        <f>AB439*AD439</f>
      </c>
      <c r="AD439" s="129"/>
      <c r="AE439" s="583" t="n"/>
      <c r="AF439" s="583">
        <f>AC439*0.13/(1+0.13)</f>
      </c>
      <c r="AG439" s="605">
        <f>AC439-AF439</f>
      </c>
      <c r="AH439" s="605">
        <f>AC439*I439</f>
      </c>
      <c r="AI439" s="583">
        <f>ROUND(AG439*I439,-1)</f>
      </c>
    </row>
    <row r="440" ht="15.5" customHeight="1">
      <c r="A440" s="63" t="n"/>
      <c r="B440" s="56"/>
      <c r="C440" s="56"/>
      <c r="D440" s="59" t="n"/>
      <c r="E440" s="63" t="n"/>
      <c r="F440" s="24" t="n"/>
      <c r="G440" s="63"/>
      <c r="H440" s="21"/>
      <c r="I440" s="23"/>
      <c r="J440" s="558"/>
      <c r="K440" s="558"/>
      <c r="L440" s="539" t="n"/>
      <c r="M440" s="539" t="n"/>
      <c r="N440" s="539" t="n"/>
      <c r="O440" s="539" t="n"/>
      <c r="P440" s="539"/>
      <c r="Q440" s="539"/>
      <c r="R440" s="539">
        <f>AI440</f>
      </c>
      <c r="S440" s="23">
        <f>Y440*100</f>
      </c>
      <c r="T440" s="539">
        <f>ROUND(R440*S440/100,-1)</f>
      </c>
      <c r="U440" s="539">
        <f>IF(Q440=0,"",(T440-Q440)/Q440*100)</f>
      </c>
      <c r="V440" s="27" t="n"/>
      <c r="W440" s="601"/>
      <c r="X440" s="602">
        <f>($W$5-K440)/365</f>
      </c>
      <c r="Y440" s="127">
        <f>(W440-X440)/W440</f>
      </c>
      <c r="Z440" s="127"/>
      <c r="AA440" s="127">
        <f>Y440/2+Z440/2</f>
      </c>
      <c r="AB440" s="603">
        <f>P440/I440</f>
      </c>
      <c r="AC440" s="604">
        <f>AB440*AD440</f>
      </c>
      <c r="AD440" s="129"/>
      <c r="AE440" s="583" t="n"/>
      <c r="AF440" s="583">
        <f>AC440*0.13/(1+0.13)</f>
      </c>
      <c r="AG440" s="605">
        <f>AC440-AF440</f>
      </c>
      <c r="AH440" s="605">
        <f>AC440*I440</f>
      </c>
      <c r="AI440" s="583">
        <f>ROUND(AG440*I440,-1)</f>
      </c>
    </row>
    <row r="441" ht="15.5" customHeight="1">
      <c r="A441" s="63" t="n"/>
      <c r="B441" s="56"/>
      <c r="C441" s="56"/>
      <c r="D441" s="59" t="n"/>
      <c r="E441" s="63" t="n"/>
      <c r="F441" s="24" t="n"/>
      <c r="G441" s="63"/>
      <c r="H441" s="21"/>
      <c r="I441" s="23"/>
      <c r="J441" s="558"/>
      <c r="K441" s="558"/>
      <c r="L441" s="539" t="n"/>
      <c r="M441" s="539" t="n"/>
      <c r="N441" s="539" t="n"/>
      <c r="O441" s="539" t="n"/>
      <c r="P441" s="539"/>
      <c r="Q441" s="539"/>
      <c r="R441" s="539">
        <f>AI441</f>
      </c>
      <c r="S441" s="23">
        <f>Y441*100</f>
      </c>
      <c r="T441" s="539">
        <f>ROUND(R441*S441/100,-1)</f>
      </c>
      <c r="U441" s="539">
        <f>IF(Q441=0,"",(T441-Q441)/Q441*100)</f>
      </c>
      <c r="V441" s="27" t="n"/>
      <c r="W441" s="601"/>
      <c r="X441" s="602">
        <f>($W$5-K441)/365</f>
      </c>
      <c r="Y441" s="127">
        <f>(W441-X441)/W441</f>
      </c>
      <c r="Z441" s="127"/>
      <c r="AA441" s="127">
        <f>Y441/2+Z441/2</f>
      </c>
      <c r="AB441" s="603">
        <f>P441/I441</f>
      </c>
      <c r="AC441" s="604">
        <f>AB441*AD441</f>
      </c>
      <c r="AD441" s="129"/>
      <c r="AE441" s="583" t="n"/>
      <c r="AF441" s="583">
        <f>AC441*0.13/(1+0.13)</f>
      </c>
      <c r="AG441" s="605">
        <f>AC441-AF441</f>
      </c>
      <c r="AH441" s="605">
        <f>AC441*I441</f>
      </c>
      <c r="AI441" s="583">
        <f>ROUND(AG441*I441,-1)</f>
      </c>
    </row>
    <row r="442" ht="15.5" customHeight="1">
      <c r="A442" s="63" t="n"/>
      <c r="B442" s="56"/>
      <c r="C442" s="56"/>
      <c r="D442" s="59" t="n"/>
      <c r="E442" s="63" t="n"/>
      <c r="F442" s="24" t="n"/>
      <c r="G442" s="63"/>
      <c r="H442" s="21"/>
      <c r="I442" s="23"/>
      <c r="J442" s="558"/>
      <c r="K442" s="558"/>
      <c r="L442" s="539" t="n"/>
      <c r="M442" s="539" t="n"/>
      <c r="N442" s="539" t="n"/>
      <c r="O442" s="539" t="n"/>
      <c r="P442" s="539"/>
      <c r="Q442" s="539"/>
      <c r="R442" s="539">
        <f>AI442</f>
      </c>
      <c r="S442" s="23">
        <f>Y442*100</f>
      </c>
      <c r="T442" s="539">
        <f>ROUND(R442*S442/100,-1)</f>
      </c>
      <c r="U442" s="539">
        <f>IF(Q442=0,"",(T442-Q442)/Q442*100)</f>
      </c>
      <c r="V442" s="27" t="n"/>
      <c r="W442" s="601"/>
      <c r="X442" s="602">
        <f>($W$5-K442)/365</f>
      </c>
      <c r="Y442" s="127">
        <f>(W442-X442)/W442</f>
      </c>
      <c r="Z442" s="127"/>
      <c r="AA442" s="127">
        <f>Y442/2+Z442/2</f>
      </c>
      <c r="AB442" s="603">
        <f>P442/I442</f>
      </c>
      <c r="AC442" s="604">
        <f>AB442*AD442</f>
      </c>
      <c r="AD442" s="129"/>
      <c r="AE442" s="583" t="n"/>
      <c r="AF442" s="583">
        <f>AC442*0.13/(1+0.13)</f>
      </c>
      <c r="AG442" s="605">
        <f>AC442-AF442</f>
      </c>
      <c r="AH442" s="605">
        <f>AC442*I442</f>
      </c>
      <c r="AI442" s="583">
        <f>ROUND(AG442*I442,-1)</f>
      </c>
    </row>
    <row r="443" ht="15.5" customHeight="1">
      <c r="A443" s="63" t="n"/>
      <c r="B443" s="56"/>
      <c r="C443" s="56"/>
      <c r="D443" s="59" t="n"/>
      <c r="E443" s="63" t="n"/>
      <c r="F443" s="24" t="n"/>
      <c r="G443" s="63"/>
      <c r="H443" s="21"/>
      <c r="I443" s="23"/>
      <c r="J443" s="558"/>
      <c r="K443" s="558"/>
      <c r="L443" s="539" t="n"/>
      <c r="M443" s="539" t="n"/>
      <c r="N443" s="539" t="n"/>
      <c r="O443" s="539" t="n"/>
      <c r="P443" s="539"/>
      <c r="Q443" s="539"/>
      <c r="R443" s="539">
        <f>AI443</f>
      </c>
      <c r="S443" s="23">
        <f>Y443*100</f>
      </c>
      <c r="T443" s="539">
        <f>ROUND(R443*S443/100,-1)</f>
      </c>
      <c r="U443" s="539">
        <f>IF(Q443=0,"",(T443-Q443)/Q443*100)</f>
      </c>
      <c r="V443" s="27" t="n"/>
      <c r="W443" s="601"/>
      <c r="X443" s="602">
        <f>($W$5-K443)/365</f>
      </c>
      <c r="Y443" s="127">
        <f>(W443-X443)/W443</f>
      </c>
      <c r="Z443" s="127"/>
      <c r="AA443" s="127">
        <f>Y443/2+Z443/2</f>
      </c>
      <c r="AB443" s="603">
        <f>P443/I443</f>
      </c>
      <c r="AC443" s="604">
        <f>AB443*AD443</f>
      </c>
      <c r="AD443" s="129"/>
      <c r="AE443" s="583" t="n"/>
      <c r="AF443" s="583">
        <f>AC443*0.13/(1+0.13)</f>
      </c>
      <c r="AG443" s="605">
        <f>AC443-AF443</f>
      </c>
      <c r="AH443" s="605">
        <f>AC443*I443</f>
      </c>
      <c r="AI443" s="583">
        <f>ROUND(AG443*I443,-1)</f>
      </c>
    </row>
    <row r="444" ht="15.5" customHeight="1">
      <c r="A444" s="63" t="n"/>
      <c r="B444" s="56"/>
      <c r="C444" s="56"/>
      <c r="D444" s="59" t="n"/>
      <c r="E444" s="63" t="n"/>
      <c r="F444" s="24" t="n"/>
      <c r="G444" s="63"/>
      <c r="H444" s="21"/>
      <c r="I444" s="23"/>
      <c r="J444" s="558"/>
      <c r="K444" s="558"/>
      <c r="L444" s="539" t="n"/>
      <c r="M444" s="539" t="n"/>
      <c r="N444" s="539" t="n"/>
      <c r="O444" s="539" t="n"/>
      <c r="P444" s="539"/>
      <c r="Q444" s="539"/>
      <c r="R444" s="539">
        <f>AI444</f>
      </c>
      <c r="S444" s="23">
        <f>Y444*100</f>
      </c>
      <c r="T444" s="539">
        <f>ROUND(R444*S444/100,-1)</f>
      </c>
      <c r="U444" s="539">
        <f>IF(Q444=0,"",(T444-Q444)/Q444*100)</f>
      </c>
      <c r="V444" s="27" t="n"/>
      <c r="W444" s="601"/>
      <c r="X444" s="602">
        <f>($W$5-K444)/365</f>
      </c>
      <c r="Y444" s="127">
        <f>(W444-X444)/W444</f>
      </c>
      <c r="Z444" s="127"/>
      <c r="AA444" s="127">
        <f>Y444/2+Z444/2</f>
      </c>
      <c r="AB444" s="603">
        <f>P444/I444</f>
      </c>
      <c r="AC444" s="604">
        <f>AB444*AD444</f>
      </c>
      <c r="AD444" s="129"/>
      <c r="AE444" s="583" t="n"/>
      <c r="AF444" s="583">
        <f>AC444*0.13/(1+0.13)</f>
      </c>
      <c r="AG444" s="605">
        <f>AC444-AF444</f>
      </c>
      <c r="AH444" s="605">
        <f>AC444*I444</f>
      </c>
      <c r="AI444" s="583">
        <f>ROUND(AG444*I444,-1)</f>
      </c>
    </row>
    <row r="445" ht="15.5" customHeight="1">
      <c r="A445" s="63" t="n"/>
      <c r="B445" s="56"/>
      <c r="C445" s="56"/>
      <c r="D445" s="59" t="n"/>
      <c r="E445" s="63" t="n"/>
      <c r="F445" s="24" t="n"/>
      <c r="G445" s="63"/>
      <c r="H445" s="21"/>
      <c r="I445" s="23"/>
      <c r="J445" s="558"/>
      <c r="K445" s="558"/>
      <c r="L445" s="539" t="n"/>
      <c r="M445" s="539" t="n"/>
      <c r="N445" s="539" t="n"/>
      <c r="O445" s="539" t="n"/>
      <c r="P445" s="539"/>
      <c r="Q445" s="539"/>
      <c r="R445" s="539">
        <f>AI445</f>
      </c>
      <c r="S445" s="23">
        <f>Y445*100</f>
      </c>
      <c r="T445" s="539">
        <f>ROUND(R445*S445/100,-1)</f>
      </c>
      <c r="U445" s="539">
        <f>IF(Q445=0,"",(T445-Q445)/Q445*100)</f>
      </c>
      <c r="V445" s="27" t="n"/>
      <c r="W445" s="601"/>
      <c r="X445" s="602">
        <f>($W$5-K445)/365</f>
      </c>
      <c r="Y445" s="127">
        <f>(W445-X445)/W445</f>
      </c>
      <c r="Z445" s="127"/>
      <c r="AA445" s="127">
        <f>Y445/2+Z445/2</f>
      </c>
      <c r="AB445" s="603">
        <f>P445/I445</f>
      </c>
      <c r="AC445" s="604">
        <f>AB445*AD445</f>
      </c>
      <c r="AD445" s="129"/>
      <c r="AE445" s="583" t="n"/>
      <c r="AF445" s="583">
        <f>AC445*0.13/(1+0.13)</f>
      </c>
      <c r="AG445" s="605">
        <f>AC445-AF445</f>
      </c>
      <c r="AH445" s="605">
        <f>AC445*I445</f>
      </c>
      <c r="AI445" s="583">
        <f>ROUND(AG445*I445,-1)</f>
      </c>
    </row>
    <row r="446" ht="15.5" customHeight="1">
      <c r="A446" s="63" t="n"/>
      <c r="B446" s="56"/>
      <c r="C446" s="56"/>
      <c r="D446" s="59" t="n"/>
      <c r="E446" s="63" t="n"/>
      <c r="F446" s="24" t="n"/>
      <c r="G446" s="63"/>
      <c r="H446" s="21"/>
      <c r="I446" s="23"/>
      <c r="J446" s="558"/>
      <c r="K446" s="558"/>
      <c r="L446" s="539" t="n"/>
      <c r="M446" s="539" t="n"/>
      <c r="N446" s="539" t="n"/>
      <c r="O446" s="539" t="n"/>
      <c r="P446" s="539"/>
      <c r="Q446" s="539"/>
      <c r="R446" s="539">
        <f>AI446</f>
      </c>
      <c r="S446" s="23">
        <f>Y446*100</f>
      </c>
      <c r="T446" s="539">
        <f>ROUND(R446*S446/100,-1)</f>
      </c>
      <c r="U446" s="539">
        <f>IF(Q446=0,"",(T446-Q446)/Q446*100)</f>
      </c>
      <c r="V446" s="27" t="n"/>
      <c r="W446" s="601"/>
      <c r="X446" s="602">
        <f>($W$5-K446)/365</f>
      </c>
      <c r="Y446" s="127">
        <f>(W446-X446)/W446</f>
      </c>
      <c r="Z446" s="127"/>
      <c r="AA446" s="127">
        <f>Y446/2+Z446/2</f>
      </c>
      <c r="AB446" s="603">
        <f>P446/I446</f>
      </c>
      <c r="AC446" s="604">
        <f>AB446*AD446</f>
      </c>
      <c r="AD446" s="129"/>
      <c r="AE446" s="583" t="n"/>
      <c r="AF446" s="583">
        <f>AC446*0.13/(1+0.13)</f>
      </c>
      <c r="AG446" s="605">
        <f>AC446-AF446</f>
      </c>
      <c r="AH446" s="605">
        <f>AC446*I446</f>
      </c>
      <c r="AI446" s="583">
        <f>ROUND(AG446*I446,-1)</f>
      </c>
    </row>
    <row r="447" ht="15.5" customHeight="1">
      <c r="A447" s="63" t="n"/>
      <c r="B447" s="56"/>
      <c r="C447" s="56"/>
      <c r="D447" s="59" t="n"/>
      <c r="E447" s="63" t="n"/>
      <c r="F447" s="24" t="n"/>
      <c r="G447" s="63"/>
      <c r="H447" s="21"/>
      <c r="I447" s="23"/>
      <c r="J447" s="558"/>
      <c r="K447" s="558"/>
      <c r="L447" s="539" t="n"/>
      <c r="M447" s="539" t="n"/>
      <c r="N447" s="539" t="n"/>
      <c r="O447" s="539" t="n"/>
      <c r="P447" s="539"/>
      <c r="Q447" s="539"/>
      <c r="R447" s="539">
        <f>AI447</f>
      </c>
      <c r="S447" s="23">
        <f>Y447*100</f>
      </c>
      <c r="T447" s="539">
        <f>ROUND(R447*S447/100,-1)</f>
      </c>
      <c r="U447" s="539">
        <f>IF(Q447=0,"",(T447-Q447)/Q447*100)</f>
      </c>
      <c r="V447" s="27" t="n"/>
      <c r="W447" s="601"/>
      <c r="X447" s="602">
        <f>($W$5-K447)/365</f>
      </c>
      <c r="Y447" s="127">
        <f>(W447-X447)/W447</f>
      </c>
      <c r="Z447" s="127"/>
      <c r="AA447" s="127">
        <f>Y447/2+Z447/2</f>
      </c>
      <c r="AB447" s="603">
        <f>P447/I447</f>
      </c>
      <c r="AC447" s="604">
        <f>AB447*AD447</f>
      </c>
      <c r="AD447" s="129"/>
      <c r="AE447" s="583" t="n"/>
      <c r="AF447" s="583">
        <f>AC447*0.13/(1+0.13)</f>
      </c>
      <c r="AG447" s="605">
        <f>AC447-AF447</f>
      </c>
      <c r="AH447" s="605">
        <f>AC447*I447</f>
      </c>
      <c r="AI447" s="583">
        <f>ROUND(AG447*I447,-1)</f>
      </c>
    </row>
    <row r="448" ht="15.5" customHeight="1">
      <c r="A448" s="23" t="n"/>
      <c r="B448" s="23" t="n"/>
      <c r="C448" s="23" t="n"/>
      <c r="D448" s="24" t="n"/>
      <c r="E448" s="24" t="n"/>
      <c r="F448" s="103" t="n"/>
      <c r="G448" s="24" t="n"/>
      <c r="H448" s="23" t="n"/>
      <c r="I448" s="23" t="n"/>
      <c r="J448" s="25" t="n"/>
      <c r="K448" s="25" t="n"/>
      <c r="L448" s="539" t="n"/>
      <c r="M448" s="539" t="n"/>
      <c r="N448" s="539" t="n"/>
      <c r="O448" s="539" t="n"/>
      <c r="P448" s="539" t="n"/>
      <c r="Q448" s="539" t="n"/>
      <c r="R448" s="539" t="n"/>
      <c r="S448" s="23" t="n"/>
      <c r="T448" s="539" t="n"/>
      <c r="U448" s="539" t="n"/>
      <c r="V448" s="27" t="n"/>
    </row>
    <row r="449">
      <c r="A449" s="21" t="inlineStr">
        <is>
          <t>合            计</t>
        </is>
      </c>
      <c r="B449" s="138" t="n"/>
      <c r="C449" s="138" t="n"/>
      <c r="D449" s="28" t="n"/>
      <c r="E449" s="24" t="n"/>
      <c r="F449" s="103" t="n"/>
      <c r="G449" s="24" t="n"/>
      <c r="H449" s="23" t="n"/>
      <c r="I449" s="23" t="n"/>
      <c r="J449" s="25" t="n"/>
      <c r="K449" s="25" t="n"/>
      <c r="L449" s="539">
        <f>SUM(L7:L448)</f>
      </c>
      <c r="M449" s="539">
        <f>SUM(M7:M448)</f>
      </c>
      <c r="N449" s="539" t="n"/>
      <c r="O449" s="539" t="n"/>
      <c r="P449" s="539">
        <f>SUM(P7:P448)</f>
      </c>
      <c r="Q449" s="539">
        <f>SUM(Q7:Q448)</f>
      </c>
      <c r="R449" s="539">
        <f>SUM(R7:R448)</f>
      </c>
      <c r="S449" s="23" t="n"/>
      <c r="T449" s="539">
        <f>SUM(T7:T448)</f>
      </c>
      <c r="U449" s="539">
        <f>IF(Q449=0,"",(T449-Q449)/Q449*100)</f>
      </c>
      <c r="V449" s="27" t="n"/>
    </row>
    <row r="450">
      <c r="A450" s="29">
        <f>封面!D11&amp;封面!G11</f>
      </c>
      <c r="P450" s="29">
        <f>"评估人员："&amp;封面!G26</f>
      </c>
    </row>
    <row r="451">
      <c r="A451" s="29">
        <f>CONCATENATE(封面!D13,封面!F13,封面!G13,封面!H13,封面!I13,封面!J13,封面!K13)</f>
      </c>
    </row>
  </sheetData>
  <autoFilter ref="A6:AJ447"/>
  <mergeCells count="30">
    <mergeCell ref="A2:V2"/>
    <mergeCell ref="E5:E6"/>
    <mergeCell ref="AH5:AH6"/>
    <mergeCell ref="Y5:Y6"/>
    <mergeCell ref="F5:F6"/>
    <mergeCell ref="AA5:AA6"/>
    <mergeCell ref="AC5:AC6"/>
    <mergeCell ref="AF5:AF6"/>
    <mergeCell ref="L5:M5"/>
    <mergeCell ref="N5:O5"/>
    <mergeCell ref="X5:X6"/>
    <mergeCell ref="I5:I6"/>
    <mergeCell ref="Z5:Z6"/>
    <mergeCell ref="A5:A6"/>
    <mergeCell ref="G5:G6"/>
    <mergeCell ref="U5:U6"/>
    <mergeCell ref="R5:T5"/>
    <mergeCell ref="B5:B6"/>
    <mergeCell ref="D5:D6"/>
    <mergeCell ref="AG5:AG6"/>
    <mergeCell ref="A3:V3"/>
    <mergeCell ref="H5:H6"/>
    <mergeCell ref="AI5:AI6"/>
    <mergeCell ref="K5:K6"/>
    <mergeCell ref="J5:J6"/>
    <mergeCell ref="P5:Q5"/>
    <mergeCell ref="A449:D449"/>
    <mergeCell ref="V5:V6"/>
    <mergeCell ref="AB5:AB6"/>
    <mergeCell ref="C5:C6"/>
  </mergeCells>
  <hyperlinks>
    <hyperlink ref="A1" location="索引目录!E40" display="返回索引页"/>
    <hyperlink ref="B1" location="固定资产汇总!B14" display="返回"/>
    <hyperlink xmlns:r="http://schemas.openxmlformats.org/officeDocument/2006/relationships" ref="AJ395" display="https://item.jd.com/10040654779710.html?uabt=872_12138_1_0&amp;pcdk=axGR2EOPw-_wPmzq0SmLBnuKYeK_U_-N7fR-Ux5hrCI%3D.ZNqn.8PYs&amp;cu=true&amp;utm_source=lianmeng__10__kong__go.smzdm.com&amp;utm_medium=tuiguang&amp;utm_campaign=t_1000089893_156_0_184__1aaf00ca47fff68a&amp;utm_term=94b28be62c82be968d3d00523e5376e8&amp;purchasetab=gfgm" r:id="rId1"/>
    <hyperlink xmlns:r="http://schemas.openxmlformats.org/officeDocument/2006/relationships" ref="AJ396" display="https://item.jd.com/10052392698142.html?uabt=872_12138_1_0&amp;pcdk=Mf8Zq4cBIGXbrTRXqs8OiNMCHbX1Gi9qkPMbX8oJ9rI%3D.ZNqn.8PYs&amp;cu=true&amp;utm_source=lianmeng__10__kong__detail.zol.com.cn&amp;utm_medium=jingfen&amp;utm_campaign=t_2032288013_&amp;utm_term=9769d5671ef2ddcc39dbb7edc8a9b3d1&amp;purchasetab=gfgm" r:id="rId2"/>
    <hyperlink xmlns:r="http://schemas.openxmlformats.org/officeDocument/2006/relationships" ref="AJ397" display="https://item.jd.com/10040654779710.html?uabt=872_12138_1_0&amp;pcdk=axGR2EOPw-_wPmzq0SmLBnuKYeK_U_-N7fR-Ux5hrCI%3D.ZNqn.8PYs&amp;cu=true&amp;utm_source=lianmeng__10__kong__go.smzdm.com&amp;utm_medium=tuiguang&amp;utm_campaign=t_1000089893_156_0_184__1aaf00ca47fff68a&amp;utm_term=94b28be62c82be968d3d00523e5376e8&amp;purchasetab=gfgm" r:id="rId3"/>
    <hyperlink xmlns:r="http://schemas.openxmlformats.org/officeDocument/2006/relationships" ref="AJ398" display="https://item.jd.com/10040654779710.html?uabt=872_12138_1_0&amp;pcdk=axGR2EOPw-_wPmzq0SmLBnuKYeK_U_-N7fR-Ux5hrCI%3D.ZNqn.8PYs&amp;cu=true&amp;utm_source=lianmeng__10__kong__go.smzdm.com&amp;utm_medium=tuiguang&amp;utm_campaign=t_1000089893_156_0_184__1aaf00ca47fff68a&amp;utm_term=94b28be62c82be968d3d00523e5376e8&amp;purchasetab=gfgm" r:id="rId4"/>
    <hyperlink xmlns:r="http://schemas.openxmlformats.org/officeDocument/2006/relationships" ref="AJ399" display="https://item.jd.com/10052392698142.html?uabt=872_12138_1_0&amp;pcdk=Mf8Zq4cBIGXbrTRXqs8OiNMCHbX1Gi9qkPMbX8oJ9rI%3D.ZNqn.8PYs&amp;cu=true&amp;utm_source=lianmeng__10__kong__detail.zol.com.cn&amp;utm_medium=jingfen&amp;utm_campaign=t_2032288013_&amp;utm_term=9769d5671ef2ddcc39dbb7edc8a9b3d1&amp;purchasetab=gfgm" r:id="rId5"/>
    <hyperlink xmlns:r="http://schemas.openxmlformats.org/officeDocument/2006/relationships" ref="AJ400" display="https://item.jd.com/10052392698142.html?uabt=872_12138_1_0&amp;pcdk=Mf8Zq4cBIGXbrTRXqs8OiNMCHbX1Gi9qkPMbX8oJ9rI%3D.ZNqn.8PYs&amp;cu=true&amp;utm_source=lianmeng__10__kong__detail.zol.com.cn&amp;utm_medium=jingfen&amp;utm_campaign=t_2032288013_&amp;utm_term=9769d5671ef2ddcc39dbb7edc8a9b3d1&amp;purchasetab=gfgm" r:id="rId6"/>
    <hyperlink xmlns:r="http://schemas.openxmlformats.org/officeDocument/2006/relationships" ref="AJ401" display="https://item.jd.com/10052392698142.html?uabt=872_12138_1_0&amp;pcdk=Mf8Zq4cBIGXbrTRXqs8OiNMCHbX1Gi9qkPMbX8oJ9rI%3D.ZNqn.8PYs&amp;cu=true&amp;utm_source=lianmeng__10__kong__detail.zol.com.cn&amp;utm_medium=jingfen&amp;utm_campaign=t_2032288013_&amp;utm_term=9769d5671ef2ddcc39dbb7edc8a9b3d1&amp;purchasetab=gfgm" r:id="rId7"/>
    <hyperlink xmlns:r="http://schemas.openxmlformats.org/officeDocument/2006/relationships" ref="AJ408" display="https://item.jd.com/10052392698142.html?uabt=872_12138_1_0&amp;pcdk=Mf8Zq4cBIGXbrTRXqs8OiNMCHbX1Gi9qkPMbX8oJ9rI%3D.ZNqn.8PYs&amp;cu=true&amp;utm_source=lianmeng__10__kong__detail.zol.com.cn&amp;utm_medium=jingfen&amp;utm_campaign=t_2032288013_&amp;utm_term=9769d5671ef2ddcc39dbb7edc8a9b3d1&amp;purchasetab=gfgm" r:id="rId8"/>
    <hyperlink xmlns:r="http://schemas.openxmlformats.org/officeDocument/2006/relationships" ref="AJ410" display="https://item.jd.com/10052392698142.html?uabt=872_12138_1_0&amp;pcdk=Mf8Zq4cBIGXbrTRXqs8OiNMCHbX1Gi9qkPMbX8oJ9rI%3D.ZNqn.8PYs&amp;cu=true&amp;utm_source=lianmeng__10__kong__detail.zol.com.cn&amp;utm_medium=jingfen&amp;utm_campaign=t_2032288013_&amp;utm_term=9769d5671ef2ddcc39dbb7edc8a9b3d1&amp;purchasetab=gfgm" r:id="rId9"/>
    <hyperlink xmlns:r="http://schemas.openxmlformats.org/officeDocument/2006/relationships" ref="AJ411" display="https://www.bing.com/?scope=web&amp;FORM=ANAB01&amp;pc=NMTS" r:id="rId10"/>
  </hyperlinks>
  <printOptions horizontalCentered="1"/>
  <pageMargins left="0.354330708661417" right="0.354330708661417" top="0.78740157480315" bottom="0.78740157480315" header="1.02" footer="0.511811023622047"/>
  <pageSetup orientation="landscape" paperSize="9" scale="77" fitToHeight="0"/>
  <headerFooter alignWithMargins="0">
    <oddHeader>&amp;R&amp;"宋体,常规"共&amp;"Times New Roman,常规"&amp;N&amp;"宋体,常规"页第&amp;"Times New Roman,常规"&amp;P&amp;"宋体,常规"4-6-6_x000a_页</oddHeader>
    <oddFooter/>
    <evenHeader/>
    <evenFooter/>
    <firstHeader/>
    <firstFooter/>
  </headerFooter>
  <legacyDrawing xmlns:r="http://schemas.openxmlformats.org/officeDocument/2006/relationships" r:id="anysvml"/>
</worksheet>
</file>

<file path=xl/worksheets/sheet54.xml><?xml version="1.0" encoding="utf-8"?>
<worksheet xmlns="http://schemas.openxmlformats.org/spreadsheetml/2006/main">
  <sheetPr codeName="Sheet54">
    <outlinePr summaryBelow="1" summaryRight="1"/>
    <pageSetUpPr fitToPage="1"/>
  </sheetPr>
  <dimension ref="A1:T30"/>
  <sheetViews>
    <sheetView view="pageBreakPreview" topLeftCell="A6" zoomScale="130" zoomScaleNormal="100" workbookViewId="0">
      <selection activeCell="G451" sqref="G451"/>
    </sheetView>
  </sheetViews>
  <sheetFormatPr baseColWidth="8" defaultColWidth="9" defaultRowHeight="15.75" customHeight="1"/>
  <cols>
    <col width="6.33333333333333" customWidth="1" style="13" min="1" max="1"/>
    <col width="6.83333333333333" customWidth="1" style="13" min="2" max="2"/>
    <col width="9.58333333333333" customWidth="1" style="13" min="3" max="3"/>
    <col width="10.5" customWidth="1" style="13" min="4" max="4"/>
    <col width="5.33333333333333" customWidth="1" style="13" min="5" max="6"/>
    <col width="5.08333333333333" customWidth="1" style="13" min="7" max="8"/>
    <col width="8" customWidth="1" style="13" min="9" max="9"/>
    <col hidden="1" outlineLevel="1" width="13" customWidth="1" style="13" min="10" max="13"/>
    <col collapsed="1" width="13" customWidth="1" style="13" min="14" max="14"/>
    <col width="13" customWidth="1" style="13" min="15" max="17"/>
    <col width="8.08333333333333" customWidth="1" style="13" min="18" max="18"/>
    <col width="9" customWidth="1" style="13" min="19" max="19"/>
    <col hidden="1" outlineLevel="1" width="13.0833333333333" customWidth="1" style="13" min="20" max="20"/>
    <col collapsed="1" width="9" customWidth="1" style="13" min="21" max="21"/>
    <col width="9" customWidth="1" style="13" min="22"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c r="P1" s="16" t="n"/>
      <c r="Q1" s="16" t="n"/>
      <c r="R1" s="16" t="n"/>
      <c r="S1" s="16" t="n"/>
    </row>
    <row r="2" ht="30" customFormat="1" customHeight="1" s="11">
      <c r="A2" s="17" t="inlineStr">
        <is>
          <t>固定资产—土地评估明细表</t>
        </is>
      </c>
    </row>
    <row r="3" ht="14.15" customHeight="1">
      <c r="A3" s="535">
        <f>CONCATENATE(封面!D9,封面!F9,封面!G9,封面!H9,封面!I9,封面!J9,封面!K9)</f>
      </c>
    </row>
    <row r="4" ht="15.5" customHeight="1">
      <c r="A4" s="536">
        <f>封面!D7&amp;封面!F7</f>
      </c>
      <c r="S4" s="20" t="inlineStr">
        <is>
          <t>金额单位：人民币元</t>
        </is>
      </c>
    </row>
    <row r="5" ht="13" customFormat="1" customHeight="1" s="16">
      <c r="A5" s="22" t="inlineStr">
        <is>
          <t>序号</t>
        </is>
      </c>
      <c r="B5" s="22" t="inlineStr">
        <is>
          <t>土地权证编号</t>
        </is>
      </c>
      <c r="C5" s="22" t="inlineStr">
        <is>
          <t>宗地名称</t>
        </is>
      </c>
      <c r="D5" s="22" t="inlineStr">
        <is>
          <t>土地位置</t>
        </is>
      </c>
      <c r="E5" s="22" t="inlineStr">
        <is>
          <t>取得日期</t>
        </is>
      </c>
      <c r="F5" s="22" t="inlineStr">
        <is>
          <t>用地性质</t>
        </is>
      </c>
      <c r="G5" s="22" t="inlineStr">
        <is>
          <t>准用年限</t>
        </is>
      </c>
      <c r="H5" s="22" t="inlineStr">
        <is>
          <t>开发程度</t>
        </is>
      </c>
      <c r="I5" s="22" t="inlineStr">
        <is>
          <t>面积(m2)</t>
        </is>
      </c>
      <c r="J5" s="101" t="inlineStr">
        <is>
          <t>审计前账面值</t>
        </is>
      </c>
      <c r="K5" s="28" t="n"/>
      <c r="L5" s="102" t="inlineStr">
        <is>
          <t>审计调整</t>
        </is>
      </c>
      <c r="M5" s="28" t="n"/>
      <c r="N5" s="21" t="inlineStr">
        <is>
          <t>账面价值</t>
        </is>
      </c>
      <c r="O5" s="28" t="n"/>
      <c r="P5" s="22" t="inlineStr">
        <is>
          <t>评估价值</t>
        </is>
      </c>
      <c r="Q5" s="28" t="n"/>
      <c r="R5" s="22" t="inlineStr">
        <is>
          <t>增值率%</t>
        </is>
      </c>
      <c r="S5" s="22" t="inlineStr">
        <is>
          <t>备注</t>
        </is>
      </c>
      <c r="T5" s="21" t="inlineStr">
        <is>
          <t>证载权利人</t>
        </is>
      </c>
    </row>
    <row r="6" ht="13" customFormat="1" customHeight="1" s="16">
      <c r="A6" s="36" t="n"/>
      <c r="B6" s="36" t="n"/>
      <c r="C6" s="36" t="n"/>
      <c r="D6" s="36" t="n"/>
      <c r="E6" s="36" t="n"/>
      <c r="F6" s="36" t="n"/>
      <c r="G6" s="36" t="n"/>
      <c r="H6" s="36" t="n"/>
      <c r="I6" s="36" t="n"/>
      <c r="J6" s="21" t="inlineStr">
        <is>
          <t>原值</t>
        </is>
      </c>
      <c r="K6" s="21" t="inlineStr">
        <is>
          <t>净值</t>
        </is>
      </c>
      <c r="L6" s="21" t="inlineStr">
        <is>
          <t>原值</t>
        </is>
      </c>
      <c r="M6" s="21" t="inlineStr">
        <is>
          <t>净值</t>
        </is>
      </c>
      <c r="N6" s="21" t="inlineStr">
        <is>
          <t>原值</t>
        </is>
      </c>
      <c r="O6" s="21" t="inlineStr">
        <is>
          <t>净值</t>
        </is>
      </c>
      <c r="P6" s="21" t="inlineStr">
        <is>
          <t>原值</t>
        </is>
      </c>
      <c r="Q6" s="21" t="inlineStr">
        <is>
          <t>净值</t>
        </is>
      </c>
      <c r="R6" s="36" t="n"/>
      <c r="S6" s="36" t="n"/>
      <c r="T6" s="36" t="n"/>
    </row>
    <row r="7" ht="15.5" customHeight="1">
      <c r="A7" s="23" t="n">
        <v>1</v>
      </c>
      <c r="B7" s="61" t="n"/>
      <c r="C7" s="24"/>
      <c r="D7" s="24" t="n"/>
      <c r="E7" s="60" t="n"/>
      <c r="F7" s="61" t="n"/>
      <c r="G7" s="61" t="n"/>
      <c r="H7" s="61" t="n"/>
      <c r="I7" s="610" t="n"/>
      <c r="J7" s="539" t="n"/>
      <c r="K7" s="539" t="n"/>
      <c r="L7" s="539" t="n"/>
      <c r="M7" s="539" t="n"/>
      <c r="O7" s="539" t="n"/>
      <c r="P7" s="539" t="n"/>
      <c r="Q7" s="539" t="n"/>
      <c r="R7" s="539">
        <f>IF(O7=0,"",(Q7-O7)/O7*100)</f>
      </c>
      <c r="S7" s="27" t="n"/>
      <c r="T7" s="27" t="n"/>
    </row>
    <row r="8" ht="15.5" customHeight="1">
      <c r="A8" s="23" t="n"/>
      <c r="B8" s="23" t="n"/>
      <c r="C8" s="24" t="n"/>
      <c r="D8" s="24" t="n"/>
      <c r="E8" s="25" t="n"/>
      <c r="F8" s="23" t="n"/>
      <c r="G8" s="23" t="n"/>
      <c r="H8" s="23" t="n"/>
      <c r="I8" s="539" t="n"/>
      <c r="J8" s="539" t="n"/>
      <c r="K8" s="539" t="n"/>
      <c r="L8" s="539" t="n"/>
      <c r="M8" s="539" t="n"/>
      <c r="N8" s="539" t="n"/>
      <c r="O8" s="539" t="n"/>
      <c r="P8" s="539" t="n"/>
      <c r="Q8" s="539" t="n"/>
      <c r="R8" s="539">
        <f>IF(O8=0,"",(Q8-O8)/O8*100)</f>
      </c>
      <c r="S8" s="27" t="n"/>
      <c r="T8" s="27" t="n"/>
    </row>
    <row r="9" ht="15.5" customHeight="1">
      <c r="A9" s="23" t="n"/>
      <c r="B9" s="23" t="n"/>
      <c r="C9" s="24" t="n"/>
      <c r="D9" s="24" t="n"/>
      <c r="E9" s="25" t="n"/>
      <c r="F9" s="23" t="n"/>
      <c r="G9" s="23" t="n"/>
      <c r="H9" s="23" t="n"/>
      <c r="I9" s="539" t="n"/>
      <c r="J9" s="539" t="n"/>
      <c r="K9" s="539" t="n"/>
      <c r="L9" s="539" t="n"/>
      <c r="M9" s="539" t="n"/>
      <c r="N9" s="539" t="n"/>
      <c r="O9" s="539" t="n"/>
      <c r="P9" s="539" t="n"/>
      <c r="Q9" s="539" t="n"/>
      <c r="R9" s="539">
        <f>IF(O9=0,"",(Q9-O9)/O9*100)</f>
      </c>
      <c r="S9" s="27" t="n"/>
      <c r="T9" s="27" t="n"/>
    </row>
    <row r="10" ht="15.5" customHeight="1">
      <c r="A10" s="23" t="n"/>
      <c r="B10" s="23" t="n"/>
      <c r="C10" s="24" t="n"/>
      <c r="D10" s="24" t="n"/>
      <c r="E10" s="25" t="n"/>
      <c r="F10" s="23" t="n"/>
      <c r="G10" s="23" t="n"/>
      <c r="H10" s="23" t="n"/>
      <c r="I10" s="539" t="n"/>
      <c r="J10" s="539" t="n"/>
      <c r="K10" s="539" t="n"/>
      <c r="L10" s="539" t="n"/>
      <c r="M10" s="539" t="n"/>
      <c r="N10" s="539" t="n"/>
      <c r="O10" s="539" t="n"/>
      <c r="P10" s="539" t="n"/>
      <c r="Q10" s="539" t="n"/>
      <c r="R10" s="539">
        <f>IF(O10=0,"",(Q10-O10)/O10*100)</f>
      </c>
      <c r="S10" s="27" t="n"/>
      <c r="T10" s="27" t="n"/>
    </row>
    <row r="11" ht="15.5" customHeight="1">
      <c r="A11" s="23" t="n"/>
      <c r="B11" s="23" t="n"/>
      <c r="C11" s="24" t="n"/>
      <c r="D11" s="24" t="n"/>
      <c r="E11" s="25" t="n"/>
      <c r="F11" s="23" t="n"/>
      <c r="G11" s="23" t="n"/>
      <c r="H11" s="23" t="n"/>
      <c r="I11" s="539" t="n"/>
      <c r="J11" s="539" t="n"/>
      <c r="K11" s="539" t="n"/>
      <c r="L11" s="539" t="n"/>
      <c r="M11" s="539" t="n"/>
      <c r="N11" s="539" t="n"/>
      <c r="O11" s="539" t="n"/>
      <c r="P11" s="539" t="n"/>
      <c r="Q11" s="539" t="n"/>
      <c r="R11" s="539">
        <f>IF(O11=0,"",(Q11-O11)/O11*100)</f>
      </c>
      <c r="S11" s="27" t="n"/>
      <c r="T11" s="27" t="n"/>
    </row>
    <row r="12" ht="15.5" customHeight="1">
      <c r="A12" s="23" t="n"/>
      <c r="B12" s="23" t="n"/>
      <c r="C12" s="24" t="n"/>
      <c r="D12" s="24" t="n"/>
      <c r="E12" s="25" t="n"/>
      <c r="F12" s="23" t="n"/>
      <c r="G12" s="23" t="n"/>
      <c r="H12" s="23" t="n"/>
      <c r="I12" s="539" t="n"/>
      <c r="J12" s="539" t="n"/>
      <c r="K12" s="539" t="n"/>
      <c r="L12" s="539" t="n"/>
      <c r="M12" s="539" t="n"/>
      <c r="N12" s="539" t="n"/>
      <c r="O12" s="539" t="n"/>
      <c r="P12" s="539" t="n"/>
      <c r="Q12" s="539" t="n"/>
      <c r="R12" s="539">
        <f>IF(O12=0,"",(Q12-O12)/O12*100)</f>
      </c>
      <c r="S12" s="27" t="n"/>
      <c r="T12" s="27" t="n"/>
    </row>
    <row r="13" ht="15.5" customHeight="1">
      <c r="A13" s="23" t="n"/>
      <c r="B13" s="23" t="n"/>
      <c r="C13" s="24" t="n"/>
      <c r="D13" s="24" t="n"/>
      <c r="E13" s="25" t="n"/>
      <c r="F13" s="23" t="n"/>
      <c r="G13" s="23" t="n"/>
      <c r="H13" s="23" t="n"/>
      <c r="I13" s="539" t="n"/>
      <c r="J13" s="539" t="n"/>
      <c r="K13" s="539" t="n"/>
      <c r="L13" s="539" t="n"/>
      <c r="M13" s="539" t="n"/>
      <c r="N13" s="539" t="n"/>
      <c r="O13" s="539" t="n"/>
      <c r="P13" s="539" t="n"/>
      <c r="Q13" s="539" t="n"/>
      <c r="R13" s="539">
        <f>IF(O13=0,"",(Q13-O13)/O13*100)</f>
      </c>
      <c r="S13" s="27" t="n"/>
      <c r="T13" s="27" t="n"/>
    </row>
    <row r="14" ht="15.5" customHeight="1">
      <c r="A14" s="23" t="n"/>
      <c r="B14" s="23" t="n"/>
      <c r="C14" s="24" t="n"/>
      <c r="D14" s="24" t="n"/>
      <c r="E14" s="25" t="n"/>
      <c r="F14" s="23" t="n"/>
      <c r="G14" s="23" t="n"/>
      <c r="H14" s="23" t="n"/>
      <c r="I14" s="539" t="n"/>
      <c r="J14" s="539" t="n"/>
      <c r="K14" s="539" t="n"/>
      <c r="L14" s="539" t="n"/>
      <c r="M14" s="539" t="n"/>
      <c r="N14" s="539" t="n"/>
      <c r="O14" s="539" t="n"/>
      <c r="P14" s="539" t="n"/>
      <c r="Q14" s="539" t="n"/>
      <c r="R14" s="539">
        <f>IF(O14=0,"",(Q14-O14)/O14*100)</f>
      </c>
      <c r="S14" s="27" t="n"/>
      <c r="T14" s="27" t="n"/>
    </row>
    <row r="15" ht="15.5" customHeight="1">
      <c r="A15" s="23" t="n"/>
      <c r="B15" s="23" t="n"/>
      <c r="C15" s="24" t="n"/>
      <c r="D15" s="24" t="n"/>
      <c r="E15" s="25" t="n"/>
      <c r="F15" s="23" t="n"/>
      <c r="G15" s="23" t="n"/>
      <c r="H15" s="23" t="n"/>
      <c r="I15" s="539" t="n"/>
      <c r="J15" s="539" t="n"/>
      <c r="K15" s="539" t="n"/>
      <c r="L15" s="539" t="n"/>
      <c r="M15" s="539" t="n"/>
      <c r="N15" s="539" t="n"/>
      <c r="O15" s="539" t="n"/>
      <c r="P15" s="539" t="n"/>
      <c r="Q15" s="539" t="n"/>
      <c r="R15" s="539">
        <f>IF(O15=0,"",(Q15-O15)/O15*100)</f>
      </c>
      <c r="S15" s="27" t="n"/>
      <c r="T15" s="27" t="n"/>
    </row>
    <row r="16" ht="15.5" customHeight="1">
      <c r="A16" s="23" t="n"/>
      <c r="B16" s="23" t="n"/>
      <c r="C16" s="24" t="n"/>
      <c r="D16" s="24" t="n"/>
      <c r="E16" s="25" t="n"/>
      <c r="F16" s="23" t="n"/>
      <c r="G16" s="23" t="n"/>
      <c r="H16" s="23" t="n"/>
      <c r="I16" s="539" t="n"/>
      <c r="J16" s="539" t="n"/>
      <c r="K16" s="539" t="n"/>
      <c r="L16" s="539" t="n"/>
      <c r="M16" s="539" t="n"/>
      <c r="N16" s="539" t="n"/>
      <c r="O16" s="539" t="n"/>
      <c r="P16" s="539" t="n"/>
      <c r="Q16" s="539" t="n"/>
      <c r="R16" s="539">
        <f>IF(O16=0,"",(Q16-O16)/O16*100)</f>
      </c>
      <c r="S16" s="27" t="n"/>
      <c r="T16" s="27" t="n"/>
    </row>
    <row r="17" ht="15.5" customHeight="1">
      <c r="A17" s="23" t="n"/>
      <c r="B17" s="23" t="n"/>
      <c r="C17" s="24" t="n"/>
      <c r="D17" s="24" t="n"/>
      <c r="E17" s="25" t="n"/>
      <c r="F17" s="23" t="n"/>
      <c r="G17" s="23" t="n"/>
      <c r="H17" s="23" t="n"/>
      <c r="I17" s="539" t="n"/>
      <c r="J17" s="539" t="n"/>
      <c r="K17" s="539" t="n"/>
      <c r="L17" s="539" t="n"/>
      <c r="M17" s="539" t="n"/>
      <c r="N17" s="539" t="n"/>
      <c r="O17" s="539" t="n"/>
      <c r="P17" s="539" t="n"/>
      <c r="Q17" s="539" t="n"/>
      <c r="R17" s="539">
        <f>IF(O17=0,"",(Q17-O17)/O17*100)</f>
      </c>
      <c r="S17" s="27" t="n"/>
      <c r="T17" s="27" t="n"/>
    </row>
    <row r="18" ht="15.5" customHeight="1">
      <c r="A18" s="23" t="n"/>
      <c r="B18" s="23" t="n"/>
      <c r="C18" s="24" t="n"/>
      <c r="D18" s="24" t="n"/>
      <c r="E18" s="25" t="n"/>
      <c r="F18" s="23" t="n"/>
      <c r="G18" s="23" t="n"/>
      <c r="H18" s="23" t="n"/>
      <c r="I18" s="539" t="n"/>
      <c r="J18" s="539" t="n"/>
      <c r="K18" s="539" t="n"/>
      <c r="L18" s="539" t="n"/>
      <c r="M18" s="539" t="n"/>
      <c r="N18" s="539" t="n"/>
      <c r="O18" s="539" t="n"/>
      <c r="P18" s="539" t="n"/>
      <c r="Q18" s="539" t="n"/>
      <c r="R18" s="539">
        <f>IF(O18=0,"",(Q18-O18)/O18*100)</f>
      </c>
      <c r="S18" s="27" t="n"/>
      <c r="T18" s="27" t="n"/>
    </row>
    <row r="19" ht="15.5" customHeight="1">
      <c r="A19" s="23" t="n"/>
      <c r="B19" s="23" t="n"/>
      <c r="C19" s="24" t="n"/>
      <c r="D19" s="24" t="n"/>
      <c r="E19" s="25" t="n"/>
      <c r="F19" s="23" t="n"/>
      <c r="G19" s="23" t="n"/>
      <c r="H19" s="23" t="n"/>
      <c r="I19" s="539" t="n"/>
      <c r="J19" s="539" t="n"/>
      <c r="K19" s="539" t="n"/>
      <c r="L19" s="539" t="n"/>
      <c r="M19" s="539" t="n"/>
      <c r="N19" s="539" t="n"/>
      <c r="O19" s="539" t="n"/>
      <c r="P19" s="539" t="n"/>
      <c r="Q19" s="539" t="n"/>
      <c r="R19" s="539">
        <f>IF(O19=0,"",(Q19-O19)/O19*100)</f>
      </c>
      <c r="S19" s="27" t="n"/>
      <c r="T19" s="27" t="n"/>
    </row>
    <row r="20" ht="15.5" customHeight="1">
      <c r="A20" s="23" t="n"/>
      <c r="B20" s="23" t="n"/>
      <c r="C20" s="24" t="n"/>
      <c r="D20" s="24" t="n"/>
      <c r="E20" s="25" t="n"/>
      <c r="F20" s="23" t="n"/>
      <c r="G20" s="23" t="n"/>
      <c r="H20" s="23" t="n"/>
      <c r="I20" s="539" t="n"/>
      <c r="J20" s="539" t="n"/>
      <c r="K20" s="539" t="n"/>
      <c r="L20" s="539" t="n"/>
      <c r="M20" s="539" t="n"/>
      <c r="N20" s="539" t="n"/>
      <c r="O20" s="539" t="n"/>
      <c r="P20" s="539" t="n"/>
      <c r="Q20" s="539" t="n"/>
      <c r="R20" s="539">
        <f>IF(O20=0,"",(Q20-O20)/O20*100)</f>
      </c>
      <c r="S20" s="27" t="n"/>
      <c r="T20" s="27" t="n"/>
    </row>
    <row r="21" ht="15.5" customHeight="1">
      <c r="A21" s="23" t="n"/>
      <c r="B21" s="23" t="n"/>
      <c r="C21" s="24" t="n"/>
      <c r="D21" s="24" t="n"/>
      <c r="E21" s="25" t="n"/>
      <c r="F21" s="23" t="n"/>
      <c r="G21" s="23" t="n"/>
      <c r="H21" s="23" t="n"/>
      <c r="I21" s="539" t="n"/>
      <c r="J21" s="539" t="n"/>
      <c r="K21" s="539" t="n"/>
      <c r="L21" s="539" t="n"/>
      <c r="M21" s="539" t="n"/>
      <c r="N21" s="539" t="n"/>
      <c r="O21" s="539" t="n"/>
      <c r="P21" s="539" t="n"/>
      <c r="Q21" s="539" t="n"/>
      <c r="R21" s="539">
        <f>IF(O21=0,"",(Q21-O21)/O21*100)</f>
      </c>
      <c r="S21" s="27" t="n"/>
      <c r="T21" s="27" t="n"/>
    </row>
    <row r="22" ht="15.5" customHeight="1">
      <c r="A22" s="23" t="n"/>
      <c r="B22" s="23" t="n"/>
      <c r="C22" s="24" t="n"/>
      <c r="D22" s="24" t="n"/>
      <c r="E22" s="25" t="n"/>
      <c r="F22" s="23" t="n"/>
      <c r="G22" s="23" t="n"/>
      <c r="H22" s="23" t="n"/>
      <c r="I22" s="539" t="n"/>
      <c r="J22" s="539" t="n"/>
      <c r="K22" s="539" t="n"/>
      <c r="L22" s="539" t="n"/>
      <c r="M22" s="539" t="n"/>
      <c r="N22" s="539" t="n"/>
      <c r="O22" s="539" t="n"/>
      <c r="P22" s="539" t="n"/>
      <c r="Q22" s="539" t="n"/>
      <c r="R22" s="539">
        <f>IF(O22=0,"",(Q22-O22)/O22*100)</f>
      </c>
      <c r="S22" s="27" t="n"/>
      <c r="T22" s="27" t="n"/>
    </row>
    <row r="23" ht="15.5" customHeight="1">
      <c r="A23" s="23" t="n"/>
      <c r="B23" s="23" t="n"/>
      <c r="C23" s="24" t="n"/>
      <c r="D23" s="24" t="n"/>
      <c r="E23" s="25" t="n"/>
      <c r="F23" s="23" t="n"/>
      <c r="G23" s="23" t="n"/>
      <c r="H23" s="23" t="n"/>
      <c r="I23" s="539" t="n"/>
      <c r="J23" s="539" t="n"/>
      <c r="K23" s="539" t="n"/>
      <c r="L23" s="539" t="n"/>
      <c r="M23" s="539" t="n"/>
      <c r="N23" s="539" t="n"/>
      <c r="O23" s="539" t="n"/>
      <c r="P23" s="539" t="n"/>
      <c r="Q23" s="539" t="n"/>
      <c r="R23" s="539">
        <f>IF(O23=0,"",(Q23-O23)/O23*100)</f>
      </c>
      <c r="S23" s="27" t="n"/>
      <c r="T23" s="27" t="n"/>
    </row>
    <row r="24" ht="15.5" customHeight="1">
      <c r="A24" s="23" t="n"/>
      <c r="B24" s="23" t="n"/>
      <c r="C24" s="24" t="n"/>
      <c r="D24" s="24" t="n"/>
      <c r="E24" s="25" t="n"/>
      <c r="F24" s="23" t="n"/>
      <c r="G24" s="23" t="n"/>
      <c r="H24" s="23" t="n"/>
      <c r="I24" s="539" t="n"/>
      <c r="J24" s="539" t="n"/>
      <c r="K24" s="539" t="n"/>
      <c r="L24" s="539" t="n"/>
      <c r="M24" s="539" t="n"/>
      <c r="N24" s="539" t="n"/>
      <c r="O24" s="539" t="n"/>
      <c r="P24" s="539" t="n"/>
      <c r="Q24" s="539" t="n"/>
      <c r="R24" s="539">
        <f>IF(O24=0,"",(Q24-O24)/O24*100)</f>
      </c>
      <c r="S24" s="27" t="n"/>
      <c r="T24" s="27" t="n"/>
    </row>
    <row r="25" ht="15.5" customHeight="1">
      <c r="A25" s="23" t="n"/>
      <c r="B25" s="23" t="n"/>
      <c r="C25" s="24" t="n"/>
      <c r="D25" s="24" t="n"/>
      <c r="E25" s="25" t="n"/>
      <c r="F25" s="23" t="n"/>
      <c r="G25" s="23" t="n"/>
      <c r="H25" s="23" t="n"/>
      <c r="I25" s="539" t="n"/>
      <c r="J25" s="539" t="n"/>
      <c r="K25" s="539" t="n"/>
      <c r="L25" s="539" t="n"/>
      <c r="M25" s="539" t="n"/>
      <c r="N25" s="539" t="n"/>
      <c r="O25" s="539" t="n"/>
      <c r="P25" s="539" t="n"/>
      <c r="Q25" s="539" t="n"/>
      <c r="R25" s="539">
        <f>IF(O25=0,"",(Q25-O25)/O25*100)</f>
      </c>
      <c r="S25" s="27" t="n"/>
      <c r="T25" s="27" t="n"/>
    </row>
    <row r="26" ht="15.5" customHeight="1">
      <c r="A26" s="23" t="n"/>
      <c r="B26" s="23" t="n"/>
      <c r="C26" s="24" t="n"/>
      <c r="D26" s="24" t="n"/>
      <c r="E26" s="25" t="n"/>
      <c r="F26" s="23" t="n"/>
      <c r="G26" s="23" t="n"/>
      <c r="H26" s="23" t="n"/>
      <c r="I26" s="539" t="n"/>
      <c r="J26" s="539" t="n"/>
      <c r="K26" s="539" t="n"/>
      <c r="L26" s="539" t="n"/>
      <c r="M26" s="539" t="n"/>
      <c r="N26" s="539" t="n"/>
      <c r="O26" s="539" t="n"/>
      <c r="P26" s="539" t="n"/>
      <c r="Q26" s="539" t="n"/>
      <c r="R26" s="539">
        <f>IF(O26=0,"",(Q26-O26)/O26*100)</f>
      </c>
      <c r="S26" s="27" t="n"/>
      <c r="T26" s="27" t="n"/>
    </row>
    <row r="27" ht="15.5" customHeight="1">
      <c r="A27" s="23" t="n"/>
      <c r="B27" s="23" t="n"/>
      <c r="C27" s="24" t="n"/>
      <c r="D27" s="24" t="n"/>
      <c r="E27" s="25" t="n"/>
      <c r="F27" s="23" t="n"/>
      <c r="G27" s="23" t="n"/>
      <c r="H27" s="23" t="n"/>
      <c r="I27" s="539" t="n"/>
      <c r="J27" s="539" t="n"/>
      <c r="K27" s="539" t="n"/>
      <c r="L27" s="539" t="n"/>
      <c r="M27" s="539" t="n"/>
      <c r="N27" s="539" t="n"/>
      <c r="O27" s="539" t="n"/>
      <c r="P27" s="539" t="n"/>
      <c r="Q27" s="539" t="n"/>
      <c r="R27" s="539" t="n"/>
      <c r="S27" s="27" t="n"/>
      <c r="T27" s="27" t="n"/>
    </row>
    <row r="28" ht="15.5" customHeight="1">
      <c r="A28" s="21" t="inlineStr">
        <is>
          <t>合         计</t>
        </is>
      </c>
      <c r="B28" s="138" t="n"/>
      <c r="C28" s="138" t="n"/>
      <c r="D28" s="28" t="n"/>
      <c r="E28" s="25" t="n"/>
      <c r="F28" s="23" t="n"/>
      <c r="G28" s="23" t="n"/>
      <c r="H28" s="23" t="n"/>
      <c r="I28" s="539" t="n"/>
      <c r="J28" s="539">
        <f>SUM(J7:J27)</f>
      </c>
      <c r="K28" s="539">
        <f>SUM(K7:K27)</f>
      </c>
      <c r="L28" s="539" t="n"/>
      <c r="M28" s="539" t="n"/>
      <c r="N28" s="539">
        <f>SUM(N8:N27)</f>
      </c>
      <c r="O28" s="539">
        <f>SUM(O7:O27)</f>
      </c>
      <c r="P28" s="539">
        <f>SUM(P7:P27)</f>
      </c>
      <c r="Q28" s="539">
        <f>SUM(Q7:Q27)</f>
      </c>
      <c r="R28" s="539">
        <f>IF(O28=0,"",(Q28-O28)/O28*100)</f>
      </c>
      <c r="S28" s="27" t="n"/>
    </row>
    <row r="29" ht="15.5" customHeight="1">
      <c r="A29" s="29">
        <f>封面!D11&amp;封面!G11</f>
      </c>
      <c r="G29" s="536" t="n"/>
      <c r="N29" s="13">
        <f>"评估人员："&amp;封面!G28</f>
      </c>
    </row>
    <row r="30" ht="15.5" customHeight="1">
      <c r="A30" s="29">
        <f>CONCATENATE(封面!D13,封面!F13,封面!G13,封面!H13,封面!I13,封面!J13,封面!K13)</f>
      </c>
    </row>
  </sheetData>
  <mergeCells count="19">
    <mergeCell ref="E5:E6"/>
    <mergeCell ref="J5:K5"/>
    <mergeCell ref="F5:F6"/>
    <mergeCell ref="A28:D28"/>
    <mergeCell ref="L5:M5"/>
    <mergeCell ref="N5:O5"/>
    <mergeCell ref="I5:I6"/>
    <mergeCell ref="A5:A6"/>
    <mergeCell ref="G5:G6"/>
    <mergeCell ref="S5:S6"/>
    <mergeCell ref="B5:B6"/>
    <mergeCell ref="D5:D6"/>
    <mergeCell ref="H5:H6"/>
    <mergeCell ref="R5:R6"/>
    <mergeCell ref="A3:S3"/>
    <mergeCell ref="P5:Q5"/>
    <mergeCell ref="T5:T6"/>
    <mergeCell ref="A2:S2"/>
    <mergeCell ref="C5:C6"/>
  </mergeCells>
  <hyperlinks>
    <hyperlink ref="A1" location="索引目录!E41" display="返回索引页"/>
    <hyperlink ref="B1" location="固定资产汇总!B15" display="返回"/>
  </hyperlinks>
  <printOptions horizontalCentered="1"/>
  <pageMargins left="0.354330708661417" right="0.354330708661417" top="0.78740157480315" bottom="0.78740157480315" header="0.98" footer="0.511811023622047"/>
  <pageSetup orientation="landscape" paperSize="9" fitToHeight="0"/>
  <headerFooter alignWithMargins="0">
    <oddHeader>&amp;R&amp;"宋体,常规"共&amp;"Times New Roman,常规"&amp;N&amp;"宋体,常规"页第&amp;"Times New Roman,常规"&amp;P&amp;"宋体,常规"4-6-7_x000a_页</oddHeader>
    <oddFooter/>
    <evenHeader/>
    <evenFooter/>
    <firstHeader/>
    <firstFooter/>
  </headerFooter>
  <legacyDrawing xmlns:r="http://schemas.openxmlformats.org/officeDocument/2006/relationships" r:id="anysvml"/>
</worksheet>
</file>

<file path=xl/worksheets/sheet55.xml><?xml version="1.0" encoding="utf-8"?>
<worksheet xmlns="http://schemas.openxmlformats.org/spreadsheetml/2006/main">
  <sheetPr codeName="Sheet55">
    <outlinePr summaryBelow="1" summaryRight="1"/>
    <pageSetUpPr fitToPage="1"/>
  </sheetPr>
  <dimension ref="A1:G29"/>
  <sheetViews>
    <sheetView view="pageBreakPreview" zoomScale="60" zoomScaleNormal="85" workbookViewId="0">
      <selection activeCell="G451" sqref="G451"/>
    </sheetView>
  </sheetViews>
  <sheetFormatPr baseColWidth="8" defaultColWidth="9" defaultRowHeight="15.75" customHeight="1"/>
  <cols>
    <col width="5.75" customWidth="1" style="13" min="1" max="1"/>
    <col width="30.75" customWidth="1" style="13" min="2" max="2"/>
    <col hidden="1" outlineLevel="1" width="19.0833333333333" customWidth="1" style="13" min="3" max="3"/>
    <col collapsed="1" width="24.75" customWidth="1" style="13" min="4" max="4"/>
    <col width="24.75" customWidth="1" style="13" min="5" max="5"/>
    <col width="22.5" customWidth="1" style="13" min="6" max="6"/>
    <col width="12.5833333333333" customWidth="1" style="13" min="7" max="7"/>
    <col width="9" customWidth="1" style="13" min="8" max="16384"/>
  </cols>
  <sheetData>
    <row r="1" ht="15.5" customHeight="1">
      <c r="A1" s="545" t="inlineStr">
        <is>
          <t>返回索引页</t>
        </is>
      </c>
      <c r="B1" s="15" t="inlineStr">
        <is>
          <t>返回</t>
        </is>
      </c>
      <c r="C1" s="16" t="n"/>
      <c r="D1" s="16" t="n"/>
      <c r="E1" s="16" t="n"/>
      <c r="F1" s="16" t="n"/>
      <c r="G1" s="16" t="n"/>
    </row>
    <row r="2" ht="30" customFormat="1" customHeight="1" s="11">
      <c r="A2" s="17" t="inlineStr">
        <is>
          <t>在建工程评估汇总表</t>
        </is>
      </c>
    </row>
    <row r="3" ht="14.15" customHeight="1">
      <c r="A3" s="535">
        <f>CONCATENATE(封面!D9,封面!F9,封面!G9,封面!H9,封面!I9,封面!J9,封面!K9)</f>
      </c>
    </row>
    <row r="4" ht="15.5" customHeight="1">
      <c r="A4" s="536">
        <f>封面!D7&amp;封面!F7</f>
      </c>
      <c r="G4" s="20" t="inlineStr">
        <is>
          <t>金额单位：人民币元</t>
        </is>
      </c>
    </row>
    <row r="5" ht="13" customFormat="1" customHeight="1" s="12">
      <c r="A5" s="45" t="inlineStr">
        <is>
          <t>编号</t>
        </is>
      </c>
      <c r="B5" s="45" t="inlineStr">
        <is>
          <t>科目名称</t>
        </is>
      </c>
      <c r="C5" s="45" t="inlineStr">
        <is>
          <t>审计前账面值</t>
        </is>
      </c>
      <c r="D5" s="45" t="inlineStr">
        <is>
          <t>账面价值</t>
        </is>
      </c>
      <c r="E5" s="45" t="inlineStr">
        <is>
          <t>评估价值</t>
        </is>
      </c>
      <c r="F5" s="45" t="inlineStr">
        <is>
          <t>增值额</t>
        </is>
      </c>
      <c r="G5" s="45" t="inlineStr">
        <is>
          <t>增值率%</t>
        </is>
      </c>
    </row>
    <row r="6" ht="15.5" customHeight="1">
      <c r="A6" s="45" t="inlineStr">
        <is>
          <t>4-7-1</t>
        </is>
      </c>
      <c r="B6" s="98" t="inlineStr">
        <is>
          <t>在建工程-土建工程</t>
        </is>
      </c>
      <c r="C6" s="539">
        <f>'在建（土建）'!I27</f>
      </c>
      <c r="D6" s="539">
        <f>'在建（土建）'!K27</f>
      </c>
      <c r="E6" s="539">
        <f>'在建（土建）'!L27</f>
      </c>
      <c r="F6" s="539">
        <f>E6-D6</f>
      </c>
      <c r="G6" s="539">
        <f>IF(D6=0,"",F6/D6*100)</f>
      </c>
    </row>
    <row r="7" ht="15.5" customHeight="1">
      <c r="A7" s="45" t="inlineStr">
        <is>
          <t>4-7-2</t>
        </is>
      </c>
      <c r="B7" s="98" t="inlineStr">
        <is>
          <t>在建工程-设备安装工程</t>
        </is>
      </c>
      <c r="C7" s="539">
        <f>'在建（设备）'!K27</f>
      </c>
      <c r="D7" s="539">
        <f>'在建（设备）'!P27</f>
      </c>
      <c r="E7" s="539">
        <f>'在建（设备）'!T27</f>
      </c>
      <c r="F7" s="539">
        <f>E7-D7</f>
      </c>
      <c r="G7" s="539">
        <f>IF(D7=0,"",F7/D7*100)</f>
      </c>
    </row>
    <row r="8" ht="15.5" customHeight="1">
      <c r="A8" s="45" t="n"/>
      <c r="B8" s="107" t="n"/>
      <c r="C8" s="539" t="n"/>
      <c r="D8" s="539" t="n"/>
      <c r="E8" s="539" t="n"/>
      <c r="F8" s="539" t="n"/>
      <c r="G8" s="539" t="n"/>
    </row>
    <row r="9" ht="15.5" customHeight="1">
      <c r="A9" s="45" t="n"/>
      <c r="B9" s="107" t="n"/>
      <c r="C9" s="539" t="n"/>
      <c r="D9" s="539" t="n"/>
      <c r="E9" s="539" t="n"/>
      <c r="F9" s="539" t="n"/>
      <c r="G9" s="539" t="n"/>
    </row>
    <row r="10" ht="15.5" customHeight="1">
      <c r="A10" s="45" t="n"/>
      <c r="B10" s="107" t="n"/>
      <c r="C10" s="539" t="n"/>
      <c r="D10" s="539" t="n"/>
      <c r="E10" s="539" t="n"/>
      <c r="F10" s="539" t="n"/>
      <c r="G10" s="539" t="n"/>
    </row>
    <row r="11" ht="15.5" customHeight="1">
      <c r="A11" s="45" t="n"/>
      <c r="B11" s="107" t="n"/>
      <c r="C11" s="539" t="n"/>
      <c r="D11" s="539" t="n"/>
      <c r="E11" s="539" t="n"/>
      <c r="F11" s="539" t="n"/>
      <c r="G11" s="539" t="n"/>
    </row>
    <row r="12" ht="15.5" customHeight="1">
      <c r="A12" s="45" t="n"/>
      <c r="B12" s="107" t="n"/>
      <c r="C12" s="539" t="n"/>
      <c r="D12" s="539" t="n"/>
      <c r="E12" s="539" t="n"/>
      <c r="F12" s="539" t="n"/>
      <c r="G12" s="539" t="n"/>
    </row>
    <row r="13" ht="15.5" customHeight="1">
      <c r="A13" s="45" t="n"/>
      <c r="B13" s="107" t="n"/>
      <c r="C13" s="539" t="n"/>
      <c r="D13" s="539" t="n"/>
      <c r="E13" s="539" t="n"/>
      <c r="F13" s="539" t="n"/>
      <c r="G13" s="539" t="n"/>
    </row>
    <row r="14" ht="15.5" customHeight="1">
      <c r="A14" s="45" t="n"/>
      <c r="B14" s="107" t="n"/>
      <c r="C14" s="539" t="n"/>
      <c r="D14" s="539" t="n"/>
      <c r="E14" s="539" t="n"/>
      <c r="F14" s="539" t="n"/>
      <c r="G14" s="539" t="n"/>
    </row>
    <row r="15" ht="15.5" customHeight="1">
      <c r="A15" s="45" t="n"/>
      <c r="B15" s="107" t="n"/>
      <c r="C15" s="539" t="n"/>
      <c r="D15" s="539" t="n"/>
      <c r="E15" s="539" t="n"/>
      <c r="F15" s="539" t="n"/>
      <c r="G15" s="539" t="n"/>
    </row>
    <row r="16" ht="15.5" customHeight="1">
      <c r="A16" s="45" t="n"/>
      <c r="B16" s="107" t="n"/>
      <c r="C16" s="539" t="n"/>
      <c r="D16" s="539" t="n"/>
      <c r="E16" s="539" t="n"/>
      <c r="F16" s="539" t="n"/>
      <c r="G16" s="539" t="n"/>
    </row>
    <row r="17" ht="15.5" customHeight="1">
      <c r="A17" s="45" t="n"/>
      <c r="B17" s="107" t="n"/>
      <c r="C17" s="539" t="n"/>
      <c r="D17" s="539" t="n"/>
      <c r="E17" s="539" t="n"/>
      <c r="F17" s="539" t="n"/>
      <c r="G17" s="539" t="n"/>
    </row>
    <row r="18" ht="15.5" customHeight="1">
      <c r="A18" s="45" t="n"/>
      <c r="B18" s="107" t="n"/>
      <c r="C18" s="539" t="n"/>
      <c r="D18" s="539" t="n"/>
      <c r="E18" s="539" t="n"/>
      <c r="F18" s="539" t="n"/>
      <c r="G18" s="539" t="n"/>
    </row>
    <row r="19" ht="15.5" customHeight="1">
      <c r="A19" s="45" t="n"/>
      <c r="B19" s="107" t="n"/>
      <c r="C19" s="539" t="n"/>
      <c r="D19" s="539" t="n"/>
      <c r="E19" s="539" t="n"/>
      <c r="F19" s="539" t="n"/>
      <c r="G19" s="539" t="n"/>
    </row>
    <row r="20" ht="15.5" customHeight="1">
      <c r="A20" s="45" t="n"/>
      <c r="B20" s="108" t="n"/>
      <c r="C20" s="539" t="n"/>
      <c r="D20" s="539" t="n"/>
      <c r="E20" s="539" t="n"/>
      <c r="F20" s="539" t="n"/>
      <c r="G20" s="539" t="n"/>
    </row>
    <row r="21" ht="15.5" customHeight="1">
      <c r="A21" s="45" t="n"/>
      <c r="B21" s="107" t="n"/>
      <c r="C21" s="539" t="n"/>
      <c r="D21" s="539" t="n"/>
      <c r="E21" s="539" t="n"/>
      <c r="F21" s="539" t="n"/>
      <c r="G21" s="539" t="n"/>
    </row>
    <row r="22" ht="15.5" customHeight="1">
      <c r="A22" s="45" t="n"/>
      <c r="B22" s="108" t="n"/>
      <c r="C22" s="539" t="n"/>
      <c r="D22" s="539" t="n"/>
      <c r="E22" s="539" t="n"/>
      <c r="F22" s="539" t="n"/>
      <c r="G22" s="539" t="n"/>
    </row>
    <row r="23" ht="15.5" customHeight="1">
      <c r="A23" s="45" t="n"/>
      <c r="B23" s="107" t="n"/>
      <c r="C23" s="539" t="n"/>
      <c r="D23" s="539" t="n"/>
      <c r="E23" s="539" t="n"/>
      <c r="F23" s="539" t="n"/>
      <c r="G23" s="539" t="n"/>
    </row>
    <row r="24" ht="15.5" customHeight="1">
      <c r="A24" s="45" t="n"/>
      <c r="B24" s="108" t="n"/>
      <c r="C24" s="539" t="n"/>
      <c r="D24" s="539" t="n"/>
      <c r="E24" s="539" t="n"/>
      <c r="F24" s="539" t="n"/>
      <c r="G24" s="539" t="n"/>
    </row>
    <row r="25" ht="15.5" customHeight="1">
      <c r="A25" s="45" t="inlineStr">
        <is>
          <t>5-4</t>
        </is>
      </c>
      <c r="B25" s="45" t="inlineStr">
        <is>
          <t>在建工程合计</t>
        </is>
      </c>
      <c r="C25" s="539">
        <f>SUM(C6:C24)</f>
      </c>
      <c r="D25" s="539">
        <f>SUM(D6:D24)</f>
      </c>
      <c r="E25" s="539">
        <f>SUM(E6:E24)</f>
      </c>
      <c r="F25" s="539">
        <f>SUM(F6:F24)</f>
      </c>
      <c r="G25" s="539">
        <f>IF(D25=0,"",F25/D25*100)</f>
      </c>
    </row>
    <row r="26" ht="15.5" customHeight="1">
      <c r="A26" s="45" t="inlineStr">
        <is>
          <t>5-4</t>
        </is>
      </c>
      <c r="B26" s="45" t="inlineStr">
        <is>
          <t>减：在建工程减值准备</t>
        </is>
      </c>
      <c r="C26" s="539" t="n"/>
      <c r="D26" s="539">
        <f>C26</f>
      </c>
      <c r="E26" s="539" t="n">
        <v>0</v>
      </c>
      <c r="F26" s="539">
        <f>E26-D26</f>
      </c>
      <c r="G26" s="539">
        <f>IF(D26=0,"",F26/D26*100)</f>
      </c>
    </row>
    <row r="27" ht="15.5" customHeight="1">
      <c r="A27" s="45" t="inlineStr">
        <is>
          <t>5-4</t>
        </is>
      </c>
      <c r="B27" s="45" t="inlineStr">
        <is>
          <t>在建工程净额</t>
        </is>
      </c>
      <c r="C27" s="539">
        <f>C25-C26</f>
      </c>
      <c r="D27" s="539">
        <f>D25-D26</f>
      </c>
      <c r="E27" s="539">
        <f>E25-E26</f>
      </c>
      <c r="F27" s="539">
        <f>F25-F26</f>
      </c>
      <c r="G27" s="539">
        <f>IF(D27=0,"",F27/D27*100)</f>
      </c>
    </row>
    <row r="28" ht="15.5" customHeight="1">
      <c r="A28" s="29">
        <f>封面!D11&amp;封面!G11</f>
      </c>
      <c r="E28" s="13">
        <f>"评估人员："&amp;封面!G24&amp;"  "&amp;封面!G26</f>
      </c>
    </row>
    <row r="29" ht="15.5" customHeight="1">
      <c r="A29" s="29">
        <f>CONCATENATE(封面!D13,封面!F13,封面!G13,封面!H13,封面!I13,封面!J13,封面!K13)</f>
      </c>
    </row>
  </sheetData>
  <mergeCells count="2">
    <mergeCell ref="A3:G3"/>
    <mergeCell ref="A2:G2"/>
  </mergeCells>
  <hyperlinks>
    <hyperlink ref="A1" location="索引目录!C25" display="返回索引页"/>
    <hyperlink ref="B1" location="固定资产汇总!B20" display="返回"/>
    <hyperlink ref="B6" location="'在建（土建）'!B1" display="在建工程-土建工程"/>
    <hyperlink ref="B7" location="'在建（设备）'!B1" display="在建工程-设备安装工程"/>
  </hyperlinks>
  <printOptions horizontalCentered="1"/>
  <pageMargins left="0.354330708661417" right="0.354330708661417" top="0.78740157480315" bottom="0.78740157480315" header="1" footer="0.511811023622047"/>
  <pageSetup orientation="landscape" paperSize="9"/>
  <headerFooter alignWithMargins="0">
    <oddHeader>&amp;R&amp;"宋体,常规"共&amp;"Times New Roman,常规"&amp;N&amp;"宋体,常规"页第&amp;"Times New Roman,常规"&amp;P&amp;"宋体,常规"4-7_x000a_页</oddHeader>
    <oddFooter/>
    <evenHeader/>
    <evenFooter/>
    <firstHeader/>
    <firstFooter/>
  </headerFooter>
</worksheet>
</file>

<file path=xl/worksheets/sheet56.xml><?xml version="1.0" encoding="utf-8"?>
<worksheet xmlns="http://schemas.openxmlformats.org/spreadsheetml/2006/main">
  <sheetPr codeName="Sheet56">
    <outlinePr summaryBelow="1" summaryRight="1"/>
    <pageSetUpPr fitToPage="1"/>
  </sheetPr>
  <dimension ref="A1:O29"/>
  <sheetViews>
    <sheetView view="pageBreakPreview" zoomScale="60" zoomScaleNormal="100" workbookViewId="0">
      <selection activeCell="G451" sqref="G451"/>
    </sheetView>
  </sheetViews>
  <sheetFormatPr baseColWidth="8" defaultColWidth="9" defaultRowHeight="15.75" customHeight="1"/>
  <cols>
    <col width="5.33333333333333" customWidth="1" style="13" min="1" max="1"/>
    <col width="19.0833333333333" customWidth="1" style="13" min="2" max="2"/>
    <col width="10.8333333333333" customWidth="1" style="13" min="3" max="3"/>
    <col width="12.75" customWidth="1" style="13" min="4" max="4"/>
    <col width="8.25" customWidth="1" style="13" min="5" max="5"/>
    <col width="11.8333333333333" customWidth="1" style="13" min="6" max="6"/>
    <col width="8.25" customWidth="1" style="13" min="7" max="7"/>
    <col width="9" customWidth="1" style="13" min="8" max="8"/>
    <col hidden="1" outlineLevel="1" width="13.5" customWidth="1" style="13" min="9" max="10"/>
    <col collapsed="1" width="13.5" customWidth="1" style="13" min="11" max="11"/>
    <col width="13.5" customWidth="1" style="13" min="12" max="13"/>
    <col width="7.58333333333333" customWidth="1" style="13" min="14" max="14"/>
    <col width="11.5833333333333" customWidth="1" style="13" min="15" max="15"/>
    <col width="9" customWidth="1" style="13" min="16" max="16384"/>
  </cols>
  <sheetData>
    <row r="1" ht="15.5" customHeight="1">
      <c r="A1" s="559" t="inlineStr">
        <is>
          <t>返回索引页</t>
        </is>
      </c>
      <c r="B1" s="15" t="inlineStr">
        <is>
          <t>返回</t>
        </is>
      </c>
      <c r="C1" s="15" t="n"/>
      <c r="D1" s="15" t="n"/>
      <c r="E1" s="16" t="n"/>
      <c r="F1" s="16" t="n"/>
      <c r="G1" s="16" t="n"/>
      <c r="H1" s="16" t="n"/>
      <c r="I1" s="16" t="n"/>
      <c r="J1" s="16" t="n"/>
      <c r="K1" s="16" t="n"/>
      <c r="L1" s="16" t="n"/>
      <c r="M1" s="16" t="n"/>
      <c r="N1" s="16" t="n"/>
      <c r="O1" s="16" t="n"/>
    </row>
    <row r="2" ht="30" customFormat="1" customHeight="1" s="11">
      <c r="A2" s="17" t="inlineStr">
        <is>
          <t>在建工程—土建工程评估明细表</t>
        </is>
      </c>
    </row>
    <row r="3" ht="14.15" customHeight="1">
      <c r="A3" s="535">
        <f>CONCATENATE(封面!D9,封面!F9,封面!G9,封面!H9,封面!I9,封面!J9,封面!K9)</f>
      </c>
    </row>
    <row r="4" ht="15.5" customHeight="1">
      <c r="A4" s="536">
        <f>封面!D7&amp;封面!F7</f>
      </c>
      <c r="O4" s="20" t="inlineStr">
        <is>
          <t>金额单位：人民币元</t>
        </is>
      </c>
    </row>
    <row r="5" ht="13" customFormat="1" customHeight="1" s="12">
      <c r="A5" s="21" t="inlineStr">
        <is>
          <t>序号</t>
        </is>
      </c>
      <c r="B5" s="21" t="inlineStr">
        <is>
          <t>项目名称</t>
        </is>
      </c>
      <c r="C5" s="21" t="inlineStr">
        <is>
          <t>结构</t>
        </is>
      </c>
      <c r="D5" s="21" t="inlineStr">
        <is>
          <t>建筑面积/容积</t>
        </is>
      </c>
      <c r="E5" s="21" t="inlineStr">
        <is>
          <t>开工日期</t>
        </is>
      </c>
      <c r="F5" s="21" t="inlineStr">
        <is>
          <t>预计完工日期</t>
        </is>
      </c>
      <c r="G5" s="21" t="inlineStr">
        <is>
          <t>形象进度</t>
        </is>
      </c>
      <c r="H5" s="21" t="inlineStr">
        <is>
          <t>付款比例</t>
        </is>
      </c>
      <c r="I5" s="22" t="inlineStr">
        <is>
          <t>审计前账面值</t>
        </is>
      </c>
      <c r="J5" s="22" t="inlineStr">
        <is>
          <t>审计调整</t>
        </is>
      </c>
      <c r="K5" s="21" t="inlineStr">
        <is>
          <t>账面价值</t>
        </is>
      </c>
      <c r="L5" s="21" t="inlineStr">
        <is>
          <t>评估价值</t>
        </is>
      </c>
      <c r="M5" s="21" t="inlineStr">
        <is>
          <t>增减值</t>
        </is>
      </c>
      <c r="N5" s="21" t="inlineStr">
        <is>
          <t>增值率%</t>
        </is>
      </c>
      <c r="O5" s="21" t="inlineStr">
        <is>
          <t>备注</t>
        </is>
      </c>
    </row>
    <row r="6" ht="15.5" customHeight="1">
      <c r="A6" s="23" t="n"/>
      <c r="B6" s="24" t="n"/>
      <c r="C6" s="24" t="n"/>
      <c r="D6" s="24" t="n"/>
      <c r="E6" s="25" t="n"/>
      <c r="F6" s="25" t="n"/>
      <c r="G6" s="23" t="n"/>
      <c r="H6" s="23" t="n"/>
      <c r="I6" s="539" t="n"/>
      <c r="J6" s="539" t="n"/>
      <c r="K6" s="539" t="n"/>
      <c r="L6" s="539" t="n"/>
      <c r="M6" s="539">
        <f>IF(K6=0,"",(L6-K6))</f>
      </c>
      <c r="N6" s="539">
        <f>IF(K6=0,"",(L6-K6)/K6*100)</f>
      </c>
      <c r="O6" s="27" t="n"/>
    </row>
    <row r="7" ht="15.5" customHeight="1">
      <c r="A7" s="23" t="n"/>
      <c r="B7" s="24" t="n"/>
      <c r="C7" s="24" t="n"/>
      <c r="D7" s="24" t="n"/>
      <c r="E7" s="25" t="n"/>
      <c r="F7" s="25" t="n"/>
      <c r="G7" s="23" t="n"/>
      <c r="H7" s="23" t="n"/>
      <c r="I7" s="539" t="n"/>
      <c r="J7" s="539" t="n"/>
      <c r="K7" s="539" t="n"/>
      <c r="L7" s="539" t="n"/>
      <c r="M7" s="539">
        <f>IF(K7=0,"",(L7-K7))</f>
      </c>
      <c r="N7" s="539">
        <f>IF(K7=0,"",(L7-K7)/K7*100)</f>
      </c>
      <c r="O7" s="27" t="n"/>
    </row>
    <row r="8" ht="15.5" customHeight="1">
      <c r="A8" s="23" t="n"/>
      <c r="B8" s="24" t="n"/>
      <c r="C8" s="24" t="n"/>
      <c r="D8" s="24" t="n"/>
      <c r="E8" s="25" t="n"/>
      <c r="F8" s="25" t="n"/>
      <c r="G8" s="23" t="n"/>
      <c r="H8" s="23" t="n"/>
      <c r="I8" s="539" t="n"/>
      <c r="J8" s="539" t="n"/>
      <c r="K8" s="539" t="n"/>
      <c r="L8" s="539" t="n"/>
      <c r="M8" s="539">
        <f>IF(K8=0,"",(L8-K8))</f>
      </c>
      <c r="N8" s="539">
        <f>IF(K8=0,"",(L8-K8)/K8*100)</f>
      </c>
      <c r="O8" s="27" t="n"/>
    </row>
    <row r="9" ht="15.5" customHeight="1">
      <c r="A9" s="23" t="n"/>
      <c r="B9" s="24" t="n"/>
      <c r="C9" s="24" t="n"/>
      <c r="D9" s="24" t="n"/>
      <c r="E9" s="25" t="n"/>
      <c r="F9" s="25" t="n"/>
      <c r="G9" s="23" t="n"/>
      <c r="H9" s="23" t="n"/>
      <c r="I9" s="539" t="n"/>
      <c r="J9" s="539" t="n"/>
      <c r="K9" s="539" t="n"/>
      <c r="L9" s="539" t="n"/>
      <c r="M9" s="539">
        <f>IF(K9=0,"",(L9-K9))</f>
      </c>
      <c r="N9" s="539">
        <f>IF(K9=0,"",(L9-K9)/K9*100)</f>
      </c>
      <c r="O9" s="27" t="n"/>
    </row>
    <row r="10" ht="15.5" customHeight="1">
      <c r="A10" s="23" t="n"/>
      <c r="B10" s="24" t="n"/>
      <c r="C10" s="24" t="n"/>
      <c r="D10" s="24" t="n"/>
      <c r="E10" s="25" t="n"/>
      <c r="F10" s="25" t="n"/>
      <c r="G10" s="23" t="n"/>
      <c r="H10" s="23" t="n"/>
      <c r="I10" s="539" t="n"/>
      <c r="J10" s="539" t="n"/>
      <c r="K10" s="539" t="n"/>
      <c r="L10" s="539" t="n"/>
      <c r="M10" s="539">
        <f>IF(K10=0,"",(L10-K10))</f>
      </c>
      <c r="N10" s="539">
        <f>IF(K10=0,"",(L10-K10)/K10*100)</f>
      </c>
      <c r="O10" s="27" t="n"/>
    </row>
    <row r="11" ht="15.5" customHeight="1">
      <c r="A11" s="23" t="n"/>
      <c r="B11" s="24" t="n"/>
      <c r="C11" s="24" t="n"/>
      <c r="D11" s="24" t="n"/>
      <c r="E11" s="25" t="n"/>
      <c r="F11" s="25" t="n"/>
      <c r="G11" s="23" t="n"/>
      <c r="H11" s="23" t="n"/>
      <c r="I11" s="539" t="n"/>
      <c r="J11" s="539" t="n"/>
      <c r="K11" s="539" t="n"/>
      <c r="L11" s="539" t="n"/>
      <c r="M11" s="539">
        <f>IF(K11=0,"",(L11-K11))</f>
      </c>
      <c r="N11" s="539">
        <f>IF(K11=0,"",(L11-K11)/K11*100)</f>
      </c>
      <c r="O11" s="27" t="n"/>
    </row>
    <row r="12" ht="15.5" customHeight="1">
      <c r="A12" s="23" t="n"/>
      <c r="B12" s="24" t="n"/>
      <c r="C12" s="24" t="n"/>
      <c r="D12" s="24" t="n"/>
      <c r="E12" s="25" t="n"/>
      <c r="F12" s="25" t="n"/>
      <c r="G12" s="23" t="n"/>
      <c r="H12" s="23" t="n"/>
      <c r="I12" s="539" t="n"/>
      <c r="J12" s="539" t="n"/>
      <c r="K12" s="539" t="n"/>
      <c r="L12" s="539" t="n"/>
      <c r="M12" s="539">
        <f>IF(K12=0,"",(L12-K12))</f>
      </c>
      <c r="N12" s="539">
        <f>IF(K12=0,"",(L12-K12)/K12*100)</f>
      </c>
      <c r="O12" s="27" t="n"/>
    </row>
    <row r="13" ht="15.5" customHeight="1">
      <c r="A13" s="23" t="n"/>
      <c r="B13" s="24" t="n"/>
      <c r="C13" s="24" t="n"/>
      <c r="D13" s="24" t="n"/>
      <c r="E13" s="25" t="n"/>
      <c r="F13" s="25" t="n"/>
      <c r="G13" s="23" t="n"/>
      <c r="H13" s="23" t="n"/>
      <c r="I13" s="539" t="n"/>
      <c r="J13" s="539" t="n"/>
      <c r="K13" s="539" t="n"/>
      <c r="L13" s="539" t="n"/>
      <c r="M13" s="539">
        <f>IF(K13=0,"",(L13-K13))</f>
      </c>
      <c r="N13" s="539">
        <f>IF(K13=0,"",(L13-K13)/K13*100)</f>
      </c>
      <c r="O13" s="27" t="n"/>
    </row>
    <row r="14" ht="15.5" customHeight="1">
      <c r="A14" s="23" t="n"/>
      <c r="B14" s="24" t="n"/>
      <c r="C14" s="24" t="n"/>
      <c r="D14" s="24" t="n"/>
      <c r="E14" s="25" t="n"/>
      <c r="F14" s="25" t="n"/>
      <c r="G14" s="23" t="n"/>
      <c r="H14" s="23" t="n"/>
      <c r="I14" s="539" t="n"/>
      <c r="J14" s="539" t="n"/>
      <c r="K14" s="539" t="n"/>
      <c r="L14" s="539" t="n"/>
      <c r="M14" s="539">
        <f>IF(K14=0,"",(L14-K14))</f>
      </c>
      <c r="N14" s="539">
        <f>IF(K14=0,"",(L14-K14)/K14*100)</f>
      </c>
      <c r="O14" s="27" t="n"/>
    </row>
    <row r="15" ht="15.5" customHeight="1">
      <c r="A15" s="23" t="n"/>
      <c r="B15" s="24" t="n"/>
      <c r="C15" s="24" t="n"/>
      <c r="D15" s="24" t="n"/>
      <c r="E15" s="25" t="n"/>
      <c r="F15" s="25" t="n"/>
      <c r="G15" s="23" t="n"/>
      <c r="H15" s="23" t="n"/>
      <c r="I15" s="539" t="n"/>
      <c r="J15" s="539" t="n"/>
      <c r="K15" s="539" t="n"/>
      <c r="L15" s="539" t="n"/>
      <c r="M15" s="539">
        <f>IF(K15=0,"",(L15-K15))</f>
      </c>
      <c r="N15" s="539">
        <f>IF(K15=0,"",(L15-K15)/K15*100)</f>
      </c>
      <c r="O15" s="27" t="n"/>
    </row>
    <row r="16" ht="15.5" customHeight="1">
      <c r="A16" s="23" t="n"/>
      <c r="B16" s="24" t="n"/>
      <c r="C16" s="24" t="n"/>
      <c r="D16" s="24" t="n"/>
      <c r="E16" s="25" t="n"/>
      <c r="F16" s="25" t="n"/>
      <c r="G16" s="23" t="n"/>
      <c r="H16" s="23" t="n"/>
      <c r="I16" s="539" t="n"/>
      <c r="J16" s="539" t="n"/>
      <c r="K16" s="539" t="n"/>
      <c r="L16" s="539" t="n"/>
      <c r="M16" s="539">
        <f>IF(K16=0,"",(L16-K16))</f>
      </c>
      <c r="N16" s="539">
        <f>IF(K16=0,"",(L16-K16)/K16*100)</f>
      </c>
      <c r="O16" s="27" t="n"/>
    </row>
    <row r="17" ht="15.5" customHeight="1">
      <c r="A17" s="23" t="n"/>
      <c r="B17" s="24" t="n"/>
      <c r="C17" s="24" t="n"/>
      <c r="D17" s="24" t="n"/>
      <c r="E17" s="25" t="n"/>
      <c r="F17" s="25" t="n"/>
      <c r="G17" s="23" t="n"/>
      <c r="H17" s="23" t="n"/>
      <c r="I17" s="539" t="n"/>
      <c r="J17" s="539" t="n"/>
      <c r="K17" s="539" t="n"/>
      <c r="L17" s="539" t="n"/>
      <c r="M17" s="539">
        <f>IF(K17=0,"",(L17-K17))</f>
      </c>
      <c r="N17" s="539">
        <f>IF(K17=0,"",(L17-K17)/K17*100)</f>
      </c>
      <c r="O17" s="27" t="n"/>
    </row>
    <row r="18" ht="15.5" customHeight="1">
      <c r="A18" s="23" t="n"/>
      <c r="B18" s="24" t="n"/>
      <c r="C18" s="24" t="n"/>
      <c r="D18" s="24" t="n"/>
      <c r="E18" s="25" t="n"/>
      <c r="F18" s="25" t="n"/>
      <c r="G18" s="23" t="n"/>
      <c r="H18" s="23" t="n"/>
      <c r="I18" s="539" t="n"/>
      <c r="J18" s="539" t="n"/>
      <c r="K18" s="539" t="n"/>
      <c r="L18" s="539" t="n"/>
      <c r="M18" s="539">
        <f>IF(K18=0,"",(L18-K18))</f>
      </c>
      <c r="N18" s="539">
        <f>IF(K18=0,"",(L18-K18)/K18*100)</f>
      </c>
      <c r="O18" s="27" t="n"/>
    </row>
    <row r="19" ht="15.5" customHeight="1">
      <c r="A19" s="23" t="n"/>
      <c r="B19" s="24" t="n"/>
      <c r="C19" s="24" t="n"/>
      <c r="D19" s="24" t="n"/>
      <c r="E19" s="25" t="n"/>
      <c r="F19" s="25" t="n"/>
      <c r="G19" s="23" t="n"/>
      <c r="H19" s="23" t="n"/>
      <c r="I19" s="539" t="n"/>
      <c r="J19" s="539" t="n"/>
      <c r="K19" s="539" t="n"/>
      <c r="L19" s="539" t="n"/>
      <c r="M19" s="539">
        <f>IF(K19=0,"",(L19-K19))</f>
      </c>
      <c r="N19" s="539">
        <f>IF(K19=0,"",(L19-K19)/K19*100)</f>
      </c>
      <c r="O19" s="27" t="n"/>
    </row>
    <row r="20" ht="15.5" customHeight="1">
      <c r="A20" s="23" t="n"/>
      <c r="B20" s="24" t="n"/>
      <c r="C20" s="24" t="n"/>
      <c r="D20" s="24" t="n"/>
      <c r="E20" s="25" t="n"/>
      <c r="F20" s="25" t="n"/>
      <c r="G20" s="23" t="n"/>
      <c r="H20" s="23" t="n"/>
      <c r="I20" s="539" t="n"/>
      <c r="J20" s="539" t="n"/>
      <c r="K20" s="539" t="n"/>
      <c r="L20" s="539" t="n"/>
      <c r="M20" s="539">
        <f>IF(K20=0,"",(L20-K20))</f>
      </c>
      <c r="N20" s="539">
        <f>IF(K20=0,"",(L20-K20)/K20*100)</f>
      </c>
      <c r="O20" s="27" t="n"/>
    </row>
    <row r="21" ht="15.5" customHeight="1">
      <c r="A21" s="23" t="n"/>
      <c r="B21" s="24" t="n"/>
      <c r="C21" s="24" t="n"/>
      <c r="D21" s="24" t="n"/>
      <c r="E21" s="25" t="n"/>
      <c r="F21" s="25" t="n"/>
      <c r="G21" s="23" t="n"/>
      <c r="H21" s="23" t="n"/>
      <c r="I21" s="539" t="n"/>
      <c r="J21" s="539" t="n"/>
      <c r="K21" s="539" t="n"/>
      <c r="L21" s="539" t="n"/>
      <c r="M21" s="539">
        <f>IF(K21=0,"",(L21-K21))</f>
      </c>
      <c r="N21" s="539">
        <f>IF(K21=0,"",(L21-K21)/K21*100)</f>
      </c>
      <c r="O21" s="27" t="n"/>
    </row>
    <row r="22" ht="15.5" customHeight="1">
      <c r="A22" s="23" t="n"/>
      <c r="B22" s="24" t="n"/>
      <c r="C22" s="24" t="n"/>
      <c r="D22" s="24" t="n"/>
      <c r="E22" s="25" t="n"/>
      <c r="F22" s="25" t="n"/>
      <c r="G22" s="23" t="n"/>
      <c r="H22" s="23" t="n"/>
      <c r="I22" s="539" t="n"/>
      <c r="J22" s="539" t="n"/>
      <c r="K22" s="539" t="n"/>
      <c r="L22" s="539" t="n"/>
      <c r="M22" s="539">
        <f>IF(K22=0,"",(L22-K22))</f>
      </c>
      <c r="N22" s="539">
        <f>IF(K22=0,"",(L22-K22)/K22*100)</f>
      </c>
      <c r="O22" s="27" t="n"/>
    </row>
    <row r="23" ht="15.5" customHeight="1">
      <c r="A23" s="23" t="n"/>
      <c r="B23" s="24" t="n"/>
      <c r="C23" s="24" t="n"/>
      <c r="D23" s="24" t="n"/>
      <c r="E23" s="25" t="n"/>
      <c r="F23" s="25" t="n"/>
      <c r="G23" s="23" t="n"/>
      <c r="H23" s="23" t="n"/>
      <c r="I23" s="539" t="n"/>
      <c r="J23" s="539" t="n"/>
      <c r="K23" s="539" t="n"/>
      <c r="L23" s="539" t="n"/>
      <c r="M23" s="539">
        <f>IF(K23=0,"",(L23-K23))</f>
      </c>
      <c r="N23" s="539">
        <f>IF(K23=0,"",(L23-K23)/K23*100)</f>
      </c>
      <c r="O23" s="27" t="n"/>
    </row>
    <row r="24" ht="15.5" customHeight="1">
      <c r="A24" s="23" t="n"/>
      <c r="B24" s="24" t="n"/>
      <c r="C24" s="24" t="n"/>
      <c r="D24" s="24" t="n"/>
      <c r="E24" s="25" t="n"/>
      <c r="F24" s="25" t="n"/>
      <c r="G24" s="23" t="n"/>
      <c r="H24" s="23" t="n"/>
      <c r="I24" s="539" t="n"/>
      <c r="J24" s="539" t="n"/>
      <c r="K24" s="539" t="n"/>
      <c r="L24" s="539" t="n"/>
      <c r="M24" s="539">
        <f>IF(K24=0,"",(L24-K24))</f>
      </c>
      <c r="N24" s="539">
        <f>IF(K24=0,"",(L24-K24)/K24*100)</f>
      </c>
      <c r="O24" s="27" t="n"/>
    </row>
    <row r="25" ht="15.5" customHeight="1">
      <c r="A25" s="23" t="n"/>
      <c r="B25" s="24" t="n"/>
      <c r="C25" s="24" t="n"/>
      <c r="D25" s="24" t="n"/>
      <c r="E25" s="25" t="n"/>
      <c r="F25" s="25" t="n"/>
      <c r="G25" s="23" t="n"/>
      <c r="H25" s="23" t="n"/>
      <c r="I25" s="539" t="n"/>
      <c r="J25" s="539" t="n"/>
      <c r="K25" s="539" t="n"/>
      <c r="L25" s="539" t="n"/>
      <c r="M25" s="539">
        <f>IF(K25=0,"",(L25-K25))</f>
      </c>
      <c r="N25" s="539">
        <f>IF(K25=0,"",(L25-K25)/K25*100)</f>
      </c>
      <c r="O25" s="27" t="n"/>
    </row>
    <row r="26" ht="15.5" customHeight="1">
      <c r="A26" s="23" t="n"/>
      <c r="B26" s="24" t="n"/>
      <c r="C26" s="24" t="n"/>
      <c r="D26" s="24" t="n"/>
      <c r="E26" s="25" t="n"/>
      <c r="F26" s="25" t="n"/>
      <c r="G26" s="23" t="n"/>
      <c r="H26" s="23" t="n"/>
      <c r="I26" s="539" t="n"/>
      <c r="J26" s="539" t="n"/>
      <c r="K26" s="539" t="n"/>
      <c r="L26" s="539" t="n"/>
      <c r="M26" s="539">
        <f>IF(K26=0,"",(L26-K26))</f>
      </c>
      <c r="N26" s="539" t="n"/>
      <c r="O26" s="27" t="n"/>
    </row>
    <row r="27" ht="15.5" customHeight="1">
      <c r="A27" s="21" t="inlineStr">
        <is>
          <t>合         计</t>
        </is>
      </c>
      <c r="B27" s="28" t="n"/>
      <c r="C27" s="77" t="n"/>
      <c r="D27" s="77" t="n"/>
      <c r="E27" s="25" t="n"/>
      <c r="F27" s="25" t="n"/>
      <c r="G27" s="23" t="n"/>
      <c r="H27" s="23" t="n"/>
      <c r="I27" s="539">
        <f>SUM(I6:I26)</f>
      </c>
      <c r="J27" s="539" t="n"/>
      <c r="K27" s="539">
        <f>SUM(K6:K26)</f>
      </c>
      <c r="L27" s="539">
        <f>SUM(L6:L26)</f>
      </c>
      <c r="M27" s="539">
        <f>IF(K27=0,"",(L27-K27))</f>
      </c>
      <c r="N27" s="539">
        <f>IF(K27=0,"",(L27-K27)/K27*100)</f>
      </c>
      <c r="O27" s="27" t="n"/>
    </row>
    <row r="28" ht="15.5" customHeight="1">
      <c r="A28" s="29">
        <f>封面!D11&amp;封面!G11</f>
      </c>
      <c r="K28" s="13">
        <f>"评估人员："&amp;封面!G24</f>
      </c>
    </row>
    <row r="29" ht="15.5" customHeight="1">
      <c r="A29" s="29">
        <f>CONCATENATE(封面!D13,封面!F13,封面!G13,封面!H13,封面!I13,封面!J13,封面!K13)</f>
      </c>
    </row>
  </sheetData>
  <mergeCells count="3">
    <mergeCell ref="A27:B27"/>
    <mergeCell ref="A3:O3"/>
    <mergeCell ref="A2:O2"/>
  </mergeCells>
  <hyperlinks>
    <hyperlink ref="A1" location="索引目录!E48" display="返回索引页"/>
    <hyperlink ref="B1" location="在建工程汇总!B6" display="返回"/>
  </hyperlinks>
  <printOptions horizontalCentered="1"/>
  <pageMargins left="0.354330708661417" right="0.354330708661417" top="0.78740157480315" bottom="0.78740157480315" header="1.05" footer="0.511811023622047"/>
  <pageSetup orientation="landscape" paperSize="9" scale="90" fitToHeight="0"/>
  <headerFooter alignWithMargins="0">
    <oddHeader>&amp;R&amp;"宋体,常规"共&amp;"Times New Roman,常规"&amp;N&amp;"宋体,常规"页第&amp;"Times New Roman,常规"&amp;P&amp;"宋体,常规"4-7-1_x000a_页</oddHeader>
    <oddFooter/>
    <evenHeader/>
    <evenFooter/>
    <firstHeader/>
    <firstFooter/>
  </headerFooter>
  <legacyDrawing xmlns:r="http://schemas.openxmlformats.org/officeDocument/2006/relationships" r:id="anysvml"/>
</worksheet>
</file>

<file path=xl/worksheets/sheet57.xml><?xml version="1.0" encoding="utf-8"?>
<worksheet xmlns="http://schemas.openxmlformats.org/spreadsheetml/2006/main">
  <sheetPr codeName="Sheet57">
    <outlinePr summaryBelow="1" summaryRight="1"/>
    <pageSetUpPr fitToPage="1"/>
  </sheetPr>
  <dimension ref="A1:W29"/>
  <sheetViews>
    <sheetView view="pageBreakPreview" zoomScale="60" zoomScaleNormal="100" workbookViewId="0">
      <selection activeCell="G451" sqref="G451"/>
    </sheetView>
  </sheetViews>
  <sheetFormatPr baseColWidth="8" defaultColWidth="9" defaultRowHeight="15.75" customHeight="1"/>
  <cols>
    <col width="4.75" customWidth="1" style="13" min="1" max="1"/>
    <col width="11.0833333333333" customWidth="1" style="13" min="2" max="3"/>
    <col width="10.5833333333333" customWidth="1" style="13" min="4" max="4"/>
    <col width="11.0833333333333" customWidth="1" style="13" min="5" max="5"/>
    <col width="5.08333333333333" customWidth="1" style="13" min="6" max="6"/>
    <col width="6.08333333333333" customWidth="1" style="13" min="7" max="7"/>
    <col hidden="1" outlineLevel="1" width="9" customWidth="1" style="13" min="8" max="9"/>
    <col hidden="1" outlineLevel="1" width="11.3333333333333" customWidth="1" style="13" min="10" max="10"/>
    <col hidden="1" outlineLevel="1" width="11.75" customWidth="1" style="13" min="11" max="12"/>
    <col collapsed="1" width="11.75" customWidth="1" style="13" min="13" max="13"/>
    <col width="11.75" customWidth="1" style="13" min="14" max="15"/>
    <col width="10.5" customWidth="1" style="13" min="16" max="16"/>
    <col width="9" customWidth="1" style="13" min="17" max="17"/>
    <col width="8.5" customWidth="1" style="13" min="18" max="18"/>
    <col width="11.8333333333333" customWidth="1" style="13" min="19" max="19"/>
    <col width="9" customWidth="1" style="13" min="20" max="21"/>
    <col width="6.25" customWidth="1" style="13" min="22" max="22"/>
    <col width="7.75" customWidth="1" style="13" min="23" max="23"/>
    <col width="9" customWidth="1" style="13" min="24" max="16384"/>
  </cols>
  <sheetData>
    <row r="1" ht="15.5" customHeight="1">
      <c r="A1" s="559" t="inlineStr">
        <is>
          <t>返回索引页</t>
        </is>
      </c>
      <c r="B1" s="15" t="inlineStr">
        <is>
          <t>返回</t>
        </is>
      </c>
      <c r="C1" s="15" t="n"/>
      <c r="D1" s="15" t="n"/>
      <c r="E1" s="15" t="n"/>
      <c r="F1" s="16" t="n"/>
      <c r="G1" s="16" t="n"/>
      <c r="H1" s="16" t="n"/>
      <c r="I1" s="16" t="n"/>
      <c r="J1" s="16" t="n"/>
      <c r="K1" s="16" t="n"/>
      <c r="L1" s="16" t="n"/>
      <c r="M1" s="16" t="n"/>
      <c r="N1" s="16" t="n"/>
      <c r="O1" s="16" t="n"/>
      <c r="P1" s="16" t="n"/>
      <c r="Q1" s="16" t="n"/>
      <c r="R1" s="16" t="n"/>
      <c r="S1" s="16" t="n"/>
      <c r="T1" s="16" t="n"/>
      <c r="U1" s="16" t="n"/>
      <c r="V1" s="16" t="n"/>
      <c r="W1" s="16" t="n"/>
    </row>
    <row r="2" ht="30" customFormat="1" customHeight="1" s="11">
      <c r="A2" s="17" t="inlineStr">
        <is>
          <t>在建工程—设备安装工程评估明细表</t>
        </is>
      </c>
    </row>
    <row r="3" ht="14.15" customHeight="1">
      <c r="A3" s="535">
        <f>CONCATENATE(封面!D9,封面!F9,封面!G9,封面!H9,封面!I9,封面!J9,封面!K9)</f>
      </c>
    </row>
    <row r="4" ht="15.5" customHeight="1">
      <c r="A4" s="536">
        <f>封面!D7&amp;封面!F7</f>
      </c>
      <c r="W4" s="20" t="inlineStr">
        <is>
          <t>金额单位：人民币元</t>
        </is>
      </c>
    </row>
    <row r="5" ht="13" customFormat="1" customHeight="1" s="12">
      <c r="A5" s="21" t="inlineStr">
        <is>
          <t>序号</t>
        </is>
      </c>
      <c r="B5" s="21" t="inlineStr">
        <is>
          <t>项目名称</t>
        </is>
      </c>
      <c r="C5" s="21" t="inlineStr">
        <is>
          <t>规格型号</t>
        </is>
      </c>
      <c r="D5" s="21" t="inlineStr">
        <is>
          <t>数量</t>
        </is>
      </c>
      <c r="E5" s="21" t="inlineStr">
        <is>
          <t>计量单位</t>
        </is>
      </c>
      <c r="F5" s="22" t="inlineStr">
        <is>
          <t>开工
日期</t>
        </is>
      </c>
      <c r="G5" s="22" t="inlineStr">
        <is>
          <t>预计完
工日期</t>
        </is>
      </c>
      <c r="H5" s="22" t="inlineStr">
        <is>
          <t>审计前账面值</t>
        </is>
      </c>
      <c r="I5" s="138" t="n"/>
      <c r="J5" s="138" t="n"/>
      <c r="K5" s="28" t="n"/>
      <c r="L5" s="22" t="inlineStr">
        <is>
          <t>审计调整</t>
        </is>
      </c>
      <c r="M5" s="111" t="inlineStr">
        <is>
          <t>账面价值</t>
        </is>
      </c>
      <c r="N5" s="34" t="n"/>
      <c r="O5" s="34" t="n"/>
      <c r="P5" s="35" t="n"/>
      <c r="Q5" s="21" t="inlineStr">
        <is>
          <t>评估价值</t>
        </is>
      </c>
      <c r="R5" s="138" t="n"/>
      <c r="S5" s="138" t="n"/>
      <c r="T5" s="28" t="n"/>
      <c r="U5" s="22" t="inlineStr">
        <is>
          <t>增减值</t>
        </is>
      </c>
      <c r="V5" s="22" t="inlineStr">
        <is>
          <t>增值率%</t>
        </is>
      </c>
      <c r="W5" s="22" t="inlineStr">
        <is>
          <t>备注</t>
        </is>
      </c>
    </row>
    <row r="6" ht="13" customFormat="1" customHeight="1" s="12">
      <c r="A6" s="36" t="n"/>
      <c r="B6" s="36" t="n"/>
      <c r="C6" s="36" t="n"/>
      <c r="D6" s="36" t="n"/>
      <c r="E6" s="36" t="n"/>
      <c r="F6" s="36" t="n"/>
      <c r="G6" s="36" t="n"/>
      <c r="H6" s="21"/>
      <c r="I6" s="21"/>
      <c r="J6" s="21"/>
      <c r="K6" s="21"/>
      <c r="L6" s="36" t="n"/>
      <c r="M6" s="21"/>
      <c r="N6" s="21"/>
      <c r="O6" s="21"/>
      <c r="P6" s="21"/>
      <c r="Q6" s="21"/>
      <c r="R6" s="21"/>
      <c r="S6" s="21"/>
      <c r="T6" s="21"/>
      <c r="U6" s="36" t="n"/>
      <c r="V6" s="36" t="n"/>
      <c r="W6" s="36" t="n"/>
    </row>
    <row r="7" ht="15.5" customHeight="1">
      <c r="A7" s="23" t="n"/>
      <c r="B7" s="24" t="n"/>
      <c r="C7" s="24" t="n"/>
      <c r="D7" s="24" t="n"/>
      <c r="E7" s="24" t="n"/>
      <c r="F7" s="25" t="n"/>
      <c r="G7" s="25" t="n"/>
      <c r="H7" s="539" t="n"/>
      <c r="I7" s="539" t="n"/>
      <c r="J7" s="539" t="n"/>
      <c r="K7" s="539" t="n"/>
      <c r="L7" s="539" t="n"/>
      <c r="M7" s="539" t="n"/>
      <c r="N7" s="539" t="n"/>
      <c r="O7" s="539" t="n"/>
      <c r="P7" s="539" t="n"/>
      <c r="Q7" s="539" t="n"/>
      <c r="R7" s="539" t="n"/>
      <c r="S7" s="539" t="n"/>
      <c r="T7" s="539" t="n"/>
      <c r="U7" s="539">
        <f>IF(P7=0,"",(T7-P7))</f>
      </c>
      <c r="V7" s="539">
        <f>IF(P7=0,"",(T7-P7)/P7*100)</f>
      </c>
      <c r="W7" s="27" t="n"/>
    </row>
    <row r="8" ht="15.5" customHeight="1">
      <c r="A8" s="23" t="n"/>
      <c r="B8" s="24" t="n"/>
      <c r="C8" s="24" t="n"/>
      <c r="D8" s="24" t="n"/>
      <c r="E8" s="24" t="n"/>
      <c r="F8" s="25" t="n"/>
      <c r="G8" s="25" t="n"/>
      <c r="H8" s="539" t="n"/>
      <c r="I8" s="539" t="n"/>
      <c r="J8" s="539" t="n"/>
      <c r="K8" s="539" t="n"/>
      <c r="L8" s="539" t="n"/>
      <c r="M8" s="539" t="n"/>
      <c r="N8" s="539" t="n"/>
      <c r="O8" s="539" t="n"/>
      <c r="P8" s="539" t="n"/>
      <c r="Q8" s="539" t="n"/>
      <c r="R8" s="539" t="n"/>
      <c r="S8" s="539" t="n"/>
      <c r="T8" s="539" t="n"/>
      <c r="U8" s="539">
        <f>IF(P8=0,"",(T8-P8))</f>
      </c>
      <c r="V8" s="539">
        <f>IF(P8=0,"",(T8-P8)/P8*100)</f>
      </c>
      <c r="W8" s="27" t="n"/>
    </row>
    <row r="9" ht="15.5" customHeight="1">
      <c r="A9" s="23" t="n"/>
      <c r="B9" s="24" t="n"/>
      <c r="C9" s="24" t="n"/>
      <c r="D9" s="24" t="n"/>
      <c r="E9" s="24" t="n"/>
      <c r="F9" s="25" t="n"/>
      <c r="G9" s="25" t="n"/>
      <c r="H9" s="539" t="n"/>
      <c r="I9" s="539" t="n"/>
      <c r="J9" s="539" t="n"/>
      <c r="K9" s="539" t="n"/>
      <c r="L9" s="539" t="n"/>
      <c r="M9" s="539" t="n"/>
      <c r="N9" s="539" t="n"/>
      <c r="O9" s="539" t="n"/>
      <c r="P9" s="539" t="n"/>
      <c r="Q9" s="539" t="n"/>
      <c r="R9" s="539" t="n"/>
      <c r="S9" s="539" t="n"/>
      <c r="T9" s="539" t="n"/>
      <c r="U9" s="539">
        <f>IF(P9=0,"",(T9-P9))</f>
      </c>
      <c r="V9" s="539">
        <f>IF(P9=0,"",(T9-P9)/P9*100)</f>
      </c>
      <c r="W9" s="27" t="n"/>
    </row>
    <row r="10" ht="15.5" customHeight="1">
      <c r="A10" s="23" t="n"/>
      <c r="B10" s="24" t="n"/>
      <c r="C10" s="24" t="n"/>
      <c r="D10" s="24" t="n"/>
      <c r="E10" s="24" t="n"/>
      <c r="F10" s="25" t="n"/>
      <c r="G10" s="25" t="n"/>
      <c r="H10" s="539" t="n"/>
      <c r="I10" s="539" t="n"/>
      <c r="J10" s="539" t="n"/>
      <c r="K10" s="539" t="n"/>
      <c r="L10" s="539" t="n"/>
      <c r="M10" s="539" t="n"/>
      <c r="N10" s="539" t="n"/>
      <c r="O10" s="539" t="n"/>
      <c r="P10" s="539" t="n"/>
      <c r="Q10" s="539" t="n"/>
      <c r="R10" s="539" t="n"/>
      <c r="S10" s="539" t="n"/>
      <c r="T10" s="539" t="n"/>
      <c r="U10" s="539">
        <f>IF(P10=0,"",(T10-P10))</f>
      </c>
      <c r="V10" s="539">
        <f>IF(P10=0,"",(T10-P10)/P10*100)</f>
      </c>
      <c r="W10" s="27" t="n"/>
    </row>
    <row r="11" ht="15.5" customHeight="1">
      <c r="A11" s="23" t="n"/>
      <c r="B11" s="24" t="n"/>
      <c r="C11" s="24" t="n"/>
      <c r="D11" s="24" t="n"/>
      <c r="E11" s="24" t="n"/>
      <c r="F11" s="25" t="n"/>
      <c r="G11" s="25" t="n"/>
      <c r="H11" s="539" t="n"/>
      <c r="I11" s="539" t="n"/>
      <c r="J11" s="539" t="n"/>
      <c r="K11" s="539" t="n"/>
      <c r="L11" s="539" t="n"/>
      <c r="M11" s="539" t="n"/>
      <c r="N11" s="539" t="n"/>
      <c r="O11" s="539" t="n"/>
      <c r="P11" s="539" t="n"/>
      <c r="Q11" s="539" t="n"/>
      <c r="R11" s="539" t="n"/>
      <c r="S11" s="539" t="n"/>
      <c r="T11" s="539" t="n"/>
      <c r="U11" s="539">
        <f>IF(P11=0,"",(T11-P11))</f>
      </c>
      <c r="V11" s="539">
        <f>IF(P11=0,"",(T11-P11)/P11*100)</f>
      </c>
      <c r="W11" s="27" t="n"/>
    </row>
    <row r="12" ht="15.5" customHeight="1">
      <c r="A12" s="23" t="n"/>
      <c r="B12" s="24" t="n"/>
      <c r="C12" s="24" t="n"/>
      <c r="D12" s="24" t="n"/>
      <c r="E12" s="24" t="n"/>
      <c r="F12" s="25" t="n"/>
      <c r="G12" s="25" t="n"/>
      <c r="H12" s="539" t="n"/>
      <c r="I12" s="539" t="n"/>
      <c r="J12" s="539" t="n"/>
      <c r="K12" s="539" t="n"/>
      <c r="L12" s="539" t="n"/>
      <c r="M12" s="539" t="n"/>
      <c r="N12" s="539" t="n"/>
      <c r="O12" s="539" t="n"/>
      <c r="P12" s="539" t="n"/>
      <c r="Q12" s="539" t="n"/>
      <c r="R12" s="539" t="n"/>
      <c r="S12" s="539" t="n"/>
      <c r="T12" s="539" t="n"/>
      <c r="U12" s="539">
        <f>IF(P12=0,"",(T12-P12))</f>
      </c>
      <c r="V12" s="539">
        <f>IF(P12=0,"",(T12-P12)/P12*100)</f>
      </c>
      <c r="W12" s="27" t="n"/>
    </row>
    <row r="13" ht="15.5" customHeight="1">
      <c r="A13" s="23" t="n"/>
      <c r="B13" s="24" t="n"/>
      <c r="C13" s="24" t="n"/>
      <c r="D13" s="24" t="n"/>
      <c r="E13" s="24" t="n"/>
      <c r="F13" s="25" t="n"/>
      <c r="G13" s="25" t="n"/>
      <c r="H13" s="539" t="n"/>
      <c r="I13" s="539" t="n"/>
      <c r="J13" s="539" t="n"/>
      <c r="K13" s="539" t="n"/>
      <c r="L13" s="539" t="n"/>
      <c r="M13" s="539" t="n"/>
      <c r="N13" s="539" t="n"/>
      <c r="O13" s="539" t="n"/>
      <c r="P13" s="539" t="n"/>
      <c r="Q13" s="539" t="n"/>
      <c r="R13" s="539" t="n"/>
      <c r="S13" s="539" t="n"/>
      <c r="T13" s="539" t="n"/>
      <c r="U13" s="539">
        <f>IF(P13=0,"",(T13-P13))</f>
      </c>
      <c r="V13" s="539">
        <f>IF(P13=0,"",(T13-P13)/P13*100)</f>
      </c>
      <c r="W13" s="27" t="n"/>
    </row>
    <row r="14" ht="15.5" customHeight="1">
      <c r="A14" s="23" t="n"/>
      <c r="B14" s="24" t="n"/>
      <c r="C14" s="24" t="n"/>
      <c r="D14" s="24" t="n"/>
      <c r="E14" s="24" t="n"/>
      <c r="F14" s="25" t="n"/>
      <c r="G14" s="25" t="n"/>
      <c r="H14" s="539" t="n"/>
      <c r="I14" s="539" t="n"/>
      <c r="J14" s="539" t="n"/>
      <c r="K14" s="539" t="n"/>
      <c r="L14" s="539" t="n"/>
      <c r="M14" s="539" t="n"/>
      <c r="N14" s="539" t="n"/>
      <c r="O14" s="539" t="n"/>
      <c r="P14" s="539" t="n"/>
      <c r="Q14" s="539" t="n"/>
      <c r="R14" s="539" t="n"/>
      <c r="S14" s="539" t="n"/>
      <c r="T14" s="539" t="n"/>
      <c r="U14" s="539">
        <f>IF(P14=0,"",(T14-P14))</f>
      </c>
      <c r="V14" s="539">
        <f>IF(P14=0,"",(T14-P14)/P14*100)</f>
      </c>
      <c r="W14" s="27" t="n"/>
    </row>
    <row r="15" ht="15.5" customHeight="1">
      <c r="A15" s="23" t="n"/>
      <c r="B15" s="24" t="n"/>
      <c r="C15" s="24" t="n"/>
      <c r="D15" s="24" t="n"/>
      <c r="E15" s="24" t="n"/>
      <c r="F15" s="25" t="n"/>
      <c r="G15" s="25" t="n"/>
      <c r="H15" s="539" t="n"/>
      <c r="I15" s="539" t="n"/>
      <c r="J15" s="539" t="n"/>
      <c r="K15" s="539" t="n"/>
      <c r="L15" s="539" t="n"/>
      <c r="M15" s="539" t="n"/>
      <c r="N15" s="539" t="n"/>
      <c r="O15" s="539" t="n"/>
      <c r="P15" s="539" t="n"/>
      <c r="Q15" s="539" t="n"/>
      <c r="R15" s="539" t="n"/>
      <c r="S15" s="539" t="n"/>
      <c r="T15" s="539" t="n"/>
      <c r="U15" s="539">
        <f>IF(P15=0,"",(T15-P15))</f>
      </c>
      <c r="V15" s="539">
        <f>IF(P15=0,"",(T15-P15)/P15*100)</f>
      </c>
      <c r="W15" s="27" t="n"/>
    </row>
    <row r="16" ht="15.5" customHeight="1">
      <c r="A16" s="23" t="n"/>
      <c r="B16" s="24" t="n"/>
      <c r="C16" s="24" t="n"/>
      <c r="D16" s="24" t="n"/>
      <c r="E16" s="24" t="n"/>
      <c r="F16" s="25" t="n"/>
      <c r="G16" s="25" t="n"/>
      <c r="H16" s="539" t="n"/>
      <c r="I16" s="539" t="n"/>
      <c r="J16" s="539" t="n"/>
      <c r="K16" s="539" t="n"/>
      <c r="L16" s="539" t="n"/>
      <c r="M16" s="539" t="n"/>
      <c r="N16" s="539" t="n"/>
      <c r="O16" s="539" t="n"/>
      <c r="P16" s="539" t="n"/>
      <c r="Q16" s="539" t="n"/>
      <c r="R16" s="539" t="n"/>
      <c r="S16" s="539" t="n"/>
      <c r="T16" s="539" t="n"/>
      <c r="U16" s="539">
        <f>IF(P16=0,"",(T16-P16))</f>
      </c>
      <c r="V16" s="539">
        <f>IF(P16=0,"",(T16-P16)/P16*100)</f>
      </c>
      <c r="W16" s="27" t="n"/>
    </row>
    <row r="17" ht="15.5" customHeight="1">
      <c r="A17" s="23" t="n"/>
      <c r="B17" s="24" t="n"/>
      <c r="C17" s="24" t="n"/>
      <c r="D17" s="24" t="n"/>
      <c r="E17" s="24" t="n"/>
      <c r="F17" s="25" t="n"/>
      <c r="G17" s="25" t="n"/>
      <c r="H17" s="539" t="n"/>
      <c r="I17" s="539" t="n"/>
      <c r="J17" s="539" t="n"/>
      <c r="K17" s="539" t="n"/>
      <c r="L17" s="539" t="n"/>
      <c r="M17" s="539" t="n"/>
      <c r="N17" s="539" t="n"/>
      <c r="O17" s="539" t="n"/>
      <c r="P17" s="539" t="n"/>
      <c r="Q17" s="539" t="n"/>
      <c r="R17" s="539" t="n"/>
      <c r="S17" s="539" t="n"/>
      <c r="T17" s="539" t="n"/>
      <c r="U17" s="539">
        <f>IF(P17=0,"",(T17-P17))</f>
      </c>
      <c r="V17" s="539">
        <f>IF(P17=0,"",(T17-P17)/P17*100)</f>
      </c>
      <c r="W17" s="27" t="n"/>
    </row>
    <row r="18" ht="15.5" customHeight="1">
      <c r="A18" s="23" t="n"/>
      <c r="B18" s="24" t="n"/>
      <c r="C18" s="24" t="n"/>
      <c r="D18" s="24" t="n"/>
      <c r="E18" s="24" t="n"/>
      <c r="F18" s="25" t="n"/>
      <c r="G18" s="25" t="n"/>
      <c r="H18" s="539" t="n"/>
      <c r="I18" s="539" t="n"/>
      <c r="J18" s="539" t="n"/>
      <c r="K18" s="539" t="n"/>
      <c r="L18" s="539" t="n"/>
      <c r="M18" s="539" t="n"/>
      <c r="N18" s="539" t="n"/>
      <c r="O18" s="539" t="n"/>
      <c r="P18" s="539" t="n"/>
      <c r="Q18" s="539" t="n"/>
      <c r="R18" s="539" t="n"/>
      <c r="S18" s="539" t="n"/>
      <c r="T18" s="539" t="n"/>
      <c r="U18" s="539">
        <f>IF(P18=0,"",(T18-P18))</f>
      </c>
      <c r="V18" s="539">
        <f>IF(P18=0,"",(T18-P18)/P18*100)</f>
      </c>
      <c r="W18" s="27" t="n"/>
    </row>
    <row r="19" ht="15.5" customHeight="1">
      <c r="A19" s="23" t="n"/>
      <c r="B19" s="24" t="n"/>
      <c r="C19" s="24" t="n"/>
      <c r="D19" s="24" t="n"/>
      <c r="E19" s="24" t="n"/>
      <c r="F19" s="25" t="n"/>
      <c r="G19" s="25" t="n"/>
      <c r="H19" s="539" t="n"/>
      <c r="I19" s="539" t="n"/>
      <c r="J19" s="539" t="n"/>
      <c r="K19" s="539" t="n"/>
      <c r="L19" s="539" t="n"/>
      <c r="M19" s="539" t="n"/>
      <c r="N19" s="539" t="n"/>
      <c r="O19" s="539" t="n"/>
      <c r="P19" s="539" t="n"/>
      <c r="Q19" s="539" t="n"/>
      <c r="R19" s="539" t="n"/>
      <c r="S19" s="539" t="n"/>
      <c r="T19" s="539" t="n"/>
      <c r="U19" s="539">
        <f>IF(P19=0,"",(T19-P19))</f>
      </c>
      <c r="V19" s="539">
        <f>IF(P19=0,"",(T19-P19)/P19*100)</f>
      </c>
      <c r="W19" s="27" t="n"/>
    </row>
    <row r="20" ht="15.5" customHeight="1">
      <c r="A20" s="23" t="n"/>
      <c r="B20" s="24" t="n"/>
      <c r="C20" s="24" t="n"/>
      <c r="D20" s="24" t="n"/>
      <c r="E20" s="24" t="n"/>
      <c r="F20" s="25" t="n"/>
      <c r="G20" s="25" t="n"/>
      <c r="H20" s="539" t="n"/>
      <c r="I20" s="539" t="n"/>
      <c r="J20" s="539" t="n"/>
      <c r="K20" s="539" t="n"/>
      <c r="L20" s="539" t="n"/>
      <c r="M20" s="539" t="n"/>
      <c r="N20" s="539" t="n"/>
      <c r="O20" s="539" t="n"/>
      <c r="P20" s="539" t="n"/>
      <c r="Q20" s="539" t="n"/>
      <c r="R20" s="539" t="n"/>
      <c r="S20" s="539" t="n"/>
      <c r="T20" s="539" t="n"/>
      <c r="U20" s="539">
        <f>IF(P20=0,"",(T20-P20))</f>
      </c>
      <c r="V20" s="539">
        <f>IF(P20=0,"",(T20-P20)/P20*100)</f>
      </c>
      <c r="W20" s="27" t="n"/>
    </row>
    <row r="21" ht="15.5" customHeight="1">
      <c r="A21" s="23" t="n"/>
      <c r="B21" s="24" t="n"/>
      <c r="C21" s="24" t="n"/>
      <c r="D21" s="24" t="n"/>
      <c r="E21" s="24" t="n"/>
      <c r="F21" s="25" t="n"/>
      <c r="G21" s="25" t="n"/>
      <c r="H21" s="539" t="n"/>
      <c r="I21" s="539" t="n"/>
      <c r="J21" s="539" t="n"/>
      <c r="K21" s="539" t="n"/>
      <c r="L21" s="539" t="n"/>
      <c r="M21" s="539" t="n"/>
      <c r="N21" s="539" t="n"/>
      <c r="O21" s="539" t="n"/>
      <c r="P21" s="539" t="n"/>
      <c r="Q21" s="539" t="n"/>
      <c r="R21" s="539" t="n"/>
      <c r="S21" s="539" t="n"/>
      <c r="T21" s="539" t="n"/>
      <c r="U21" s="539">
        <f>IF(P21=0,"",(T21-P21))</f>
      </c>
      <c r="V21" s="539">
        <f>IF(P21=0,"",(T21-P21)/P21*100)</f>
      </c>
      <c r="W21" s="27" t="n"/>
    </row>
    <row r="22" ht="15.5" customHeight="1">
      <c r="A22" s="23" t="n"/>
      <c r="B22" s="24" t="n"/>
      <c r="C22" s="24" t="n"/>
      <c r="D22" s="24" t="n"/>
      <c r="E22" s="24" t="n"/>
      <c r="F22" s="25" t="n"/>
      <c r="G22" s="25" t="n"/>
      <c r="H22" s="539" t="n"/>
      <c r="I22" s="539" t="n"/>
      <c r="J22" s="539" t="n"/>
      <c r="K22" s="539" t="n"/>
      <c r="L22" s="539" t="n"/>
      <c r="M22" s="539" t="n"/>
      <c r="N22" s="539" t="n"/>
      <c r="O22" s="539" t="n"/>
      <c r="P22" s="539" t="n"/>
      <c r="Q22" s="539" t="n"/>
      <c r="R22" s="539" t="n"/>
      <c r="S22" s="539" t="n"/>
      <c r="T22" s="539" t="n"/>
      <c r="U22" s="539">
        <f>IF(P22=0,"",(T22-P22))</f>
      </c>
      <c r="V22" s="539">
        <f>IF(P22=0,"",(T22-P22)/P22*100)</f>
      </c>
      <c r="W22" s="27" t="n"/>
    </row>
    <row r="23" ht="15.5" customHeight="1">
      <c r="A23" s="23" t="n"/>
      <c r="B23" s="24" t="n"/>
      <c r="C23" s="24" t="n"/>
      <c r="D23" s="24" t="n"/>
      <c r="E23" s="24" t="n"/>
      <c r="F23" s="25" t="n"/>
      <c r="G23" s="25" t="n"/>
      <c r="H23" s="539" t="n"/>
      <c r="I23" s="539" t="n"/>
      <c r="J23" s="539" t="n"/>
      <c r="K23" s="539" t="n"/>
      <c r="L23" s="539" t="n"/>
      <c r="M23" s="539" t="n"/>
      <c r="N23" s="539" t="n"/>
      <c r="O23" s="539" t="n"/>
      <c r="P23" s="539" t="n"/>
      <c r="Q23" s="539" t="n"/>
      <c r="R23" s="539" t="n"/>
      <c r="S23" s="539" t="n"/>
      <c r="T23" s="539" t="n"/>
      <c r="U23" s="539">
        <f>IF(P23=0,"",(T23-P23))</f>
      </c>
      <c r="V23" s="539">
        <f>IF(P23=0,"",(T23-P23)/P23*100)</f>
      </c>
      <c r="W23" s="27" t="n"/>
    </row>
    <row r="24" ht="15.5" customHeight="1">
      <c r="A24" s="23" t="n"/>
      <c r="B24" s="24" t="n"/>
      <c r="C24" s="24" t="n"/>
      <c r="D24" s="24" t="n"/>
      <c r="E24" s="24" t="n"/>
      <c r="F24" s="25" t="n"/>
      <c r="G24" s="25" t="n"/>
      <c r="H24" s="539" t="n"/>
      <c r="I24" s="539" t="n"/>
      <c r="J24" s="539" t="n"/>
      <c r="K24" s="539" t="n"/>
      <c r="L24" s="539" t="n"/>
      <c r="M24" s="539" t="n"/>
      <c r="N24" s="539" t="n"/>
      <c r="O24" s="539" t="n"/>
      <c r="P24" s="539" t="n"/>
      <c r="Q24" s="539" t="n"/>
      <c r="R24" s="539" t="n"/>
      <c r="S24" s="539" t="n"/>
      <c r="T24" s="539" t="n"/>
      <c r="U24" s="539">
        <f>IF(P24=0,"",(T24-P24))</f>
      </c>
      <c r="V24" s="539">
        <f>IF(P24=0,"",(T24-P24)/P24*100)</f>
      </c>
      <c r="W24" s="27" t="n"/>
    </row>
    <row r="25" ht="15.5" customHeight="1">
      <c r="A25" s="23" t="n"/>
      <c r="B25" s="24" t="n"/>
      <c r="C25" s="24" t="n"/>
      <c r="D25" s="24" t="n"/>
      <c r="E25" s="24" t="n"/>
      <c r="F25" s="25" t="n"/>
      <c r="G25" s="25" t="n"/>
      <c r="H25" s="539" t="n"/>
      <c r="I25" s="539" t="n"/>
      <c r="J25" s="539" t="n"/>
      <c r="K25" s="539" t="n"/>
      <c r="L25" s="539" t="n"/>
      <c r="M25" s="539" t="n"/>
      <c r="N25" s="539" t="n"/>
      <c r="O25" s="539" t="n"/>
      <c r="P25" s="539" t="n"/>
      <c r="Q25" s="539" t="n"/>
      <c r="R25" s="539" t="n"/>
      <c r="S25" s="539" t="n"/>
      <c r="T25" s="539" t="n"/>
      <c r="U25" s="539">
        <f>IF(P25=0,"",(T25-P25))</f>
      </c>
      <c r="V25" s="539">
        <f>IF(P25=0,"",(T25-P25)/P25*100)</f>
      </c>
      <c r="W25" s="27" t="n"/>
    </row>
    <row r="26" ht="15.5" customHeight="1">
      <c r="A26" s="23" t="n"/>
      <c r="B26" s="24" t="n"/>
      <c r="C26" s="24" t="n"/>
      <c r="D26" s="24" t="n"/>
      <c r="E26" s="24" t="n"/>
      <c r="F26" s="25" t="n"/>
      <c r="G26" s="25" t="n"/>
      <c r="H26" s="539" t="n"/>
      <c r="I26" s="539" t="n"/>
      <c r="J26" s="539" t="n"/>
      <c r="K26" s="539" t="n"/>
      <c r="L26" s="539" t="n"/>
      <c r="M26" s="539" t="n"/>
      <c r="N26" s="539" t="n"/>
      <c r="O26" s="539" t="n"/>
      <c r="P26" s="539" t="n"/>
      <c r="Q26" s="539" t="n"/>
      <c r="R26" s="539" t="n"/>
      <c r="S26" s="539" t="n"/>
      <c r="T26" s="539" t="n"/>
      <c r="U26" s="539">
        <f>IF(P26=0,"",(T26-P26))</f>
      </c>
      <c r="V26" s="539" t="n"/>
      <c r="W26" s="27" t="n"/>
    </row>
    <row r="27" ht="15.5" customHeight="1">
      <c r="A27" s="21" t="inlineStr">
        <is>
          <t>合         计</t>
        </is>
      </c>
      <c r="B27" s="28" t="n"/>
      <c r="C27" s="77" t="n"/>
      <c r="D27" s="77" t="n"/>
      <c r="E27" s="77" t="n"/>
      <c r="F27" s="25" t="n"/>
      <c r="G27" s="25" t="n"/>
      <c r="H27" s="539" t="n"/>
      <c r="I27" s="539" t="n"/>
      <c r="J27" s="539" t="n"/>
      <c r="K27" s="539">
        <f>SUM(K7:K26)</f>
      </c>
      <c r="L27" s="539" t="n"/>
      <c r="M27" s="539" t="n"/>
      <c r="N27" s="539" t="n"/>
      <c r="O27" s="539" t="n"/>
      <c r="P27" s="539">
        <f>SUM(P7:P26)</f>
      </c>
      <c r="Q27" s="539" t="n"/>
      <c r="R27" s="539" t="n"/>
      <c r="S27" s="539" t="n"/>
      <c r="T27" s="539">
        <f>SUM(T7:T26)</f>
      </c>
      <c r="U27" s="539">
        <f>IF(P27=0,"",(T27-P27))</f>
      </c>
      <c r="V27" s="539">
        <f>IF(P27=0,"",(T27-P27)/P27*100)</f>
      </c>
      <c r="W27" s="27" t="n"/>
    </row>
    <row r="28" ht="15.5" customHeight="1">
      <c r="A28" s="29">
        <f>封面!D11&amp;封面!G11</f>
      </c>
      <c r="P28" s="29">
        <f>"评估人员："&amp;封面!G26</f>
      </c>
    </row>
    <row r="29" ht="15.5" customHeight="1">
      <c r="A29" s="29">
        <f>CONCATENATE(封面!D13,封面!F13,封面!G13,封面!H13,封面!I13,封面!J13,封面!K13)</f>
      </c>
    </row>
  </sheetData>
  <mergeCells count="17">
    <mergeCell ref="M5:P5"/>
    <mergeCell ref="G5:G6"/>
    <mergeCell ref="E5:E6"/>
    <mergeCell ref="A5:A6"/>
    <mergeCell ref="W5:W6"/>
    <mergeCell ref="U5:U6"/>
    <mergeCell ref="A2:W2"/>
    <mergeCell ref="Q5:T5"/>
    <mergeCell ref="A3:W3"/>
    <mergeCell ref="C5:C6"/>
    <mergeCell ref="F5:F6"/>
    <mergeCell ref="A27:B27"/>
    <mergeCell ref="D5:D6"/>
    <mergeCell ref="V5:V6"/>
    <mergeCell ref="B5:B6"/>
    <mergeCell ref="H5:K5"/>
    <mergeCell ref="L5:L6"/>
  </mergeCells>
  <hyperlinks>
    <hyperlink ref="A1" location="索引目录!E49" display="返回索引页"/>
    <hyperlink ref="B1" location="在建工程汇总!B7" display="返回"/>
  </hyperlinks>
  <printOptions horizontalCentered="1"/>
  <pageMargins left="0.354330708661417" right="0.354330708661417" top="0.78740157480315" bottom="0.78740157480315" header="1.03" footer="0.511811023622047"/>
  <pageSetup orientation="landscape" paperSize="9" scale="78" fitToHeight="0"/>
  <headerFooter alignWithMargins="0">
    <oddHeader>&amp;R&amp;"宋体,常规"共&amp;"Times New Roman,常规"&amp;N&amp;"宋体,常规"页第&amp;"Times New Roman,常规"&amp;P&amp;"宋体,常规"4-7-2_x000a_页</oddHeader>
    <oddFooter/>
    <evenHeader/>
    <evenFooter/>
    <firstHeader/>
    <firstFooter/>
  </headerFooter>
  <legacyDrawing xmlns:r="http://schemas.openxmlformats.org/officeDocument/2006/relationships" r:id="anysvml"/>
</worksheet>
</file>

<file path=xl/worksheets/sheet58.xml><?xml version="1.0" encoding="utf-8"?>
<worksheet xmlns="http://schemas.openxmlformats.org/spreadsheetml/2006/main">
  <sheetPr codeName="Sheet58">
    <outlinePr summaryBelow="1" summaryRight="1"/>
    <pageSetUpPr fitToPage="1"/>
  </sheetPr>
  <dimension ref="A1:Q29"/>
  <sheetViews>
    <sheetView view="pageBreakPreview" zoomScale="60" zoomScaleNormal="100" workbookViewId="0">
      <selection activeCell="G451" sqref="G451"/>
    </sheetView>
  </sheetViews>
  <sheetFormatPr baseColWidth="8" defaultColWidth="9" defaultRowHeight="15.75" customHeight="1"/>
  <cols>
    <col width="4" customWidth="1" style="13" min="1" max="1"/>
    <col width="14.5833333333333" customWidth="1" style="13" min="2" max="2"/>
    <col width="9" customWidth="1" style="13" min="3" max="3"/>
    <col width="4.5" customWidth="1" style="13" min="4" max="4"/>
    <col hidden="1" outlineLevel="1" width="10.5" customWidth="1" style="13" min="5" max="5"/>
    <col hidden="1" outlineLevel="1" width="8.25" customWidth="1" style="13" min="6" max="6"/>
    <col hidden="1" outlineLevel="1" width="13.0833333333333" customWidth="1" style="13" min="7" max="8"/>
    <col collapsed="1" width="11.8333333333333" customWidth="1" style="13" min="9" max="9"/>
    <col width="12.5" customWidth="1" style="13" min="10" max="11"/>
    <col width="11.8333333333333" customWidth="1" style="13" min="12" max="12"/>
    <col width="12.5" customWidth="1" style="13" min="13" max="15"/>
    <col width="6.5" customWidth="1" style="13" min="16" max="16"/>
    <col width="9" customWidth="1" style="13" min="17"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c r="P1" s="16" t="n"/>
      <c r="Q1" s="16" t="n"/>
    </row>
    <row r="2" ht="30" customFormat="1" customHeight="1" s="11">
      <c r="A2" s="17" t="inlineStr">
        <is>
          <t>工程物资评估明细表</t>
        </is>
      </c>
    </row>
    <row r="3" ht="14.15" customHeight="1">
      <c r="A3" s="535">
        <f>CONCATENATE(封面!D9,封面!F9,封面!G9,封面!H9,封面!I9,封面!J9,封面!K9)</f>
      </c>
    </row>
    <row r="4" ht="15.5" customHeight="1">
      <c r="A4" s="536">
        <f>封面!D7&amp;封面!F7</f>
      </c>
      <c r="Q4" s="20" t="inlineStr">
        <is>
          <t>金额单位：人民币元</t>
        </is>
      </c>
    </row>
    <row r="5" ht="13" customFormat="1" customHeight="1" s="12">
      <c r="A5" s="21" t="inlineStr">
        <is>
          <t>序号</t>
        </is>
      </c>
      <c r="B5" s="21" t="inlineStr">
        <is>
          <t>名称</t>
        </is>
      </c>
      <c r="C5" s="21" t="inlineStr">
        <is>
          <t>工程项目</t>
        </is>
      </c>
      <c r="D5" s="22" t="inlineStr">
        <is>
          <t>计量
单位</t>
        </is>
      </c>
      <c r="E5" s="22" t="inlineStr">
        <is>
          <t>审计前账面值</t>
        </is>
      </c>
      <c r="F5" s="138" t="n"/>
      <c r="G5" s="28" t="n"/>
      <c r="H5" s="22" t="inlineStr">
        <is>
          <t>审计调整</t>
        </is>
      </c>
      <c r="I5" s="111" t="inlineStr">
        <is>
          <t>账面价值</t>
        </is>
      </c>
      <c r="J5" s="34" t="n"/>
      <c r="K5" s="35" t="n"/>
      <c r="L5" s="22" t="inlineStr">
        <is>
          <t>实际数量</t>
        </is>
      </c>
      <c r="M5" s="21" t="inlineStr">
        <is>
          <t>评估价值</t>
        </is>
      </c>
      <c r="N5" s="28" t="n"/>
      <c r="O5" s="22" t="inlineStr">
        <is>
          <t>增减值</t>
        </is>
      </c>
      <c r="P5" s="22" t="inlineStr">
        <is>
          <t>增值率
%</t>
        </is>
      </c>
      <c r="Q5" s="22" t="inlineStr">
        <is>
          <t>备注</t>
        </is>
      </c>
    </row>
    <row r="6" ht="13" customFormat="1" customHeight="1" s="12">
      <c r="A6" s="36" t="n"/>
      <c r="B6" s="36" t="n"/>
      <c r="C6" s="36" t="n"/>
      <c r="D6" s="36" t="n"/>
      <c r="E6" s="21" t="inlineStr">
        <is>
          <t>数量</t>
        </is>
      </c>
      <c r="F6" s="21" t="inlineStr">
        <is>
          <t>单价</t>
        </is>
      </c>
      <c r="G6" s="21" t="inlineStr">
        <is>
          <t>金额</t>
        </is>
      </c>
      <c r="H6" s="36" t="n"/>
      <c r="I6" s="21" t="inlineStr">
        <is>
          <t>数量</t>
        </is>
      </c>
      <c r="J6" s="21" t="inlineStr">
        <is>
          <t>单价</t>
        </is>
      </c>
      <c r="K6" s="21" t="inlineStr">
        <is>
          <t>金额</t>
        </is>
      </c>
      <c r="L6" s="36" t="n"/>
      <c r="M6" s="21" t="inlineStr">
        <is>
          <t>单价</t>
        </is>
      </c>
      <c r="N6" s="21" t="inlineStr">
        <is>
          <t>金额</t>
        </is>
      </c>
      <c r="O6" s="36" t="n"/>
      <c r="P6" s="36" t="n"/>
      <c r="Q6" s="36" t="n"/>
    </row>
    <row r="7" ht="15.5" customHeight="1">
      <c r="A7" s="23" t="n"/>
      <c r="B7" s="24" t="n"/>
      <c r="C7" s="24" t="n"/>
      <c r="D7" s="23" t="n"/>
      <c r="E7" s="38" t="n"/>
      <c r="F7" s="539" t="n"/>
      <c r="G7" s="539" t="n"/>
      <c r="H7" s="539" t="n"/>
      <c r="I7" s="539" t="n"/>
      <c r="J7" s="539" t="n"/>
      <c r="K7" s="539" t="n"/>
      <c r="L7" s="38" t="n"/>
      <c r="M7" s="539" t="n"/>
      <c r="N7" s="539" t="n"/>
      <c r="O7" s="539">
        <f>IF(K7=0,"",(N7-K7))</f>
      </c>
      <c r="P7" s="539">
        <f>IF(K7=0,"",(N7-K7)/K7*100)</f>
      </c>
      <c r="Q7" s="27" t="n"/>
    </row>
    <row r="8" ht="15.5" customHeight="1">
      <c r="A8" s="23" t="n"/>
      <c r="B8" s="24" t="n"/>
      <c r="C8" s="24" t="n"/>
      <c r="D8" s="23" t="n"/>
      <c r="E8" s="38" t="n"/>
      <c r="F8" s="539" t="n"/>
      <c r="G8" s="539" t="n"/>
      <c r="H8" s="539" t="n"/>
      <c r="I8" s="539" t="n"/>
      <c r="J8" s="539" t="n"/>
      <c r="K8" s="539" t="n"/>
      <c r="L8" s="38" t="n"/>
      <c r="M8" s="539" t="n"/>
      <c r="N8" s="539" t="n"/>
      <c r="O8" s="539">
        <f>IF(K8=0,"",(N8-K8))</f>
      </c>
      <c r="P8" s="539">
        <f>IF(K8=0,"",(N8-K8)/K8*100)</f>
      </c>
      <c r="Q8" s="27" t="n"/>
    </row>
    <row r="9" ht="15.5" customHeight="1">
      <c r="A9" s="23" t="n"/>
      <c r="B9" s="24" t="n"/>
      <c r="C9" s="24" t="n"/>
      <c r="D9" s="23" t="n"/>
      <c r="E9" s="38" t="n"/>
      <c r="F9" s="539" t="n"/>
      <c r="G9" s="539" t="n"/>
      <c r="H9" s="539" t="n"/>
      <c r="I9" s="539" t="n"/>
      <c r="J9" s="539" t="n"/>
      <c r="K9" s="539" t="n"/>
      <c r="L9" s="38" t="n"/>
      <c r="M9" s="539" t="n"/>
      <c r="N9" s="539" t="n"/>
      <c r="O9" s="539">
        <f>IF(K9=0,"",(N9-K9))</f>
      </c>
      <c r="P9" s="539">
        <f>IF(K9=0,"",(N9-K9)/K9*100)</f>
      </c>
      <c r="Q9" s="27" t="n"/>
    </row>
    <row r="10" ht="15.5" customHeight="1">
      <c r="A10" s="23" t="n"/>
      <c r="B10" s="24" t="n"/>
      <c r="C10" s="24" t="n"/>
      <c r="D10" s="23" t="n"/>
      <c r="E10" s="38" t="n"/>
      <c r="F10" s="539" t="n"/>
      <c r="G10" s="539" t="n"/>
      <c r="H10" s="539" t="n"/>
      <c r="I10" s="539" t="n"/>
      <c r="J10" s="539" t="n"/>
      <c r="K10" s="539" t="n"/>
      <c r="L10" s="38" t="n"/>
      <c r="M10" s="539" t="n"/>
      <c r="N10" s="539" t="n"/>
      <c r="O10" s="539">
        <f>IF(K10=0,"",(N10-K10))</f>
      </c>
      <c r="P10" s="539">
        <f>IF(K10=0,"",(N10-K10)/K10*100)</f>
      </c>
      <c r="Q10" s="27" t="n"/>
    </row>
    <row r="11" ht="15.5" customHeight="1">
      <c r="A11" s="23" t="n"/>
      <c r="B11" s="24" t="n"/>
      <c r="C11" s="24" t="n"/>
      <c r="D11" s="23" t="n"/>
      <c r="E11" s="38" t="n"/>
      <c r="F11" s="539" t="n"/>
      <c r="G11" s="539" t="n"/>
      <c r="H11" s="539" t="n"/>
      <c r="I11" s="539" t="n"/>
      <c r="J11" s="539" t="n"/>
      <c r="K11" s="539" t="n"/>
      <c r="L11" s="38" t="n"/>
      <c r="M11" s="539" t="n"/>
      <c r="N11" s="539" t="n"/>
      <c r="O11" s="539">
        <f>IF(K11=0,"",(N11-K11))</f>
      </c>
      <c r="P11" s="539">
        <f>IF(K11=0,"",(N11-K11)/K11*100)</f>
      </c>
      <c r="Q11" s="27" t="n"/>
    </row>
    <row r="12" ht="15.5" customHeight="1">
      <c r="A12" s="23" t="n"/>
      <c r="B12" s="24" t="n"/>
      <c r="C12" s="24" t="n"/>
      <c r="D12" s="23" t="n"/>
      <c r="E12" s="38" t="n"/>
      <c r="F12" s="539" t="n"/>
      <c r="G12" s="539" t="n"/>
      <c r="H12" s="539" t="n"/>
      <c r="I12" s="539" t="n"/>
      <c r="J12" s="539" t="n"/>
      <c r="K12" s="539" t="n"/>
      <c r="L12" s="38" t="n"/>
      <c r="M12" s="539" t="n"/>
      <c r="N12" s="539" t="n"/>
      <c r="O12" s="539">
        <f>IF(K12=0,"",(N12-K12))</f>
      </c>
      <c r="P12" s="539">
        <f>IF(K12=0,"",(N12-K12)/K12*100)</f>
      </c>
      <c r="Q12" s="27" t="n"/>
    </row>
    <row r="13" ht="15.5" customHeight="1">
      <c r="A13" s="23" t="n"/>
      <c r="B13" s="24" t="n"/>
      <c r="C13" s="24" t="n"/>
      <c r="D13" s="23" t="n"/>
      <c r="E13" s="38" t="n"/>
      <c r="F13" s="539" t="n"/>
      <c r="G13" s="539" t="n"/>
      <c r="H13" s="539" t="n"/>
      <c r="I13" s="539" t="n"/>
      <c r="J13" s="539" t="n"/>
      <c r="K13" s="539" t="n"/>
      <c r="L13" s="38" t="n"/>
      <c r="M13" s="539" t="n"/>
      <c r="N13" s="539" t="n"/>
      <c r="O13" s="539">
        <f>IF(K13=0,"",(N13-K13))</f>
      </c>
      <c r="P13" s="539">
        <f>IF(K13=0,"",(N13-K13)/K13*100)</f>
      </c>
      <c r="Q13" s="27" t="n"/>
    </row>
    <row r="14" ht="15.5" customHeight="1">
      <c r="A14" s="23" t="n"/>
      <c r="B14" s="24" t="n"/>
      <c r="C14" s="24" t="n"/>
      <c r="D14" s="23" t="n"/>
      <c r="E14" s="38" t="n"/>
      <c r="F14" s="539" t="n"/>
      <c r="G14" s="539" t="n"/>
      <c r="H14" s="539" t="n"/>
      <c r="I14" s="539" t="n"/>
      <c r="J14" s="539" t="n"/>
      <c r="K14" s="539" t="n"/>
      <c r="L14" s="38" t="n"/>
      <c r="M14" s="539" t="n"/>
      <c r="N14" s="539" t="n"/>
      <c r="O14" s="539">
        <f>IF(K14=0,"",(N14-K14))</f>
      </c>
      <c r="P14" s="539">
        <f>IF(K14=0,"",(N14-K14)/K14*100)</f>
      </c>
      <c r="Q14" s="27" t="n"/>
    </row>
    <row r="15" ht="15.5" customHeight="1">
      <c r="A15" s="23" t="n"/>
      <c r="B15" s="24" t="n"/>
      <c r="C15" s="24" t="n"/>
      <c r="D15" s="23" t="n"/>
      <c r="E15" s="38" t="n"/>
      <c r="F15" s="539" t="n"/>
      <c r="G15" s="539" t="n"/>
      <c r="H15" s="539" t="n"/>
      <c r="I15" s="539" t="n"/>
      <c r="J15" s="539" t="n"/>
      <c r="K15" s="539" t="n"/>
      <c r="L15" s="38" t="n"/>
      <c r="M15" s="539" t="n"/>
      <c r="N15" s="539" t="n"/>
      <c r="O15" s="539">
        <f>IF(K15=0,"",(N15-K15))</f>
      </c>
      <c r="P15" s="539">
        <f>IF(K15=0,"",(N15-K15)/K15*100)</f>
      </c>
      <c r="Q15" s="27" t="n"/>
    </row>
    <row r="16" ht="15.5" customHeight="1">
      <c r="A16" s="23" t="n"/>
      <c r="B16" s="24" t="n"/>
      <c r="C16" s="24" t="n"/>
      <c r="D16" s="23" t="n"/>
      <c r="E16" s="38" t="n"/>
      <c r="F16" s="539" t="n"/>
      <c r="G16" s="539" t="n"/>
      <c r="H16" s="539" t="n"/>
      <c r="I16" s="539" t="n"/>
      <c r="J16" s="539" t="n"/>
      <c r="K16" s="539" t="n"/>
      <c r="L16" s="38" t="n"/>
      <c r="M16" s="539" t="n"/>
      <c r="N16" s="539" t="n"/>
      <c r="O16" s="539">
        <f>IF(K16=0,"",(N16-K16))</f>
      </c>
      <c r="P16" s="539">
        <f>IF(K16=0,"",(N16-K16)/K16*100)</f>
      </c>
      <c r="Q16" s="27" t="n"/>
    </row>
    <row r="17" ht="15.5" customHeight="1">
      <c r="A17" s="23" t="n"/>
      <c r="B17" s="24" t="n"/>
      <c r="C17" s="24" t="n"/>
      <c r="D17" s="23" t="n"/>
      <c r="E17" s="38" t="n"/>
      <c r="F17" s="539" t="n"/>
      <c r="G17" s="539" t="n"/>
      <c r="H17" s="539" t="n"/>
      <c r="I17" s="539" t="n"/>
      <c r="J17" s="539" t="n"/>
      <c r="K17" s="539" t="n"/>
      <c r="L17" s="38" t="n"/>
      <c r="M17" s="539" t="n"/>
      <c r="N17" s="539" t="n"/>
      <c r="O17" s="539">
        <f>IF(K17=0,"",(N17-K17))</f>
      </c>
      <c r="P17" s="539">
        <f>IF(K17=0,"",(N17-K17)/K17*100)</f>
      </c>
      <c r="Q17" s="27" t="n"/>
    </row>
    <row r="18" ht="15.5" customHeight="1">
      <c r="A18" s="23" t="n"/>
      <c r="B18" s="24" t="n"/>
      <c r="C18" s="24" t="n"/>
      <c r="D18" s="23" t="n"/>
      <c r="E18" s="38" t="n"/>
      <c r="F18" s="539" t="n"/>
      <c r="G18" s="539" t="n"/>
      <c r="H18" s="539" t="n"/>
      <c r="I18" s="539" t="n"/>
      <c r="J18" s="539" t="n"/>
      <c r="K18" s="539" t="n"/>
      <c r="L18" s="38" t="n"/>
      <c r="M18" s="539" t="n"/>
      <c r="N18" s="539" t="n"/>
      <c r="O18" s="539">
        <f>IF(K18=0,"",(N18-K18))</f>
      </c>
      <c r="P18" s="539">
        <f>IF(K18=0,"",(N18-K18)/K18*100)</f>
      </c>
      <c r="Q18" s="27" t="n"/>
    </row>
    <row r="19" ht="15.5" customHeight="1">
      <c r="A19" s="23" t="n"/>
      <c r="B19" s="24" t="n"/>
      <c r="C19" s="24" t="n"/>
      <c r="D19" s="23" t="n"/>
      <c r="E19" s="38" t="n"/>
      <c r="F19" s="539" t="n"/>
      <c r="G19" s="539" t="n"/>
      <c r="H19" s="539" t="n"/>
      <c r="I19" s="539" t="n"/>
      <c r="J19" s="539" t="n"/>
      <c r="K19" s="539" t="n"/>
      <c r="L19" s="38" t="n"/>
      <c r="M19" s="539" t="n"/>
      <c r="N19" s="539" t="n"/>
      <c r="O19" s="539">
        <f>IF(K19=0,"",(N19-K19))</f>
      </c>
      <c r="P19" s="539">
        <f>IF(K19=0,"",(N19-K19)/K19*100)</f>
      </c>
      <c r="Q19" s="27" t="n"/>
    </row>
    <row r="20" ht="15.5" customHeight="1">
      <c r="A20" s="23" t="n"/>
      <c r="B20" s="24" t="n"/>
      <c r="C20" s="24" t="n"/>
      <c r="D20" s="23" t="n"/>
      <c r="E20" s="38" t="n"/>
      <c r="F20" s="539" t="n"/>
      <c r="G20" s="539" t="n"/>
      <c r="H20" s="539" t="n"/>
      <c r="I20" s="539" t="n"/>
      <c r="J20" s="539" t="n"/>
      <c r="K20" s="539" t="n"/>
      <c r="L20" s="38" t="n"/>
      <c r="M20" s="539" t="n"/>
      <c r="N20" s="539" t="n"/>
      <c r="O20" s="539">
        <f>IF(K20=0,"",(N20-K20))</f>
      </c>
      <c r="P20" s="539">
        <f>IF(K20=0,"",(N20-K20)/K20*100)</f>
      </c>
      <c r="Q20" s="27" t="n"/>
    </row>
    <row r="21" ht="15.5" customHeight="1">
      <c r="A21" s="23" t="n"/>
      <c r="B21" s="24" t="n"/>
      <c r="C21" s="24" t="n"/>
      <c r="D21" s="23" t="n"/>
      <c r="E21" s="38" t="n"/>
      <c r="F21" s="539" t="n"/>
      <c r="G21" s="539" t="n"/>
      <c r="H21" s="539" t="n"/>
      <c r="I21" s="539" t="n"/>
      <c r="J21" s="539" t="n"/>
      <c r="K21" s="539" t="n"/>
      <c r="L21" s="38" t="n"/>
      <c r="M21" s="539" t="n"/>
      <c r="N21" s="539" t="n"/>
      <c r="O21" s="539">
        <f>IF(K21=0,"",(N21-K21))</f>
      </c>
      <c r="P21" s="539">
        <f>IF(K21=0,"",(N21-K21)/K21*100)</f>
      </c>
      <c r="Q21" s="27" t="n"/>
    </row>
    <row r="22" ht="15.5" customHeight="1">
      <c r="A22" s="23" t="n"/>
      <c r="B22" s="24" t="n"/>
      <c r="C22" s="24" t="n"/>
      <c r="D22" s="23" t="n"/>
      <c r="E22" s="38" t="n"/>
      <c r="F22" s="539" t="n"/>
      <c r="G22" s="539" t="n"/>
      <c r="H22" s="539" t="n"/>
      <c r="I22" s="539" t="n"/>
      <c r="J22" s="539" t="n"/>
      <c r="K22" s="539" t="n"/>
      <c r="L22" s="38" t="n"/>
      <c r="M22" s="539" t="n"/>
      <c r="N22" s="539" t="n"/>
      <c r="O22" s="539">
        <f>IF(K22=0,"",(N22-K22))</f>
      </c>
      <c r="P22" s="539">
        <f>IF(K22=0,"",(N22-K22)/K22*100)</f>
      </c>
      <c r="Q22" s="27" t="n"/>
    </row>
    <row r="23" ht="15.5" customHeight="1">
      <c r="A23" s="23" t="n"/>
      <c r="B23" s="24" t="n"/>
      <c r="C23" s="24" t="n"/>
      <c r="D23" s="23" t="n"/>
      <c r="E23" s="38" t="n"/>
      <c r="F23" s="539" t="n"/>
      <c r="G23" s="539" t="n"/>
      <c r="H23" s="539" t="n"/>
      <c r="I23" s="539" t="n"/>
      <c r="J23" s="539" t="n"/>
      <c r="K23" s="539" t="n"/>
      <c r="L23" s="38" t="n"/>
      <c r="M23" s="539" t="n"/>
      <c r="N23" s="539" t="n"/>
      <c r="O23" s="539">
        <f>IF(K23=0,"",(N23-K23))</f>
      </c>
      <c r="P23" s="539">
        <f>IF(K23=0,"",(N23-K23)/K23*100)</f>
      </c>
      <c r="Q23" s="27" t="n"/>
    </row>
    <row r="24" ht="15.5" customHeight="1">
      <c r="A24" s="23" t="n"/>
      <c r="B24" s="24" t="n"/>
      <c r="C24" s="24" t="n"/>
      <c r="D24" s="23" t="n"/>
      <c r="E24" s="38" t="n"/>
      <c r="F24" s="539" t="n"/>
      <c r="G24" s="539" t="n"/>
      <c r="H24" s="539" t="n"/>
      <c r="I24" s="539" t="n"/>
      <c r="J24" s="539" t="n"/>
      <c r="K24" s="539" t="n"/>
      <c r="L24" s="38" t="n"/>
      <c r="M24" s="539" t="n"/>
      <c r="N24" s="539" t="n"/>
      <c r="O24" s="539">
        <f>IF(K24=0,"",(N24-K24))</f>
      </c>
      <c r="P24" s="539">
        <f>IF(K24=0,"",(N24-K24)/K24*100)</f>
      </c>
      <c r="Q24" s="27" t="n"/>
    </row>
    <row r="25" ht="15.5" customHeight="1">
      <c r="A25" s="21" t="inlineStr">
        <is>
          <t>合            计</t>
        </is>
      </c>
      <c r="B25" s="28" t="n"/>
      <c r="C25" s="24" t="n"/>
      <c r="D25" s="23" t="n"/>
      <c r="E25" s="38" t="n"/>
      <c r="F25" s="539" t="n"/>
      <c r="G25" s="539">
        <f>SUM(G7:G24)</f>
      </c>
      <c r="H25" s="539" t="n"/>
      <c r="I25" s="539" t="n"/>
      <c r="J25" s="539" t="n"/>
      <c r="K25" s="539">
        <f>SUM(K7:K24)</f>
      </c>
      <c r="L25" s="38" t="n"/>
      <c r="M25" s="539" t="n"/>
      <c r="N25" s="539">
        <f>SUM(N7:N24)</f>
      </c>
      <c r="O25" s="539">
        <f>IF(K25=0,"",(N25-K25))</f>
      </c>
      <c r="P25" s="539">
        <f>IF(K25=0,"",(N25-K25)/K25*100)</f>
      </c>
      <c r="Q25" s="27" t="n"/>
    </row>
    <row r="26" ht="15.5" customHeight="1">
      <c r="A26" s="21" t="inlineStr">
        <is>
          <t>减：工程物资减值准备</t>
        </is>
      </c>
      <c r="B26" s="28" t="n"/>
      <c r="C26" s="24" t="n"/>
      <c r="D26" s="23" t="n"/>
      <c r="E26" s="38" t="n"/>
      <c r="F26" s="539" t="n"/>
      <c r="G26" s="539" t="n"/>
      <c r="H26" s="539" t="n"/>
      <c r="I26" s="539" t="n"/>
      <c r="J26" s="539" t="n"/>
      <c r="K26" s="539">
        <f>G26</f>
      </c>
      <c r="L26" s="38" t="n"/>
      <c r="M26" s="539" t="n"/>
      <c r="N26" s="539"/>
      <c r="O26" s="539">
        <f>IF(K26=0,"",(N26-K26))</f>
      </c>
      <c r="P26" s="539">
        <f>IF(K26=0,"",(N26-K26)/K26*100)</f>
      </c>
      <c r="Q26" s="27" t="n"/>
    </row>
    <row r="27" ht="15.5" customHeight="1">
      <c r="A27" s="21" t="inlineStr">
        <is>
          <t>净            额</t>
        </is>
      </c>
      <c r="B27" s="28" t="n"/>
      <c r="C27" s="106" t="n"/>
      <c r="D27" s="27" t="n"/>
      <c r="E27" s="38" t="n"/>
      <c r="F27" s="539" t="n"/>
      <c r="G27" s="539">
        <f>G25-G26</f>
      </c>
      <c r="H27" s="539" t="n"/>
      <c r="I27" s="539" t="n"/>
      <c r="J27" s="539" t="n"/>
      <c r="K27" s="539">
        <f>K25-K26</f>
      </c>
      <c r="L27" s="38" t="n"/>
      <c r="M27" s="539" t="n"/>
      <c r="N27" s="539">
        <f>N25-N26</f>
      </c>
      <c r="O27" s="539">
        <f>IF(K27=0,"",(N27-K27))</f>
      </c>
      <c r="P27" s="539">
        <f>IF(K27=0,"",(N27-K27)/K27*100)</f>
      </c>
      <c r="Q27" s="27" t="n"/>
    </row>
    <row r="28" ht="15.5" customHeight="1">
      <c r="A28" s="29">
        <f>封面!D11&amp;封面!G11</f>
      </c>
      <c r="L28" s="13">
        <f>"评估人员："&amp;封面!G20</f>
      </c>
    </row>
    <row r="29" ht="15.5" customHeight="1">
      <c r="A29" s="29">
        <f>CONCATENATE(封面!D13,封面!F13,封面!G13,封面!H13,封面!I13,封面!J13,封面!K13)</f>
      </c>
    </row>
  </sheetData>
  <mergeCells count="17">
    <mergeCell ref="A5:A6"/>
    <mergeCell ref="O5:O6"/>
    <mergeCell ref="A26:B26"/>
    <mergeCell ref="P5:P6"/>
    <mergeCell ref="H5:H6"/>
    <mergeCell ref="Q5:Q6"/>
    <mergeCell ref="A3:Q3"/>
    <mergeCell ref="A25:B25"/>
    <mergeCell ref="E5:G5"/>
    <mergeCell ref="I5:K5"/>
    <mergeCell ref="A2:Q2"/>
    <mergeCell ref="C5:C6"/>
    <mergeCell ref="M5:N5"/>
    <mergeCell ref="A27:B27"/>
    <mergeCell ref="D5:D6"/>
    <mergeCell ref="B5:B6"/>
    <mergeCell ref="L5:L6"/>
  </mergeCells>
  <hyperlinks>
    <hyperlink ref="A1" location="索引目录!D44" display="返回索引页"/>
    <hyperlink ref="B1" location="固定资产汇总!B22" display="返回"/>
  </hyperlinks>
  <printOptions horizontalCentered="1"/>
  <pageMargins left="0.354330708661417" right="0.354330708661417" top="0.78740157480315" bottom="0.78740157480315" header="1.07" footer="0.511811023622047"/>
  <pageSetup orientation="landscape" paperSize="9" scale="98" fitToHeight="0"/>
  <headerFooter alignWithMargins="0">
    <oddHeader>&amp;R&amp;"宋体,常规"共&amp;"Times New Roman,常规"&amp;N&amp;"宋体,常规"页第&amp;"Times New Roman,常规"&amp;P&amp;"宋体,常规"4-8_x000a_页</oddHeader>
    <oddFooter/>
    <evenHeader/>
    <evenFooter/>
    <firstHeader/>
    <firstFooter/>
  </headerFooter>
</worksheet>
</file>

<file path=xl/worksheets/sheet59.xml><?xml version="1.0" encoding="utf-8"?>
<worksheet xmlns="http://schemas.openxmlformats.org/spreadsheetml/2006/main">
  <sheetPr codeName="Sheet59">
    <outlinePr summaryBelow="1" summaryRight="1"/>
    <pageSetUpPr fitToPage="1"/>
  </sheetPr>
  <dimension ref="A1:J29"/>
  <sheetViews>
    <sheetView view="pageBreakPreview" zoomScale="60" zoomScaleNormal="100" workbookViewId="0">
      <selection activeCell="G451" sqref="G451"/>
    </sheetView>
  </sheetViews>
  <sheetFormatPr baseColWidth="8" defaultColWidth="9" defaultRowHeight="15.75" customHeight="1"/>
  <cols>
    <col width="8.33333333333333" customWidth="1" style="13" min="1" max="1"/>
    <col width="28.5833333333333" customWidth="1" style="13" min="2" max="2"/>
    <col width="14.5833333333333" customWidth="1" style="13" min="3" max="3"/>
    <col hidden="1" outlineLevel="1" width="17.0833333333333" customWidth="1" style="13" min="4" max="5"/>
    <col collapsed="1" width="23.25" customWidth="1" style="13" min="6" max="6"/>
    <col width="23.25" customWidth="1" style="13" min="7" max="7"/>
    <col width="18.5833333333333" customWidth="1" style="13" min="8" max="8"/>
    <col width="8.83333333333333" customWidth="1" style="13" min="9" max="9"/>
    <col width="13.5" customWidth="1" style="13" min="10" max="10"/>
    <col width="9" customWidth="1" style="13" min="11" max="16384"/>
  </cols>
  <sheetData>
    <row r="1" ht="15.5" customHeight="1">
      <c r="A1" s="559" t="inlineStr">
        <is>
          <t>返回索引页</t>
        </is>
      </c>
      <c r="B1" s="15" t="inlineStr">
        <is>
          <t>返回</t>
        </is>
      </c>
      <c r="C1" s="16" t="n"/>
      <c r="D1" s="16" t="n"/>
      <c r="E1" s="16" t="n"/>
      <c r="F1" s="16" t="n"/>
      <c r="G1" s="16" t="n"/>
      <c r="H1" s="16" t="n"/>
      <c r="I1" s="16" t="n"/>
      <c r="J1" s="16" t="n"/>
    </row>
    <row r="2" ht="30" customFormat="1" customHeight="1" s="11">
      <c r="A2" s="17" t="inlineStr">
        <is>
          <t>固定资产清理评估明细表</t>
        </is>
      </c>
    </row>
    <row r="3" ht="14.15" customHeight="1">
      <c r="A3" s="535">
        <f>CONCATENATE(封面!D9,封面!F9,封面!G9,封面!H9,封面!I9,封面!J9,封面!K9)</f>
      </c>
    </row>
    <row r="4" ht="15.5" customHeight="1">
      <c r="A4" s="536">
        <f>封面!D7&amp;封面!F7</f>
      </c>
      <c r="J4" s="20" t="inlineStr">
        <is>
          <t>金额单位：人民币元</t>
        </is>
      </c>
    </row>
    <row r="5" ht="13" customFormat="1" customHeight="1" s="12">
      <c r="A5" s="21" t="inlineStr">
        <is>
          <t>序号</t>
        </is>
      </c>
      <c r="B5" s="21" t="inlineStr">
        <is>
          <t>待处理资产名称</t>
        </is>
      </c>
      <c r="C5" s="21" t="inlineStr">
        <is>
          <t>发生日期</t>
        </is>
      </c>
      <c r="D5" s="22" t="inlineStr">
        <is>
          <t>审计前账面值</t>
        </is>
      </c>
      <c r="E5" s="22" t="inlineStr">
        <is>
          <t>审计调整</t>
        </is>
      </c>
      <c r="F5" s="21" t="inlineStr">
        <is>
          <t>账面价值</t>
        </is>
      </c>
      <c r="G5" s="21" t="inlineStr">
        <is>
          <t>评估价值</t>
        </is>
      </c>
      <c r="H5" s="21" t="inlineStr">
        <is>
          <t>增减值</t>
        </is>
      </c>
      <c r="I5" s="21" t="inlineStr">
        <is>
          <t>增值率%</t>
        </is>
      </c>
      <c r="J5" s="21" t="inlineStr">
        <is>
          <t>备注</t>
        </is>
      </c>
    </row>
    <row r="6" ht="15.5" customHeight="1">
      <c r="A6" s="23" t="n"/>
      <c r="B6" s="24" t="n"/>
      <c r="C6" s="25" t="n"/>
      <c r="D6" s="539" t="n"/>
      <c r="E6" s="539" t="n"/>
      <c r="F6" s="539" t="n"/>
      <c r="G6" s="539" t="n"/>
      <c r="H6" s="539">
        <f>IF(F6=0,"",(G6-F6))</f>
      </c>
      <c r="I6" s="539">
        <f>IF(F6=0,"",(G6-F6)/F6*100)</f>
      </c>
      <c r="J6" s="27" t="n"/>
    </row>
    <row r="7" ht="15.5" customHeight="1">
      <c r="A7" s="23" t="n"/>
      <c r="B7" s="24" t="n"/>
      <c r="C7" s="25" t="n"/>
      <c r="D7" s="539" t="n"/>
      <c r="E7" s="539" t="n"/>
      <c r="F7" s="539" t="n"/>
      <c r="G7" s="539" t="n"/>
      <c r="H7" s="539">
        <f>IF(F7=0,"",(G7-F7))</f>
      </c>
      <c r="I7" s="539">
        <f>IF(F7=0,"",(G7-F7)/F7*100)</f>
      </c>
      <c r="J7" s="27" t="n"/>
    </row>
    <row r="8" ht="15.5" customHeight="1">
      <c r="A8" s="23" t="n"/>
      <c r="B8" s="24" t="n"/>
      <c r="C8" s="25" t="n"/>
      <c r="D8" s="539" t="n"/>
      <c r="E8" s="539" t="n"/>
      <c r="F8" s="539" t="n"/>
      <c r="G8" s="539" t="n"/>
      <c r="H8" s="539">
        <f>IF(F8=0,"",(G8-F8))</f>
      </c>
      <c r="I8" s="539">
        <f>IF(F8=0,"",(G8-F8)/F8*100)</f>
      </c>
      <c r="J8" s="27" t="n"/>
    </row>
    <row r="9" ht="15.5" customHeight="1">
      <c r="A9" s="23" t="n"/>
      <c r="B9" s="24" t="n"/>
      <c r="C9" s="25" t="n"/>
      <c r="D9" s="539" t="n"/>
      <c r="E9" s="539" t="n"/>
      <c r="F9" s="539" t="n"/>
      <c r="G9" s="539" t="n"/>
      <c r="H9" s="539">
        <f>IF(F9=0,"",(G9-F9))</f>
      </c>
      <c r="I9" s="539">
        <f>IF(F9=0,"",(G9-F9)/F9*100)</f>
      </c>
      <c r="J9" s="27" t="n"/>
    </row>
    <row r="10" ht="15.5" customHeight="1">
      <c r="A10" s="23" t="n"/>
      <c r="B10" s="24" t="n"/>
      <c r="C10" s="25" t="n"/>
      <c r="D10" s="539" t="n"/>
      <c r="E10" s="539" t="n"/>
      <c r="F10" s="539" t="n"/>
      <c r="G10" s="539" t="n"/>
      <c r="H10" s="539">
        <f>IF(F10=0,"",(G10-F10))</f>
      </c>
      <c r="I10" s="539">
        <f>IF(F10=0,"",(G10-F10)/F10*100)</f>
      </c>
      <c r="J10" s="27" t="n"/>
    </row>
    <row r="11" ht="15.5" customHeight="1">
      <c r="A11" s="23" t="n"/>
      <c r="B11" s="24" t="n"/>
      <c r="C11" s="25" t="n"/>
      <c r="D11" s="539" t="n"/>
      <c r="E11" s="539" t="n"/>
      <c r="F11" s="539" t="n"/>
      <c r="G11" s="539" t="n"/>
      <c r="H11" s="539">
        <f>IF(F11=0,"",(G11-F11))</f>
      </c>
      <c r="I11" s="539">
        <f>IF(F11=0,"",(G11-F11)/F11*100)</f>
      </c>
      <c r="J11" s="27" t="n"/>
    </row>
    <row r="12" ht="15.5" customHeight="1">
      <c r="A12" s="23" t="n"/>
      <c r="B12" s="24" t="n"/>
      <c r="C12" s="25" t="n"/>
      <c r="D12" s="539" t="n"/>
      <c r="E12" s="539" t="n"/>
      <c r="F12" s="539" t="n"/>
      <c r="G12" s="539" t="n"/>
      <c r="H12" s="539">
        <f>IF(F12=0,"",(G12-F12))</f>
      </c>
      <c r="I12" s="539">
        <f>IF(F12=0,"",(G12-F12)/F12*100)</f>
      </c>
      <c r="J12" s="27" t="n"/>
    </row>
    <row r="13" ht="15.5" customHeight="1">
      <c r="A13" s="23" t="n"/>
      <c r="B13" s="24" t="n"/>
      <c r="C13" s="25" t="n"/>
      <c r="D13" s="539" t="n"/>
      <c r="E13" s="539" t="n"/>
      <c r="F13" s="539" t="n"/>
      <c r="G13" s="539" t="n"/>
      <c r="H13" s="539">
        <f>IF(F13=0,"",(G13-F13))</f>
      </c>
      <c r="I13" s="539">
        <f>IF(F13=0,"",(G13-F13)/F13*100)</f>
      </c>
      <c r="J13" s="27" t="n"/>
    </row>
    <row r="14" ht="15.5" customHeight="1">
      <c r="A14" s="23" t="n"/>
      <c r="B14" s="24" t="n"/>
      <c r="C14" s="25" t="n"/>
      <c r="D14" s="539" t="n"/>
      <c r="E14" s="539" t="n"/>
      <c r="F14" s="539" t="n"/>
      <c r="G14" s="539" t="n"/>
      <c r="H14" s="539">
        <f>IF(F14=0,"",(G14-F14))</f>
      </c>
      <c r="I14" s="539">
        <f>IF(F14=0,"",(G14-F14)/F14*100)</f>
      </c>
      <c r="J14" s="27" t="n"/>
    </row>
    <row r="15" ht="15.5" customHeight="1">
      <c r="A15" s="23" t="n"/>
      <c r="B15" s="24" t="n"/>
      <c r="C15" s="25" t="n"/>
      <c r="D15" s="539" t="n"/>
      <c r="E15" s="539" t="n"/>
      <c r="F15" s="539" t="n"/>
      <c r="G15" s="539" t="n"/>
      <c r="H15" s="539">
        <f>IF(F15=0,"",(G15-F15))</f>
      </c>
      <c r="I15" s="539">
        <f>IF(F15=0,"",(G15-F15)/F15*100)</f>
      </c>
      <c r="J15" s="27" t="n"/>
    </row>
    <row r="16" ht="15.5" customHeight="1">
      <c r="A16" s="23" t="n"/>
      <c r="B16" s="24" t="n"/>
      <c r="C16" s="25" t="n"/>
      <c r="D16" s="539" t="n"/>
      <c r="E16" s="539" t="n"/>
      <c r="F16" s="539" t="n"/>
      <c r="G16" s="539" t="n"/>
      <c r="H16" s="539">
        <f>IF(F16=0,"",(G16-F16))</f>
      </c>
      <c r="I16" s="539">
        <f>IF(F16=0,"",(G16-F16)/F16*100)</f>
      </c>
      <c r="J16" s="27" t="n"/>
    </row>
    <row r="17" ht="15.5" customHeight="1">
      <c r="A17" s="23" t="n"/>
      <c r="B17" s="24" t="n"/>
      <c r="C17" s="25" t="n"/>
      <c r="D17" s="539" t="n"/>
      <c r="E17" s="539" t="n"/>
      <c r="F17" s="539" t="n"/>
      <c r="G17" s="539" t="n"/>
      <c r="H17" s="539">
        <f>IF(F17=0,"",(G17-F17))</f>
      </c>
      <c r="I17" s="539">
        <f>IF(F17=0,"",(G17-F17)/F17*100)</f>
      </c>
      <c r="J17" s="27" t="n"/>
    </row>
    <row r="18" ht="15.5" customHeight="1">
      <c r="A18" s="23" t="n"/>
      <c r="B18" s="24" t="n"/>
      <c r="C18" s="25" t="n"/>
      <c r="D18" s="539" t="n"/>
      <c r="E18" s="539" t="n"/>
      <c r="F18" s="539" t="n"/>
      <c r="G18" s="539" t="n"/>
      <c r="H18" s="539">
        <f>IF(F18=0,"",(G18-F18))</f>
      </c>
      <c r="I18" s="539">
        <f>IF(F18=0,"",(G18-F18)/F18*100)</f>
      </c>
      <c r="J18" s="27" t="n"/>
    </row>
    <row r="19" ht="15.5" customHeight="1">
      <c r="A19" s="23" t="n"/>
      <c r="B19" s="24" t="n"/>
      <c r="C19" s="25" t="n"/>
      <c r="D19" s="539" t="n"/>
      <c r="E19" s="539" t="n"/>
      <c r="F19" s="539" t="n"/>
      <c r="G19" s="539" t="n"/>
      <c r="H19" s="539">
        <f>IF(F19=0,"",(G19-F19))</f>
      </c>
      <c r="I19" s="539">
        <f>IF(F19=0,"",(G19-F19)/F19*100)</f>
      </c>
      <c r="J19" s="27" t="n"/>
    </row>
    <row r="20" ht="15.5" customHeight="1">
      <c r="A20" s="23" t="n"/>
      <c r="B20" s="24" t="n"/>
      <c r="C20" s="25" t="n"/>
      <c r="D20" s="539" t="n"/>
      <c r="E20" s="539" t="n"/>
      <c r="F20" s="539" t="n"/>
      <c r="G20" s="539" t="n"/>
      <c r="H20" s="539">
        <f>IF(F20=0,"",(G20-F20))</f>
      </c>
      <c r="I20" s="539">
        <f>IF(F20=0,"",(G20-F20)/F20*100)</f>
      </c>
      <c r="J20" s="27" t="n"/>
    </row>
    <row r="21" ht="15.5" customHeight="1">
      <c r="A21" s="23" t="n"/>
      <c r="B21" s="24" t="n"/>
      <c r="C21" s="25" t="n"/>
      <c r="D21" s="539" t="n"/>
      <c r="E21" s="539" t="n"/>
      <c r="F21" s="539" t="n"/>
      <c r="G21" s="539" t="n"/>
      <c r="H21" s="539">
        <f>IF(F21=0,"",(G21-F21))</f>
      </c>
      <c r="I21" s="539">
        <f>IF(F21=0,"",(G21-F21)/F21*100)</f>
      </c>
      <c r="J21" s="27" t="n"/>
    </row>
    <row r="22" ht="15.5" customHeight="1">
      <c r="A22" s="23" t="n"/>
      <c r="B22" s="24" t="n"/>
      <c r="C22" s="25" t="n"/>
      <c r="D22" s="539" t="n"/>
      <c r="E22" s="539" t="n"/>
      <c r="F22" s="539" t="n"/>
      <c r="G22" s="539" t="n"/>
      <c r="H22" s="539">
        <f>IF(F22=0,"",(G22-F22))</f>
      </c>
      <c r="I22" s="539">
        <f>IF(F22=0,"",(G22-F22)/F22*100)</f>
      </c>
      <c r="J22" s="27" t="n"/>
    </row>
    <row r="23" ht="15.5" customHeight="1">
      <c r="A23" s="23" t="n"/>
      <c r="B23" s="24" t="n"/>
      <c r="C23" s="25" t="n"/>
      <c r="D23" s="539" t="n"/>
      <c r="E23" s="539" t="n"/>
      <c r="F23" s="539" t="n"/>
      <c r="G23" s="539" t="n"/>
      <c r="H23" s="539">
        <f>IF(F23=0,"",(G23-F23))</f>
      </c>
      <c r="I23" s="539">
        <f>IF(F23=0,"",(G23-F23)/F23*100)</f>
      </c>
      <c r="J23" s="27" t="n"/>
    </row>
    <row r="24" ht="15.5" customHeight="1">
      <c r="A24" s="23" t="n"/>
      <c r="B24" s="24" t="n"/>
      <c r="C24" s="25" t="n"/>
      <c r="D24" s="539" t="n"/>
      <c r="E24" s="539" t="n"/>
      <c r="F24" s="539" t="n"/>
      <c r="G24" s="539" t="n"/>
      <c r="H24" s="539">
        <f>IF(F24=0,"",(G24-F24))</f>
      </c>
      <c r="I24" s="539">
        <f>IF(F24=0,"",(G24-F24)/F24*100)</f>
      </c>
      <c r="J24" s="27" t="n"/>
    </row>
    <row r="25" ht="15.5" customHeight="1">
      <c r="A25" s="23" t="n"/>
      <c r="B25" s="24" t="n"/>
      <c r="C25" s="25" t="n"/>
      <c r="D25" s="539" t="n"/>
      <c r="E25" s="539" t="n"/>
      <c r="F25" s="539" t="n"/>
      <c r="G25" s="539" t="n"/>
      <c r="H25" s="539">
        <f>IF(F25=0,"",(G25-F25))</f>
      </c>
      <c r="I25" s="539">
        <f>IF(F25=0,"",(G25-F25)/F25*100)</f>
      </c>
      <c r="J25" s="27" t="n"/>
    </row>
    <row r="26" ht="15.5" customHeight="1">
      <c r="A26" s="23" t="n"/>
      <c r="B26" s="24" t="n"/>
      <c r="C26" s="25" t="n"/>
      <c r="D26" s="539" t="n"/>
      <c r="E26" s="539" t="n"/>
      <c r="F26" s="539" t="n"/>
      <c r="G26" s="539" t="n"/>
      <c r="H26" s="539">
        <f>IF(F26=0,"",(G26-F26))</f>
      </c>
      <c r="I26" s="539">
        <f>IF(F26=0,"",(G26-F26)/F26*100)</f>
      </c>
      <c r="J26" s="27" t="n"/>
    </row>
    <row r="27" ht="15.5" customHeight="1">
      <c r="A27" s="21" t="inlineStr">
        <is>
          <t>合         计</t>
        </is>
      </c>
      <c r="B27" s="28" t="n"/>
      <c r="C27" s="25" t="n"/>
      <c r="D27" s="539">
        <f>SUM(D6:D26)</f>
      </c>
      <c r="E27" s="539" t="n"/>
      <c r="F27" s="539">
        <f>SUM(F6:F26)</f>
      </c>
      <c r="G27" s="539">
        <f>SUM(G6:G26)</f>
      </c>
      <c r="H27" s="539">
        <f>IF(F27=0,"",(G27-F27))</f>
      </c>
      <c r="I27" s="539">
        <f>IF(F27=0,"",(G27-F27)/F27*100)</f>
      </c>
      <c r="J27" s="27" t="n"/>
    </row>
    <row r="28" ht="15.5" customHeight="1">
      <c r="A28" s="29">
        <f>封面!D11&amp;封面!G11</f>
      </c>
      <c r="G28" s="13">
        <f>"评估人员："&amp;封面!G20</f>
      </c>
    </row>
    <row r="29" ht="15.5" customHeight="1">
      <c r="A29" s="29">
        <f>CONCATENATE(封面!D13,封面!F13,封面!G13,封面!H13,封面!I13,封面!J13,封面!K13)</f>
      </c>
    </row>
  </sheetData>
  <mergeCells count="3">
    <mergeCell ref="A27:B27"/>
    <mergeCell ref="A3:J3"/>
    <mergeCell ref="A2:J2"/>
  </mergeCells>
  <hyperlinks>
    <hyperlink ref="A1" location="索引目录!D45" display="返回索引页"/>
    <hyperlink ref="B1" location="固定资产汇总!B24" display="返回"/>
  </hyperlinks>
  <printOptions horizontalCentered="1"/>
  <pageMargins left="0.354330708661417" right="0.354330708661417" top="0.78740157480315" bottom="0.78740157480315" header="0.96" footer="0.511811023622047"/>
  <pageSetup orientation="landscape" paperSize="9" scale="94" fitToHeight="0"/>
  <headerFooter alignWithMargins="0">
    <oddHeader>&amp;R&amp;"宋体,常规"共&amp;"Times New Roman,常规"&amp;N&amp;"宋体,常规"页第&amp;"Times New Roman,常规"&amp;P&amp;"宋体,常规"4-9_x000a_页</oddHeader>
    <oddFooter/>
    <evenHeader/>
    <evenFooter/>
    <firstHeader/>
    <firstFooter/>
  </headerFooter>
  <legacyDrawing xmlns:r="http://schemas.openxmlformats.org/officeDocument/2006/relationships" r:id="anysvml"/>
</worksheet>
</file>

<file path=xl/worksheets/sheet60.xml><?xml version="1.0" encoding="utf-8"?>
<worksheet xmlns="http://schemas.openxmlformats.org/spreadsheetml/2006/main">
  <sheetPr codeName="Sheet60">
    <tabColor indexed="13"/>
    <outlinePr summaryBelow="1" summaryRight="1"/>
    <pageSetUpPr fitToPage="1"/>
  </sheetPr>
  <dimension ref="A1:R29"/>
  <sheetViews>
    <sheetView view="pageBreakPreview" zoomScale="60" zoomScaleNormal="100" workbookViewId="0">
      <selection activeCell="G451" sqref="G451"/>
    </sheetView>
  </sheetViews>
  <sheetFormatPr baseColWidth="8" defaultColWidth="9" defaultRowHeight="15.75" customHeight="1"/>
  <cols>
    <col width="4.33333333333333" customWidth="1" style="13" min="1" max="1"/>
    <col width="9.83333333333333" customWidth="1" style="13" min="2" max="2"/>
    <col width="11.25" customWidth="1" style="13" min="3" max="3"/>
    <col hidden="1" outlineLevel="1" width="8" customWidth="1" style="13" min="4" max="4"/>
    <col collapsed="1" width="7.75" customWidth="1" style="13" min="5" max="5"/>
    <col width="5.33333333333333" customWidth="1" style="13" min="6" max="6"/>
    <col width="7.5" customWidth="1" style="13" min="7" max="7"/>
    <col hidden="1" outlineLevel="1" width="11" customWidth="1" style="13" min="8" max="11"/>
    <col collapsed="1" width="13.8333333333333" customWidth="1" style="13" min="12" max="12"/>
    <col width="13.8333333333333" customWidth="1" style="13" min="13" max="14"/>
    <col width="7" customWidth="1" style="13" min="15" max="15"/>
    <col width="13.75" customWidth="1" style="13" min="16" max="16"/>
    <col width="5.75" customWidth="1" style="13" min="17" max="17"/>
    <col width="7.08333333333333" customWidth="1" style="13" min="18" max="18"/>
    <col width="9" customWidth="1" style="13" min="19"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c r="P1" s="16" t="n"/>
      <c r="Q1" s="16" t="n"/>
      <c r="R1" s="16" t="n"/>
    </row>
    <row r="2" ht="30" customFormat="1" customHeight="1" s="11">
      <c r="A2" s="17" t="inlineStr">
        <is>
          <t>生产性生物资产评估明细表</t>
        </is>
      </c>
    </row>
    <row r="3" ht="14.15" customHeight="1">
      <c r="A3" s="535">
        <f>CONCATENATE(封面!D9,封面!F9,封面!G9,封面!H9,封面!I9,封面!J9,封面!K9)</f>
      </c>
    </row>
    <row r="4" ht="15.5" customHeight="1">
      <c r="A4" s="536">
        <f>封面!D7&amp;封面!F7</f>
      </c>
      <c r="R4" s="20" t="inlineStr">
        <is>
          <t>金额单位：人民币元</t>
        </is>
      </c>
    </row>
    <row r="5" ht="13" customFormat="1" customHeight="1" s="12">
      <c r="A5" s="21" t="inlineStr">
        <is>
          <t>序号</t>
        </is>
      </c>
      <c r="B5" s="21" t="inlineStr">
        <is>
          <t>种类</t>
        </is>
      </c>
      <c r="C5" s="22" t="inlineStr">
        <is>
          <t>群别</t>
        </is>
      </c>
      <c r="D5" s="100" t="inlineStr">
        <is>
          <t>使用单位</t>
        </is>
      </c>
      <c r="E5" s="22" t="inlineStr">
        <is>
          <t>计量单位</t>
        </is>
      </c>
      <c r="F5" s="22" t="inlineStr">
        <is>
          <t>数量</t>
        </is>
      </c>
      <c r="G5" s="22" t="inlineStr">
        <is>
          <t>购置日期</t>
        </is>
      </c>
      <c r="H5" s="101" t="inlineStr">
        <is>
          <t>审计前账面值</t>
        </is>
      </c>
      <c r="I5" s="28" t="n"/>
      <c r="J5" s="102" t="inlineStr">
        <is>
          <t>审计调整</t>
        </is>
      </c>
      <c r="K5" s="28" t="n"/>
      <c r="L5" s="21" t="inlineStr">
        <is>
          <t>账面价值</t>
        </is>
      </c>
      <c r="M5" s="28" t="n"/>
      <c r="N5" s="21" t="inlineStr">
        <is>
          <t>评估价值</t>
        </is>
      </c>
      <c r="O5" s="138" t="n"/>
      <c r="P5" s="28" t="n"/>
      <c r="Q5" s="22" t="inlineStr">
        <is>
          <t>增值率%</t>
        </is>
      </c>
      <c r="R5" s="22" t="inlineStr">
        <is>
          <t>备注</t>
        </is>
      </c>
    </row>
    <row r="6" ht="13" customFormat="1" customHeight="1" s="12">
      <c r="A6" s="36" t="n"/>
      <c r="B6" s="36" t="n"/>
      <c r="C6" s="36" t="n"/>
      <c r="D6" s="36" t="n"/>
      <c r="E6" s="36" t="n"/>
      <c r="F6" s="36" t="n"/>
      <c r="G6" s="36" t="n"/>
      <c r="H6" s="21" t="inlineStr">
        <is>
          <t>原值</t>
        </is>
      </c>
      <c r="I6" s="21" t="inlineStr">
        <is>
          <t>净值</t>
        </is>
      </c>
      <c r="J6" s="21" t="inlineStr">
        <is>
          <t>原值</t>
        </is>
      </c>
      <c r="K6" s="21" t="inlineStr">
        <is>
          <t>净值</t>
        </is>
      </c>
      <c r="L6" s="21" t="inlineStr">
        <is>
          <t>原值</t>
        </is>
      </c>
      <c r="M6" s="21" t="inlineStr">
        <is>
          <t>净值</t>
        </is>
      </c>
      <c r="N6" s="21" t="inlineStr">
        <is>
          <t>原值</t>
        </is>
      </c>
      <c r="O6" s="21" t="inlineStr">
        <is>
          <t>成新率%</t>
        </is>
      </c>
      <c r="P6" s="21" t="inlineStr">
        <is>
          <t>净值</t>
        </is>
      </c>
      <c r="Q6" s="36" t="n"/>
      <c r="R6" s="36" t="n"/>
    </row>
    <row r="7" ht="15.5" customHeight="1">
      <c r="A7" s="23" t="n"/>
      <c r="B7" s="24" t="n"/>
      <c r="C7" s="24" t="n"/>
      <c r="D7" s="103" t="n"/>
      <c r="E7" s="23" t="n"/>
      <c r="F7" s="23" t="n"/>
      <c r="G7" s="25" t="n"/>
      <c r="H7" s="539" t="n"/>
      <c r="I7" s="539" t="n"/>
      <c r="J7" s="539" t="n"/>
      <c r="K7" s="539" t="n"/>
      <c r="L7" s="539" t="n"/>
      <c r="M7" s="539" t="n"/>
      <c r="N7" s="539" t="n"/>
      <c r="O7" s="23" t="n"/>
      <c r="P7" s="539">
        <f>ROUND(N7*O7/100,0)</f>
      </c>
      <c r="Q7" s="539">
        <f>IF(M7=0,"",(P7-M7)/M7*100)</f>
      </c>
      <c r="R7" s="27" t="n"/>
    </row>
    <row r="8" ht="15.5" customHeight="1">
      <c r="A8" s="23" t="n"/>
      <c r="B8" s="24" t="n"/>
      <c r="C8" s="24" t="n"/>
      <c r="D8" s="103" t="n"/>
      <c r="E8" s="23" t="n"/>
      <c r="F8" s="23" t="n"/>
      <c r="G8" s="25" t="n"/>
      <c r="H8" s="539" t="n"/>
      <c r="I8" s="539" t="n"/>
      <c r="J8" s="539" t="n"/>
      <c r="K8" s="539" t="n"/>
      <c r="L8" s="539" t="n"/>
      <c r="M8" s="539" t="n"/>
      <c r="N8" s="539" t="n"/>
      <c r="O8" s="23" t="n"/>
      <c r="P8" s="539">
        <f>ROUND(N8*O8/100,0)</f>
      </c>
      <c r="Q8" s="539">
        <f>IF(M8=0,"",(P8-M8)/M8*100)</f>
      </c>
      <c r="R8" s="27" t="n"/>
    </row>
    <row r="9" ht="15.5" customHeight="1">
      <c r="A9" s="23" t="n"/>
      <c r="B9" s="24" t="n"/>
      <c r="C9" s="24" t="n"/>
      <c r="D9" s="103" t="n"/>
      <c r="E9" s="23" t="n"/>
      <c r="F9" s="23" t="n"/>
      <c r="G9" s="25" t="n"/>
      <c r="H9" s="539" t="n"/>
      <c r="I9" s="539" t="n"/>
      <c r="J9" s="539" t="n"/>
      <c r="K9" s="539" t="n"/>
      <c r="L9" s="539" t="n"/>
      <c r="M9" s="539" t="n"/>
      <c r="N9" s="539" t="n"/>
      <c r="O9" s="23" t="n"/>
      <c r="P9" s="539">
        <f>ROUND(N9*O9/100,0)</f>
      </c>
      <c r="Q9" s="539">
        <f>IF(M9=0,"",(P9-M9)/M9*100)</f>
      </c>
      <c r="R9" s="27" t="n"/>
    </row>
    <row r="10" ht="15.5" customHeight="1">
      <c r="A10" s="23" t="n"/>
      <c r="B10" s="24" t="n"/>
      <c r="C10" s="24" t="n"/>
      <c r="D10" s="103" t="n"/>
      <c r="E10" s="23" t="n"/>
      <c r="F10" s="23" t="n"/>
      <c r="G10" s="25" t="n"/>
      <c r="H10" s="539" t="n"/>
      <c r="I10" s="539" t="n"/>
      <c r="J10" s="539" t="n"/>
      <c r="K10" s="539" t="n"/>
      <c r="L10" s="539" t="n"/>
      <c r="M10" s="539" t="n"/>
      <c r="N10" s="539" t="n"/>
      <c r="O10" s="23" t="n"/>
      <c r="P10" s="539">
        <f>ROUND(N10*O10/100,0)</f>
      </c>
      <c r="Q10" s="539">
        <f>IF(M10=0,"",(P10-M10)/M10*100)</f>
      </c>
      <c r="R10" s="27" t="n"/>
    </row>
    <row r="11" ht="15.5" customHeight="1">
      <c r="A11" s="23" t="n"/>
      <c r="B11" s="24" t="n"/>
      <c r="C11" s="24" t="n"/>
      <c r="D11" s="103" t="n"/>
      <c r="E11" s="23" t="n"/>
      <c r="F11" s="23" t="n"/>
      <c r="G11" s="25" t="n"/>
      <c r="H11" s="539" t="n"/>
      <c r="I11" s="539" t="n"/>
      <c r="J11" s="539" t="n"/>
      <c r="K11" s="539" t="n"/>
      <c r="L11" s="539" t="n"/>
      <c r="M11" s="539" t="n"/>
      <c r="N11" s="539" t="n"/>
      <c r="O11" s="23" t="n"/>
      <c r="P11" s="539">
        <f>ROUND(N11*O11/100,0)</f>
      </c>
      <c r="Q11" s="539">
        <f>IF(M11=0,"",(P11-M11)/M11*100)</f>
      </c>
      <c r="R11" s="27" t="n"/>
    </row>
    <row r="12" ht="15.5" customHeight="1">
      <c r="A12" s="23" t="n"/>
      <c r="B12" s="24" t="n"/>
      <c r="C12" s="24" t="n"/>
      <c r="D12" s="103" t="n"/>
      <c r="E12" s="23" t="n"/>
      <c r="F12" s="23" t="n"/>
      <c r="G12" s="25" t="n"/>
      <c r="H12" s="539" t="n"/>
      <c r="I12" s="539" t="n"/>
      <c r="J12" s="539" t="n"/>
      <c r="K12" s="539" t="n"/>
      <c r="L12" s="539" t="n"/>
      <c r="M12" s="539" t="n"/>
      <c r="N12" s="539" t="n"/>
      <c r="O12" s="23" t="n"/>
      <c r="P12" s="539">
        <f>ROUND(N12*O12/100,0)</f>
      </c>
      <c r="Q12" s="539">
        <f>IF(M12=0,"",(P12-M12)/M12*100)</f>
      </c>
      <c r="R12" s="27" t="n"/>
    </row>
    <row r="13" ht="15.5" customHeight="1">
      <c r="A13" s="23" t="n"/>
      <c r="B13" s="24" t="n"/>
      <c r="C13" s="24" t="n"/>
      <c r="D13" s="103" t="n"/>
      <c r="E13" s="23" t="n"/>
      <c r="F13" s="23" t="n"/>
      <c r="G13" s="25" t="n"/>
      <c r="H13" s="539" t="n"/>
      <c r="I13" s="539" t="n"/>
      <c r="J13" s="539" t="n"/>
      <c r="K13" s="539" t="n"/>
      <c r="L13" s="539" t="n"/>
      <c r="M13" s="539" t="n"/>
      <c r="N13" s="539" t="n"/>
      <c r="O13" s="23" t="n"/>
      <c r="P13" s="539">
        <f>ROUND(N13*O13/100,0)</f>
      </c>
      <c r="Q13" s="539">
        <f>IF(M13=0,"",(P13-M13)/M13*100)</f>
      </c>
      <c r="R13" s="27" t="n"/>
    </row>
    <row r="14" ht="15.5" customHeight="1">
      <c r="A14" s="23" t="n"/>
      <c r="B14" s="24" t="n"/>
      <c r="C14" s="24" t="n"/>
      <c r="D14" s="103" t="n"/>
      <c r="E14" s="23" t="n"/>
      <c r="F14" s="23" t="n"/>
      <c r="G14" s="25" t="n"/>
      <c r="H14" s="539" t="n"/>
      <c r="I14" s="539" t="n"/>
      <c r="J14" s="539" t="n"/>
      <c r="K14" s="539" t="n"/>
      <c r="L14" s="539" t="n"/>
      <c r="M14" s="539" t="n"/>
      <c r="N14" s="539" t="n"/>
      <c r="O14" s="23" t="n"/>
      <c r="P14" s="539">
        <f>ROUND(N14*O14/100,0)</f>
      </c>
      <c r="Q14" s="539">
        <f>IF(M14=0,"",(P14-M14)/M14*100)</f>
      </c>
      <c r="R14" s="27" t="n"/>
    </row>
    <row r="15" ht="15.5" customHeight="1">
      <c r="A15" s="23" t="n"/>
      <c r="B15" s="24" t="n"/>
      <c r="C15" s="24" t="n"/>
      <c r="D15" s="103" t="n"/>
      <c r="E15" s="23" t="n"/>
      <c r="F15" s="23" t="n"/>
      <c r="G15" s="25" t="n"/>
      <c r="H15" s="539" t="n"/>
      <c r="I15" s="539" t="n"/>
      <c r="J15" s="539" t="n"/>
      <c r="K15" s="539" t="n"/>
      <c r="L15" s="539" t="n"/>
      <c r="M15" s="539" t="n"/>
      <c r="N15" s="539" t="n"/>
      <c r="O15" s="23" t="n"/>
      <c r="P15" s="539">
        <f>ROUND(N15*O15/100,0)</f>
      </c>
      <c r="Q15" s="539">
        <f>IF(M15=0,"",(P15-M15)/M15*100)</f>
      </c>
      <c r="R15" s="27" t="n"/>
    </row>
    <row r="16" ht="15.5" customHeight="1">
      <c r="A16" s="23" t="n"/>
      <c r="B16" s="24" t="n"/>
      <c r="C16" s="24" t="n"/>
      <c r="D16" s="103" t="n"/>
      <c r="E16" s="23" t="n"/>
      <c r="F16" s="23" t="n"/>
      <c r="G16" s="25" t="n"/>
      <c r="H16" s="539" t="n"/>
      <c r="I16" s="539" t="n"/>
      <c r="J16" s="539" t="n"/>
      <c r="K16" s="539" t="n"/>
      <c r="L16" s="539" t="n"/>
      <c r="M16" s="539" t="n"/>
      <c r="N16" s="539" t="n"/>
      <c r="O16" s="23" t="n"/>
      <c r="P16" s="539">
        <f>ROUND(N16*O16/100,0)</f>
      </c>
      <c r="Q16" s="539">
        <f>IF(M16=0,"",(P16-M16)/M16*100)</f>
      </c>
      <c r="R16" s="27" t="n"/>
    </row>
    <row r="17" ht="15.5" customHeight="1">
      <c r="A17" s="23" t="n"/>
      <c r="B17" s="24" t="n"/>
      <c r="C17" s="24" t="n"/>
      <c r="D17" s="103" t="n"/>
      <c r="E17" s="23" t="n"/>
      <c r="F17" s="23" t="n"/>
      <c r="G17" s="25" t="n"/>
      <c r="H17" s="539" t="n"/>
      <c r="I17" s="539" t="n"/>
      <c r="J17" s="539" t="n"/>
      <c r="K17" s="539" t="n"/>
      <c r="L17" s="539" t="n"/>
      <c r="M17" s="539" t="n"/>
      <c r="N17" s="539" t="n"/>
      <c r="O17" s="23" t="n"/>
      <c r="P17" s="539">
        <f>ROUND(N17*O17/100,0)</f>
      </c>
      <c r="Q17" s="539">
        <f>IF(M17=0,"",(P17-M17)/M17*100)</f>
      </c>
      <c r="R17" s="27" t="n"/>
    </row>
    <row r="18" ht="15.5" customHeight="1">
      <c r="A18" s="23" t="n"/>
      <c r="B18" s="24" t="n"/>
      <c r="C18" s="24" t="n"/>
      <c r="D18" s="103" t="n"/>
      <c r="E18" s="23" t="n"/>
      <c r="F18" s="23" t="n"/>
      <c r="G18" s="25" t="n"/>
      <c r="H18" s="539" t="n"/>
      <c r="I18" s="539" t="n"/>
      <c r="J18" s="539" t="n"/>
      <c r="K18" s="539" t="n"/>
      <c r="L18" s="539" t="n"/>
      <c r="M18" s="539" t="n"/>
      <c r="N18" s="539" t="n"/>
      <c r="O18" s="23" t="n"/>
      <c r="P18" s="539">
        <f>ROUND(N18*O18/100,0)</f>
      </c>
      <c r="Q18" s="539">
        <f>IF(M18=0,"",(P18-M18)/M18*100)</f>
      </c>
      <c r="R18" s="27" t="n"/>
    </row>
    <row r="19" ht="15.5" customHeight="1">
      <c r="A19" s="23" t="n"/>
      <c r="B19" s="24" t="n"/>
      <c r="C19" s="24" t="n"/>
      <c r="D19" s="103" t="n"/>
      <c r="E19" s="23" t="n"/>
      <c r="F19" s="23" t="n"/>
      <c r="G19" s="25" t="n"/>
      <c r="H19" s="539" t="n"/>
      <c r="I19" s="539" t="n"/>
      <c r="J19" s="539" t="n"/>
      <c r="K19" s="539" t="n"/>
      <c r="L19" s="539" t="n"/>
      <c r="M19" s="539" t="n"/>
      <c r="N19" s="539" t="n"/>
      <c r="O19" s="23" t="n"/>
      <c r="P19" s="539">
        <f>ROUND(N19*O19/100,0)</f>
      </c>
      <c r="Q19" s="539">
        <f>IF(M19=0,"",(P19-M19)/M19*100)</f>
      </c>
      <c r="R19" s="27" t="n"/>
    </row>
    <row r="20" ht="15.5" customHeight="1">
      <c r="A20" s="23" t="n"/>
      <c r="B20" s="24" t="n"/>
      <c r="C20" s="24" t="n"/>
      <c r="D20" s="103" t="n"/>
      <c r="E20" s="23" t="n"/>
      <c r="F20" s="23" t="n"/>
      <c r="G20" s="25" t="n"/>
      <c r="H20" s="539" t="n"/>
      <c r="I20" s="539" t="n"/>
      <c r="J20" s="539" t="n"/>
      <c r="K20" s="539" t="n"/>
      <c r="L20" s="539" t="n"/>
      <c r="M20" s="539" t="n"/>
      <c r="N20" s="539" t="n"/>
      <c r="O20" s="23" t="n"/>
      <c r="P20" s="539">
        <f>ROUND(N20*O20/100,0)</f>
      </c>
      <c r="Q20" s="539">
        <f>IF(M20=0,"",(P20-M20)/M20*100)</f>
      </c>
      <c r="R20" s="27" t="n"/>
    </row>
    <row r="21" ht="15.5" customHeight="1">
      <c r="A21" s="23" t="n"/>
      <c r="B21" s="24" t="n"/>
      <c r="C21" s="24" t="n"/>
      <c r="D21" s="103" t="n"/>
      <c r="E21" s="23" t="n"/>
      <c r="F21" s="23" t="n"/>
      <c r="G21" s="25" t="n"/>
      <c r="H21" s="539" t="n"/>
      <c r="I21" s="539" t="n"/>
      <c r="J21" s="539" t="n"/>
      <c r="K21" s="539" t="n"/>
      <c r="L21" s="539" t="n"/>
      <c r="M21" s="539" t="n"/>
      <c r="N21" s="539" t="n"/>
      <c r="O21" s="23" t="n"/>
      <c r="P21" s="539">
        <f>ROUND(N21*O21/100,0)</f>
      </c>
      <c r="Q21" s="539">
        <f>IF(M21=0,"",(P21-M21)/M21*100)</f>
      </c>
      <c r="R21" s="27" t="n"/>
    </row>
    <row r="22" ht="15.5" customHeight="1">
      <c r="A22" s="23" t="n"/>
      <c r="B22" s="24" t="n"/>
      <c r="C22" s="24" t="n"/>
      <c r="D22" s="103" t="n"/>
      <c r="E22" s="23" t="n"/>
      <c r="F22" s="23" t="n"/>
      <c r="G22" s="25" t="n"/>
      <c r="H22" s="539" t="n"/>
      <c r="I22" s="539" t="n"/>
      <c r="J22" s="539" t="n"/>
      <c r="K22" s="539" t="n"/>
      <c r="L22" s="539" t="n"/>
      <c r="M22" s="539" t="n"/>
      <c r="N22" s="539" t="n"/>
      <c r="O22" s="23" t="n"/>
      <c r="P22" s="539">
        <f>ROUND(N22*O22/100,0)</f>
      </c>
      <c r="Q22" s="539">
        <f>IF(M22=0,"",(P22-M22)/M22*100)</f>
      </c>
      <c r="R22" s="27" t="n"/>
    </row>
    <row r="23" ht="15.5" customHeight="1">
      <c r="A23" s="23" t="n"/>
      <c r="B23" s="24" t="n"/>
      <c r="C23" s="24" t="n"/>
      <c r="D23" s="103" t="n"/>
      <c r="E23" s="23" t="n"/>
      <c r="F23" s="23" t="n"/>
      <c r="G23" s="25" t="n"/>
      <c r="H23" s="539" t="n"/>
      <c r="I23" s="539" t="n"/>
      <c r="J23" s="539" t="n"/>
      <c r="K23" s="539" t="n"/>
      <c r="L23" s="539" t="n"/>
      <c r="M23" s="539" t="n"/>
      <c r="N23" s="539" t="n"/>
      <c r="O23" s="23" t="n"/>
      <c r="P23" s="539">
        <f>ROUND(N23*O23/100,0)</f>
      </c>
      <c r="Q23" s="539">
        <f>IF(M23=0,"",(P23-M23)/M23*100)</f>
      </c>
      <c r="R23" s="27" t="n"/>
    </row>
    <row r="24" ht="15.5" customHeight="1">
      <c r="A24" s="23" t="n"/>
      <c r="B24" s="24" t="n"/>
      <c r="C24" s="24" t="n"/>
      <c r="D24" s="103" t="n"/>
      <c r="E24" s="23" t="n"/>
      <c r="F24" s="23" t="n"/>
      <c r="G24" s="25" t="n"/>
      <c r="H24" s="539" t="n"/>
      <c r="I24" s="539" t="n"/>
      <c r="J24" s="539" t="n"/>
      <c r="K24" s="539" t="n"/>
      <c r="L24" s="539" t="n"/>
      <c r="M24" s="539" t="n"/>
      <c r="N24" s="539" t="n"/>
      <c r="O24" s="23" t="n"/>
      <c r="P24" s="539">
        <f>ROUND(N24*O24/100,0)</f>
      </c>
      <c r="Q24" s="539">
        <f>IF(M24=0,"",(P24-M24)/M24*100)</f>
      </c>
      <c r="R24" s="27" t="n"/>
    </row>
    <row r="25" ht="15.5" customHeight="1">
      <c r="A25" s="21" t="inlineStr">
        <is>
          <t>合            计</t>
        </is>
      </c>
      <c r="B25" s="138" t="n"/>
      <c r="C25" s="28" t="n"/>
      <c r="D25" s="103" t="n"/>
      <c r="E25" s="23" t="n"/>
      <c r="F25" s="23" t="n"/>
      <c r="G25" s="25" t="n"/>
      <c r="H25" s="539">
        <f>SUM(H7:H24)</f>
      </c>
      <c r="I25" s="539">
        <f>SUM(I7:I24)</f>
      </c>
      <c r="J25" s="539" t="n"/>
      <c r="K25" s="539" t="n"/>
      <c r="L25" s="539">
        <f>SUM(L7:L24)</f>
      </c>
      <c r="M25" s="539">
        <f>SUM(M7:M24)</f>
      </c>
      <c r="N25" s="539">
        <f>SUM(N7:N24)</f>
      </c>
      <c r="O25" s="23" t="n"/>
      <c r="P25" s="539">
        <f>SUM(P7:P24)</f>
      </c>
      <c r="Q25" s="539">
        <f>IF(M25=0,"",(P25-M25)/M25*100)</f>
      </c>
      <c r="R25" s="27" t="n"/>
    </row>
    <row r="26" ht="15.5" customHeight="1">
      <c r="A26" s="21" t="inlineStr">
        <is>
          <t>减：生产性生物资产减值准备</t>
        </is>
      </c>
      <c r="B26" s="138" t="n"/>
      <c r="C26" s="28" t="n"/>
      <c r="D26" s="103" t="n"/>
      <c r="E26" s="23" t="n"/>
      <c r="F26" s="23" t="n"/>
      <c r="G26" s="25" t="n"/>
      <c r="H26" s="539" t="n"/>
      <c r="I26" s="539" t="n"/>
      <c r="J26" s="539" t="n"/>
      <c r="K26" s="539" t="n"/>
      <c r="L26" s="539" t="n"/>
      <c r="M26" s="539">
        <f>I26</f>
      </c>
      <c r="N26" s="539" t="n"/>
      <c r="O26" s="23" t="n"/>
      <c r="P26" s="539"/>
      <c r="Q26" s="539">
        <f>IF(M26=0,"",(P26-M26)/M26*100)</f>
      </c>
      <c r="R26" s="27" t="n"/>
    </row>
    <row r="27" ht="15.5" customHeight="1">
      <c r="A27" s="21" t="inlineStr">
        <is>
          <t>净            额</t>
        </is>
      </c>
      <c r="B27" s="138" t="n"/>
      <c r="C27" s="28" t="n"/>
      <c r="D27" s="104" t="n"/>
      <c r="E27" s="23" t="n"/>
      <c r="F27" s="23" t="n"/>
      <c r="G27" s="25" t="n"/>
      <c r="H27" s="539">
        <f>H25-H26</f>
      </c>
      <c r="I27" s="539">
        <f>I25-I26</f>
      </c>
      <c r="J27" s="539" t="n"/>
      <c r="K27" s="539" t="n"/>
      <c r="L27" s="539">
        <f>L25-L26</f>
      </c>
      <c r="M27" s="539">
        <f>M25-M26</f>
      </c>
      <c r="N27" s="539">
        <f>N25-N26</f>
      </c>
      <c r="O27" s="23" t="n"/>
      <c r="P27" s="539">
        <f>P25-P26</f>
      </c>
      <c r="Q27" s="539">
        <f>IF(M27=0,"",(P27-M27)/M27*100)</f>
      </c>
      <c r="R27" s="27" t="n"/>
    </row>
    <row r="28" ht="15.5" customHeight="1">
      <c r="A28" s="29">
        <f>封面!D11&amp;封面!G11</f>
      </c>
      <c r="L28" s="13">
        <f>"评估人员："&amp;封面!G30</f>
      </c>
    </row>
    <row r="29" ht="15.5" customHeight="1">
      <c r="A29" s="29">
        <f>CONCATENATE(封面!D13,封面!F13,封面!G13,封面!H13,封面!I13,封面!J13,封面!K13)</f>
      </c>
    </row>
  </sheetData>
  <mergeCells count="18">
    <mergeCell ref="A5:A6"/>
    <mergeCell ref="A3:R3"/>
    <mergeCell ref="E5:E6"/>
    <mergeCell ref="G5:G6"/>
    <mergeCell ref="A25:C25"/>
    <mergeCell ref="Q5:Q6"/>
    <mergeCell ref="R5:R6"/>
    <mergeCell ref="J5:K5"/>
    <mergeCell ref="A2:R2"/>
    <mergeCell ref="N5:P5"/>
    <mergeCell ref="A27:C27"/>
    <mergeCell ref="H5:I5"/>
    <mergeCell ref="C5:C6"/>
    <mergeCell ref="L5:M5"/>
    <mergeCell ref="F5:F6"/>
    <mergeCell ref="A26:C26"/>
    <mergeCell ref="B5:B6"/>
    <mergeCell ref="D5:D6"/>
  </mergeCells>
  <hyperlinks>
    <hyperlink ref="A1" location="索引目录!D46" display="返回索引页"/>
    <hyperlink ref="B1" location="固定资产汇总!B26" display="返回"/>
  </hyperlinks>
  <printOptions horizontalCentered="1"/>
  <pageMargins left="0.354330708661417" right="0.354330708661417" top="0.78740157480315" bottom="0.78740157480315" header="1.02362204724409" footer="0.511811023622047"/>
  <pageSetup orientation="landscape" paperSize="9" fitToHeight="0"/>
  <headerFooter alignWithMargins="0">
    <oddHeader>&amp;R&amp;"宋体,常规"共&amp;"Times New Roman,常规"&amp;N&amp;"宋体,常规"页第&amp;"Times New Roman,常规"&amp;P&amp;"宋体,常规"4-10_x000a_页</oddHeader>
    <oddFooter/>
    <evenHeader/>
    <evenFooter/>
    <firstHeader/>
    <firstFooter/>
  </headerFooter>
  <legacyDrawing xmlns:r="http://schemas.openxmlformats.org/officeDocument/2006/relationships" r:id="anysvml"/>
</worksheet>
</file>

<file path=xl/worksheets/sheet61.xml><?xml version="1.0" encoding="utf-8"?>
<worksheet xmlns="http://schemas.openxmlformats.org/spreadsheetml/2006/main">
  <sheetPr codeName="Sheet61">
    <tabColor indexed="13"/>
    <outlinePr summaryBelow="1" summaryRight="1"/>
    <pageSetUpPr fitToPage="1"/>
  </sheetPr>
  <dimension ref="A1:S29"/>
  <sheetViews>
    <sheetView view="pageBreakPreview" zoomScale="60" zoomScaleNormal="100" workbookViewId="0">
      <selection activeCell="G451" sqref="G451"/>
    </sheetView>
  </sheetViews>
  <sheetFormatPr baseColWidth="8" defaultColWidth="9" defaultRowHeight="15.75" customHeight="1"/>
  <cols>
    <col width="4.33333333333333" customWidth="1" style="13" min="1" max="1"/>
    <col width="6.83333333333333" customWidth="1" style="13" min="2" max="2"/>
    <col width="13" customWidth="1" style="13" min="3" max="3"/>
    <col hidden="1" outlineLevel="1" width="8" customWidth="1" style="13" min="4" max="4"/>
    <col collapsed="1" width="9" customWidth="1" style="13" min="5" max="5"/>
    <col width="6.25" customWidth="1" style="13" min="6" max="6"/>
    <col width="8.75" customWidth="1" style="13" min="7" max="7"/>
    <col width="11.8333333333333" customWidth="1" style="13" min="8" max="8"/>
    <col hidden="1" outlineLevel="1" width="11" customWidth="1" style="13" min="9" max="12"/>
    <col collapsed="1" width="11" customWidth="1" style="13" min="13" max="13"/>
    <col width="11" customWidth="1" style="13" min="14" max="15"/>
    <col width="7" customWidth="1" style="13" min="16" max="16"/>
    <col width="11" customWidth="1" style="13" min="17" max="17"/>
    <col width="5.08333333333333" customWidth="1" style="13" min="18" max="18"/>
    <col width="5.5" customWidth="1" style="13" min="19" max="19"/>
    <col width="9" customWidth="1" style="13" min="20"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c r="N1" s="16" t="n"/>
      <c r="O1" s="16" t="n"/>
      <c r="P1" s="16" t="n"/>
      <c r="Q1" s="16" t="n"/>
      <c r="R1" s="16" t="n"/>
      <c r="S1" s="16" t="n"/>
    </row>
    <row r="2" ht="30" customFormat="1" customHeight="1" s="11">
      <c r="A2" s="17" t="inlineStr">
        <is>
          <t>油气资产评估明细表</t>
        </is>
      </c>
    </row>
    <row r="3" ht="14.15" customHeight="1">
      <c r="A3" s="535">
        <f>CONCATENATE(封面!D9,封面!F9,封面!G9,封面!H9,封面!I9,封面!J9,封面!K9)</f>
      </c>
    </row>
    <row r="4" ht="15.5" customHeight="1">
      <c r="A4" s="536">
        <f>封面!D7&amp;封面!F7</f>
      </c>
      <c r="S4" s="20" t="inlineStr">
        <is>
          <t>金额单位：人民币元</t>
        </is>
      </c>
    </row>
    <row r="5" ht="13" customFormat="1" customHeight="1" s="12">
      <c r="A5" s="21" t="inlineStr">
        <is>
          <t>序号</t>
        </is>
      </c>
      <c r="B5" s="21" t="inlineStr">
        <is>
          <t>类别</t>
        </is>
      </c>
      <c r="C5" s="22" t="inlineStr">
        <is>
          <t>矿区（或油田)</t>
        </is>
      </c>
      <c r="D5" s="100" t="inlineStr">
        <is>
          <t>使用单位</t>
        </is>
      </c>
      <c r="E5" s="22" t="inlineStr">
        <is>
          <t>计量单位</t>
        </is>
      </c>
      <c r="F5" s="22" t="inlineStr">
        <is>
          <t>数量</t>
        </is>
      </c>
      <c r="G5" s="22" t="inlineStr">
        <is>
          <t>形成日期</t>
        </is>
      </c>
      <c r="H5" s="22" t="inlineStr">
        <is>
          <t>来源（购入、自行建造）</t>
        </is>
      </c>
      <c r="I5" s="101" t="inlineStr">
        <is>
          <t>审计前账面值</t>
        </is>
      </c>
      <c r="J5" s="28" t="n"/>
      <c r="K5" s="102" t="inlineStr">
        <is>
          <t>审计调整</t>
        </is>
      </c>
      <c r="L5" s="28" t="n"/>
      <c r="M5" s="21" t="inlineStr">
        <is>
          <t>账面价值</t>
        </is>
      </c>
      <c r="N5" s="28" t="n"/>
      <c r="O5" s="21" t="inlineStr">
        <is>
          <t>评估价值</t>
        </is>
      </c>
      <c r="P5" s="138" t="n"/>
      <c r="Q5" s="28" t="n"/>
      <c r="R5" s="22" t="inlineStr">
        <is>
          <t>增值率%</t>
        </is>
      </c>
      <c r="S5" s="22" t="inlineStr">
        <is>
          <t>备注</t>
        </is>
      </c>
    </row>
    <row r="6" ht="13" customFormat="1" customHeight="1" s="12">
      <c r="A6" s="36" t="n"/>
      <c r="B6" s="36" t="n"/>
      <c r="C6" s="36" t="n"/>
      <c r="D6" s="36" t="n"/>
      <c r="E6" s="36" t="n"/>
      <c r="F6" s="36" t="n"/>
      <c r="G6" s="36" t="n"/>
      <c r="H6" s="36" t="n"/>
      <c r="I6" s="21" t="inlineStr">
        <is>
          <t>原值</t>
        </is>
      </c>
      <c r="J6" s="21" t="inlineStr">
        <is>
          <t>净值</t>
        </is>
      </c>
      <c r="K6" s="21" t="inlineStr">
        <is>
          <t>原值</t>
        </is>
      </c>
      <c r="L6" s="21" t="inlineStr">
        <is>
          <t>净值</t>
        </is>
      </c>
      <c r="M6" s="21" t="inlineStr">
        <is>
          <t>原值</t>
        </is>
      </c>
      <c r="N6" s="21" t="inlineStr">
        <is>
          <t>净值</t>
        </is>
      </c>
      <c r="O6" s="21" t="inlineStr">
        <is>
          <t>原值</t>
        </is>
      </c>
      <c r="P6" s="21" t="inlineStr">
        <is>
          <t>成新率%</t>
        </is>
      </c>
      <c r="Q6" s="21" t="inlineStr">
        <is>
          <t>净值</t>
        </is>
      </c>
      <c r="R6" s="36" t="n"/>
      <c r="S6" s="36" t="n"/>
    </row>
    <row r="7" ht="15.5" customHeight="1">
      <c r="A7" s="23" t="n"/>
      <c r="B7" s="24" t="n"/>
      <c r="C7" s="24" t="n"/>
      <c r="D7" s="103" t="n"/>
      <c r="E7" s="24" t="n"/>
      <c r="F7" s="23" t="n"/>
      <c r="G7" s="23" t="n"/>
      <c r="H7" s="25" t="n"/>
      <c r="I7" s="539" t="n"/>
      <c r="J7" s="539" t="n"/>
      <c r="K7" s="539" t="n"/>
      <c r="L7" s="539" t="n"/>
      <c r="M7" s="539" t="n"/>
      <c r="N7" s="539" t="n"/>
      <c r="O7" s="539" t="n"/>
      <c r="P7" s="23" t="n"/>
      <c r="Q7" s="539">
        <f>ROUND(O7*P7/100,0)</f>
      </c>
      <c r="R7" s="539">
        <f>IF(N7=0,"",(Q7-N7)/N7*100)</f>
      </c>
      <c r="S7" s="27" t="n"/>
    </row>
    <row r="8" ht="15.5" customHeight="1">
      <c r="A8" s="23" t="n"/>
      <c r="B8" s="24" t="n"/>
      <c r="C8" s="24" t="n"/>
      <c r="D8" s="103" t="n"/>
      <c r="E8" s="24" t="n"/>
      <c r="F8" s="23" t="n"/>
      <c r="G8" s="23" t="n"/>
      <c r="H8" s="25" t="n"/>
      <c r="I8" s="539" t="n"/>
      <c r="J8" s="539" t="n"/>
      <c r="K8" s="539" t="n"/>
      <c r="L8" s="539" t="n"/>
      <c r="M8" s="539" t="n"/>
      <c r="N8" s="539" t="n"/>
      <c r="O8" s="539" t="n"/>
      <c r="P8" s="23" t="n"/>
      <c r="Q8" s="539">
        <f>ROUND(O8*P8/100,0)</f>
      </c>
      <c r="R8" s="539">
        <f>IF(N8=0,"",(Q8-N8)/N8*100)</f>
      </c>
      <c r="S8" s="27" t="n"/>
    </row>
    <row r="9" ht="15.5" customHeight="1">
      <c r="A9" s="23" t="n"/>
      <c r="B9" s="24" t="n"/>
      <c r="C9" s="24" t="n"/>
      <c r="D9" s="103" t="n"/>
      <c r="E9" s="24" t="n"/>
      <c r="F9" s="23" t="n"/>
      <c r="G9" s="23" t="n"/>
      <c r="H9" s="25" t="n"/>
      <c r="I9" s="539" t="n"/>
      <c r="J9" s="539" t="n"/>
      <c r="K9" s="539" t="n"/>
      <c r="L9" s="539" t="n"/>
      <c r="M9" s="539" t="n"/>
      <c r="N9" s="539" t="n"/>
      <c r="O9" s="539" t="n"/>
      <c r="P9" s="23" t="n"/>
      <c r="Q9" s="539">
        <f>ROUND(O9*P9/100,0)</f>
      </c>
      <c r="R9" s="539">
        <f>IF(N9=0,"",(Q9-N9)/N9*100)</f>
      </c>
      <c r="S9" s="27" t="n"/>
    </row>
    <row r="10" ht="15.5" customHeight="1">
      <c r="A10" s="23" t="n"/>
      <c r="B10" s="24" t="n"/>
      <c r="C10" s="24" t="n"/>
      <c r="D10" s="103" t="n"/>
      <c r="E10" s="24" t="n"/>
      <c r="F10" s="23" t="n"/>
      <c r="G10" s="23" t="n"/>
      <c r="H10" s="25" t="n"/>
      <c r="I10" s="539" t="n"/>
      <c r="J10" s="539" t="n"/>
      <c r="K10" s="539" t="n"/>
      <c r="L10" s="539" t="n"/>
      <c r="M10" s="539" t="n"/>
      <c r="N10" s="539" t="n"/>
      <c r="O10" s="539" t="n"/>
      <c r="P10" s="23" t="n"/>
      <c r="Q10" s="539">
        <f>ROUND(O10*P10/100,0)</f>
      </c>
      <c r="R10" s="539">
        <f>IF(N10=0,"",(Q10-N10)/N10*100)</f>
      </c>
      <c r="S10" s="27" t="n"/>
    </row>
    <row r="11" ht="15.5" customHeight="1">
      <c r="A11" s="23" t="n"/>
      <c r="B11" s="24" t="n"/>
      <c r="C11" s="24" t="n"/>
      <c r="D11" s="103" t="n"/>
      <c r="E11" s="24" t="n"/>
      <c r="F11" s="23" t="n"/>
      <c r="G11" s="23" t="n"/>
      <c r="H11" s="25" t="n"/>
      <c r="I11" s="539" t="n"/>
      <c r="J11" s="539" t="n"/>
      <c r="K11" s="539" t="n"/>
      <c r="L11" s="539" t="n"/>
      <c r="M11" s="539" t="n"/>
      <c r="N11" s="539" t="n"/>
      <c r="O11" s="539" t="n"/>
      <c r="P11" s="23" t="n"/>
      <c r="Q11" s="539">
        <f>ROUND(O11*P11/100,0)</f>
      </c>
      <c r="R11" s="539">
        <f>IF(N11=0,"",(Q11-N11)/N11*100)</f>
      </c>
      <c r="S11" s="27" t="n"/>
    </row>
    <row r="12" ht="15.5" customHeight="1">
      <c r="A12" s="23" t="n"/>
      <c r="B12" s="24" t="n"/>
      <c r="C12" s="24" t="n"/>
      <c r="D12" s="103" t="n"/>
      <c r="E12" s="24" t="n"/>
      <c r="F12" s="23" t="n"/>
      <c r="G12" s="23" t="n"/>
      <c r="H12" s="25" t="n"/>
      <c r="I12" s="539" t="n"/>
      <c r="J12" s="539" t="n"/>
      <c r="K12" s="539" t="n"/>
      <c r="L12" s="539" t="n"/>
      <c r="M12" s="539" t="n"/>
      <c r="N12" s="539" t="n"/>
      <c r="O12" s="539" t="n"/>
      <c r="P12" s="23" t="n"/>
      <c r="Q12" s="539">
        <f>ROUND(O12*P12/100,0)</f>
      </c>
      <c r="R12" s="539">
        <f>IF(N12=0,"",(Q12-N12)/N12*100)</f>
      </c>
      <c r="S12" s="27" t="n"/>
    </row>
    <row r="13" ht="15.5" customHeight="1">
      <c r="A13" s="23" t="n"/>
      <c r="B13" s="24" t="n"/>
      <c r="C13" s="24" t="n"/>
      <c r="D13" s="103" t="n"/>
      <c r="E13" s="24" t="n"/>
      <c r="F13" s="23" t="n"/>
      <c r="G13" s="23" t="n"/>
      <c r="H13" s="25" t="n"/>
      <c r="I13" s="539" t="n"/>
      <c r="J13" s="539" t="n"/>
      <c r="K13" s="539" t="n"/>
      <c r="L13" s="539" t="n"/>
      <c r="M13" s="539" t="n"/>
      <c r="N13" s="539" t="n"/>
      <c r="O13" s="539" t="n"/>
      <c r="P13" s="23" t="n"/>
      <c r="Q13" s="539">
        <f>ROUND(O13*P13/100,0)</f>
      </c>
      <c r="R13" s="539">
        <f>IF(N13=0,"",(Q13-N13)/N13*100)</f>
      </c>
      <c r="S13" s="27" t="n"/>
    </row>
    <row r="14" ht="15.5" customHeight="1">
      <c r="A14" s="23" t="n"/>
      <c r="B14" s="24" t="n"/>
      <c r="C14" s="24" t="n"/>
      <c r="D14" s="103" t="n"/>
      <c r="E14" s="24" t="n"/>
      <c r="F14" s="23" t="n"/>
      <c r="G14" s="23" t="n"/>
      <c r="H14" s="25" t="n"/>
      <c r="I14" s="539" t="n"/>
      <c r="J14" s="539" t="n"/>
      <c r="K14" s="539" t="n"/>
      <c r="L14" s="539" t="n"/>
      <c r="M14" s="539" t="n"/>
      <c r="N14" s="539" t="n"/>
      <c r="O14" s="539" t="n"/>
      <c r="P14" s="23" t="n"/>
      <c r="Q14" s="539">
        <f>ROUND(O14*P14/100,0)</f>
      </c>
      <c r="R14" s="539">
        <f>IF(N14=0,"",(Q14-N14)/N14*100)</f>
      </c>
      <c r="S14" s="27" t="n"/>
    </row>
    <row r="15" ht="15.5" customHeight="1">
      <c r="A15" s="23" t="n"/>
      <c r="B15" s="24" t="n"/>
      <c r="C15" s="24" t="n"/>
      <c r="D15" s="103" t="n"/>
      <c r="E15" s="24" t="n"/>
      <c r="F15" s="23" t="n"/>
      <c r="G15" s="23" t="n"/>
      <c r="H15" s="25" t="n"/>
      <c r="I15" s="539" t="n"/>
      <c r="J15" s="539" t="n"/>
      <c r="K15" s="539" t="n"/>
      <c r="L15" s="539" t="n"/>
      <c r="M15" s="539" t="n"/>
      <c r="N15" s="539" t="n"/>
      <c r="O15" s="539" t="n"/>
      <c r="P15" s="23" t="n"/>
      <c r="Q15" s="539">
        <f>ROUND(O15*P15/100,0)</f>
      </c>
      <c r="R15" s="539">
        <f>IF(N15=0,"",(Q15-N15)/N15*100)</f>
      </c>
      <c r="S15" s="27" t="n"/>
    </row>
    <row r="16" ht="15.5" customHeight="1">
      <c r="A16" s="23" t="n"/>
      <c r="B16" s="24" t="n"/>
      <c r="C16" s="24" t="n"/>
      <c r="D16" s="103" t="n"/>
      <c r="E16" s="24" t="n"/>
      <c r="F16" s="23" t="n"/>
      <c r="G16" s="23" t="n"/>
      <c r="H16" s="25" t="n"/>
      <c r="I16" s="539" t="n"/>
      <c r="J16" s="539" t="n"/>
      <c r="K16" s="539" t="n"/>
      <c r="L16" s="539" t="n"/>
      <c r="M16" s="539" t="n"/>
      <c r="N16" s="539" t="n"/>
      <c r="O16" s="539" t="n"/>
      <c r="P16" s="23" t="n"/>
      <c r="Q16" s="539">
        <f>ROUND(O16*P16/100,0)</f>
      </c>
      <c r="R16" s="539">
        <f>IF(N16=0,"",(Q16-N16)/N16*100)</f>
      </c>
      <c r="S16" s="27" t="n"/>
    </row>
    <row r="17" ht="15.5" customHeight="1">
      <c r="A17" s="23" t="n"/>
      <c r="B17" s="24" t="n"/>
      <c r="C17" s="24" t="n"/>
      <c r="D17" s="103" t="n"/>
      <c r="E17" s="24" t="n"/>
      <c r="F17" s="23" t="n"/>
      <c r="G17" s="23" t="n"/>
      <c r="H17" s="25" t="n"/>
      <c r="I17" s="539" t="n"/>
      <c r="J17" s="539" t="n"/>
      <c r="K17" s="539" t="n"/>
      <c r="L17" s="539" t="n"/>
      <c r="M17" s="539" t="n"/>
      <c r="N17" s="539" t="n"/>
      <c r="O17" s="539" t="n"/>
      <c r="P17" s="23" t="n"/>
      <c r="Q17" s="539">
        <f>ROUND(O17*P17/100,0)</f>
      </c>
      <c r="R17" s="539">
        <f>IF(N17=0,"",(Q17-N17)/N17*100)</f>
      </c>
      <c r="S17" s="27" t="n"/>
    </row>
    <row r="18" ht="15.5" customHeight="1">
      <c r="A18" s="23" t="n"/>
      <c r="B18" s="24" t="n"/>
      <c r="C18" s="24" t="n"/>
      <c r="D18" s="103" t="n"/>
      <c r="E18" s="24" t="n"/>
      <c r="F18" s="23" t="n"/>
      <c r="G18" s="23" t="n"/>
      <c r="H18" s="25" t="n"/>
      <c r="I18" s="539" t="n"/>
      <c r="J18" s="539" t="n"/>
      <c r="K18" s="539" t="n"/>
      <c r="L18" s="539" t="n"/>
      <c r="M18" s="539" t="n"/>
      <c r="N18" s="539" t="n"/>
      <c r="O18" s="539" t="n"/>
      <c r="P18" s="23" t="n"/>
      <c r="Q18" s="539">
        <f>ROUND(O18*P18/100,0)</f>
      </c>
      <c r="R18" s="539">
        <f>IF(N18=0,"",(Q18-N18)/N18*100)</f>
      </c>
      <c r="S18" s="27" t="n"/>
    </row>
    <row r="19" ht="15.5" customHeight="1">
      <c r="A19" s="23" t="n"/>
      <c r="B19" s="24" t="n"/>
      <c r="C19" s="24" t="n"/>
      <c r="D19" s="103" t="n"/>
      <c r="E19" s="24" t="n"/>
      <c r="F19" s="23" t="n"/>
      <c r="G19" s="23" t="n"/>
      <c r="H19" s="25" t="n"/>
      <c r="I19" s="539" t="n"/>
      <c r="J19" s="539" t="n"/>
      <c r="K19" s="539" t="n"/>
      <c r="L19" s="539" t="n"/>
      <c r="M19" s="539" t="n"/>
      <c r="N19" s="539" t="n"/>
      <c r="O19" s="539" t="n"/>
      <c r="P19" s="23" t="n"/>
      <c r="Q19" s="539">
        <f>ROUND(O19*P19/100,0)</f>
      </c>
      <c r="R19" s="539">
        <f>IF(N19=0,"",(Q19-N19)/N19*100)</f>
      </c>
      <c r="S19" s="27" t="n"/>
    </row>
    <row r="20" ht="15.5" customHeight="1">
      <c r="A20" s="23" t="n"/>
      <c r="B20" s="24" t="n"/>
      <c r="C20" s="24" t="n"/>
      <c r="D20" s="103" t="n"/>
      <c r="E20" s="24" t="n"/>
      <c r="F20" s="23" t="n"/>
      <c r="G20" s="23" t="n"/>
      <c r="H20" s="25" t="n"/>
      <c r="I20" s="539" t="n"/>
      <c r="J20" s="539" t="n"/>
      <c r="K20" s="539" t="n"/>
      <c r="L20" s="539" t="n"/>
      <c r="M20" s="539" t="n"/>
      <c r="N20" s="539" t="n"/>
      <c r="O20" s="539" t="n"/>
      <c r="P20" s="23" t="n"/>
      <c r="Q20" s="539">
        <f>ROUND(O20*P20/100,0)</f>
      </c>
      <c r="R20" s="539">
        <f>IF(N20=0,"",(Q20-N20)/N20*100)</f>
      </c>
      <c r="S20" s="27" t="n"/>
    </row>
    <row r="21" ht="15.5" customHeight="1">
      <c r="A21" s="23" t="n"/>
      <c r="B21" s="24" t="n"/>
      <c r="C21" s="24" t="n"/>
      <c r="D21" s="103" t="n"/>
      <c r="E21" s="24" t="n"/>
      <c r="F21" s="23" t="n"/>
      <c r="G21" s="23" t="n"/>
      <c r="H21" s="25" t="n"/>
      <c r="I21" s="539" t="n"/>
      <c r="J21" s="539" t="n"/>
      <c r="K21" s="539" t="n"/>
      <c r="L21" s="539" t="n"/>
      <c r="M21" s="539" t="n"/>
      <c r="N21" s="539" t="n"/>
      <c r="O21" s="539" t="n"/>
      <c r="P21" s="23" t="n"/>
      <c r="Q21" s="539">
        <f>ROUND(O21*P21/100,0)</f>
      </c>
      <c r="R21" s="539">
        <f>IF(N21=0,"",(Q21-N21)/N21*100)</f>
      </c>
      <c r="S21" s="27" t="n"/>
    </row>
    <row r="22" ht="15.5" customHeight="1">
      <c r="A22" s="23" t="n"/>
      <c r="B22" s="24" t="n"/>
      <c r="C22" s="24" t="n"/>
      <c r="D22" s="103" t="n"/>
      <c r="E22" s="24" t="n"/>
      <c r="F22" s="23" t="n"/>
      <c r="G22" s="23" t="n"/>
      <c r="H22" s="25" t="n"/>
      <c r="I22" s="539" t="n"/>
      <c r="J22" s="539" t="n"/>
      <c r="K22" s="539" t="n"/>
      <c r="L22" s="539" t="n"/>
      <c r="M22" s="539" t="n"/>
      <c r="N22" s="539" t="n"/>
      <c r="O22" s="539" t="n"/>
      <c r="P22" s="23" t="n"/>
      <c r="Q22" s="539">
        <f>ROUND(O22*P22/100,0)</f>
      </c>
      <c r="R22" s="539">
        <f>IF(N22=0,"",(Q22-N22)/N22*100)</f>
      </c>
      <c r="S22" s="27" t="n"/>
    </row>
    <row r="23" ht="15.5" customHeight="1">
      <c r="A23" s="23" t="n"/>
      <c r="B23" s="24" t="n"/>
      <c r="C23" s="24" t="n"/>
      <c r="D23" s="103" t="n"/>
      <c r="E23" s="24" t="n"/>
      <c r="F23" s="23" t="n"/>
      <c r="G23" s="23" t="n"/>
      <c r="H23" s="25" t="n"/>
      <c r="I23" s="539" t="n"/>
      <c r="J23" s="539" t="n"/>
      <c r="K23" s="539" t="n"/>
      <c r="L23" s="539" t="n"/>
      <c r="M23" s="539" t="n"/>
      <c r="N23" s="539" t="n"/>
      <c r="O23" s="539" t="n"/>
      <c r="P23" s="23" t="n"/>
      <c r="Q23" s="539">
        <f>ROUND(O23*P23/100,0)</f>
      </c>
      <c r="R23" s="539">
        <f>IF(N23=0,"",(Q23-N23)/N23*100)</f>
      </c>
      <c r="S23" s="27" t="n"/>
    </row>
    <row r="24" ht="15.5" customHeight="1">
      <c r="A24" s="23" t="n"/>
      <c r="B24" s="24" t="n"/>
      <c r="C24" s="24" t="n"/>
      <c r="D24" s="103" t="n"/>
      <c r="E24" s="24" t="n"/>
      <c r="F24" s="23" t="n"/>
      <c r="G24" s="23" t="n"/>
      <c r="H24" s="25" t="n"/>
      <c r="I24" s="539" t="n"/>
      <c r="J24" s="539" t="n"/>
      <c r="K24" s="539" t="n"/>
      <c r="L24" s="539" t="n"/>
      <c r="M24" s="539" t="n"/>
      <c r="N24" s="539" t="n"/>
      <c r="O24" s="539" t="n"/>
      <c r="P24" s="23" t="n"/>
      <c r="Q24" s="539">
        <f>ROUND(O24*P24/100,0)</f>
      </c>
      <c r="R24" s="539">
        <f>IF(N24=0,"",(Q24-N24)/N24*100)</f>
      </c>
      <c r="S24" s="27" t="n"/>
    </row>
    <row r="25" ht="15.5" customHeight="1">
      <c r="A25" s="21" t="inlineStr">
        <is>
          <t>合            计</t>
        </is>
      </c>
      <c r="B25" s="138" t="n"/>
      <c r="C25" s="28" t="n"/>
      <c r="D25" s="103" t="n"/>
      <c r="E25" s="24" t="n"/>
      <c r="F25" s="23" t="n"/>
      <c r="G25" s="23" t="n"/>
      <c r="H25" s="25" t="n"/>
      <c r="I25" s="539">
        <f>SUM(I7:I24)</f>
      </c>
      <c r="J25" s="539">
        <f>SUM(J7:J24)</f>
      </c>
      <c r="K25" s="539" t="n"/>
      <c r="L25" s="539" t="n"/>
      <c r="M25" s="539">
        <f>SUM(M7:M24)</f>
      </c>
      <c r="N25" s="539">
        <f>SUM(N7:N24)</f>
      </c>
      <c r="O25" s="539">
        <f>SUM(O7:O24)</f>
      </c>
      <c r="P25" s="23" t="n"/>
      <c r="Q25" s="539">
        <f>SUM(Q7:Q24)</f>
      </c>
      <c r="R25" s="539">
        <f>IF(N25=0,"",(Q25-N25)/N25*100)</f>
      </c>
      <c r="S25" s="27" t="n"/>
    </row>
    <row r="26" ht="15.5" customHeight="1">
      <c r="A26" s="21" t="inlineStr">
        <is>
          <t>减：生产性生物资产减值准备</t>
        </is>
      </c>
      <c r="B26" s="138" t="n"/>
      <c r="C26" s="28" t="n"/>
      <c r="D26" s="103" t="n"/>
      <c r="E26" s="27" t="n"/>
      <c r="F26" s="23" t="n"/>
      <c r="G26" s="23" t="n"/>
      <c r="H26" s="25" t="n"/>
      <c r="I26" s="539" t="n"/>
      <c r="J26" s="539" t="n"/>
      <c r="K26" s="539" t="n"/>
      <c r="L26" s="539" t="n"/>
      <c r="M26" s="539" t="n"/>
      <c r="N26" s="539">
        <f>J26</f>
      </c>
      <c r="O26" s="539" t="n"/>
      <c r="P26" s="23" t="n"/>
      <c r="Q26" s="539"/>
      <c r="R26" s="539">
        <f>IF(N26=0,"",(Q26-N26)/N26*100)</f>
      </c>
      <c r="S26" s="27" t="n"/>
    </row>
    <row r="27" ht="15.5" customHeight="1">
      <c r="A27" s="21" t="inlineStr">
        <is>
          <t>净            额</t>
        </is>
      </c>
      <c r="B27" s="138" t="n"/>
      <c r="C27" s="28" t="n"/>
      <c r="D27" s="104" t="n"/>
      <c r="E27" s="23" t="n"/>
      <c r="F27" s="23" t="n"/>
      <c r="G27" s="23" t="n"/>
      <c r="H27" s="25" t="n"/>
      <c r="I27" s="539">
        <f>I25-I26</f>
      </c>
      <c r="J27" s="539">
        <f>J25-J26</f>
      </c>
      <c r="K27" s="539" t="n"/>
      <c r="L27" s="539" t="n"/>
      <c r="M27" s="539">
        <f>M25-M26</f>
      </c>
      <c r="N27" s="539">
        <f>N25-N26</f>
      </c>
      <c r="O27" s="539">
        <f>O25-O26</f>
      </c>
      <c r="P27" s="23" t="n"/>
      <c r="Q27" s="539">
        <f>Q25-Q26</f>
      </c>
      <c r="R27" s="539">
        <f>IF(N27=0,"",(Q27-N27)/N27*100)</f>
      </c>
      <c r="S27" s="27" t="n"/>
    </row>
    <row r="28" ht="15.5" customHeight="1">
      <c r="A28" s="29">
        <f>封面!D11&amp;封面!G11</f>
      </c>
      <c r="M28" s="13">
        <f>"评估人员："&amp;封面!G32</f>
      </c>
    </row>
    <row r="29" ht="15.5" customHeight="1">
      <c r="A29" s="29">
        <f>CONCATENATE(封面!D13,封面!F13,封面!G13,封面!H13,封面!I13,封面!J13,封面!K13)</f>
      </c>
    </row>
  </sheetData>
  <mergeCells count="19">
    <mergeCell ref="A25:C25"/>
    <mergeCell ref="O5:Q5"/>
    <mergeCell ref="E5:E6"/>
    <mergeCell ref="K5:L5"/>
    <mergeCell ref="A27:C27"/>
    <mergeCell ref="M5:N5"/>
    <mergeCell ref="F5:F6"/>
    <mergeCell ref="A26:C26"/>
    <mergeCell ref="A5:A6"/>
    <mergeCell ref="G5:G6"/>
    <mergeCell ref="S5:S6"/>
    <mergeCell ref="I5:J5"/>
    <mergeCell ref="B5:B6"/>
    <mergeCell ref="D5:D6"/>
    <mergeCell ref="H5:H6"/>
    <mergeCell ref="R5:R6"/>
    <mergeCell ref="A3:S3"/>
    <mergeCell ref="A2:S2"/>
    <mergeCell ref="C5:C6"/>
  </mergeCells>
  <hyperlinks>
    <hyperlink ref="A1" location="索引目录!D47" display="返回索引页"/>
    <hyperlink ref="B1" location="固定资产汇总!B28" display="返回"/>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Roman,常规"&amp;P&amp;"宋体,常规"4-11_x000a_页</oddHeader>
    <oddFooter/>
    <evenHeader/>
    <evenFooter/>
    <firstHeader/>
    <firstFooter/>
  </headerFooter>
  <legacyDrawing xmlns:r="http://schemas.openxmlformats.org/officeDocument/2006/relationships" r:id="anysvml"/>
</worksheet>
</file>

<file path=xl/worksheets/sheet62.xml><?xml version="1.0" encoding="utf-8"?>
<worksheet xmlns="http://schemas.openxmlformats.org/spreadsheetml/2006/main">
  <sheetPr codeName="Sheet62">
    <outlinePr summaryBelow="1" summaryRight="1"/>
    <pageSetUpPr fitToPage="1"/>
  </sheetPr>
  <dimension ref="A1:M29"/>
  <sheetViews>
    <sheetView view="pageBreakPreview" zoomScale="60" zoomScaleNormal="100" workbookViewId="0">
      <selection activeCell="G451" sqref="G451"/>
    </sheetView>
  </sheetViews>
  <sheetFormatPr baseColWidth="8" defaultColWidth="9" defaultRowHeight="15.75" customHeight="1"/>
  <cols>
    <col width="5.08333333333333" customWidth="1" style="13" min="1" max="1"/>
    <col width="21" customWidth="1" style="13" min="2" max="2"/>
    <col width="7.75" customWidth="1" style="13" min="3" max="3"/>
    <col hidden="1" width="11.25" customWidth="1" style="13" min="4" max="4"/>
    <col width="8.08333333333333" customWidth="1" style="13" min="5" max="5"/>
    <col hidden="1" outlineLevel="1" width="14.3333333333333" customWidth="1" style="13" min="6" max="7"/>
    <col collapsed="1" width="14.3333333333333" customWidth="1" style="13" min="8" max="8"/>
    <col width="7" customWidth="1" style="13" min="9" max="9"/>
    <col width="14.3333333333333" customWidth="1" style="13" min="10" max="11"/>
    <col width="8.08333333333333" customWidth="1" style="13" min="12" max="12"/>
    <col width="10" customWidth="1" style="13" min="13" max="13"/>
    <col width="9" customWidth="1" style="13" min="14"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row>
    <row r="2" ht="30" customFormat="1" customHeight="1" s="11">
      <c r="A2" s="17" t="inlineStr">
        <is>
          <t>使用权资产评估明细表</t>
        </is>
      </c>
    </row>
    <row r="3" ht="14.15" customHeight="1">
      <c r="A3" s="535">
        <f>CONCATENATE(封面!D9,封面!F9,封面!G9,封面!H9,封面!I9,封面!J9,封面!K9)</f>
      </c>
    </row>
    <row r="4" ht="15.5" customHeight="1">
      <c r="A4" s="536">
        <f>封面!D7&amp;封面!F7</f>
      </c>
      <c r="M4" s="20" t="inlineStr">
        <is>
          <t>金额单位：人民币元</t>
        </is>
      </c>
    </row>
    <row r="5" ht="27.75" customFormat="1" customHeight="1" s="16">
      <c r="A5" s="22" t="inlineStr">
        <is>
          <t>序号</t>
        </is>
      </c>
      <c r="B5" s="22" t="inlineStr">
        <is>
          <t>使用权资产名称</t>
        </is>
      </c>
      <c r="C5" s="22" t="inlineStr">
        <is>
          <t>形成日期</t>
        </is>
      </c>
      <c r="D5" s="22" t="inlineStr">
        <is>
          <t>原始发生额</t>
        </is>
      </c>
      <c r="E5" s="22" t="inlineStr">
        <is>
          <t>预计使用权月数</t>
        </is>
      </c>
      <c r="F5" s="22" t="inlineStr">
        <is>
          <t>审计前账面值</t>
        </is>
      </c>
      <c r="G5" s="22" t="inlineStr">
        <is>
          <t>审计调整</t>
        </is>
      </c>
      <c r="H5" s="22" t="inlineStr">
        <is>
          <t>账面价值</t>
        </is>
      </c>
      <c r="I5" s="22" t="inlineStr">
        <is>
          <t>尚存受
益月数</t>
        </is>
      </c>
      <c r="J5" s="22" t="inlineStr">
        <is>
          <t>评估价值</t>
        </is>
      </c>
      <c r="K5" s="22" t="inlineStr">
        <is>
          <t>增减值</t>
        </is>
      </c>
      <c r="L5" s="22" t="inlineStr">
        <is>
          <t>增值率%</t>
        </is>
      </c>
      <c r="M5" s="22" t="inlineStr">
        <is>
          <t>备注</t>
        </is>
      </c>
    </row>
    <row r="6" ht="15.5" customHeight="1">
      <c r="A6" s="23" t="n"/>
      <c r="B6" s="67" t="n"/>
      <c r="C6" s="25" t="n"/>
      <c r="D6" s="539" t="n"/>
      <c r="E6" s="23" t="n"/>
      <c r="F6" s="539" t="n"/>
      <c r="G6" s="539" t="n"/>
      <c r="H6" s="539" t="n"/>
      <c r="I6" s="23" t="n"/>
      <c r="J6" s="539" t="n"/>
      <c r="K6" s="539">
        <f>IF(H6=0,"",(J6-H6))</f>
      </c>
      <c r="L6" s="539">
        <f>IF(H6=0,"",(J6-H6)/H6*100)</f>
      </c>
      <c r="M6" s="27" t="n"/>
    </row>
    <row r="7" ht="15.5" customHeight="1">
      <c r="A7" s="23" t="n"/>
      <c r="B7" s="67" t="n"/>
      <c r="C7" s="25" t="n"/>
      <c r="D7" s="539" t="n"/>
      <c r="E7" s="23" t="n"/>
      <c r="F7" s="539" t="n"/>
      <c r="G7" s="539" t="n"/>
      <c r="H7" s="539" t="n"/>
      <c r="I7" s="23" t="n"/>
      <c r="J7" s="539" t="n"/>
      <c r="K7" s="539">
        <f>IF(H7=0,"",(J7-H7))</f>
      </c>
      <c r="L7" s="539">
        <f>IF(H7=0,"",(J7-H7)/H7*100)</f>
      </c>
      <c r="M7" s="27" t="n"/>
    </row>
    <row r="8" ht="15.5" customHeight="1">
      <c r="A8" s="23" t="n"/>
      <c r="B8" s="67" t="n"/>
      <c r="C8" s="25" t="n"/>
      <c r="D8" s="539" t="n"/>
      <c r="E8" s="23" t="n"/>
      <c r="F8" s="539" t="n"/>
      <c r="G8" s="539" t="n"/>
      <c r="H8" s="539" t="n"/>
      <c r="I8" s="23" t="n"/>
      <c r="J8" s="539" t="n"/>
      <c r="K8" s="539">
        <f>IF(H8=0,"",(J8-H8))</f>
      </c>
      <c r="L8" s="539">
        <f>IF(H8=0,"",(J8-H8)/H8*100)</f>
      </c>
      <c r="M8" s="27" t="n"/>
    </row>
    <row r="9" ht="15.5" customHeight="1">
      <c r="A9" s="23" t="n"/>
      <c r="B9" s="67" t="n"/>
      <c r="C9" s="25" t="n"/>
      <c r="D9" s="539" t="n"/>
      <c r="E9" s="23" t="n"/>
      <c r="F9" s="539" t="n"/>
      <c r="G9" s="539" t="n"/>
      <c r="H9" s="539" t="n"/>
      <c r="I9" s="23" t="n"/>
      <c r="J9" s="539" t="n"/>
      <c r="K9" s="539">
        <f>IF(H9=0,"",(J9-H9))</f>
      </c>
      <c r="L9" s="539">
        <f>IF(H9=0,"",(J9-H9)/H9*100)</f>
      </c>
      <c r="M9" s="27" t="n"/>
    </row>
    <row r="10" ht="15.5" customHeight="1">
      <c r="A10" s="23" t="n"/>
      <c r="B10" s="67" t="n"/>
      <c r="C10" s="25" t="n"/>
      <c r="D10" s="539" t="n"/>
      <c r="E10" s="23" t="n"/>
      <c r="F10" s="539" t="n"/>
      <c r="G10" s="539" t="n"/>
      <c r="H10" s="539" t="n"/>
      <c r="I10" s="23" t="n"/>
      <c r="J10" s="539" t="n"/>
      <c r="K10" s="539">
        <f>IF(H10=0,"",(J10-H10))</f>
      </c>
      <c r="L10" s="539">
        <f>IF(H10=0,"",(J10-H10)/H10*100)</f>
      </c>
      <c r="M10" s="27" t="n"/>
    </row>
    <row r="11" ht="15.5" customHeight="1">
      <c r="A11" s="23" t="n"/>
      <c r="B11" s="67" t="n"/>
      <c r="C11" s="25" t="n"/>
      <c r="D11" s="539" t="n"/>
      <c r="E11" s="23" t="n"/>
      <c r="F11" s="539" t="n"/>
      <c r="G11" s="539" t="n"/>
      <c r="H11" s="539" t="n"/>
      <c r="I11" s="23" t="n"/>
      <c r="J11" s="539" t="n"/>
      <c r="K11" s="539">
        <f>IF(H11=0,"",(J11-H11))</f>
      </c>
      <c r="L11" s="539">
        <f>IF(H11=0,"",(J11-H11)/H11*100)</f>
      </c>
      <c r="M11" s="27" t="n"/>
    </row>
    <row r="12" ht="15.5" customHeight="1">
      <c r="A12" s="23" t="n"/>
      <c r="B12" s="67" t="n"/>
      <c r="C12" s="25" t="n"/>
      <c r="D12" s="539" t="n"/>
      <c r="E12" s="23" t="n"/>
      <c r="F12" s="539" t="n"/>
      <c r="G12" s="539" t="n"/>
      <c r="H12" s="539" t="n"/>
      <c r="I12" s="23" t="n"/>
      <c r="J12" s="539" t="n"/>
      <c r="K12" s="539">
        <f>IF(H12=0,"",(J12-H12))</f>
      </c>
      <c r="L12" s="539">
        <f>IF(H12=0,"",(J12-H12)/H12*100)</f>
      </c>
      <c r="M12" s="27" t="n"/>
    </row>
    <row r="13" ht="15.5" customHeight="1">
      <c r="A13" s="23" t="n"/>
      <c r="B13" s="24" t="n"/>
      <c r="C13" s="25" t="n"/>
      <c r="D13" s="539" t="n"/>
      <c r="E13" s="23" t="n"/>
      <c r="F13" s="539" t="n"/>
      <c r="G13" s="539" t="n"/>
      <c r="H13" s="539" t="n"/>
      <c r="I13" s="23" t="n"/>
      <c r="J13" s="539" t="n"/>
      <c r="K13" s="539">
        <f>IF(H13=0,"",(J13-H13))</f>
      </c>
      <c r="L13" s="539">
        <f>IF(H13=0,"",(J13-H13)/H13*100)</f>
      </c>
      <c r="M13" s="27" t="n"/>
    </row>
    <row r="14" ht="15.5" customHeight="1">
      <c r="A14" s="23" t="n"/>
      <c r="B14" s="24" t="n"/>
      <c r="C14" s="25" t="n"/>
      <c r="D14" s="539" t="n"/>
      <c r="E14" s="23" t="n"/>
      <c r="F14" s="539" t="n"/>
      <c r="G14" s="539" t="n"/>
      <c r="H14" s="539" t="n"/>
      <c r="I14" s="23" t="n"/>
      <c r="J14" s="539" t="n"/>
      <c r="K14" s="539">
        <f>IF(H14=0,"",(J14-H14))</f>
      </c>
      <c r="L14" s="539">
        <f>IF(H14=0,"",(J14-H14)/H14*100)</f>
      </c>
      <c r="M14" s="27" t="n"/>
    </row>
    <row r="15" ht="15.5" customHeight="1">
      <c r="A15" s="23" t="n"/>
      <c r="B15" s="24" t="n"/>
      <c r="C15" s="25" t="n"/>
      <c r="D15" s="539" t="n"/>
      <c r="E15" s="23" t="n"/>
      <c r="F15" s="539" t="n"/>
      <c r="G15" s="539" t="n"/>
      <c r="H15" s="539" t="n"/>
      <c r="I15" s="23" t="n"/>
      <c r="J15" s="539" t="n"/>
      <c r="K15" s="539">
        <f>IF(H15=0,"",(J15-H15))</f>
      </c>
      <c r="L15" s="539">
        <f>IF(H15=0,"",(J15-H15)/H15*100)</f>
      </c>
      <c r="M15" s="27" t="n"/>
    </row>
    <row r="16" ht="15.5" customHeight="1">
      <c r="A16" s="23" t="n"/>
      <c r="B16" s="24" t="n"/>
      <c r="C16" s="25" t="n"/>
      <c r="D16" s="539" t="n"/>
      <c r="E16" s="23" t="n"/>
      <c r="F16" s="539" t="n"/>
      <c r="G16" s="539" t="n"/>
      <c r="H16" s="539" t="n"/>
      <c r="I16" s="23" t="n"/>
      <c r="J16" s="539" t="n"/>
      <c r="K16" s="539">
        <f>IF(H16=0,"",(J16-H16))</f>
      </c>
      <c r="L16" s="539">
        <f>IF(H16=0,"",(J16-H16)/H16*100)</f>
      </c>
      <c r="M16" s="27" t="n"/>
    </row>
    <row r="17" ht="15.5" customHeight="1">
      <c r="A17" s="23" t="n"/>
      <c r="B17" s="24" t="n"/>
      <c r="C17" s="25" t="n"/>
      <c r="D17" s="539" t="n"/>
      <c r="E17" s="23" t="n"/>
      <c r="F17" s="539" t="n"/>
      <c r="G17" s="539" t="n"/>
      <c r="H17" s="539" t="n"/>
      <c r="I17" s="23" t="n"/>
      <c r="J17" s="539" t="n"/>
      <c r="K17" s="539">
        <f>IF(H17=0,"",(J17-H17))</f>
      </c>
      <c r="L17" s="539">
        <f>IF(H17=0,"",(J17-H17)/H17*100)</f>
      </c>
      <c r="M17" s="27" t="n"/>
    </row>
    <row r="18" ht="15.5" customHeight="1">
      <c r="A18" s="23" t="n"/>
      <c r="B18" s="24" t="n"/>
      <c r="C18" s="25" t="n"/>
      <c r="D18" s="539" t="n"/>
      <c r="E18" s="23" t="n"/>
      <c r="F18" s="539" t="n"/>
      <c r="G18" s="539" t="n"/>
      <c r="H18" s="539" t="n"/>
      <c r="I18" s="23" t="n"/>
      <c r="J18" s="539" t="n"/>
      <c r="K18" s="539">
        <f>IF(H18=0,"",(J18-H18))</f>
      </c>
      <c r="L18" s="539">
        <f>IF(H18=0,"",(J18-H18)/H18*100)</f>
      </c>
      <c r="M18" s="27" t="n"/>
    </row>
    <row r="19" ht="15.5" customHeight="1">
      <c r="A19" s="23" t="n"/>
      <c r="B19" s="24" t="n"/>
      <c r="C19" s="25" t="n"/>
      <c r="D19" s="539" t="n"/>
      <c r="E19" s="23" t="n"/>
      <c r="F19" s="539" t="n"/>
      <c r="G19" s="539" t="n"/>
      <c r="H19" s="539" t="n"/>
      <c r="I19" s="23" t="n"/>
      <c r="J19" s="539" t="n"/>
      <c r="K19" s="539">
        <f>IF(H19=0,"",(J19-H19))</f>
      </c>
      <c r="L19" s="539">
        <f>IF(H19=0,"",(J19-H19)/H19*100)</f>
      </c>
      <c r="M19" s="27" t="n"/>
    </row>
    <row r="20" ht="15.5" customHeight="1">
      <c r="A20" s="23" t="n"/>
      <c r="B20" s="24" t="n"/>
      <c r="C20" s="25" t="n"/>
      <c r="D20" s="539" t="n"/>
      <c r="E20" s="23" t="n"/>
      <c r="F20" s="539" t="n"/>
      <c r="G20" s="539" t="n"/>
      <c r="H20" s="539" t="n"/>
      <c r="I20" s="23" t="n"/>
      <c r="J20" s="539" t="n"/>
      <c r="K20" s="539">
        <f>IF(H20=0,"",(J20-H20))</f>
      </c>
      <c r="L20" s="539">
        <f>IF(H20=0,"",(J20-H20)/H20*100)</f>
      </c>
      <c r="M20" s="27" t="n"/>
    </row>
    <row r="21" ht="15.5" customHeight="1">
      <c r="A21" s="23" t="n"/>
      <c r="B21" s="24" t="n"/>
      <c r="C21" s="25" t="n"/>
      <c r="D21" s="539" t="n"/>
      <c r="E21" s="23" t="n"/>
      <c r="F21" s="539" t="n"/>
      <c r="G21" s="539" t="n"/>
      <c r="H21" s="539" t="n"/>
      <c r="I21" s="23" t="n"/>
      <c r="J21" s="539" t="n"/>
      <c r="K21" s="539">
        <f>IF(H21=0,"",(J21-H21))</f>
      </c>
      <c r="L21" s="539">
        <f>IF(H21=0,"",(J21-H21)/H21*100)</f>
      </c>
      <c r="M21" s="27" t="n"/>
    </row>
    <row r="22" ht="15.5" customHeight="1">
      <c r="A22" s="23" t="n"/>
      <c r="B22" s="24" t="n"/>
      <c r="C22" s="25" t="n"/>
      <c r="D22" s="539" t="n"/>
      <c r="E22" s="23" t="n"/>
      <c r="F22" s="539" t="n"/>
      <c r="G22" s="539" t="n"/>
      <c r="H22" s="539" t="n"/>
      <c r="I22" s="23" t="n"/>
      <c r="J22" s="539" t="n"/>
      <c r="K22" s="539">
        <f>IF(H22=0,"",(J22-H22))</f>
      </c>
      <c r="L22" s="539">
        <f>IF(H22=0,"",(J22-H22)/H22*100)</f>
      </c>
      <c r="M22" s="27" t="n"/>
    </row>
    <row r="23" ht="15.5" customHeight="1">
      <c r="A23" s="23" t="n"/>
      <c r="B23" s="24" t="n"/>
      <c r="C23" s="25" t="n"/>
      <c r="D23" s="539" t="n"/>
      <c r="E23" s="23" t="n"/>
      <c r="F23" s="539" t="n"/>
      <c r="G23" s="539" t="n"/>
      <c r="H23" s="539" t="n"/>
      <c r="I23" s="23" t="n"/>
      <c r="J23" s="539" t="n"/>
      <c r="K23" s="539">
        <f>IF(H23=0,"",(J23-H23))</f>
      </c>
      <c r="L23" s="539">
        <f>IF(H23=0,"",(J23-H23)/H23*100)</f>
      </c>
      <c r="M23" s="27" t="n"/>
    </row>
    <row r="24" ht="15.5" customHeight="1">
      <c r="A24" s="23" t="n"/>
      <c r="B24" s="24" t="n"/>
      <c r="C24" s="25" t="n"/>
      <c r="D24" s="539" t="n"/>
      <c r="E24" s="23" t="n"/>
      <c r="F24" s="539" t="n"/>
      <c r="G24" s="539" t="n"/>
      <c r="H24" s="539" t="n"/>
      <c r="I24" s="23" t="n"/>
      <c r="J24" s="539" t="n"/>
      <c r="K24" s="539">
        <f>IF(H24=0,"",(J24-H24))</f>
      </c>
      <c r="L24" s="539">
        <f>IF(H24=0,"",(J24-H24)/H24*100)</f>
      </c>
      <c r="M24" s="27" t="n"/>
    </row>
    <row r="25" ht="15.5" customHeight="1">
      <c r="A25" s="23" t="n"/>
      <c r="B25" s="24" t="n"/>
      <c r="C25" s="25" t="n"/>
      <c r="D25" s="539" t="n"/>
      <c r="E25" s="23" t="n"/>
      <c r="F25" s="539" t="n"/>
      <c r="G25" s="539" t="n"/>
      <c r="H25" s="539" t="n"/>
      <c r="I25" s="23" t="n"/>
      <c r="J25" s="539" t="n"/>
      <c r="K25" s="539">
        <f>IF(H25=0,"",(J25-H25))</f>
      </c>
      <c r="L25" s="539">
        <f>IF(H25=0,"",(J25-H25)/H25*100)</f>
      </c>
      <c r="M25" s="27" t="n"/>
    </row>
    <row r="26" ht="15.5" customHeight="1">
      <c r="A26" s="23" t="n"/>
      <c r="B26" s="67" t="n"/>
      <c r="C26" s="25" t="n"/>
      <c r="D26" s="539" t="n"/>
      <c r="E26" s="23" t="n"/>
      <c r="F26" s="539" t="n"/>
      <c r="G26" s="539" t="n"/>
      <c r="H26" s="539" t="n"/>
      <c r="I26" s="23" t="n"/>
      <c r="J26" s="539" t="n"/>
      <c r="K26" s="539">
        <f>IF(H26=0,"",(J26-H26))</f>
      </c>
      <c r="L26" s="539" t="n"/>
      <c r="M26" s="27" t="n"/>
    </row>
    <row r="27" ht="15.5" customHeight="1">
      <c r="A27" s="21" t="inlineStr">
        <is>
          <t>合                    计</t>
        </is>
      </c>
      <c r="B27" s="28" t="n"/>
      <c r="C27" s="25" t="n"/>
      <c r="D27" s="539" t="n"/>
      <c r="E27" s="23" t="n"/>
      <c r="F27" s="539">
        <f>SUM(F6:F26)</f>
      </c>
      <c r="G27" s="539" t="n"/>
      <c r="H27" s="539">
        <f>SUM(H6:H26)</f>
      </c>
      <c r="I27" s="23" t="n"/>
      <c r="J27" s="539">
        <f>SUM(J6:J26)</f>
      </c>
      <c r="K27" s="539">
        <f>IF(H27=0,"",(J27-H27))</f>
      </c>
      <c r="L27" s="539">
        <f>IF(H27=0,"",(J27-H27)/H27*100)</f>
      </c>
      <c r="M27" s="27" t="n"/>
    </row>
    <row r="28" ht="15.5" customHeight="1">
      <c r="A28" s="29">
        <f>封面!D11&amp;封面!G11</f>
      </c>
      <c r="H28" s="13">
        <f>"评估人员："&amp;封面!G36</f>
      </c>
    </row>
    <row r="29" ht="15.5" customHeight="1">
      <c r="A29" s="29">
        <f>CONCATENATE(封面!D13,封面!F13,封面!G13,封面!H13,封面!I13,封面!J13,封面!K13)</f>
      </c>
    </row>
  </sheetData>
  <mergeCells count="3">
    <mergeCell ref="A27:B27"/>
    <mergeCell ref="A3:M3"/>
    <mergeCell ref="A2:M2"/>
  </mergeCells>
  <hyperlinks>
    <hyperlink ref="A1" location="索引目录!D52" display="返回索引页"/>
    <hyperlink ref="B1" location="分类汇总!B34"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Roman,常规"&amp;P&amp;"宋体,常规"4-15_x000a_页</oddHeader>
    <oddFooter/>
    <evenHeader/>
    <evenFooter/>
    <firstHeader/>
    <firstFooter/>
  </headerFooter>
  <legacyDrawing xmlns:r="http://schemas.openxmlformats.org/officeDocument/2006/relationships" r:id="anysvml"/>
</worksheet>
</file>

<file path=xl/worksheets/sheet63.xml><?xml version="1.0" encoding="utf-8"?>
<worksheet xmlns="http://schemas.openxmlformats.org/spreadsheetml/2006/main">
  <sheetPr codeName="Sheet63">
    <outlinePr summaryBelow="1" summaryRight="1"/>
    <pageSetUpPr fitToPage="1"/>
  </sheetPr>
  <dimension ref="A1:G29"/>
  <sheetViews>
    <sheetView view="pageBreakPreview" topLeftCell="A3" zoomScale="130" zoomScaleNormal="85" workbookViewId="0">
      <selection activeCell="G451" sqref="G451"/>
    </sheetView>
  </sheetViews>
  <sheetFormatPr baseColWidth="8" defaultColWidth="9" defaultRowHeight="15.75" customHeight="1"/>
  <cols>
    <col width="6.25" customWidth="1" style="13" min="1" max="1"/>
    <col width="28" customWidth="1" style="13" min="2" max="2"/>
    <col hidden="1" outlineLevel="1" width="19.0833333333333" customWidth="1" style="13" min="3" max="3"/>
    <col collapsed="1" width="24.75" customWidth="1" style="13" min="4" max="4"/>
    <col width="24.75" customWidth="1" style="13" min="5" max="6"/>
    <col width="13.5" customWidth="1" style="13" min="7" max="7"/>
    <col width="9" customWidth="1" style="13" min="8" max="16384"/>
  </cols>
  <sheetData>
    <row r="1" ht="15.5" customHeight="1">
      <c r="A1" s="559" t="inlineStr">
        <is>
          <t>返回索引页</t>
        </is>
      </c>
      <c r="B1" s="15" t="inlineStr">
        <is>
          <t>返回</t>
        </is>
      </c>
      <c r="C1" s="16" t="n"/>
      <c r="D1" s="16" t="n"/>
      <c r="E1" s="16" t="n"/>
      <c r="F1" s="16" t="n"/>
      <c r="G1" s="16" t="n"/>
    </row>
    <row r="2" ht="30" customFormat="1" customHeight="1" s="11">
      <c r="A2" s="17" t="inlineStr">
        <is>
          <t>无形资产评估汇总表</t>
        </is>
      </c>
    </row>
    <row r="3" ht="14.15" customHeight="1">
      <c r="A3" s="535">
        <f>CONCATENATE(封面!D9,封面!F9,封面!G9,封面!H9,封面!I9,封面!J9,封面!K9)</f>
      </c>
    </row>
    <row r="4" ht="15.5" customHeight="1">
      <c r="A4" s="536">
        <f>封面!D7&amp;封面!F7</f>
      </c>
      <c r="G4" s="44" t="inlineStr">
        <is>
          <t>金额单位：人民币元</t>
        </is>
      </c>
    </row>
    <row r="5" ht="13" customFormat="1" customHeight="1" s="43">
      <c r="A5" s="45" t="inlineStr">
        <is>
          <t>编号</t>
        </is>
      </c>
      <c r="B5" s="45" t="inlineStr">
        <is>
          <t>科目名称</t>
        </is>
      </c>
      <c r="C5" s="45" t="inlineStr">
        <is>
          <t>审计前账面值</t>
        </is>
      </c>
      <c r="D5" s="45" t="inlineStr">
        <is>
          <t>账面价值</t>
        </is>
      </c>
      <c r="E5" s="45" t="inlineStr">
        <is>
          <t>评估价值</t>
        </is>
      </c>
      <c r="F5" s="46" t="inlineStr">
        <is>
          <t>增值额</t>
        </is>
      </c>
      <c r="G5" s="45" t="inlineStr">
        <is>
          <t>增值率%</t>
        </is>
      </c>
    </row>
    <row r="6" ht="15.5" customHeight="1">
      <c r="A6" s="45" t="inlineStr">
        <is>
          <t>4-12-1</t>
        </is>
      </c>
      <c r="B6" s="98" t="inlineStr">
        <is>
          <t>无形资产-土地使用权</t>
        </is>
      </c>
      <c r="C6" s="539">
        <f>'无形-土地'!K27</f>
      </c>
      <c r="D6" s="539">
        <f>'无形-土地'!M27</f>
      </c>
      <c r="E6" s="539">
        <f>'无形-土地'!N27</f>
      </c>
      <c r="F6" s="539">
        <f>E6-D6</f>
      </c>
      <c r="G6" s="546">
        <f>IF(D6=0,"",F6/D6*100)</f>
      </c>
    </row>
    <row r="7" ht="15.5" customHeight="1">
      <c r="A7" s="45" t="inlineStr">
        <is>
          <t>4-12-2</t>
        </is>
      </c>
      <c r="B7" s="99" t="inlineStr">
        <is>
          <t>无形资产-矿业权</t>
        </is>
      </c>
      <c r="C7" s="539">
        <f>'无形-矿业权'!J27</f>
      </c>
      <c r="D7" s="539">
        <f>'无形-矿业权'!L27</f>
      </c>
      <c r="E7" s="539">
        <f>'无形-矿业权'!M27</f>
      </c>
      <c r="F7" s="539" t="n"/>
      <c r="G7" s="546" t="n"/>
    </row>
    <row r="8" ht="15.5" customHeight="1">
      <c r="A8" s="45" t="inlineStr">
        <is>
          <t>4-12-3</t>
        </is>
      </c>
      <c r="B8" s="98" t="inlineStr">
        <is>
          <t>无形资产-其他无形资产</t>
        </is>
      </c>
      <c r="C8" s="539">
        <f>'无形-其他'!H23</f>
      </c>
      <c r="D8" s="539">
        <f>'无形-其他'!J23</f>
      </c>
      <c r="E8" s="539">
        <f>'无形-其他'!L23</f>
      </c>
      <c r="F8" s="539">
        <f>E8-D8</f>
      </c>
      <c r="G8" s="546">
        <f>IF(D8=0,"",F8/D8*100)</f>
      </c>
    </row>
    <row r="9" ht="15.5" customHeight="1">
      <c r="A9" s="45" t="n"/>
      <c r="B9" s="98" t="n"/>
      <c r="C9" s="539" t="n"/>
      <c r="D9" s="539" t="n"/>
      <c r="E9" s="539" t="n"/>
      <c r="F9" s="539" t="n"/>
      <c r="G9" s="546" t="n"/>
    </row>
    <row r="10" ht="15.5" customHeight="1">
      <c r="A10" s="45" t="n"/>
      <c r="B10" s="98" t="n"/>
      <c r="C10" s="539" t="n"/>
      <c r="D10" s="539" t="n"/>
      <c r="E10" s="539" t="n"/>
      <c r="F10" s="539" t="n"/>
      <c r="G10" s="546" t="n"/>
    </row>
    <row r="11" ht="15.5" customHeight="1">
      <c r="A11" s="45" t="n"/>
      <c r="B11" s="98" t="n"/>
      <c r="C11" s="539" t="n"/>
      <c r="D11" s="539" t="n"/>
      <c r="E11" s="539" t="n"/>
      <c r="F11" s="539" t="n"/>
      <c r="G11" s="546" t="n"/>
    </row>
    <row r="12" ht="15.5" customHeight="1">
      <c r="A12" s="45" t="n"/>
      <c r="B12" s="98" t="n"/>
      <c r="C12" s="539" t="n"/>
      <c r="D12" s="539" t="n"/>
      <c r="E12" s="539" t="n"/>
      <c r="F12" s="539" t="n"/>
      <c r="G12" s="546" t="n"/>
    </row>
    <row r="13" ht="15.5" customHeight="1">
      <c r="A13" s="45" t="n"/>
      <c r="B13" s="98" t="n"/>
      <c r="C13" s="539" t="n"/>
      <c r="D13" s="539" t="n"/>
      <c r="E13" s="539" t="n"/>
      <c r="F13" s="539" t="n"/>
      <c r="G13" s="546" t="n"/>
    </row>
    <row r="14" ht="15.5" customHeight="1">
      <c r="A14" s="45" t="n"/>
      <c r="B14" s="98" t="n"/>
      <c r="C14" s="539" t="n"/>
      <c r="D14" s="539" t="n"/>
      <c r="E14" s="539" t="n"/>
      <c r="F14" s="539" t="n"/>
      <c r="G14" s="546" t="n"/>
    </row>
    <row r="15" ht="15.5" customHeight="1">
      <c r="A15" s="45" t="n"/>
      <c r="B15" s="98" t="n"/>
      <c r="C15" s="539" t="n"/>
      <c r="D15" s="539" t="n"/>
      <c r="E15" s="539" t="n"/>
      <c r="F15" s="539" t="n"/>
      <c r="G15" s="546" t="n"/>
    </row>
    <row r="16" ht="15.5" customHeight="1">
      <c r="A16" s="45" t="n"/>
      <c r="B16" s="98" t="n"/>
      <c r="C16" s="539" t="n"/>
      <c r="D16" s="539" t="n"/>
      <c r="E16" s="539" t="n"/>
      <c r="F16" s="539" t="n"/>
      <c r="G16" s="546" t="n"/>
    </row>
    <row r="17" ht="15.5" customHeight="1">
      <c r="A17" s="45" t="n"/>
      <c r="B17" s="98" t="n"/>
      <c r="C17" s="539" t="n"/>
      <c r="D17" s="539" t="n"/>
      <c r="E17" s="539" t="n"/>
      <c r="F17" s="539" t="n"/>
      <c r="G17" s="546" t="n"/>
    </row>
    <row r="18" ht="15.5" customHeight="1">
      <c r="A18" s="45" t="n"/>
      <c r="B18" s="98" t="n"/>
      <c r="C18" s="539" t="n"/>
      <c r="D18" s="539" t="n"/>
      <c r="E18" s="539" t="n"/>
      <c r="F18" s="539" t="n"/>
      <c r="G18" s="546" t="n"/>
    </row>
    <row r="19" ht="15.5" customHeight="1">
      <c r="A19" s="45" t="n"/>
      <c r="B19" s="98" t="n"/>
      <c r="C19" s="539" t="n"/>
      <c r="D19" s="539" t="n"/>
      <c r="E19" s="539" t="n"/>
      <c r="F19" s="539" t="n"/>
      <c r="G19" s="546" t="n"/>
    </row>
    <row r="20" ht="15.5" customHeight="1">
      <c r="A20" s="45" t="n"/>
      <c r="B20" s="98" t="n"/>
      <c r="C20" s="539" t="n"/>
      <c r="D20" s="539" t="n"/>
      <c r="E20" s="539" t="n"/>
      <c r="F20" s="539" t="n"/>
      <c r="G20" s="546" t="n"/>
    </row>
    <row r="21" ht="15.5" customHeight="1">
      <c r="A21" s="45" t="n"/>
      <c r="B21" s="98" t="n"/>
      <c r="C21" s="539" t="n"/>
      <c r="D21" s="539" t="n"/>
      <c r="E21" s="539" t="n"/>
      <c r="F21" s="539" t="n"/>
      <c r="G21" s="546" t="n"/>
    </row>
    <row r="22" ht="15.5" customHeight="1">
      <c r="A22" s="45" t="n"/>
      <c r="B22" s="98" t="n"/>
      <c r="C22" s="539" t="n"/>
      <c r="D22" s="539" t="n"/>
      <c r="E22" s="539" t="n"/>
      <c r="F22" s="539" t="n"/>
      <c r="G22" s="546" t="n"/>
    </row>
    <row r="23" ht="15.5" customHeight="1">
      <c r="A23" s="45" t="n"/>
      <c r="B23" s="98" t="n"/>
      <c r="C23" s="539" t="n"/>
      <c r="D23" s="539" t="n"/>
      <c r="E23" s="539" t="n"/>
      <c r="F23" s="539" t="n"/>
      <c r="G23" s="546" t="n"/>
    </row>
    <row r="24" ht="15.5" customHeight="1">
      <c r="A24" s="45" t="n"/>
      <c r="B24" s="98" t="n"/>
      <c r="C24" s="539" t="n"/>
      <c r="D24" s="539" t="n"/>
      <c r="E24" s="539" t="n"/>
      <c r="F24" s="539" t="n"/>
      <c r="G24" s="546" t="n"/>
    </row>
    <row r="25" ht="15.5" customHeight="1">
      <c r="A25" s="45" t="inlineStr">
        <is>
          <t>无形资产合计</t>
        </is>
      </c>
      <c r="B25" s="28" t="n"/>
      <c r="C25" s="539">
        <f>SUM(C6:C8)</f>
      </c>
      <c r="D25" s="539">
        <f>SUM(D6:D8)</f>
      </c>
      <c r="E25" s="539">
        <f>SUM(E6:E8)</f>
      </c>
      <c r="F25" s="539">
        <f>SUM(F6:F8)</f>
      </c>
      <c r="G25" s="546">
        <f>IF(D25=0,"",F25/D25*100)</f>
      </c>
    </row>
    <row r="26" ht="15.5" customHeight="1">
      <c r="A26" s="45" t="inlineStr">
        <is>
          <t>减：无形资产减值准备</t>
        </is>
      </c>
      <c r="B26" s="28" t="n"/>
      <c r="C26" s="539" t="n"/>
      <c r="D26" s="539">
        <f>C26</f>
      </c>
      <c r="E26" s="539" t="n">
        <v>0</v>
      </c>
      <c r="F26" s="539">
        <f>E26-D26</f>
      </c>
      <c r="G26" s="546">
        <f>IF(D26=0,"",F26/D26*100)</f>
      </c>
    </row>
    <row r="27" ht="15.5" customHeight="1">
      <c r="A27" s="45" t="inlineStr">
        <is>
          <t>6</t>
        </is>
      </c>
      <c r="B27" s="45" t="inlineStr">
        <is>
          <t>总计</t>
        </is>
      </c>
      <c r="C27" s="539">
        <f>C25-C26</f>
      </c>
      <c r="D27" s="539">
        <f>D25-D26</f>
      </c>
      <c r="E27" s="539">
        <f>E25-E26</f>
      </c>
      <c r="F27" s="539">
        <f>E27-D27</f>
      </c>
      <c r="G27" s="546">
        <f>IF(D27=0,"",F27/D27*100)</f>
      </c>
    </row>
    <row r="28" ht="15.5" customHeight="1">
      <c r="A28" s="29">
        <f>封面!D11&amp;封面!G11</f>
      </c>
      <c r="E28" s="13">
        <f>"评估人员："&amp;封面!G28&amp;"  "&amp;封面!G34</f>
      </c>
    </row>
    <row r="29" ht="15.5" customHeight="1">
      <c r="A29" s="29">
        <f>CONCATENATE(封面!D13,封面!F13,封面!G13,封面!H13,封面!I13,封面!J13,封面!K13)</f>
      </c>
    </row>
  </sheetData>
  <mergeCells count="4">
    <mergeCell ref="A25:B25"/>
    <mergeCell ref="A26:B26"/>
    <mergeCell ref="A2:G2"/>
    <mergeCell ref="A3:G3"/>
  </mergeCells>
  <hyperlinks>
    <hyperlink ref="A1" location="索引目录!C48" display="返回索引页"/>
    <hyperlink ref="B1" location="分类汇总!B31" display="返回"/>
    <hyperlink ref="B6" location="'无形-土地'!B1" display="无形资产-土地使用权"/>
    <hyperlink ref="B8" location="'无形-其他'!B1" display="无形资产-其他无形资产"/>
  </hyperlinks>
  <printOptions horizontalCentered="1"/>
  <pageMargins left="0.354330708661417" right="0.354330708661417" top="0.78740157480315" bottom="0.78740157480315" header="1.06" footer="0.511811023622047"/>
  <pageSetup orientation="landscape" paperSize="9" fitToHeight="0"/>
  <headerFooter alignWithMargins="0">
    <oddHeader>&amp;R&amp;"宋体,常规"共&amp;"Times New Roman,常规"&amp;N&amp;"宋体,常规"页第&amp;"Times New Roman,常规"&amp;P&amp;"宋体,常规"4-12_x000a_页</oddHeader>
    <oddFooter/>
    <evenHeader/>
    <evenFooter/>
    <firstHeader/>
    <firstFooter/>
  </headerFooter>
</worksheet>
</file>

<file path=xl/worksheets/sheet64.xml><?xml version="1.0" encoding="utf-8"?>
<worksheet xmlns="http://schemas.openxmlformats.org/spreadsheetml/2006/main">
  <sheetPr codeName="Sheet64">
    <outlinePr summaryBelow="1" summaryRight="1"/>
    <pageSetUpPr fitToPage="1"/>
  </sheetPr>
  <dimension ref="A1:R29"/>
  <sheetViews>
    <sheetView view="pageBreakPreview" topLeftCell="C1" zoomScale="60" zoomScaleNormal="100" workbookViewId="0">
      <selection activeCell="G451" sqref="G451"/>
    </sheetView>
  </sheetViews>
  <sheetFormatPr baseColWidth="8" defaultColWidth="9" defaultRowHeight="15.75" customHeight="1"/>
  <cols>
    <col width="6.33333333333333" customWidth="1" style="13" min="1" max="1"/>
    <col width="6.83333333333333" customWidth="1" style="13" min="2" max="2"/>
    <col width="9.58333333333333" customWidth="1" style="13" min="3" max="3"/>
    <col width="10.5" customWidth="1" style="13" min="4" max="4"/>
    <col width="5.33333333333333" customWidth="1" style="13" min="5" max="6"/>
    <col width="5.08333333333333" customWidth="1" style="13" min="7" max="8"/>
    <col width="8" customWidth="1" style="13" min="9" max="9"/>
    <col width="12.5" customWidth="1" style="13" min="10" max="10"/>
    <col hidden="1" outlineLevel="1" width="13" customWidth="1" style="13" min="11" max="12"/>
    <col collapsed="1" width="13" customWidth="1" style="13" min="13" max="13"/>
    <col width="13" customWidth="1" style="13" min="14" max="15"/>
    <col width="8.08333333333333" customWidth="1" style="13" min="16" max="16"/>
    <col width="9" customWidth="1" style="13" min="17" max="17"/>
    <col hidden="1" outlineLevel="1" width="13.0833333333333" customWidth="1" style="13" min="18" max="18"/>
    <col collapsed="1" width="9" customWidth="1" style="13" min="19" max="19"/>
    <col width="9" customWidth="1" style="13" min="20" max="16384"/>
  </cols>
  <sheetData>
    <row r="1" ht="15.5" customHeight="1">
      <c r="A1" s="545" t="inlineStr">
        <is>
          <t>返回索引页</t>
        </is>
      </c>
      <c r="B1" s="15" t="inlineStr">
        <is>
          <t>返回</t>
        </is>
      </c>
      <c r="C1" s="16" t="n"/>
      <c r="D1" s="16" t="n"/>
      <c r="E1" s="16" t="n"/>
      <c r="F1" s="16" t="n"/>
      <c r="G1" s="16" t="n"/>
      <c r="H1" s="16" t="n"/>
      <c r="I1" s="16" t="n"/>
      <c r="J1" s="16" t="n"/>
      <c r="K1" s="16" t="n"/>
      <c r="L1" s="16" t="n"/>
      <c r="M1" s="16" t="n"/>
      <c r="N1" s="16" t="n"/>
      <c r="O1" s="16" t="n"/>
      <c r="P1" s="16" t="n"/>
      <c r="Q1" s="16" t="n"/>
    </row>
    <row r="2" ht="30" customFormat="1" customHeight="1" s="11">
      <c r="A2" s="17" t="inlineStr">
        <is>
          <t>无形资产—土地使用权评估明细表</t>
        </is>
      </c>
    </row>
    <row r="3" ht="14.15" customHeight="1">
      <c r="A3" s="535">
        <f>CONCATENATE(封面!D9,封面!F9,封面!G9,封面!H9,封面!I9,封面!J9,封面!K9)</f>
      </c>
    </row>
    <row r="4" ht="15.5" customHeight="1">
      <c r="A4" s="536">
        <f>封面!D7&amp;封面!F7</f>
      </c>
      <c r="Q4" s="20" t="inlineStr">
        <is>
          <t>金额单位：人民币元</t>
        </is>
      </c>
    </row>
    <row r="5" ht="31.5" customFormat="1" customHeight="1" s="16">
      <c r="A5" s="22" t="inlineStr">
        <is>
          <t>序号</t>
        </is>
      </c>
      <c r="B5" s="22" t="inlineStr">
        <is>
          <t>土地权证编号</t>
        </is>
      </c>
      <c r="C5" s="22" t="inlineStr">
        <is>
          <t>宗地名称</t>
        </is>
      </c>
      <c r="D5" s="22" t="inlineStr">
        <is>
          <t>土地位置</t>
        </is>
      </c>
      <c r="E5" s="22" t="inlineStr">
        <is>
          <t>取得日期</t>
        </is>
      </c>
      <c r="F5" s="22" t="inlineStr">
        <is>
          <t>用地性质</t>
        </is>
      </c>
      <c r="G5" s="22" t="inlineStr">
        <is>
          <t>准用年限</t>
        </is>
      </c>
      <c r="H5" s="22" t="inlineStr">
        <is>
          <t>开发程度</t>
        </is>
      </c>
      <c r="I5" s="22" t="inlineStr">
        <is>
          <t>面积(m2)</t>
        </is>
      </c>
      <c r="J5" s="22" t="inlineStr">
        <is>
          <t>原始入账价值</t>
        </is>
      </c>
      <c r="K5" s="22" t="inlineStr">
        <is>
          <t>审计前账面值</t>
        </is>
      </c>
      <c r="L5" s="22" t="inlineStr">
        <is>
          <t>审计调整</t>
        </is>
      </c>
      <c r="M5" s="22" t="inlineStr">
        <is>
          <t>账面价值</t>
        </is>
      </c>
      <c r="N5" s="22" t="inlineStr">
        <is>
          <t>评估价值</t>
        </is>
      </c>
      <c r="O5" s="22" t="inlineStr">
        <is>
          <t>增减值</t>
        </is>
      </c>
      <c r="P5" s="22" t="inlineStr">
        <is>
          <t>增值率%</t>
        </is>
      </c>
      <c r="Q5" s="22" t="inlineStr">
        <is>
          <t>备注</t>
        </is>
      </c>
      <c r="R5" s="21" t="inlineStr">
        <is>
          <t>证载权利人</t>
        </is>
      </c>
    </row>
    <row r="6" ht="15.5" customHeight="1">
      <c r="A6" s="23" t="n"/>
      <c r="B6" s="23" t="n"/>
      <c r="C6" s="24" t="n"/>
      <c r="D6" s="24" t="n"/>
      <c r="E6" s="25" t="n"/>
      <c r="F6" s="23" t="n"/>
      <c r="G6" s="23" t="n"/>
      <c r="H6" s="23" t="n"/>
      <c r="I6" s="539" t="n"/>
      <c r="J6" s="539" t="n"/>
      <c r="K6" s="539" t="n"/>
      <c r="L6" s="539" t="n"/>
      <c r="M6" s="539" t="n"/>
      <c r="N6" s="539" t="n"/>
      <c r="O6" s="539">
        <f>IF(M6=0,"",(N6-M6))</f>
      </c>
      <c r="P6" s="539">
        <f>IF(M6=0,"",(N6-M6)/M6*100)</f>
      </c>
      <c r="Q6" s="27" t="n"/>
      <c r="R6" s="27" t="n"/>
    </row>
    <row r="7" ht="15.5" customHeight="1">
      <c r="A7" s="23" t="n"/>
      <c r="B7" s="23" t="n"/>
      <c r="C7" s="24" t="n"/>
      <c r="D7" s="24" t="n"/>
      <c r="E7" s="25" t="n"/>
      <c r="F7" s="23" t="n"/>
      <c r="G7" s="23" t="n"/>
      <c r="H7" s="23" t="n"/>
      <c r="I7" s="539" t="n"/>
      <c r="J7" s="539" t="n"/>
      <c r="K7" s="539" t="n"/>
      <c r="L7" s="539" t="n"/>
      <c r="M7" s="539" t="n"/>
      <c r="N7" s="539" t="n"/>
      <c r="O7" s="539">
        <f>IF(M7=0,"",(N7-M7))</f>
      </c>
      <c r="P7" s="539">
        <f>IF(M7=0,"",(N7-M7)/M7*100)</f>
      </c>
      <c r="Q7" s="27" t="n"/>
      <c r="R7" s="27" t="n"/>
    </row>
    <row r="8" ht="15.5" customHeight="1">
      <c r="A8" s="23" t="n"/>
      <c r="B8" s="23" t="n"/>
      <c r="C8" s="24" t="n"/>
      <c r="D8" s="24" t="n"/>
      <c r="E8" s="25" t="n"/>
      <c r="F8" s="23" t="n"/>
      <c r="G8" s="23" t="n"/>
      <c r="H8" s="23" t="n"/>
      <c r="I8" s="539" t="n"/>
      <c r="J8" s="539" t="n"/>
      <c r="K8" s="539" t="n"/>
      <c r="L8" s="539" t="n"/>
      <c r="M8" s="539" t="n"/>
      <c r="N8" s="539" t="n"/>
      <c r="O8" s="539">
        <f>IF(M8=0,"",(N8-M8))</f>
      </c>
      <c r="P8" s="539">
        <f>IF(M8=0,"",(N8-M8)/M8*100)</f>
      </c>
      <c r="Q8" s="27" t="n"/>
      <c r="R8" s="27" t="n"/>
    </row>
    <row r="9" ht="15.5" customHeight="1">
      <c r="A9" s="23" t="n"/>
      <c r="B9" s="23" t="n"/>
      <c r="C9" s="24" t="n"/>
      <c r="D9" s="24" t="n"/>
      <c r="E9" s="25" t="n"/>
      <c r="F9" s="23" t="n"/>
      <c r="G9" s="23" t="n"/>
      <c r="H9" s="23" t="n"/>
      <c r="I9" s="539" t="n"/>
      <c r="J9" s="539" t="n"/>
      <c r="K9" s="539" t="n"/>
      <c r="L9" s="539" t="n"/>
      <c r="M9" s="539" t="n"/>
      <c r="N9" s="539" t="n"/>
      <c r="O9" s="539">
        <f>IF(M9=0,"",(N9-M9))</f>
      </c>
      <c r="P9" s="539">
        <f>IF(M9=0,"",(N9-M9)/M9*100)</f>
      </c>
      <c r="Q9" s="27" t="n"/>
      <c r="R9" s="27" t="n"/>
    </row>
    <row r="10" ht="15.5" customHeight="1">
      <c r="A10" s="23" t="n"/>
      <c r="B10" s="23" t="n"/>
      <c r="C10" s="24" t="n"/>
      <c r="D10" s="24" t="n"/>
      <c r="E10" s="25" t="n"/>
      <c r="F10" s="23" t="n"/>
      <c r="G10" s="23" t="n"/>
      <c r="H10" s="23" t="n"/>
      <c r="I10" s="539" t="n"/>
      <c r="J10" s="539" t="n"/>
      <c r="K10" s="539" t="n"/>
      <c r="L10" s="539" t="n"/>
      <c r="M10" s="539" t="n"/>
      <c r="N10" s="539" t="n"/>
      <c r="O10" s="539">
        <f>IF(M10=0,"",(N10-M10))</f>
      </c>
      <c r="P10" s="539">
        <f>IF(M10=0,"",(N10-M10)/M10*100)</f>
      </c>
      <c r="Q10" s="27" t="n"/>
      <c r="R10" s="27" t="n"/>
    </row>
    <row r="11" ht="15.5" customHeight="1">
      <c r="A11" s="23" t="n"/>
      <c r="B11" s="23" t="n"/>
      <c r="C11" s="24" t="n"/>
      <c r="D11" s="24" t="n"/>
      <c r="E11" s="25" t="n"/>
      <c r="F11" s="23" t="n"/>
      <c r="G11" s="23" t="n"/>
      <c r="H11" s="23" t="n"/>
      <c r="I11" s="539" t="n"/>
      <c r="J11" s="539" t="n"/>
      <c r="K11" s="539" t="n"/>
      <c r="L11" s="539" t="n"/>
      <c r="M11" s="539" t="n"/>
      <c r="N11" s="539" t="n"/>
      <c r="O11" s="539">
        <f>IF(M11=0,"",(N11-M11))</f>
      </c>
      <c r="P11" s="539">
        <f>IF(M11=0,"",(N11-M11)/M11*100)</f>
      </c>
      <c r="Q11" s="27" t="n"/>
      <c r="R11" s="27" t="n"/>
    </row>
    <row r="12" ht="15.5" customHeight="1">
      <c r="A12" s="23" t="n"/>
      <c r="B12" s="23" t="n"/>
      <c r="C12" s="24" t="n"/>
      <c r="D12" s="24" t="n"/>
      <c r="E12" s="25" t="n"/>
      <c r="F12" s="23" t="n"/>
      <c r="G12" s="23" t="n"/>
      <c r="H12" s="23" t="n"/>
      <c r="I12" s="539" t="n"/>
      <c r="J12" s="539" t="n"/>
      <c r="K12" s="539" t="n"/>
      <c r="L12" s="539" t="n"/>
      <c r="M12" s="539" t="n"/>
      <c r="N12" s="539" t="n"/>
      <c r="O12" s="539">
        <f>IF(M12=0,"",(N12-M12))</f>
      </c>
      <c r="P12" s="539">
        <f>IF(M12=0,"",(N12-M12)/M12*100)</f>
      </c>
      <c r="Q12" s="27" t="n"/>
      <c r="R12" s="27" t="n"/>
    </row>
    <row r="13" ht="15.5" customHeight="1">
      <c r="A13" s="23" t="n"/>
      <c r="B13" s="23" t="n"/>
      <c r="C13" s="24" t="n"/>
      <c r="D13" s="24" t="n"/>
      <c r="E13" s="25" t="n"/>
      <c r="F13" s="23" t="n"/>
      <c r="G13" s="23" t="n"/>
      <c r="H13" s="23" t="n"/>
      <c r="I13" s="539" t="n"/>
      <c r="J13" s="539" t="n"/>
      <c r="K13" s="539" t="n"/>
      <c r="L13" s="539" t="n"/>
      <c r="M13" s="539" t="n"/>
      <c r="N13" s="539" t="n"/>
      <c r="O13" s="539">
        <f>IF(M13=0,"",(N13-M13))</f>
      </c>
      <c r="P13" s="539">
        <f>IF(M13=0,"",(N13-M13)/M13*100)</f>
      </c>
      <c r="Q13" s="27" t="n"/>
      <c r="R13" s="27" t="n"/>
    </row>
    <row r="14" ht="15.5" customHeight="1">
      <c r="A14" s="23" t="n"/>
      <c r="B14" s="23" t="n"/>
      <c r="C14" s="24" t="n"/>
      <c r="D14" s="24" t="n"/>
      <c r="E14" s="25" t="n"/>
      <c r="F14" s="23" t="n"/>
      <c r="G14" s="23" t="n"/>
      <c r="H14" s="23" t="n"/>
      <c r="I14" s="539" t="n"/>
      <c r="J14" s="539" t="n"/>
      <c r="K14" s="539" t="n"/>
      <c r="L14" s="539" t="n"/>
      <c r="M14" s="539" t="n"/>
      <c r="N14" s="539" t="n"/>
      <c r="O14" s="539">
        <f>IF(M14=0,"",(N14-M14))</f>
      </c>
      <c r="P14" s="539">
        <f>IF(M14=0,"",(N14-M14)/M14*100)</f>
      </c>
      <c r="Q14" s="27" t="n"/>
      <c r="R14" s="27" t="n"/>
    </row>
    <row r="15" ht="15.5" customHeight="1">
      <c r="A15" s="23" t="n"/>
      <c r="B15" s="23" t="n"/>
      <c r="C15" s="24" t="n"/>
      <c r="D15" s="24" t="n"/>
      <c r="E15" s="25" t="n"/>
      <c r="F15" s="23" t="n"/>
      <c r="G15" s="23" t="n"/>
      <c r="H15" s="23" t="n"/>
      <c r="I15" s="539" t="n"/>
      <c r="J15" s="539" t="n"/>
      <c r="K15" s="539" t="n"/>
      <c r="L15" s="539" t="n"/>
      <c r="M15" s="539" t="n"/>
      <c r="N15" s="539" t="n"/>
      <c r="O15" s="539">
        <f>IF(M15=0,"",(N15-M15))</f>
      </c>
      <c r="P15" s="539">
        <f>IF(M15=0,"",(N15-M15)/M15*100)</f>
      </c>
      <c r="Q15" s="27" t="n"/>
      <c r="R15" s="27" t="n"/>
    </row>
    <row r="16" ht="15.5" customHeight="1">
      <c r="A16" s="23" t="n"/>
      <c r="B16" s="23" t="n"/>
      <c r="C16" s="24" t="n"/>
      <c r="D16" s="24" t="n"/>
      <c r="E16" s="25" t="n"/>
      <c r="F16" s="23" t="n"/>
      <c r="G16" s="23" t="n"/>
      <c r="H16" s="23" t="n"/>
      <c r="I16" s="539" t="n"/>
      <c r="J16" s="539" t="n"/>
      <c r="K16" s="539" t="n"/>
      <c r="L16" s="539" t="n"/>
      <c r="M16" s="539" t="n"/>
      <c r="N16" s="539" t="n"/>
      <c r="O16" s="539">
        <f>IF(M16=0,"",(N16-M16))</f>
      </c>
      <c r="P16" s="539">
        <f>IF(M16=0,"",(N16-M16)/M16*100)</f>
      </c>
      <c r="Q16" s="27" t="n"/>
      <c r="R16" s="27" t="n"/>
    </row>
    <row r="17" ht="15.5" customHeight="1">
      <c r="A17" s="23" t="n"/>
      <c r="B17" s="23" t="n"/>
      <c r="C17" s="24" t="n"/>
      <c r="D17" s="24" t="n"/>
      <c r="E17" s="25" t="n"/>
      <c r="F17" s="23" t="n"/>
      <c r="G17" s="23" t="n"/>
      <c r="H17" s="23" t="n"/>
      <c r="I17" s="539" t="n"/>
      <c r="J17" s="539" t="n"/>
      <c r="K17" s="539" t="n"/>
      <c r="L17" s="539" t="n"/>
      <c r="M17" s="539" t="n"/>
      <c r="N17" s="539" t="n"/>
      <c r="O17" s="539">
        <f>IF(M17=0,"",(N17-M17))</f>
      </c>
      <c r="P17" s="539">
        <f>IF(M17=0,"",(N17-M17)/M17*100)</f>
      </c>
      <c r="Q17" s="27" t="n"/>
      <c r="R17" s="27" t="n"/>
    </row>
    <row r="18" ht="15.5" customHeight="1">
      <c r="A18" s="23" t="n"/>
      <c r="B18" s="23" t="n"/>
      <c r="C18" s="24" t="n"/>
      <c r="D18" s="24" t="n"/>
      <c r="E18" s="25" t="n"/>
      <c r="F18" s="23" t="n"/>
      <c r="G18" s="23" t="n"/>
      <c r="H18" s="23" t="n"/>
      <c r="I18" s="539" t="n"/>
      <c r="J18" s="539" t="n"/>
      <c r="K18" s="539" t="n"/>
      <c r="L18" s="539" t="n"/>
      <c r="M18" s="539" t="n"/>
      <c r="N18" s="539" t="n"/>
      <c r="O18" s="539">
        <f>IF(M18=0,"",(N18-M18))</f>
      </c>
      <c r="P18" s="539">
        <f>IF(M18=0,"",(N18-M18)/M18*100)</f>
      </c>
      <c r="Q18" s="27" t="n"/>
      <c r="R18" s="27" t="n"/>
    </row>
    <row r="19" ht="15.5" customHeight="1">
      <c r="A19" s="23" t="n"/>
      <c r="B19" s="23" t="n"/>
      <c r="C19" s="24" t="n"/>
      <c r="D19" s="24" t="n"/>
      <c r="E19" s="25" t="n"/>
      <c r="F19" s="23" t="n"/>
      <c r="G19" s="23" t="n"/>
      <c r="H19" s="23" t="n"/>
      <c r="I19" s="539" t="n"/>
      <c r="J19" s="539" t="n"/>
      <c r="K19" s="539" t="n"/>
      <c r="L19" s="539" t="n"/>
      <c r="M19" s="539" t="n"/>
      <c r="N19" s="539" t="n"/>
      <c r="O19" s="539">
        <f>IF(M19=0,"",(N19-M19))</f>
      </c>
      <c r="P19" s="539">
        <f>IF(M19=0,"",(N19-M19)/M19*100)</f>
      </c>
      <c r="Q19" s="27" t="n"/>
      <c r="R19" s="27" t="n"/>
    </row>
    <row r="20" ht="15.5" customHeight="1">
      <c r="A20" s="23" t="n"/>
      <c r="B20" s="23" t="n"/>
      <c r="C20" s="24" t="n"/>
      <c r="D20" s="24" t="n"/>
      <c r="E20" s="25" t="n"/>
      <c r="F20" s="23" t="n"/>
      <c r="G20" s="23" t="n"/>
      <c r="H20" s="23" t="n"/>
      <c r="I20" s="539" t="n"/>
      <c r="J20" s="539" t="n"/>
      <c r="K20" s="539" t="n"/>
      <c r="L20" s="539" t="n"/>
      <c r="M20" s="539" t="n"/>
      <c r="N20" s="539" t="n"/>
      <c r="O20" s="539">
        <f>IF(M20=0,"",(N20-M20))</f>
      </c>
      <c r="P20" s="539">
        <f>IF(M20=0,"",(N20-M20)/M20*100)</f>
      </c>
      <c r="Q20" s="27" t="n"/>
      <c r="R20" s="27" t="n"/>
    </row>
    <row r="21" ht="15.5" customHeight="1">
      <c r="A21" s="23" t="n"/>
      <c r="B21" s="23" t="n"/>
      <c r="C21" s="24" t="n"/>
      <c r="D21" s="24" t="n"/>
      <c r="E21" s="25" t="n"/>
      <c r="F21" s="23" t="n"/>
      <c r="G21" s="23" t="n"/>
      <c r="H21" s="23" t="n"/>
      <c r="I21" s="539" t="n"/>
      <c r="J21" s="539" t="n"/>
      <c r="K21" s="539" t="n"/>
      <c r="L21" s="539" t="n"/>
      <c r="M21" s="539" t="n"/>
      <c r="N21" s="539" t="n"/>
      <c r="O21" s="539">
        <f>IF(M21=0,"",(N21-M21))</f>
      </c>
      <c r="P21" s="539">
        <f>IF(M21=0,"",(N21-M21)/M21*100)</f>
      </c>
      <c r="Q21" s="27" t="n"/>
      <c r="R21" s="27" t="n"/>
    </row>
    <row r="22" ht="15.5" customHeight="1">
      <c r="A22" s="23" t="n"/>
      <c r="B22" s="23" t="n"/>
      <c r="C22" s="24" t="n"/>
      <c r="D22" s="24" t="n"/>
      <c r="E22" s="25" t="n"/>
      <c r="F22" s="23" t="n"/>
      <c r="G22" s="23" t="n"/>
      <c r="H22" s="23" t="n"/>
      <c r="I22" s="539" t="n"/>
      <c r="J22" s="539" t="n"/>
      <c r="K22" s="539" t="n"/>
      <c r="L22" s="539" t="n"/>
      <c r="M22" s="539" t="n"/>
      <c r="N22" s="539" t="n"/>
      <c r="O22" s="539">
        <f>IF(M22=0,"",(N22-M22))</f>
      </c>
      <c r="P22" s="539">
        <f>IF(M22=0,"",(N22-M22)/M22*100)</f>
      </c>
      <c r="Q22" s="27" t="n"/>
      <c r="R22" s="27" t="n"/>
    </row>
    <row r="23" ht="15.5" customHeight="1">
      <c r="A23" s="23" t="n"/>
      <c r="B23" s="23" t="n"/>
      <c r="C23" s="24" t="n"/>
      <c r="D23" s="24" t="n"/>
      <c r="E23" s="25" t="n"/>
      <c r="F23" s="23" t="n"/>
      <c r="G23" s="23" t="n"/>
      <c r="H23" s="23" t="n"/>
      <c r="I23" s="539" t="n"/>
      <c r="J23" s="539" t="n"/>
      <c r="K23" s="539" t="n"/>
      <c r="L23" s="539" t="n"/>
      <c r="M23" s="539" t="n"/>
      <c r="N23" s="539" t="n"/>
      <c r="O23" s="539">
        <f>IF(M23=0,"",(N23-M23))</f>
      </c>
      <c r="P23" s="539">
        <f>IF(M23=0,"",(N23-M23)/M23*100)</f>
      </c>
      <c r="Q23" s="27" t="n"/>
      <c r="R23" s="27" t="n"/>
    </row>
    <row r="24" ht="15.5" customHeight="1">
      <c r="A24" s="23" t="n"/>
      <c r="B24" s="23" t="n"/>
      <c r="C24" s="24" t="n"/>
      <c r="D24" s="24" t="n"/>
      <c r="E24" s="25" t="n"/>
      <c r="F24" s="23" t="n"/>
      <c r="G24" s="23" t="n"/>
      <c r="H24" s="23" t="n"/>
      <c r="I24" s="539" t="n"/>
      <c r="J24" s="539" t="n"/>
      <c r="K24" s="539" t="n"/>
      <c r="L24" s="539" t="n"/>
      <c r="M24" s="539" t="n"/>
      <c r="N24" s="539" t="n"/>
      <c r="O24" s="539">
        <f>IF(M24=0,"",(N24-M24))</f>
      </c>
      <c r="P24" s="539">
        <f>IF(M24=0,"",(N24-M24)/M24*100)</f>
      </c>
      <c r="Q24" s="27" t="n"/>
      <c r="R24" s="27" t="n"/>
    </row>
    <row r="25" ht="15.5" customHeight="1">
      <c r="A25" s="23" t="n"/>
      <c r="B25" s="23" t="n"/>
      <c r="C25" s="24" t="n"/>
      <c r="D25" s="24" t="n"/>
      <c r="E25" s="25" t="n"/>
      <c r="F25" s="23" t="n"/>
      <c r="G25" s="23" t="n"/>
      <c r="H25" s="23" t="n"/>
      <c r="I25" s="539" t="n"/>
      <c r="J25" s="539" t="n"/>
      <c r="K25" s="539" t="n"/>
      <c r="L25" s="539" t="n"/>
      <c r="M25" s="539" t="n"/>
      <c r="N25" s="539" t="n"/>
      <c r="O25" s="539">
        <f>IF(M25=0,"",(N25-M25))</f>
      </c>
      <c r="P25" s="539">
        <f>IF(M25=0,"",(N25-M25)/M25*100)</f>
      </c>
      <c r="Q25" s="27" t="n"/>
      <c r="R25" s="27" t="n"/>
    </row>
    <row r="26" ht="15.5" customHeight="1">
      <c r="A26" s="23" t="n"/>
      <c r="B26" s="23" t="n"/>
      <c r="C26" s="24" t="n"/>
      <c r="D26" s="24" t="n"/>
      <c r="E26" s="25" t="n"/>
      <c r="F26" s="23" t="n"/>
      <c r="G26" s="23" t="n"/>
      <c r="H26" s="23" t="n"/>
      <c r="I26" s="539" t="n"/>
      <c r="J26" s="539" t="n"/>
      <c r="K26" s="539" t="n"/>
      <c r="L26" s="539" t="n"/>
      <c r="M26" s="539" t="n"/>
      <c r="N26" s="539" t="n"/>
      <c r="O26" s="539">
        <f>IF(M26=0,"",(N26-M26))</f>
      </c>
      <c r="P26" s="539" t="n"/>
      <c r="Q26" s="27" t="n"/>
      <c r="R26" s="27" t="n"/>
    </row>
    <row r="27" ht="15.5" customHeight="1">
      <c r="A27" s="21" t="inlineStr">
        <is>
          <t>合         计</t>
        </is>
      </c>
      <c r="B27" s="138" t="n"/>
      <c r="C27" s="138" t="n"/>
      <c r="D27" s="28" t="n"/>
      <c r="E27" s="25" t="n"/>
      <c r="F27" s="23" t="n"/>
      <c r="G27" s="23" t="n"/>
      <c r="H27" s="23" t="n"/>
      <c r="I27" s="539" t="n"/>
      <c r="J27" s="539">
        <f>SUM(J6:J26)</f>
      </c>
      <c r="K27" s="539">
        <f>SUM(K6:K26)</f>
      </c>
      <c r="L27" s="539" t="n"/>
      <c r="M27" s="539">
        <f>SUM(M6:M26)</f>
      </c>
      <c r="N27" s="539">
        <f>SUM(N6:N26)</f>
      </c>
      <c r="O27" s="539">
        <f>IF(M27=0,"",(N27-M27))</f>
      </c>
      <c r="P27" s="539">
        <f>IF(M27=0,"",(N27-M27)/M27*100)</f>
      </c>
      <c r="Q27" s="27" t="n"/>
      <c r="R27" s="27" t="n"/>
    </row>
    <row r="28" ht="15.5" customHeight="1">
      <c r="A28" s="29">
        <f>封面!D11&amp;封面!G11</f>
      </c>
      <c r="G28" s="536" t="n"/>
      <c r="M28" s="13">
        <f>"评估人员："&amp;封面!G28</f>
      </c>
    </row>
    <row r="29" ht="15.5" customHeight="1">
      <c r="A29" s="29">
        <f>CONCATENATE(封面!D13,封面!F13,封面!G13,封面!H13,封面!I13,封面!J13,封面!K13)</f>
      </c>
    </row>
  </sheetData>
  <mergeCells count="3">
    <mergeCell ref="A3:Q3"/>
    <mergeCell ref="A2:Q2"/>
    <mergeCell ref="A27:D27"/>
  </mergeCells>
  <hyperlinks>
    <hyperlink ref="A1" location="索引目录!C28" display="返回索引页"/>
    <hyperlink ref="B1" location="无形资产汇总!B6" display="返回"/>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Roman,常规"&amp;P&amp;"宋体,常规"4-12-1_x000a_页</oddHeader>
    <oddFooter/>
    <evenHeader/>
    <evenFooter/>
    <firstHeader/>
    <firstFooter/>
  </headerFooter>
  <legacyDrawing xmlns:r="http://schemas.openxmlformats.org/officeDocument/2006/relationships" r:id="anysvml"/>
</worksheet>
</file>

<file path=xl/worksheets/sheet65.xml><?xml version="1.0" encoding="utf-8"?>
<worksheet xmlns="http://schemas.openxmlformats.org/spreadsheetml/2006/main">
  <sheetPr codeName="Sheet65">
    <tabColor indexed="10"/>
    <outlinePr summaryBelow="1" summaryRight="1"/>
    <pageSetUpPr fitToPage="1"/>
  </sheetPr>
  <dimension ref="A1:P29"/>
  <sheetViews>
    <sheetView view="pageBreakPreview" zoomScale="60" zoomScaleNormal="100" workbookViewId="0">
      <selection activeCell="G451" sqref="G451"/>
    </sheetView>
  </sheetViews>
  <sheetFormatPr baseColWidth="8" defaultColWidth="9" defaultRowHeight="15.5"/>
  <cols>
    <col width="4" customWidth="1" style="79" min="1" max="1"/>
    <col width="14.75" customWidth="1" style="79" min="2" max="2"/>
    <col width="11.8333333333333" customWidth="1" style="79" min="3" max="3"/>
    <col width="5.33333333333333" customWidth="1" style="79" min="4" max="4"/>
    <col width="8.5" customWidth="1" style="79" min="5" max="5"/>
    <col width="7.08333333333333" customWidth="1" style="79" min="6" max="6"/>
    <col width="8.33333333333333" customWidth="1" style="79" min="7" max="7"/>
    <col width="11.8333333333333" customWidth="1" style="79" min="8" max="8"/>
    <col width="11" customWidth="1" style="79" min="9" max="9"/>
    <col hidden="1" outlineLevel="1" width="12.5833333333333" customWidth="1" style="79" min="10" max="10"/>
    <col hidden="1" outlineLevel="1" width="10.8333333333333" customWidth="1" style="79" min="11" max="11"/>
    <col collapsed="1" width="10.8333333333333" customWidth="1" style="79" min="12" max="12"/>
    <col width="10.8333333333333" customWidth="1" style="79" min="13" max="13"/>
    <col width="6.5" customWidth="1" style="79" min="14" max="14"/>
    <col width="7.25" customWidth="1" style="79" min="15" max="15"/>
    <col width="7.08333333333333" customWidth="1" style="79" min="16" max="16"/>
    <col width="9" customWidth="1" style="79" min="17" max="16384"/>
  </cols>
  <sheetData>
    <row r="1" ht="13.5" customHeight="1">
      <c r="A1" s="545" t="inlineStr">
        <is>
          <t>返回索引页</t>
        </is>
      </c>
      <c r="B1" s="15" t="inlineStr">
        <is>
          <t>返回</t>
        </is>
      </c>
      <c r="C1" s="611" t="n"/>
      <c r="D1" s="611" t="n"/>
      <c r="E1" s="611" t="n"/>
      <c r="F1" s="611" t="n"/>
      <c r="G1" s="611" t="n"/>
      <c r="H1" s="611" t="n"/>
      <c r="I1" s="81" t="n"/>
      <c r="J1" s="81" t="n"/>
      <c r="K1" s="81" t="n"/>
      <c r="L1" s="81" t="n"/>
      <c r="M1" s="81" t="n"/>
      <c r="N1" s="81" t="n"/>
      <c r="O1" s="82" t="n"/>
    </row>
    <row r="2" ht="30" customHeight="1">
      <c r="A2" s="83" t="inlineStr">
        <is>
          <t>无形资产—矿业权评估明细表</t>
        </is>
      </c>
    </row>
    <row r="3">
      <c r="A3" s="576">
        <f>无形资产汇总!A3</f>
      </c>
    </row>
    <row r="4">
      <c r="A4" s="536">
        <f>封面!D7&amp;封面!F7</f>
      </c>
      <c r="B4" s="85" t="n"/>
      <c r="C4" s="85" t="n"/>
      <c r="D4" s="85" t="n"/>
      <c r="E4" s="85" t="n"/>
      <c r="F4" s="85" t="n"/>
      <c r="G4" s="85" t="n"/>
      <c r="H4" s="85" t="n"/>
      <c r="I4" s="85" t="n"/>
      <c r="J4" s="85" t="n"/>
      <c r="K4" s="85" t="n"/>
      <c r="L4" s="85" t="n"/>
      <c r="M4" s="85" t="n"/>
      <c r="N4" s="85" t="n"/>
      <c r="O4" s="85" t="n"/>
      <c r="P4" s="86" t="inlineStr">
        <is>
          <t>金额单位：人民币元</t>
        </is>
      </c>
    </row>
    <row r="5" ht="35.15" customHeight="1">
      <c r="A5" s="87" t="inlineStr">
        <is>
          <t>序号</t>
        </is>
      </c>
      <c r="B5" s="87" t="inlineStr">
        <is>
          <t>名称、种类（探矿权/采矿权）</t>
        </is>
      </c>
      <c r="C5" s="87" t="inlineStr">
        <is>
          <t>勘查（采矿）许可证编号</t>
        </is>
      </c>
      <c r="D5" s="87" t="inlineStr">
        <is>
          <t>取得方式</t>
        </is>
      </c>
      <c r="E5" s="87" t="inlineStr">
        <is>
          <t>取得日期</t>
        </is>
      </c>
      <c r="F5" s="87" t="inlineStr">
        <is>
          <t>剩余有效年限</t>
        </is>
      </c>
      <c r="G5" s="87" t="inlineStr">
        <is>
          <t>勘查开发阶段</t>
        </is>
      </c>
      <c r="H5" s="87" t="inlineStr">
        <is>
          <t>核定（批准）生产规模</t>
        </is>
      </c>
      <c r="I5" s="87" t="inlineStr">
        <is>
          <t>原始入账价值</t>
        </is>
      </c>
      <c r="J5" s="88" t="inlineStr">
        <is>
          <t>审计前账面值</t>
        </is>
      </c>
      <c r="K5" s="88" t="inlineStr">
        <is>
          <t>审计调整</t>
        </is>
      </c>
      <c r="L5" s="88" t="inlineStr">
        <is>
          <t>账面价值</t>
        </is>
      </c>
      <c r="M5" s="87" t="inlineStr">
        <is>
          <t>评估价值</t>
        </is>
      </c>
      <c r="N5" s="87" t="inlineStr">
        <is>
          <t>增减值</t>
        </is>
      </c>
      <c r="O5" s="87" t="inlineStr">
        <is>
          <t>增值率%</t>
        </is>
      </c>
      <c r="P5" s="87" t="inlineStr">
        <is>
          <t>备注</t>
        </is>
      </c>
    </row>
    <row r="6">
      <c r="A6" s="89" t="n"/>
      <c r="B6" s="89" t="n"/>
      <c r="C6" s="89" t="n"/>
      <c r="D6" s="89" t="n"/>
      <c r="E6" s="90" t="n"/>
      <c r="F6" s="89" t="n"/>
      <c r="G6" s="89" t="n"/>
      <c r="H6" s="89" t="n"/>
      <c r="I6" s="578" t="n"/>
      <c r="J6" s="579" t="n"/>
      <c r="K6" s="579" t="n"/>
      <c r="L6" s="579" t="n"/>
      <c r="M6" s="578" t="n"/>
      <c r="N6" s="539">
        <f>IF(L6=0,"",(M6-L6))</f>
      </c>
      <c r="O6" s="539">
        <f>IF(L6=0,"",(M6-L6)/L6*100)</f>
      </c>
      <c r="P6" s="93" t="n"/>
    </row>
    <row r="7">
      <c r="A7" s="89" t="n"/>
      <c r="B7" s="89" t="n"/>
      <c r="C7" s="89" t="n"/>
      <c r="D7" s="89" t="n"/>
      <c r="E7" s="90" t="n"/>
      <c r="F7" s="89" t="n"/>
      <c r="G7" s="89" t="n"/>
      <c r="H7" s="89" t="n"/>
      <c r="I7" s="578" t="n"/>
      <c r="J7" s="578" t="n"/>
      <c r="K7" s="578" t="n"/>
      <c r="L7" s="578" t="n"/>
      <c r="M7" s="578" t="n"/>
      <c r="N7" s="539">
        <f>IF(L7=0,"",(M7-L7))</f>
      </c>
      <c r="O7" s="539">
        <f>IF(L7=0,"",(M7-L7)/L7*100)</f>
      </c>
      <c r="P7" s="93" t="n"/>
    </row>
    <row r="8">
      <c r="A8" s="89" t="n"/>
      <c r="B8" s="89" t="n"/>
      <c r="C8" s="89" t="n"/>
      <c r="D8" s="89" t="n"/>
      <c r="E8" s="90" t="n"/>
      <c r="F8" s="89" t="n"/>
      <c r="G8" s="89" t="n"/>
      <c r="H8" s="89" t="n"/>
      <c r="I8" s="578" t="n"/>
      <c r="J8" s="578" t="n"/>
      <c r="K8" s="578" t="n"/>
      <c r="L8" s="578" t="n"/>
      <c r="M8" s="578" t="n"/>
      <c r="N8" s="539">
        <f>IF(L8=0,"",(M8-L8))</f>
      </c>
      <c r="O8" s="539">
        <f>IF(L8=0,"",(M8-L8)/L8*100)</f>
      </c>
      <c r="P8" s="93" t="n"/>
    </row>
    <row r="9">
      <c r="A9" s="89" t="n"/>
      <c r="B9" s="89" t="n"/>
      <c r="C9" s="89" t="n"/>
      <c r="D9" s="89" t="n"/>
      <c r="E9" s="90" t="n"/>
      <c r="F9" s="89" t="n"/>
      <c r="G9" s="89" t="n"/>
      <c r="H9" s="89" t="n"/>
      <c r="I9" s="578" t="n"/>
      <c r="J9" s="578" t="n"/>
      <c r="K9" s="578" t="n"/>
      <c r="L9" s="578" t="n"/>
      <c r="M9" s="578" t="n"/>
      <c r="N9" s="539">
        <f>IF(L9=0,"",(M9-L9))</f>
      </c>
      <c r="O9" s="539">
        <f>IF(L9=0,"",(M9-L9)/L9*100)</f>
      </c>
      <c r="P9" s="93" t="n"/>
    </row>
    <row r="10">
      <c r="A10" s="89" t="n"/>
      <c r="B10" s="89" t="n"/>
      <c r="C10" s="89" t="n"/>
      <c r="D10" s="89" t="n"/>
      <c r="E10" s="90" t="n"/>
      <c r="F10" s="89" t="n"/>
      <c r="G10" s="89" t="n"/>
      <c r="H10" s="89" t="n"/>
      <c r="I10" s="578" t="n"/>
      <c r="J10" s="578" t="n"/>
      <c r="K10" s="578" t="n"/>
      <c r="L10" s="578" t="n"/>
      <c r="M10" s="578" t="n"/>
      <c r="N10" s="539">
        <f>IF(L10=0,"",(M10-L10))</f>
      </c>
      <c r="O10" s="539">
        <f>IF(L10=0,"",(M10-L10)/L10*100)</f>
      </c>
      <c r="P10" s="93" t="n"/>
    </row>
    <row r="11">
      <c r="A11" s="89" t="n"/>
      <c r="B11" s="89" t="n"/>
      <c r="C11" s="89" t="n"/>
      <c r="D11" s="89" t="n"/>
      <c r="E11" s="90" t="n"/>
      <c r="F11" s="89" t="n"/>
      <c r="G11" s="89" t="n"/>
      <c r="H11" s="89" t="n"/>
      <c r="I11" s="578" t="n"/>
      <c r="J11" s="578" t="n"/>
      <c r="K11" s="578" t="n"/>
      <c r="L11" s="578" t="n"/>
      <c r="M11" s="578" t="n"/>
      <c r="N11" s="539">
        <f>IF(L11=0,"",(M11-L11))</f>
      </c>
      <c r="O11" s="539">
        <f>IF(L11=0,"",(M11-L11)/L11*100)</f>
      </c>
      <c r="P11" s="93" t="n"/>
    </row>
    <row r="12">
      <c r="A12" s="89" t="n"/>
      <c r="B12" s="89" t="n"/>
      <c r="C12" s="89" t="n"/>
      <c r="D12" s="89" t="n"/>
      <c r="E12" s="90" t="n"/>
      <c r="F12" s="89" t="n"/>
      <c r="G12" s="89" t="n"/>
      <c r="H12" s="89" t="n"/>
      <c r="I12" s="578" t="n"/>
      <c r="J12" s="578" t="n"/>
      <c r="K12" s="578" t="n"/>
      <c r="L12" s="578" t="n"/>
      <c r="M12" s="578" t="n"/>
      <c r="N12" s="539">
        <f>IF(L12=0,"",(M12-L12))</f>
      </c>
      <c r="O12" s="539">
        <f>IF(L12=0,"",(M12-L12)/L12*100)</f>
      </c>
      <c r="P12" s="93" t="n"/>
    </row>
    <row r="13">
      <c r="A13" s="89" t="n"/>
      <c r="B13" s="89" t="n"/>
      <c r="C13" s="89" t="n"/>
      <c r="D13" s="89" t="n"/>
      <c r="E13" s="90" t="n"/>
      <c r="F13" s="89" t="n"/>
      <c r="G13" s="89" t="n"/>
      <c r="H13" s="89" t="n"/>
      <c r="I13" s="578" t="n"/>
      <c r="J13" s="578" t="n"/>
      <c r="K13" s="578" t="n"/>
      <c r="L13" s="578" t="n"/>
      <c r="M13" s="578" t="n"/>
      <c r="N13" s="539">
        <f>IF(L13=0,"",(M13-L13))</f>
      </c>
      <c r="O13" s="539">
        <f>IF(L13=0,"",(M13-L13)/L13*100)</f>
      </c>
      <c r="P13" s="93" t="n"/>
    </row>
    <row r="14">
      <c r="A14" s="89" t="n"/>
      <c r="B14" s="89" t="n"/>
      <c r="C14" s="89" t="n"/>
      <c r="D14" s="89" t="n"/>
      <c r="E14" s="90" t="n"/>
      <c r="F14" s="89" t="n"/>
      <c r="G14" s="89" t="n"/>
      <c r="H14" s="89" t="n"/>
      <c r="I14" s="578" t="n"/>
      <c r="J14" s="578" t="n"/>
      <c r="K14" s="578" t="n"/>
      <c r="L14" s="578" t="n"/>
      <c r="M14" s="578" t="n"/>
      <c r="N14" s="539">
        <f>IF(L14=0,"",(M14-L14))</f>
      </c>
      <c r="O14" s="539">
        <f>IF(L14=0,"",(M14-L14)/L14*100)</f>
      </c>
      <c r="P14" s="93" t="n"/>
    </row>
    <row r="15">
      <c r="A15" s="89" t="n"/>
      <c r="B15" s="89" t="n"/>
      <c r="C15" s="89" t="n"/>
      <c r="D15" s="89" t="n"/>
      <c r="E15" s="90" t="n"/>
      <c r="F15" s="89" t="n"/>
      <c r="G15" s="89" t="n"/>
      <c r="H15" s="89" t="n"/>
      <c r="I15" s="578" t="n"/>
      <c r="J15" s="578" t="n"/>
      <c r="K15" s="578" t="n"/>
      <c r="L15" s="578" t="n"/>
      <c r="M15" s="578" t="n"/>
      <c r="N15" s="539">
        <f>IF(L15=0,"",(M15-L15))</f>
      </c>
      <c r="O15" s="539">
        <f>IF(L15=0,"",(M15-L15)/L15*100)</f>
      </c>
      <c r="P15" s="93" t="n"/>
    </row>
    <row r="16">
      <c r="A16" s="89" t="n"/>
      <c r="B16" s="89" t="n"/>
      <c r="C16" s="89" t="n"/>
      <c r="D16" s="89" t="n"/>
      <c r="E16" s="90" t="n"/>
      <c r="F16" s="89" t="n"/>
      <c r="G16" s="89" t="n"/>
      <c r="H16" s="89" t="n"/>
      <c r="I16" s="578" t="n"/>
      <c r="J16" s="578" t="n"/>
      <c r="K16" s="578" t="n"/>
      <c r="L16" s="578" t="n"/>
      <c r="M16" s="578" t="n"/>
      <c r="N16" s="539">
        <f>IF(L16=0,"",(M16-L16))</f>
      </c>
      <c r="O16" s="539">
        <f>IF(L16=0,"",(M16-L16)/L16*100)</f>
      </c>
      <c r="P16" s="93" t="n"/>
    </row>
    <row r="17">
      <c r="A17" s="89" t="n"/>
      <c r="B17" s="89" t="n"/>
      <c r="C17" s="89" t="n"/>
      <c r="D17" s="89" t="n"/>
      <c r="E17" s="90" t="n"/>
      <c r="F17" s="89" t="n"/>
      <c r="G17" s="89" t="n"/>
      <c r="H17" s="89" t="n"/>
      <c r="I17" s="578" t="n"/>
      <c r="J17" s="578" t="n"/>
      <c r="K17" s="578" t="n"/>
      <c r="L17" s="578" t="n"/>
      <c r="M17" s="578" t="n"/>
      <c r="N17" s="539">
        <f>IF(L17=0,"",(M17-L17))</f>
      </c>
      <c r="O17" s="539">
        <f>IF(L17=0,"",(M17-L17)/L17*100)</f>
      </c>
      <c r="P17" s="93" t="n"/>
    </row>
    <row r="18">
      <c r="A18" s="89" t="n"/>
      <c r="B18" s="89" t="n"/>
      <c r="C18" s="89" t="n"/>
      <c r="D18" s="89" t="n"/>
      <c r="E18" s="90" t="n"/>
      <c r="F18" s="89" t="n"/>
      <c r="G18" s="89" t="n"/>
      <c r="H18" s="89" t="n"/>
      <c r="I18" s="578" t="n"/>
      <c r="J18" s="578" t="n"/>
      <c r="K18" s="578" t="n"/>
      <c r="L18" s="578" t="n"/>
      <c r="M18" s="578" t="n"/>
      <c r="N18" s="539">
        <f>IF(L18=0,"",(M18-L18))</f>
      </c>
      <c r="O18" s="539">
        <f>IF(L18=0,"",(M18-L18)/L18*100)</f>
      </c>
      <c r="P18" s="93" t="n"/>
    </row>
    <row r="19">
      <c r="A19" s="89" t="n"/>
      <c r="B19" s="89" t="n"/>
      <c r="C19" s="89" t="n"/>
      <c r="D19" s="89" t="n"/>
      <c r="E19" s="90" t="n"/>
      <c r="F19" s="89" t="n"/>
      <c r="G19" s="89" t="n"/>
      <c r="H19" s="89" t="n"/>
      <c r="I19" s="578" t="n"/>
      <c r="J19" s="578" t="n"/>
      <c r="K19" s="578" t="n"/>
      <c r="L19" s="578" t="n"/>
      <c r="M19" s="578" t="n"/>
      <c r="N19" s="539">
        <f>IF(L19=0,"",(M19-L19))</f>
      </c>
      <c r="O19" s="539">
        <f>IF(L19=0,"",(M19-L19)/L19*100)</f>
      </c>
      <c r="P19" s="93" t="n"/>
    </row>
    <row r="20">
      <c r="A20" s="89" t="n"/>
      <c r="B20" s="89" t="n"/>
      <c r="C20" s="89" t="n"/>
      <c r="D20" s="89" t="n"/>
      <c r="E20" s="90" t="n"/>
      <c r="F20" s="89" t="n"/>
      <c r="G20" s="89" t="n"/>
      <c r="H20" s="89" t="n"/>
      <c r="I20" s="578" t="n"/>
      <c r="J20" s="578" t="n"/>
      <c r="K20" s="578" t="n"/>
      <c r="L20" s="578" t="n"/>
      <c r="M20" s="578" t="n"/>
      <c r="N20" s="539">
        <f>IF(L20=0,"",(M20-L20))</f>
      </c>
      <c r="O20" s="539">
        <f>IF(L20=0,"",(M20-L20)/L20*100)</f>
      </c>
      <c r="P20" s="93" t="n"/>
    </row>
    <row r="21">
      <c r="A21" s="89" t="n"/>
      <c r="B21" s="89" t="n"/>
      <c r="C21" s="89" t="n"/>
      <c r="D21" s="89" t="n"/>
      <c r="E21" s="90" t="n"/>
      <c r="F21" s="89" t="n"/>
      <c r="G21" s="89" t="n"/>
      <c r="H21" s="89" t="n"/>
      <c r="I21" s="578" t="n"/>
      <c r="J21" s="578" t="n"/>
      <c r="K21" s="578" t="n"/>
      <c r="L21" s="578" t="n"/>
      <c r="M21" s="578" t="n"/>
      <c r="N21" s="539">
        <f>IF(L21=0,"",(M21-L21))</f>
      </c>
      <c r="O21" s="539">
        <f>IF(L21=0,"",(M21-L21)/L21*100)</f>
      </c>
      <c r="P21" s="93" t="n"/>
    </row>
    <row r="22">
      <c r="A22" s="89" t="n"/>
      <c r="B22" s="89" t="n"/>
      <c r="C22" s="89" t="n"/>
      <c r="D22" s="89" t="n"/>
      <c r="E22" s="90" t="n"/>
      <c r="F22" s="89" t="n"/>
      <c r="G22" s="89" t="n"/>
      <c r="H22" s="89" t="n"/>
      <c r="I22" s="578" t="n"/>
      <c r="J22" s="578" t="n"/>
      <c r="K22" s="578" t="n"/>
      <c r="L22" s="578" t="n"/>
      <c r="M22" s="578" t="n"/>
      <c r="N22" s="539">
        <f>IF(L22=0,"",(M22-L22))</f>
      </c>
      <c r="O22" s="539">
        <f>IF(L22=0,"",(M22-L22)/L22*100)</f>
      </c>
      <c r="P22" s="93" t="n"/>
    </row>
    <row r="23">
      <c r="A23" s="89" t="n"/>
      <c r="B23" s="89" t="n"/>
      <c r="C23" s="89" t="n"/>
      <c r="D23" s="89" t="n"/>
      <c r="E23" s="90" t="n"/>
      <c r="F23" s="89" t="n"/>
      <c r="G23" s="89" t="n"/>
      <c r="H23" s="89" t="n"/>
      <c r="I23" s="578" t="n"/>
      <c r="J23" s="578" t="n"/>
      <c r="K23" s="578" t="n"/>
      <c r="L23" s="578" t="n"/>
      <c r="M23" s="578" t="n"/>
      <c r="N23" s="539">
        <f>IF(L23=0,"",(M23-L23))</f>
      </c>
      <c r="O23" s="539">
        <f>IF(L23=0,"",(M23-L23)/L23*100)</f>
      </c>
      <c r="P23" s="93" t="n"/>
    </row>
    <row r="24">
      <c r="A24" s="89" t="n"/>
      <c r="B24" s="89" t="n"/>
      <c r="C24" s="89" t="n"/>
      <c r="D24" s="89" t="n"/>
      <c r="E24" s="90" t="n"/>
      <c r="F24" s="89" t="n"/>
      <c r="G24" s="89" t="n"/>
      <c r="H24" s="89" t="n"/>
      <c r="I24" s="578" t="n"/>
      <c r="J24" s="578" t="n"/>
      <c r="K24" s="578" t="n"/>
      <c r="L24" s="578" t="n"/>
      <c r="M24" s="578" t="n"/>
      <c r="N24" s="539">
        <f>IF(L24=0,"",(M24-L24))</f>
      </c>
      <c r="O24" s="539">
        <f>IF(L24=0,"",(M24-L24)/L24*100)</f>
      </c>
      <c r="P24" s="93" t="n"/>
    </row>
    <row r="25">
      <c r="A25" s="89" t="n"/>
      <c r="B25" s="89" t="n"/>
      <c r="C25" s="89" t="n"/>
      <c r="D25" s="89" t="n"/>
      <c r="E25" s="90" t="n"/>
      <c r="F25" s="89" t="n"/>
      <c r="G25" s="89" t="n"/>
      <c r="H25" s="89" t="n"/>
      <c r="I25" s="578" t="n"/>
      <c r="J25" s="578" t="n"/>
      <c r="K25" s="578" t="n"/>
      <c r="L25" s="578" t="n"/>
      <c r="M25" s="578" t="n"/>
      <c r="N25" s="539">
        <f>IF(L25=0,"",(M25-L25))</f>
      </c>
      <c r="O25" s="539">
        <f>IF(L25=0,"",(M25-L25)/L25*100)</f>
      </c>
      <c r="P25" s="93" t="n"/>
    </row>
    <row r="26">
      <c r="A26" s="89" t="n"/>
      <c r="B26" s="89" t="n"/>
      <c r="C26" s="89" t="n"/>
      <c r="D26" s="89" t="n"/>
      <c r="E26" s="90" t="n"/>
      <c r="F26" s="89" t="n"/>
      <c r="G26" s="89" t="n"/>
      <c r="H26" s="89" t="n"/>
      <c r="I26" s="578" t="n"/>
      <c r="J26" s="578" t="n"/>
      <c r="K26" s="578" t="n"/>
      <c r="L26" s="578" t="n"/>
      <c r="M26" s="578" t="n"/>
      <c r="N26" s="539">
        <f>IF(L26=0,"",(M26-L26))</f>
      </c>
      <c r="O26" s="539">
        <f>IF(L26=0,"",(M26-L26)/L26*100)</f>
      </c>
      <c r="P26" s="93" t="n"/>
    </row>
    <row r="27">
      <c r="A27" s="94" t="inlineStr">
        <is>
          <t>合         计</t>
        </is>
      </c>
      <c r="B27" s="138" t="n"/>
      <c r="C27" s="138" t="n"/>
      <c r="D27" s="95" t="n"/>
      <c r="E27" s="90" t="n"/>
      <c r="F27" s="89" t="n"/>
      <c r="G27" s="89" t="n"/>
      <c r="H27" s="89" t="n"/>
      <c r="I27" s="578" t="n"/>
      <c r="J27" s="578">
        <f>SUM(J6:J26)</f>
      </c>
      <c r="K27" s="578" t="n"/>
      <c r="L27" s="578">
        <f>SUM(L6:L26)</f>
      </c>
      <c r="M27" s="578">
        <f>SUM(M6:M26)</f>
      </c>
      <c r="N27" s="539">
        <f>IF(L27=0,"",(M27-L27))</f>
      </c>
      <c r="O27" s="539">
        <f>IF(L27=0,"",(M27-L27)/L27*100)</f>
      </c>
      <c r="P27" s="93" t="n"/>
    </row>
    <row r="28">
      <c r="A28" s="96" t="inlineStr">
        <is>
          <t>被评估企业或产权持有单位填表人：</t>
        </is>
      </c>
      <c r="B28" s="34" t="n"/>
      <c r="C28" s="34" t="n"/>
      <c r="D28" s="34" t="n"/>
      <c r="E28" s="85" t="n"/>
      <c r="G28" s="85" t="n"/>
      <c r="H28" s="85" t="n"/>
      <c r="I28" s="85" t="n"/>
      <c r="J28" s="85" t="n"/>
      <c r="K28" s="85" t="n"/>
      <c r="L28" s="13">
        <f>"评估人员："&amp;封面!O29&amp;"  "&amp;封面!O35</f>
      </c>
      <c r="M28" s="85" t="n"/>
      <c r="N28" s="85" t="n"/>
      <c r="O28" s="85" t="n"/>
      <c r="P28" s="85" t="n"/>
    </row>
    <row r="29">
      <c r="A29" s="29">
        <f>CONCATENATE(封面!D13,封面!F13,封面!G13,封面!H13,封面!I13,封面!J13,封面!K13)</f>
      </c>
      <c r="B29" s="97" t="n"/>
      <c r="C29" s="85" t="n"/>
      <c r="D29" s="85" t="n"/>
      <c r="E29" s="85" t="n"/>
      <c r="F29" s="85" t="n"/>
      <c r="G29" s="85" t="n"/>
      <c r="H29" s="85" t="n"/>
      <c r="I29" s="85" t="n"/>
      <c r="J29" s="85" t="n"/>
      <c r="K29" s="85" t="n"/>
      <c r="L29" s="85" t="n"/>
      <c r="M29" s="85" t="n"/>
      <c r="N29" s="85" t="n"/>
      <c r="O29" s="85" t="n"/>
      <c r="P29" s="85" t="n"/>
    </row>
  </sheetData>
  <mergeCells count="5">
    <mergeCell ref="O1:P1"/>
    <mergeCell ref="A27:C27"/>
    <mergeCell ref="A3:P3"/>
    <mergeCell ref="A28:D28"/>
    <mergeCell ref="A2:P2"/>
  </mergeCells>
  <hyperlinks>
    <hyperlink ref="A1" location="索引目录!C28" display="返回索引页"/>
    <hyperlink ref="B1" location="无形资产汇总!B6" display="返回"/>
  </hyperlinks>
  <printOptions horizontalCentered="1"/>
  <pageMargins left="0.354330708661417" right="0.354330708661417" top="0.78740157480315" bottom="0.78740157480315" header="1.02362204724409" footer="0.511811023622047"/>
  <pageSetup orientation="landscape" paperSize="9"/>
  <headerFooter alignWithMargins="0">
    <oddHeader>&amp;R&amp;"宋体,常规"共&amp;"Times New Roman,常规"&amp;N&amp;"宋体,常规"页第&amp;"Times New Roman,常规"&amp;P&amp;"宋体,常规"4-12-2_x000a_页</oddHeader>
    <oddFooter/>
    <evenHeader/>
    <evenFooter/>
    <firstHeader/>
    <firstFooter/>
  </headerFooter>
  <legacyDrawing xmlns:r="http://schemas.openxmlformats.org/officeDocument/2006/relationships" r:id="anysvml"/>
</worksheet>
</file>

<file path=xl/worksheets/sheet66.xml><?xml version="1.0" encoding="utf-8"?>
<worksheet xmlns="http://schemas.openxmlformats.org/spreadsheetml/2006/main">
  <sheetPr codeName="Sheet66">
    <outlinePr summaryBelow="1" summaryRight="1"/>
    <pageSetUpPr fitToPage="1"/>
  </sheetPr>
  <dimension ref="A1:R29"/>
  <sheetViews>
    <sheetView view="pageBreakPreview" zoomScale="85" zoomScaleNormal="100" workbookViewId="0">
      <selection activeCell="G451" sqref="G451"/>
    </sheetView>
  </sheetViews>
  <sheetFormatPr baseColWidth="8" defaultColWidth="9" defaultRowHeight="15.75" customHeight="1"/>
  <cols>
    <col width="5.75" customWidth="1" style="13" min="1" max="1"/>
    <col width="44.0833333333333" customWidth="1" style="13" min="2" max="2"/>
    <col width="10.9166666666667" customWidth="1" style="13" min="3" max="3"/>
    <col width="16.5833333333333" customWidth="1" style="13" min="4" max="4"/>
    <col width="8.83333333333333" customWidth="1" style="13" min="5" max="6"/>
    <col hidden="1" width="13.3333333333333" customWidth="1" style="13" min="7" max="7"/>
    <col hidden="1" outlineLevel="1" width="13.3333333333333" customWidth="1" style="13" min="8" max="9"/>
    <col collapsed="1" width="13.3333333333333" customWidth="1" style="13" min="10" max="10"/>
    <col width="9.25" customWidth="1" style="13" min="11" max="11"/>
    <col width="13.3333333333333" customWidth="1" style="13" min="12" max="12"/>
    <col width="12.5" customWidth="1" style="13" min="13" max="13"/>
    <col width="10.0833333333333" customWidth="1" style="13" min="14" max="14"/>
    <col width="11.8333333333333" customWidth="1" style="13" min="15" max="15"/>
    <col width="11.5" customWidth="1" style="13" min="16" max="17"/>
    <col width="9" customWidth="1" style="13" min="18" max="16384"/>
  </cols>
  <sheetData>
    <row r="1" ht="15.5" customHeight="1">
      <c r="A1" s="545" t="inlineStr">
        <is>
          <t>返回索引页</t>
        </is>
      </c>
      <c r="B1" s="15" t="inlineStr">
        <is>
          <t>返回</t>
        </is>
      </c>
      <c r="C1" s="15" t="n"/>
      <c r="D1" s="15" t="n"/>
      <c r="E1" s="16" t="n"/>
      <c r="F1" s="16" t="n"/>
      <c r="G1" s="16" t="n"/>
      <c r="H1" s="16" t="n"/>
      <c r="I1" s="16" t="n"/>
      <c r="J1" s="16" t="n"/>
      <c r="K1" s="16" t="n"/>
      <c r="L1" s="16" t="n"/>
      <c r="M1" s="16" t="n"/>
      <c r="N1" s="16" t="n"/>
      <c r="O1" s="16" t="n"/>
    </row>
    <row r="2" ht="30" customFormat="1" customHeight="1" s="11">
      <c r="A2" s="17" t="inlineStr">
        <is>
          <t>无形资产—其他无形资产评估明细表</t>
        </is>
      </c>
    </row>
    <row r="3" ht="14.15" customHeight="1">
      <c r="A3" s="535">
        <f>CONCATENATE(封面!D9,封面!F9,封面!G9,封面!H9,封面!I9,封面!J9,封面!K9)</f>
      </c>
    </row>
    <row r="4" ht="15.5" customHeight="1">
      <c r="A4" s="536">
        <f>封面!D7&amp;封面!F7</f>
      </c>
      <c r="O4" s="20" t="inlineStr">
        <is>
          <t>金额单位：人民币元</t>
        </is>
      </c>
    </row>
    <row r="5" ht="32.5" customFormat="1" customHeight="1" s="16">
      <c r="A5" s="22" t="inlineStr">
        <is>
          <t>序号</t>
        </is>
      </c>
      <c r="B5" s="22" t="inlineStr">
        <is>
          <t>内容或名称</t>
        </is>
      </c>
      <c r="C5" s="22" t="inlineStr">
        <is>
          <t>无形资产类型</t>
        </is>
      </c>
      <c r="D5" s="22" t="inlineStr">
        <is>
          <t>产权证号</t>
        </is>
      </c>
      <c r="E5" s="22" t="inlineStr">
        <is>
          <t>证载/实际取得日期</t>
        </is>
      </c>
      <c r="F5" s="22" t="inlineStr">
        <is>
          <t>法定/预计使用年限</t>
        </is>
      </c>
      <c r="G5" s="22" t="inlineStr">
        <is>
          <t>原始入账价值</t>
        </is>
      </c>
      <c r="H5" s="22" t="inlineStr">
        <is>
          <t>审计前账面值</t>
        </is>
      </c>
      <c r="I5" s="22" t="inlineStr">
        <is>
          <t>审计调整</t>
        </is>
      </c>
      <c r="J5" s="22" t="inlineStr">
        <is>
          <t>账面价值</t>
        </is>
      </c>
      <c r="K5" s="22" t="inlineStr">
        <is>
          <t>尚可使用
年限</t>
        </is>
      </c>
      <c r="L5" s="22" t="inlineStr">
        <is>
          <t>评估价值</t>
        </is>
      </c>
      <c r="M5" s="22" t="inlineStr">
        <is>
          <t>增减值</t>
        </is>
      </c>
      <c r="N5" s="22" t="inlineStr">
        <is>
          <t>增值率%</t>
        </is>
      </c>
      <c r="O5" s="58" t="inlineStr">
        <is>
          <t>备注</t>
        </is>
      </c>
      <c r="P5" s="69"/>
      <c r="Q5" s="70"/>
    </row>
    <row r="6" ht="15.5" customHeight="1">
      <c r="A6" s="23" t="n"/>
      <c r="B6" s="67" t="n"/>
      <c r="C6" s="58" t="n"/>
      <c r="D6" s="45" t="n"/>
      <c r="E6" s="25" t="n"/>
      <c r="F6" s="23" t="n"/>
      <c r="G6" s="539" t="n"/>
      <c r="H6" s="539" t="n"/>
      <c r="I6" s="539" t="n"/>
      <c r="J6" s="539" t="n"/>
      <c r="K6" s="564" t="n"/>
      <c r="L6" s="539" t="n"/>
      <c r="M6" s="539" t="n"/>
      <c r="N6" s="539" t="n"/>
      <c r="O6" s="63" t="n"/>
      <c r="P6" s="72" t="n"/>
      <c r="Q6" s="612"/>
      <c r="R6" s="74"/>
    </row>
    <row r="7" ht="15.5" customHeight="1">
      <c r="A7" s="23" t="n"/>
      <c r="B7" s="67" t="n"/>
      <c r="C7" s="58" t="n"/>
      <c r="D7" s="45" t="n"/>
      <c r="E7" s="25" t="n"/>
      <c r="F7" s="23" t="n"/>
      <c r="G7" s="539" t="n"/>
      <c r="H7" s="539" t="n"/>
      <c r="I7" s="539" t="n"/>
      <c r="J7" s="539" t="n"/>
      <c r="K7" s="564" t="n"/>
      <c r="L7" s="539" t="n"/>
      <c r="M7" s="539" t="n"/>
      <c r="N7" s="539" t="n"/>
      <c r="O7" s="58" t="n"/>
      <c r="P7" s="72" t="n"/>
      <c r="Q7" s="612"/>
      <c r="R7" s="74"/>
    </row>
    <row r="8" ht="409.5" customHeight="1">
      <c r="A8" s="23" t="n"/>
      <c r="B8" s="67" t="n"/>
      <c r="C8" s="58" t="n"/>
      <c r="D8" s="45" t="n"/>
      <c r="E8" s="25" t="n"/>
      <c r="F8" s="23" t="n"/>
      <c r="G8" s="564" t="n"/>
      <c r="H8" s="564" t="n"/>
      <c r="I8" s="564" t="n"/>
      <c r="J8" s="564" t="n"/>
      <c r="K8" s="564" t="n"/>
      <c r="L8" s="539" t="n"/>
      <c r="M8" s="564" t="n"/>
      <c r="N8" s="564" t="n"/>
      <c r="O8" s="58" t="n"/>
      <c r="Q8" s="612"/>
      <c r="R8" s="75"/>
    </row>
    <row r="9" hidden="1" ht="15.5" customHeight="1">
      <c r="A9" s="23" t="n"/>
      <c r="B9" s="24" t="n"/>
      <c r="C9" s="58" t="n"/>
      <c r="D9" s="45" t="n"/>
      <c r="E9" s="25" t="n"/>
      <c r="F9" s="23" t="n"/>
      <c r="G9" s="564" t="n"/>
      <c r="H9" s="564" t="n"/>
      <c r="I9" s="564" t="n"/>
      <c r="J9" s="564" t="n"/>
      <c r="K9" s="564" t="n"/>
      <c r="L9" s="539" t="n"/>
      <c r="M9" s="564" t="n"/>
      <c r="N9" s="564" t="n"/>
      <c r="O9" s="58" t="n"/>
    </row>
    <row r="10" hidden="1" ht="15.5" customHeight="1">
      <c r="A10" s="23" t="n"/>
      <c r="B10" s="24" t="n"/>
      <c r="C10" s="58" t="n"/>
      <c r="D10" s="45" t="n"/>
      <c r="E10" s="25" t="n"/>
      <c r="F10" s="23" t="n"/>
      <c r="G10" s="564" t="n"/>
      <c r="H10" s="564" t="n"/>
      <c r="I10" s="564" t="n"/>
      <c r="J10" s="564" t="n"/>
      <c r="K10" s="564" t="n"/>
      <c r="L10" s="539" t="n"/>
      <c r="M10" s="564" t="n"/>
      <c r="N10" s="564" t="n"/>
      <c r="O10" s="58" t="n"/>
    </row>
    <row r="11" hidden="1" ht="15.5" customHeight="1">
      <c r="A11" s="23" t="n"/>
      <c r="B11" s="67" t="n"/>
      <c r="C11" s="58" t="n"/>
      <c r="D11" s="45" t="n"/>
      <c r="E11" s="25" t="n"/>
      <c r="F11" s="23" t="n"/>
      <c r="G11" s="564" t="n"/>
      <c r="H11" s="564" t="n"/>
      <c r="I11" s="564" t="n"/>
      <c r="J11" s="564" t="n"/>
      <c r="K11" s="564" t="n"/>
      <c r="L11" s="539" t="n"/>
      <c r="M11" s="564" t="n"/>
      <c r="N11" s="564" t="n"/>
      <c r="O11" s="63" t="n"/>
    </row>
    <row r="12" hidden="1" ht="15.5" customHeight="1">
      <c r="A12" s="23" t="n"/>
      <c r="B12" s="67" t="n"/>
      <c r="C12" s="58" t="n"/>
      <c r="D12" s="45" t="n"/>
      <c r="E12" s="25" t="n"/>
      <c r="F12" s="23" t="n"/>
      <c r="G12" s="564" t="n"/>
      <c r="H12" s="564" t="n"/>
      <c r="I12" s="564" t="n"/>
      <c r="J12" s="564" t="n"/>
      <c r="K12" s="564" t="n"/>
      <c r="L12" s="539" t="n"/>
      <c r="M12" s="564" t="n"/>
      <c r="N12" s="564" t="n"/>
      <c r="O12" s="63" t="n"/>
    </row>
    <row r="13" hidden="1" ht="15.5" customHeight="1">
      <c r="A13" s="23" t="n"/>
      <c r="B13" s="67" t="n"/>
      <c r="C13" s="58" t="n"/>
      <c r="D13" s="45" t="n"/>
      <c r="E13" s="25" t="n"/>
      <c r="F13" s="23" t="n"/>
      <c r="G13" s="564" t="n"/>
      <c r="H13" s="564" t="n"/>
      <c r="I13" s="564" t="n"/>
      <c r="J13" s="564" t="n"/>
      <c r="K13" s="564" t="n"/>
      <c r="L13" s="539" t="n"/>
      <c r="M13" s="564" t="n"/>
      <c r="N13" s="564" t="n"/>
      <c r="O13" s="58" t="n"/>
    </row>
    <row r="14" hidden="1" ht="15.5" customHeight="1">
      <c r="A14" s="23" t="n"/>
      <c r="B14" s="67" t="n"/>
      <c r="C14" s="58" t="n"/>
      <c r="D14" s="45" t="n"/>
      <c r="E14" s="25" t="n"/>
      <c r="F14" s="23" t="n"/>
      <c r="G14" s="564" t="n"/>
      <c r="H14" s="564" t="n"/>
      <c r="I14" s="564" t="n"/>
      <c r="J14" s="564" t="n"/>
      <c r="K14" s="564" t="n"/>
      <c r="L14" s="539" t="n"/>
      <c r="M14" s="564" t="n"/>
      <c r="N14" s="564" t="n"/>
      <c r="O14" s="58" t="n"/>
    </row>
    <row r="15" hidden="1" ht="15.5" customHeight="1">
      <c r="A15" s="23" t="n"/>
      <c r="B15" s="24" t="n"/>
      <c r="C15" s="58" t="n"/>
      <c r="D15" s="45" t="n"/>
      <c r="E15" s="25" t="n"/>
      <c r="F15" s="23" t="n"/>
      <c r="G15" s="564" t="n"/>
      <c r="H15" s="564" t="n"/>
      <c r="I15" s="564" t="n"/>
      <c r="J15" s="564" t="n"/>
      <c r="K15" s="564" t="n"/>
      <c r="L15" s="539" t="n"/>
      <c r="M15" s="564" t="n"/>
      <c r="N15" s="564" t="n"/>
      <c r="O15" s="63" t="n"/>
    </row>
    <row r="16" hidden="1" ht="15.5" customHeight="1">
      <c r="A16" s="23" t="n"/>
      <c r="B16" s="24" t="n"/>
      <c r="C16" s="58" t="n"/>
      <c r="D16" s="45" t="n"/>
      <c r="E16" s="25" t="n"/>
      <c r="F16" s="23" t="n"/>
      <c r="G16" s="564" t="n"/>
      <c r="H16" s="564" t="n"/>
      <c r="I16" s="564" t="n"/>
      <c r="J16" s="564" t="n"/>
      <c r="K16" s="564" t="n"/>
      <c r="L16" s="539" t="n"/>
      <c r="M16" s="564" t="n"/>
      <c r="N16" s="564" t="n"/>
      <c r="O16" s="58" t="n"/>
    </row>
    <row r="17" hidden="1" ht="15.5" customHeight="1">
      <c r="A17" s="23" t="n"/>
      <c r="B17" s="67" t="n"/>
      <c r="C17" s="58" t="n"/>
      <c r="D17" s="45" t="n"/>
      <c r="E17" s="25" t="n"/>
      <c r="F17" s="23" t="n"/>
      <c r="G17" s="564" t="n"/>
      <c r="H17" s="564" t="n"/>
      <c r="I17" s="564" t="n"/>
      <c r="J17" s="564" t="n"/>
      <c r="K17" s="564" t="n"/>
      <c r="L17" s="539" t="n"/>
      <c r="M17" s="564" t="n"/>
      <c r="N17" s="564" t="n"/>
      <c r="O17" s="63" t="n"/>
    </row>
    <row r="18" hidden="1" ht="15.5" customHeight="1">
      <c r="A18" s="23" t="n"/>
      <c r="B18" s="67" t="n"/>
      <c r="C18" s="58" t="n"/>
      <c r="D18" s="45" t="n"/>
      <c r="E18" s="25" t="n"/>
      <c r="F18" s="23" t="n"/>
      <c r="G18" s="564" t="n"/>
      <c r="H18" s="564" t="n"/>
      <c r="I18" s="564" t="n"/>
      <c r="J18" s="564" t="n"/>
      <c r="K18" s="564" t="n"/>
      <c r="L18" s="539" t="n"/>
      <c r="M18" s="564" t="n"/>
      <c r="N18" s="564" t="n"/>
      <c r="O18" s="63" t="n"/>
    </row>
    <row r="19" ht="15.5" customHeight="1">
      <c r="A19" s="23" t="n"/>
      <c r="B19" s="67" t="n"/>
      <c r="C19" s="58" t="n"/>
      <c r="D19" s="45" t="n"/>
      <c r="E19" s="25" t="n"/>
      <c r="F19" s="23" t="n"/>
      <c r="G19" s="564" t="n"/>
      <c r="H19" s="564" t="n"/>
      <c r="I19" s="564" t="n"/>
      <c r="J19" s="564" t="n"/>
      <c r="K19" s="564" t="n"/>
      <c r="L19" s="539" t="n"/>
      <c r="M19" s="564" t="n"/>
      <c r="N19" s="564" t="n"/>
      <c r="O19" s="63" t="n"/>
    </row>
    <row r="20" ht="14" customHeight="1">
      <c r="A20" s="23" t="n"/>
      <c r="B20" s="67" t="n"/>
      <c r="C20" s="58" t="n"/>
      <c r="D20" s="45" t="n"/>
      <c r="E20" s="25" t="n"/>
      <c r="F20" s="23" t="n"/>
      <c r="G20" s="564" t="n"/>
      <c r="H20" s="564" t="n"/>
      <c r="I20" s="564" t="n"/>
      <c r="J20" s="564" t="n"/>
      <c r="K20" s="564" t="n"/>
      <c r="L20" s="539" t="n"/>
      <c r="M20" s="564" t="n"/>
      <c r="N20" s="564" t="n"/>
      <c r="O20" s="63" t="n"/>
    </row>
    <row r="21" ht="15.5" customHeight="1">
      <c r="A21" s="23" t="n"/>
      <c r="B21" s="67" t="n"/>
      <c r="C21" s="58" t="n"/>
      <c r="D21" s="45" t="n"/>
      <c r="E21" s="25" t="n"/>
      <c r="F21" s="23" t="n"/>
      <c r="G21" s="564" t="n"/>
      <c r="H21" s="564" t="n"/>
      <c r="I21" s="564" t="n"/>
      <c r="J21" s="564" t="n"/>
      <c r="K21" s="564" t="n"/>
      <c r="L21" s="539" t="n"/>
      <c r="M21" s="564" t="n"/>
      <c r="N21" s="564" t="n"/>
      <c r="O21" s="63" t="n"/>
    </row>
    <row r="22" ht="15.5" customHeight="1">
      <c r="A22" s="23" t="n"/>
      <c r="B22" s="24" t="n"/>
      <c r="C22" s="24" t="n"/>
      <c r="D22" s="24" t="n"/>
      <c r="E22" s="25" t="n"/>
      <c r="F22" s="23" t="n"/>
      <c r="G22" s="539" t="n"/>
      <c r="H22" s="539" t="n"/>
      <c r="I22" s="539" t="n"/>
      <c r="J22" s="539" t="n"/>
      <c r="K22" s="23" t="n"/>
      <c r="L22" s="539" t="n"/>
      <c r="M22" s="539">
        <f>IF(J22=0,"",(L22-J22))</f>
      </c>
      <c r="N22" s="539" t="n"/>
      <c r="O22" s="76" t="n"/>
    </row>
    <row r="23" ht="15.5" customHeight="1">
      <c r="A23" s="21" t="inlineStr">
        <is>
          <t>合         计</t>
        </is>
      </c>
      <c r="B23" s="28" t="n"/>
      <c r="C23" s="77" t="n"/>
      <c r="D23" s="77" t="n"/>
      <c r="E23" s="25" t="n"/>
      <c r="F23" s="23" t="n"/>
      <c r="G23" s="539">
        <f>SUM(G6:G22)</f>
      </c>
      <c r="H23" s="539">
        <f>SUM(H6:H22)</f>
      </c>
      <c r="I23" s="539">
        <f>SUM(I6:I22)</f>
      </c>
      <c r="J23" s="539">
        <f>SUM(J6:J22)</f>
      </c>
      <c r="K23" s="539" t="n"/>
      <c r="L23" s="539">
        <f>SUM(L6:L22)</f>
      </c>
      <c r="M23" s="539">
        <f>IF(J23=0,"",(L23-J23))</f>
      </c>
      <c r="N23" s="539">
        <f>IF(J23=0,"",(L23-J23)/J23*100)</f>
      </c>
      <c r="O23" s="76" t="n"/>
    </row>
    <row r="24" ht="15.5" customHeight="1">
      <c r="A24" s="29">
        <f>封面!D11&amp;封面!G11</f>
      </c>
      <c r="J24" s="536">
        <f>"评估人员："&amp;封面!G34</f>
      </c>
    </row>
    <row r="25" ht="15.5" customHeight="1">
      <c r="A25" s="29">
        <f>CONCATENATE(封面!D13,封面!F13,封面!G13,封面!H13,封面!I13,封面!J13,封面!K13)</f>
      </c>
      <c r="L25" s="547" t="n"/>
    </row>
    <row r="26" ht="15.5" customHeight="1"/>
    <row r="27" ht="15.5" customHeight="1"/>
    <row r="28" ht="15.5" customHeight="1">
      <c r="G28" s="547" t="n"/>
      <c r="L28" s="547">
        <f>L23/10000</f>
      </c>
    </row>
    <row r="29" ht="15.5" customHeight="1">
      <c r="G29" s="547" t="n"/>
    </row>
  </sheetData>
  <autoFilter ref="A5:Q25"/>
  <mergeCells count="3">
    <mergeCell ref="A3:O3"/>
    <mergeCell ref="A2:O2"/>
    <mergeCell ref="A23:B23"/>
  </mergeCells>
  <hyperlinks>
    <hyperlink ref="A1" location="索引目录!C29" display="返回索引页"/>
    <hyperlink ref="B1" location="无形资产汇总!B7" display="返回"/>
  </hyperlinks>
  <printOptions horizontalCentered="1"/>
  <pageMargins left="0.354330708661417" right="0.354330708661417" top="0.78740157480315" bottom="0.78740157480315" header="0.9840277777777779" footer="0.511811023622047"/>
  <pageSetup orientation="landscape" paperSize="9" scale="79" fitToHeight="0"/>
  <headerFooter alignWithMargins="0">
    <oddHeader>&amp;R&amp;"宋体,常规"共&amp;"Times New Roman,常规"&amp;N&amp;"宋体,常规"页第&amp;"Times New Roman,常规"&amp;P&amp;"宋体,常规"4-12-3_x000a_页</oddHeader>
    <oddFooter/>
    <evenHeader/>
    <evenFooter/>
    <firstHeader/>
    <firstFooter/>
  </headerFooter>
</worksheet>
</file>

<file path=xl/worksheets/sheet67.xml><?xml version="1.0" encoding="utf-8"?>
<worksheet xmlns="http://schemas.openxmlformats.org/spreadsheetml/2006/main">
  <sheetPr codeName="Sheet67">
    <outlinePr summaryBelow="1" summaryRight="1"/>
    <pageSetUpPr/>
  </sheetPr>
  <dimension ref="A1:F14"/>
  <sheetViews>
    <sheetView workbookViewId="0">
      <selection activeCell="G451" sqref="G451"/>
    </sheetView>
  </sheetViews>
  <sheetFormatPr baseColWidth="8" defaultColWidth="8.83333333333333" defaultRowHeight="15.5"/>
  <cols>
    <col width="10.5833333333333" customWidth="1" min="5" max="5"/>
    <col width="13.8333333333333" customWidth="1" min="6" max="6"/>
  </cols>
  <sheetData>
    <row r="1" ht="26" customHeight="1">
      <c r="A1" s="22" t="inlineStr">
        <is>
          <t>序号</t>
        </is>
      </c>
      <c r="B1" s="22" t="inlineStr">
        <is>
          <t>内容或名称</t>
        </is>
      </c>
      <c r="C1" s="22" t="inlineStr">
        <is>
          <t>无形资产类型</t>
        </is>
      </c>
      <c r="D1" s="22" t="inlineStr">
        <is>
          <t>产权证号</t>
        </is>
      </c>
      <c r="E1" s="22" t="inlineStr">
        <is>
          <t>证载/实际取得日期</t>
        </is>
      </c>
      <c r="F1" s="58" t="inlineStr">
        <is>
          <t>备注</t>
        </is>
      </c>
    </row>
    <row r="2">
      <c r="A2" s="23" t="n">
        <v>1</v>
      </c>
      <c r="B2" s="67"/>
      <c r="C2" s="58"/>
      <c r="D2" s="45"/>
      <c r="E2" s="25" t="n"/>
      <c r="F2" s="63"/>
    </row>
    <row r="3">
      <c r="A3" s="23" t="n">
        <v>2</v>
      </c>
      <c r="B3" s="67"/>
      <c r="C3" s="58"/>
      <c r="D3" s="45"/>
      <c r="E3" s="25"/>
      <c r="F3" s="58"/>
    </row>
    <row r="4">
      <c r="A4" s="23" t="n">
        <v>3</v>
      </c>
      <c r="B4" s="67"/>
      <c r="C4" s="58"/>
      <c r="D4" s="45"/>
      <c r="E4" s="25" t="n"/>
      <c r="F4" s="63"/>
    </row>
    <row r="5">
      <c r="A5" s="23" t="n">
        <v>4</v>
      </c>
      <c r="B5" s="67"/>
      <c r="C5" s="58"/>
      <c r="D5" s="45"/>
      <c r="E5" s="25" t="n"/>
      <c r="F5" s="63"/>
    </row>
    <row r="6">
      <c r="A6" s="23" t="n">
        <v>5</v>
      </c>
      <c r="B6" s="67"/>
      <c r="C6" s="58"/>
      <c r="D6" s="45"/>
      <c r="E6" s="25" t="n"/>
      <c r="F6" s="58"/>
    </row>
    <row r="7">
      <c r="A7" s="23" t="n">
        <v>6</v>
      </c>
      <c r="B7" s="67"/>
      <c r="C7" s="58"/>
      <c r="D7" s="45"/>
      <c r="E7" s="25" t="n"/>
      <c r="F7" s="58"/>
    </row>
    <row r="8">
      <c r="A8" s="23" t="n">
        <v>7</v>
      </c>
      <c r="B8" s="24"/>
      <c r="C8" s="58"/>
      <c r="D8" s="45"/>
      <c r="E8" s="25" t="n"/>
      <c r="F8" s="63"/>
    </row>
    <row r="9">
      <c r="A9" s="23" t="n">
        <v>8</v>
      </c>
      <c r="B9" s="24"/>
      <c r="C9" s="58"/>
      <c r="D9" s="45"/>
      <c r="E9" s="25" t="n"/>
      <c r="F9" s="58"/>
    </row>
    <row r="10">
      <c r="A10" s="23" t="n">
        <v>9</v>
      </c>
      <c r="B10" s="67"/>
      <c r="C10" s="58"/>
      <c r="D10" s="45"/>
      <c r="E10" s="25" t="n"/>
      <c r="F10" s="63"/>
    </row>
    <row r="11">
      <c r="A11" s="23" t="n">
        <v>10</v>
      </c>
      <c r="B11" s="67"/>
      <c r="C11" s="58"/>
      <c r="D11" s="45"/>
      <c r="E11" s="25" t="n"/>
      <c r="F11" s="63"/>
    </row>
    <row r="12">
      <c r="A12" s="23" t="n">
        <v>11</v>
      </c>
      <c r="B12" s="67"/>
      <c r="C12" s="58"/>
      <c r="D12" s="45"/>
      <c r="E12" s="25" t="n"/>
      <c r="F12" s="63"/>
    </row>
    <row r="13">
      <c r="A13" s="23" t="n">
        <v>12</v>
      </c>
      <c r="B13" s="67"/>
      <c r="C13" s="58"/>
      <c r="D13" s="45"/>
      <c r="E13" s="25" t="n"/>
      <c r="F13" s="63"/>
    </row>
    <row r="14">
      <c r="A14" s="23" t="n">
        <v>13</v>
      </c>
      <c r="B14" s="67"/>
      <c r="C14" s="58"/>
      <c r="D14" s="45"/>
      <c r="E14" s="25" t="n"/>
      <c r="F14" s="63"/>
    </row>
  </sheetData>
  <autoFilter ref="A1:F14"/>
  <pageMargins left="0.75" right="0.75" top="1" bottom="1" header="0.5" footer="0.5"/>
  <pageSetup orientation="portrait" paperSize="9"/>
</worksheet>
</file>

<file path=xl/worksheets/sheet68.xml><?xml version="1.0" encoding="utf-8"?>
<worksheet xmlns="http://schemas.openxmlformats.org/spreadsheetml/2006/main">
  <sheetPr codeName="Sheet68">
    <tabColor indexed="13"/>
    <outlinePr summaryBelow="1" summaryRight="1"/>
    <pageSetUpPr fitToPage="1"/>
  </sheetPr>
  <dimension ref="A1:J29"/>
  <sheetViews>
    <sheetView view="pageBreakPreview" zoomScale="60" zoomScaleNormal="100" workbookViewId="0">
      <selection activeCell="G451" sqref="G451"/>
    </sheetView>
  </sheetViews>
  <sheetFormatPr baseColWidth="8" defaultColWidth="9" defaultRowHeight="15.75" customHeight="1"/>
  <cols>
    <col width="7.58333333333333" customWidth="1" style="13" min="1" max="1"/>
    <col width="27" customWidth="1" style="13" min="2" max="2"/>
    <col width="13.75" customWidth="1" style="13" min="3" max="3"/>
    <col hidden="1" outlineLevel="1" width="13.3333333333333" customWidth="1" style="13" min="4" max="5"/>
    <col collapsed="1" width="17.3333333333333" customWidth="1" style="13" min="6" max="6"/>
    <col width="17.3333333333333" customWidth="1" style="13" min="7" max="7"/>
    <col width="14.3333333333333" customWidth="1" style="13" min="8" max="8"/>
    <col width="11.5833333333333" customWidth="1" style="13" min="9" max="9"/>
    <col width="12" customWidth="1" style="13" min="10" max="10"/>
    <col width="9" customWidth="1" style="13" min="11" max="16384"/>
  </cols>
  <sheetData>
    <row r="1" ht="15.5" customHeight="1">
      <c r="A1" s="559" t="inlineStr">
        <is>
          <t>返回索引页</t>
        </is>
      </c>
      <c r="B1" s="15" t="inlineStr">
        <is>
          <t>返回</t>
        </is>
      </c>
      <c r="C1" s="16" t="n"/>
      <c r="D1" s="16" t="n"/>
      <c r="E1" s="16" t="n"/>
      <c r="F1" s="16" t="n"/>
      <c r="G1" s="16" t="n"/>
      <c r="H1" s="16" t="n"/>
      <c r="I1" s="16" t="n"/>
      <c r="J1" s="16" t="n"/>
    </row>
    <row r="2" ht="30" customFormat="1" customHeight="1" s="11">
      <c r="A2" s="17" t="inlineStr">
        <is>
          <t>开发支出评估明细表</t>
        </is>
      </c>
    </row>
    <row r="3" ht="14.15" customHeight="1">
      <c r="A3" s="535">
        <f>CONCATENATE(封面!D9,封面!F9,封面!G9,封面!H9,封面!I9,封面!J9,封面!K9)</f>
      </c>
    </row>
    <row r="4" ht="15.5" customHeight="1">
      <c r="A4" s="536">
        <f>封面!D7&amp;封面!F7</f>
      </c>
      <c r="J4" s="20" t="inlineStr">
        <is>
          <t>金额单位：人民币元</t>
        </is>
      </c>
    </row>
    <row r="5" ht="27.75" customFormat="1" customHeight="1" s="16">
      <c r="A5" s="22" t="inlineStr">
        <is>
          <t>序号</t>
        </is>
      </c>
      <c r="B5" s="22" t="inlineStr">
        <is>
          <t>内容或名称</t>
        </is>
      </c>
      <c r="C5" s="22" t="inlineStr">
        <is>
          <t>发生日期</t>
        </is>
      </c>
      <c r="D5" s="22" t="inlineStr">
        <is>
          <t>审计前账面值</t>
        </is>
      </c>
      <c r="E5" s="22" t="inlineStr">
        <is>
          <t>审计调整</t>
        </is>
      </c>
      <c r="F5" s="22" t="inlineStr">
        <is>
          <t>账面价值</t>
        </is>
      </c>
      <c r="G5" s="22" t="inlineStr">
        <is>
          <t>评估价值</t>
        </is>
      </c>
      <c r="H5" s="22" t="inlineStr">
        <is>
          <t>增减值</t>
        </is>
      </c>
      <c r="I5" s="22" t="inlineStr">
        <is>
          <t>增值率%</t>
        </is>
      </c>
      <c r="J5" s="22" t="inlineStr">
        <is>
          <t>备注</t>
        </is>
      </c>
    </row>
    <row r="6" ht="15.5" customHeight="1">
      <c r="A6" s="23" t="n"/>
      <c r="B6" s="24" t="n"/>
      <c r="C6" s="25" t="n"/>
      <c r="D6" s="539" t="n"/>
      <c r="E6" s="539" t="n"/>
      <c r="F6" s="539" t="n"/>
      <c r="G6" s="539" t="n"/>
      <c r="H6" s="539">
        <f>IF(F6=0,"",(G6-F6)/F6*100)</f>
      </c>
      <c r="I6" s="539">
        <f>IF(F6=0,"",(G6-F6)/F6*100)</f>
      </c>
      <c r="J6" s="27" t="n"/>
    </row>
    <row r="7" ht="15.5" customHeight="1">
      <c r="A7" s="23" t="n"/>
      <c r="B7" s="24" t="n"/>
      <c r="C7" s="25" t="n"/>
      <c r="D7" s="539" t="n"/>
      <c r="E7" s="539" t="n"/>
      <c r="F7" s="539" t="n"/>
      <c r="G7" s="539" t="n"/>
      <c r="H7" s="539">
        <f>IF(F7=0,"",(G7-F7)/F7*100)</f>
      </c>
      <c r="I7" s="539">
        <f>IF(F7=0,"",(G7-F7)/F7*100)</f>
      </c>
      <c r="J7" s="27" t="n"/>
    </row>
    <row r="8" ht="15.5" customHeight="1">
      <c r="A8" s="23" t="n"/>
      <c r="B8" s="24" t="n"/>
      <c r="C8" s="25" t="n"/>
      <c r="D8" s="539" t="n"/>
      <c r="E8" s="539" t="n"/>
      <c r="F8" s="539" t="n"/>
      <c r="G8" s="539" t="n"/>
      <c r="H8" s="539">
        <f>IF(F8=0,"",(G8-F8)/F8*100)</f>
      </c>
      <c r="I8" s="539">
        <f>IF(F8=0,"",(G8-F8)/F8*100)</f>
      </c>
      <c r="J8" s="27" t="n"/>
    </row>
    <row r="9" ht="15.5" customHeight="1">
      <c r="A9" s="23" t="n"/>
      <c r="B9" s="24" t="n"/>
      <c r="C9" s="25" t="n"/>
      <c r="D9" s="539" t="n"/>
      <c r="E9" s="539" t="n"/>
      <c r="F9" s="539" t="n"/>
      <c r="G9" s="539" t="n"/>
      <c r="H9" s="539">
        <f>IF(F9=0,"",(G9-F9)/F9*100)</f>
      </c>
      <c r="I9" s="539">
        <f>IF(F9=0,"",(G9-F9)/F9*100)</f>
      </c>
      <c r="J9" s="27" t="n"/>
    </row>
    <row r="10" ht="15.5" customHeight="1">
      <c r="A10" s="23" t="n"/>
      <c r="B10" s="24" t="n"/>
      <c r="C10" s="25" t="n"/>
      <c r="D10" s="539" t="n"/>
      <c r="E10" s="539" t="n"/>
      <c r="F10" s="539" t="n"/>
      <c r="G10" s="539" t="n"/>
      <c r="H10" s="539">
        <f>IF(F10=0,"",(G10-F10)/F10*100)</f>
      </c>
      <c r="I10" s="539">
        <f>IF(F10=0,"",(G10-F10)/F10*100)</f>
      </c>
      <c r="J10" s="27" t="n"/>
    </row>
    <row r="11" ht="15.5" customHeight="1">
      <c r="A11" s="23" t="n"/>
      <c r="B11" s="24" t="n"/>
      <c r="C11" s="25" t="n"/>
      <c r="D11" s="539" t="n"/>
      <c r="E11" s="539" t="n"/>
      <c r="F11" s="539" t="n"/>
      <c r="G11" s="539" t="n"/>
      <c r="H11" s="539">
        <f>IF(F11=0,"",(G11-F11)/F11*100)</f>
      </c>
      <c r="I11" s="539">
        <f>IF(F11=0,"",(G11-F11)/F11*100)</f>
      </c>
      <c r="J11" s="27" t="n"/>
    </row>
    <row r="12" ht="15.5" customHeight="1">
      <c r="A12" s="23" t="n"/>
      <c r="B12" s="24" t="n"/>
      <c r="C12" s="25" t="n"/>
      <c r="D12" s="539" t="n"/>
      <c r="E12" s="539" t="n"/>
      <c r="F12" s="539" t="n"/>
      <c r="G12" s="539" t="n"/>
      <c r="H12" s="539">
        <f>IF(F12=0,"",(G12-F12)/F12*100)</f>
      </c>
      <c r="I12" s="539">
        <f>IF(F12=0,"",(G12-F12)/F12*100)</f>
      </c>
      <c r="J12" s="27" t="n"/>
    </row>
    <row r="13" ht="15.5" customHeight="1">
      <c r="A13" s="23" t="n"/>
      <c r="B13" s="24" t="n"/>
      <c r="C13" s="25" t="n"/>
      <c r="D13" s="539" t="n"/>
      <c r="E13" s="539" t="n"/>
      <c r="F13" s="539" t="n"/>
      <c r="G13" s="539" t="n"/>
      <c r="H13" s="539">
        <f>IF(F13=0,"",(G13-F13)/F13*100)</f>
      </c>
      <c r="I13" s="539">
        <f>IF(F13=0,"",(G13-F13)/F13*100)</f>
      </c>
      <c r="J13" s="27" t="n"/>
    </row>
    <row r="14" ht="15.5" customHeight="1">
      <c r="A14" s="23" t="n"/>
      <c r="B14" s="24" t="n"/>
      <c r="C14" s="25" t="n"/>
      <c r="D14" s="539" t="n"/>
      <c r="E14" s="539" t="n"/>
      <c r="F14" s="539" t="n"/>
      <c r="G14" s="539" t="n"/>
      <c r="H14" s="539">
        <f>IF(F14=0,"",(G14-F14)/F14*100)</f>
      </c>
      <c r="I14" s="539">
        <f>IF(F14=0,"",(G14-F14)/F14*100)</f>
      </c>
      <c r="J14" s="27" t="n"/>
    </row>
    <row r="15" ht="15.5" customHeight="1">
      <c r="A15" s="23" t="n"/>
      <c r="B15" s="24" t="n"/>
      <c r="C15" s="25" t="n"/>
      <c r="D15" s="539" t="n"/>
      <c r="E15" s="539" t="n"/>
      <c r="F15" s="539" t="n"/>
      <c r="G15" s="539" t="n"/>
      <c r="H15" s="539">
        <f>IF(F15=0,"",(G15-F15)/F15*100)</f>
      </c>
      <c r="I15" s="539">
        <f>IF(F15=0,"",(G15-F15)/F15*100)</f>
      </c>
      <c r="J15" s="27" t="n"/>
    </row>
    <row r="16" ht="15.5" customHeight="1">
      <c r="A16" s="23" t="n"/>
      <c r="B16" s="24" t="n"/>
      <c r="C16" s="25" t="n"/>
      <c r="D16" s="539" t="n"/>
      <c r="E16" s="539" t="n"/>
      <c r="F16" s="539" t="n"/>
      <c r="G16" s="539" t="n"/>
      <c r="H16" s="539">
        <f>IF(F16=0,"",(G16-F16)/F16*100)</f>
      </c>
      <c r="I16" s="539">
        <f>IF(F16=0,"",(G16-F16)/F16*100)</f>
      </c>
      <c r="J16" s="27" t="n"/>
    </row>
    <row r="17" ht="15.5" customHeight="1">
      <c r="A17" s="23" t="n"/>
      <c r="B17" s="24" t="n"/>
      <c r="C17" s="25" t="n"/>
      <c r="D17" s="539" t="n"/>
      <c r="E17" s="539" t="n"/>
      <c r="F17" s="539" t="n"/>
      <c r="G17" s="539" t="n"/>
      <c r="H17" s="539">
        <f>IF(F17=0,"",(G17-F17)/F17*100)</f>
      </c>
      <c r="I17" s="539">
        <f>IF(F17=0,"",(G17-F17)/F17*100)</f>
      </c>
      <c r="J17" s="27" t="n"/>
    </row>
    <row r="18" ht="15.5" customHeight="1">
      <c r="A18" s="23" t="n"/>
      <c r="B18" s="24" t="n"/>
      <c r="C18" s="25" t="n"/>
      <c r="D18" s="539" t="n"/>
      <c r="E18" s="539" t="n"/>
      <c r="F18" s="539" t="n"/>
      <c r="G18" s="539" t="n"/>
      <c r="H18" s="539">
        <f>IF(F18=0,"",(G18-F18)/F18*100)</f>
      </c>
      <c r="I18" s="539">
        <f>IF(F18=0,"",(G18-F18)/F18*100)</f>
      </c>
      <c r="J18" s="27" t="n"/>
    </row>
    <row r="19" ht="15.5" customHeight="1">
      <c r="A19" s="23" t="n"/>
      <c r="B19" s="24" t="n"/>
      <c r="C19" s="25" t="n"/>
      <c r="D19" s="539" t="n"/>
      <c r="E19" s="539" t="n"/>
      <c r="F19" s="539" t="n"/>
      <c r="G19" s="539" t="n"/>
      <c r="H19" s="539">
        <f>IF(F19=0,"",(G19-F19)/F19*100)</f>
      </c>
      <c r="I19" s="539">
        <f>IF(F19=0,"",(G19-F19)/F19*100)</f>
      </c>
      <c r="J19" s="27" t="n"/>
    </row>
    <row r="20" ht="15.5" customHeight="1">
      <c r="A20" s="23" t="n"/>
      <c r="B20" s="24" t="n"/>
      <c r="C20" s="25" t="n"/>
      <c r="D20" s="539" t="n"/>
      <c r="E20" s="539" t="n"/>
      <c r="F20" s="539" t="n"/>
      <c r="G20" s="539" t="n"/>
      <c r="H20" s="539">
        <f>IF(F20=0,"",(G20-F20)/F20*100)</f>
      </c>
      <c r="I20" s="539">
        <f>IF(F20=0,"",(G20-F20)/F20*100)</f>
      </c>
      <c r="J20" s="27" t="n"/>
    </row>
    <row r="21" ht="15.5" customHeight="1">
      <c r="A21" s="23" t="n"/>
      <c r="B21" s="24" t="n"/>
      <c r="C21" s="25" t="n"/>
      <c r="D21" s="539" t="n"/>
      <c r="E21" s="539" t="n"/>
      <c r="F21" s="539" t="n"/>
      <c r="G21" s="539" t="n"/>
      <c r="H21" s="539">
        <f>IF(F21=0,"",(G21-F21)/F21*100)</f>
      </c>
      <c r="I21" s="539">
        <f>IF(F21=0,"",(G21-F21)/F21*100)</f>
      </c>
      <c r="J21" s="27" t="n"/>
    </row>
    <row r="22" ht="15.5" customHeight="1">
      <c r="A22" s="23" t="n"/>
      <c r="B22" s="24" t="n"/>
      <c r="C22" s="25" t="n"/>
      <c r="D22" s="539" t="n"/>
      <c r="E22" s="539" t="n"/>
      <c r="F22" s="539" t="n"/>
      <c r="G22" s="539" t="n"/>
      <c r="H22" s="539">
        <f>IF(F22=0,"",(G22-F22)/F22*100)</f>
      </c>
      <c r="I22" s="539">
        <f>IF(F22=0,"",(G22-F22)/F22*100)</f>
      </c>
      <c r="J22" s="27" t="n"/>
    </row>
    <row r="23" ht="15.5" customHeight="1">
      <c r="A23" s="23" t="n"/>
      <c r="B23" s="24" t="n"/>
      <c r="C23" s="25" t="n"/>
      <c r="D23" s="539" t="n"/>
      <c r="E23" s="539" t="n"/>
      <c r="F23" s="539" t="n"/>
      <c r="G23" s="539" t="n"/>
      <c r="H23" s="539">
        <f>IF(F23=0,"",(G23-F23)/F23*100)</f>
      </c>
      <c r="I23" s="539">
        <f>IF(F23=0,"",(G23-F23)/F23*100)</f>
      </c>
      <c r="J23" s="27" t="n"/>
    </row>
    <row r="24" ht="15.5" customHeight="1">
      <c r="A24" s="23" t="n"/>
      <c r="B24" s="24" t="n"/>
      <c r="C24" s="25" t="n"/>
      <c r="D24" s="539" t="n"/>
      <c r="E24" s="539" t="n"/>
      <c r="F24" s="539" t="n"/>
      <c r="G24" s="539" t="n"/>
      <c r="H24" s="539">
        <f>IF(F24=0,"",(G24-F24)/F24*100)</f>
      </c>
      <c r="I24" s="539">
        <f>IF(F24=0,"",(G24-F24)/F24*100)</f>
      </c>
      <c r="J24" s="27" t="n"/>
    </row>
    <row r="25" ht="15.5" customHeight="1">
      <c r="A25" s="23" t="n"/>
      <c r="B25" s="24" t="n"/>
      <c r="C25" s="25" t="n"/>
      <c r="D25" s="539" t="n"/>
      <c r="E25" s="539" t="n"/>
      <c r="F25" s="539" t="n"/>
      <c r="G25" s="539" t="n"/>
      <c r="H25" s="539">
        <f>IF(F25=0,"",(G25-F25)/F25*100)</f>
      </c>
      <c r="I25" s="539">
        <f>IF(F25=0,"",(G25-F25)/F25*100)</f>
      </c>
      <c r="J25" s="27" t="n"/>
    </row>
    <row r="26" ht="15.5" customHeight="1">
      <c r="A26" s="23" t="n"/>
      <c r="B26" s="24" t="n"/>
      <c r="C26" s="25" t="n"/>
      <c r="D26" s="539" t="n"/>
      <c r="E26" s="539" t="n"/>
      <c r="F26" s="539" t="n"/>
      <c r="G26" s="539" t="n"/>
      <c r="H26" s="539">
        <f>IF(F26=0,"",(G26-F26)/F26*100)</f>
      </c>
      <c r="I26" s="539" t="n"/>
      <c r="J26" s="27" t="n"/>
    </row>
    <row r="27" ht="15.5" customHeight="1">
      <c r="A27" s="21" t="inlineStr">
        <is>
          <t>合         计</t>
        </is>
      </c>
      <c r="B27" s="28" t="n"/>
      <c r="C27" s="25" t="n"/>
      <c r="D27" s="539">
        <f>SUM(D6:D26)</f>
      </c>
      <c r="E27" s="539" t="n"/>
      <c r="F27" s="539">
        <f>SUM(F6:F26)</f>
      </c>
      <c r="G27" s="539">
        <f>SUM(G6:G26)</f>
      </c>
      <c r="H27" s="539">
        <f>IF(F27=0,"",(G27-F27)/F27*100)</f>
      </c>
      <c r="I27" s="539">
        <f>IF(F27=0,"",(G27-F27)/F27*100)</f>
      </c>
      <c r="J27" s="27" t="n"/>
    </row>
    <row r="28" ht="15.5" customHeight="1">
      <c r="A28" s="29">
        <f>封面!D11&amp;封面!G11</f>
      </c>
      <c r="F28" s="536">
        <f>"评估人员："&amp;封面!G34</f>
      </c>
    </row>
    <row r="29" ht="15.5" customHeight="1">
      <c r="A29" s="29">
        <f>CONCATENATE(封面!D13,封面!F13,封面!G13,封面!H13,封面!I13,封面!J13,封面!K13)</f>
      </c>
    </row>
  </sheetData>
  <mergeCells count="3">
    <mergeCell ref="A27:B27"/>
    <mergeCell ref="A3:J3"/>
    <mergeCell ref="A2:J2"/>
  </mergeCells>
  <hyperlinks>
    <hyperlink ref="A1" location="索引目录!D50" display="返回索引页"/>
    <hyperlink ref="B1" location="无形资产汇总!B12" display="返回"/>
  </hyperlinks>
  <printOptions horizontalCentered="1"/>
  <pageMargins left="0.354330708661417" right="0.354330708661417" top="0.78740157480315" bottom="0.78740157480315" header="1.06" footer="0.511811023622047"/>
  <pageSetup orientation="landscape" paperSize="9" fitToHeight="0"/>
  <headerFooter alignWithMargins="0">
    <oddHeader>&amp;R&amp;"宋体,常规"共&amp;"Times New Roman,常规"&amp;N&amp;"宋体,常规"页第&amp;"Times New Roman,常规"&amp;P&amp;"宋体,常规"6-2_x000a_页</oddHeader>
    <oddFooter/>
    <evenHeader/>
    <evenFooter/>
    <firstHeader/>
    <firstFooter/>
  </headerFooter>
  <legacyDrawing xmlns:r="http://schemas.openxmlformats.org/officeDocument/2006/relationships" r:id="anysvml"/>
</worksheet>
</file>

<file path=xl/worksheets/sheet69.xml><?xml version="1.0" encoding="utf-8"?>
<worksheet xmlns="http://schemas.openxmlformats.org/spreadsheetml/2006/main">
  <sheetPr codeName="Sheet69">
    <outlinePr summaryBelow="1" summaryRight="1"/>
    <pageSetUpPr fitToPage="1"/>
  </sheetPr>
  <dimension ref="A1:J29"/>
  <sheetViews>
    <sheetView view="pageBreakPreview" zoomScale="60" zoomScaleNormal="100" workbookViewId="0">
      <selection activeCell="G451" sqref="G451"/>
    </sheetView>
  </sheetViews>
  <sheetFormatPr baseColWidth="8" defaultColWidth="9" defaultRowHeight="15.75" customHeight="1"/>
  <cols>
    <col width="5.75" customWidth="1" style="13" min="1" max="1"/>
    <col width="24.3333333333333" customWidth="1" style="13" min="2" max="2"/>
    <col width="13.75" customWidth="1" style="13" min="3" max="3"/>
    <col hidden="1" outlineLevel="1" width="17.5833333333333" customWidth="1" style="13" min="4" max="5"/>
    <col collapsed="1" width="17.0833333333333" customWidth="1" style="13" min="6" max="6"/>
    <col width="17.0833333333333" customWidth="1" style="13" min="7" max="7"/>
    <col width="15.75" customWidth="1" style="13" min="8" max="8"/>
    <col width="11.5833333333333" customWidth="1" style="13" min="9" max="9"/>
    <col width="16" customWidth="1" style="13" min="10" max="10"/>
    <col width="9" customWidth="1" style="13" min="11" max="16384"/>
  </cols>
  <sheetData>
    <row r="1" ht="15.5" customHeight="1">
      <c r="A1" s="559" t="inlineStr">
        <is>
          <t>返回索引页</t>
        </is>
      </c>
      <c r="B1" s="15" t="inlineStr">
        <is>
          <t>返回</t>
        </is>
      </c>
      <c r="C1" s="16" t="n"/>
      <c r="D1" s="16" t="n"/>
      <c r="E1" s="16" t="n"/>
      <c r="F1" s="16" t="n"/>
      <c r="G1" s="16" t="n"/>
      <c r="H1" s="16" t="n"/>
      <c r="I1" s="16" t="n"/>
      <c r="J1" s="16" t="n"/>
    </row>
    <row r="2" ht="30" customFormat="1" customHeight="1" s="11">
      <c r="A2" s="17" t="inlineStr">
        <is>
          <t>商誉评估明细表</t>
        </is>
      </c>
    </row>
    <row r="3" ht="14.15" customHeight="1">
      <c r="A3" s="535">
        <f>CONCATENATE(封面!D9,封面!F9,封面!G9,封面!H9,封面!I9,封面!J9,封面!K9)</f>
      </c>
    </row>
    <row r="4" ht="15.5" customHeight="1">
      <c r="A4" s="536">
        <f>封面!D7&amp;封面!F7</f>
      </c>
      <c r="J4" s="20" t="inlineStr">
        <is>
          <t>金额单位：人民币元</t>
        </is>
      </c>
    </row>
    <row r="5" ht="27.75" customFormat="1" customHeight="1" s="16">
      <c r="A5" s="22" t="inlineStr">
        <is>
          <t>序号</t>
        </is>
      </c>
      <c r="B5" s="22" t="inlineStr">
        <is>
          <t>内容或名称</t>
        </is>
      </c>
      <c r="C5" s="21" t="inlineStr">
        <is>
          <t>取得日期</t>
        </is>
      </c>
      <c r="D5" s="22" t="inlineStr">
        <is>
          <t>审计前账面值</t>
        </is>
      </c>
      <c r="E5" s="22" t="inlineStr">
        <is>
          <t>审计调整</t>
        </is>
      </c>
      <c r="F5" s="22" t="inlineStr">
        <is>
          <t>账面价值</t>
        </is>
      </c>
      <c r="G5" s="22" t="inlineStr">
        <is>
          <t>评估价值</t>
        </is>
      </c>
      <c r="H5" s="22" t="inlineStr">
        <is>
          <t>增减值</t>
        </is>
      </c>
      <c r="I5" s="22" t="inlineStr">
        <is>
          <t>增值率%</t>
        </is>
      </c>
      <c r="J5" s="22" t="inlineStr">
        <is>
          <t>备注</t>
        </is>
      </c>
    </row>
    <row r="6" ht="15.5" customHeight="1">
      <c r="A6" s="23" t="n"/>
      <c r="B6" s="24" t="n"/>
      <c r="C6" s="25" t="n"/>
      <c r="D6" s="539" t="n"/>
      <c r="E6" s="539" t="n"/>
      <c r="F6" s="539" t="n"/>
      <c r="G6" s="539" t="n"/>
      <c r="H6" s="539">
        <f>IF(F6=0,"",(G6-F6))</f>
      </c>
      <c r="I6" s="539">
        <f>IF(F6=0,"",(G6-F6)/F6*100)</f>
      </c>
      <c r="J6" s="27" t="n"/>
    </row>
    <row r="7" ht="15.5" customHeight="1">
      <c r="A7" s="23" t="n"/>
      <c r="B7" s="24" t="n"/>
      <c r="C7" s="25" t="n"/>
      <c r="D7" s="539" t="n"/>
      <c r="E7" s="539" t="n"/>
      <c r="F7" s="539" t="n"/>
      <c r="G7" s="539" t="n"/>
      <c r="H7" s="539">
        <f>IF(F7=0,"",(G7-F7))</f>
      </c>
      <c r="I7" s="539">
        <f>IF(F7=0,"",(G7-F7)/F7*100)</f>
      </c>
      <c r="J7" s="27" t="n"/>
    </row>
    <row r="8" ht="15.5" customHeight="1">
      <c r="A8" s="23" t="n"/>
      <c r="B8" s="24" t="n"/>
      <c r="C8" s="25" t="n"/>
      <c r="D8" s="539" t="n"/>
      <c r="E8" s="539" t="n"/>
      <c r="F8" s="539" t="n"/>
      <c r="G8" s="539" t="n"/>
      <c r="H8" s="539">
        <f>IF(F8=0,"",(G8-F8))</f>
      </c>
      <c r="I8" s="539">
        <f>IF(F8=0,"",(G8-F8)/F8*100)</f>
      </c>
      <c r="J8" s="27" t="n"/>
    </row>
    <row r="9" ht="15.5" customHeight="1">
      <c r="A9" s="23" t="n"/>
      <c r="B9" s="24" t="n"/>
      <c r="C9" s="25" t="n"/>
      <c r="D9" s="539" t="n"/>
      <c r="E9" s="539" t="n"/>
      <c r="F9" s="539" t="n"/>
      <c r="G9" s="539" t="n"/>
      <c r="H9" s="539">
        <f>IF(F9=0,"",(G9-F9))</f>
      </c>
      <c r="I9" s="539">
        <f>IF(F9=0,"",(G9-F9)/F9*100)</f>
      </c>
      <c r="J9" s="27" t="n"/>
    </row>
    <row r="10" ht="15.5" customHeight="1">
      <c r="A10" s="23" t="n"/>
      <c r="B10" s="24" t="n"/>
      <c r="C10" s="25" t="n"/>
      <c r="D10" s="539" t="n"/>
      <c r="E10" s="539" t="n"/>
      <c r="F10" s="539" t="n"/>
      <c r="G10" s="539" t="n"/>
      <c r="H10" s="539">
        <f>IF(F10=0,"",(G10-F10))</f>
      </c>
      <c r="I10" s="539">
        <f>IF(F10=0,"",(G10-F10)/F10*100)</f>
      </c>
      <c r="J10" s="27" t="n"/>
    </row>
    <row r="11" ht="15.5" customHeight="1">
      <c r="A11" s="23" t="n"/>
      <c r="B11" s="24" t="n"/>
      <c r="C11" s="25" t="n"/>
      <c r="D11" s="539" t="n"/>
      <c r="E11" s="539" t="n"/>
      <c r="F11" s="539" t="n"/>
      <c r="G11" s="539" t="n"/>
      <c r="H11" s="539">
        <f>IF(F11=0,"",(G11-F11))</f>
      </c>
      <c r="I11" s="539">
        <f>IF(F11=0,"",(G11-F11)/F11*100)</f>
      </c>
      <c r="J11" s="27" t="n"/>
    </row>
    <row r="12" ht="15.5" customHeight="1">
      <c r="A12" s="23" t="n"/>
      <c r="B12" s="24" t="n"/>
      <c r="C12" s="25" t="n"/>
      <c r="D12" s="539" t="n"/>
      <c r="E12" s="539" t="n"/>
      <c r="F12" s="539" t="n"/>
      <c r="G12" s="539" t="n"/>
      <c r="H12" s="539">
        <f>IF(F12=0,"",(G12-F12))</f>
      </c>
      <c r="I12" s="539">
        <f>IF(F12=0,"",(G12-F12)/F12*100)</f>
      </c>
      <c r="J12" s="27" t="n"/>
    </row>
    <row r="13" ht="15.5" customHeight="1">
      <c r="A13" s="23" t="n"/>
      <c r="B13" s="24" t="n"/>
      <c r="C13" s="25" t="n"/>
      <c r="D13" s="539" t="n"/>
      <c r="E13" s="539" t="n"/>
      <c r="F13" s="539" t="n"/>
      <c r="G13" s="539" t="n"/>
      <c r="H13" s="539">
        <f>IF(F13=0,"",(G13-F13))</f>
      </c>
      <c r="I13" s="539">
        <f>IF(F13=0,"",(G13-F13)/F13*100)</f>
      </c>
      <c r="J13" s="27" t="n"/>
    </row>
    <row r="14" ht="15.5" customHeight="1">
      <c r="A14" s="23" t="n"/>
      <c r="B14" s="24" t="n"/>
      <c r="C14" s="25" t="n"/>
      <c r="D14" s="539" t="n"/>
      <c r="E14" s="539" t="n"/>
      <c r="F14" s="539" t="n"/>
      <c r="G14" s="539" t="n"/>
      <c r="H14" s="539">
        <f>IF(F14=0,"",(G14-F14))</f>
      </c>
      <c r="I14" s="539">
        <f>IF(F14=0,"",(G14-F14)/F14*100)</f>
      </c>
      <c r="J14" s="27" t="n"/>
    </row>
    <row r="15" ht="15.5" customHeight="1">
      <c r="A15" s="23" t="n"/>
      <c r="B15" s="24" t="n"/>
      <c r="C15" s="25" t="n"/>
      <c r="D15" s="539" t="n"/>
      <c r="E15" s="539" t="n"/>
      <c r="F15" s="539" t="n"/>
      <c r="G15" s="539" t="n"/>
      <c r="H15" s="539">
        <f>IF(F15=0,"",(G15-F15))</f>
      </c>
      <c r="I15" s="539">
        <f>IF(F15=0,"",(G15-F15)/F15*100)</f>
      </c>
      <c r="J15" s="27" t="n"/>
    </row>
    <row r="16" ht="15.5" customHeight="1">
      <c r="A16" s="23" t="n"/>
      <c r="B16" s="24" t="n"/>
      <c r="C16" s="25" t="n"/>
      <c r="D16" s="539" t="n"/>
      <c r="E16" s="539" t="n"/>
      <c r="F16" s="539" t="n"/>
      <c r="G16" s="539" t="n"/>
      <c r="H16" s="539">
        <f>IF(F16=0,"",(G16-F16))</f>
      </c>
      <c r="I16" s="539">
        <f>IF(F16=0,"",(G16-F16)/F16*100)</f>
      </c>
      <c r="J16" s="27" t="n"/>
    </row>
    <row r="17" ht="15.5" customHeight="1">
      <c r="A17" s="23" t="n"/>
      <c r="B17" s="24" t="n"/>
      <c r="C17" s="25" t="n"/>
      <c r="D17" s="539" t="n"/>
      <c r="E17" s="539" t="n"/>
      <c r="F17" s="539" t="n"/>
      <c r="G17" s="539" t="n"/>
      <c r="H17" s="539">
        <f>IF(F17=0,"",(G17-F17))</f>
      </c>
      <c r="I17" s="539">
        <f>IF(F17=0,"",(G17-F17)/F17*100)</f>
      </c>
      <c r="J17" s="27" t="n"/>
    </row>
    <row r="18" ht="15.5" customHeight="1">
      <c r="A18" s="23" t="n"/>
      <c r="B18" s="24" t="n"/>
      <c r="C18" s="25" t="n"/>
      <c r="D18" s="539" t="n"/>
      <c r="E18" s="539" t="n"/>
      <c r="F18" s="539" t="n"/>
      <c r="G18" s="539" t="n"/>
      <c r="H18" s="539">
        <f>IF(F18=0,"",(G18-F18))</f>
      </c>
      <c r="I18" s="539">
        <f>IF(F18=0,"",(G18-F18)/F18*100)</f>
      </c>
      <c r="J18" s="27" t="n"/>
    </row>
    <row r="19" ht="15.5" customHeight="1">
      <c r="A19" s="23" t="n"/>
      <c r="B19" s="24" t="n"/>
      <c r="C19" s="25" t="n"/>
      <c r="D19" s="539" t="n"/>
      <c r="E19" s="539" t="n"/>
      <c r="F19" s="539" t="n"/>
      <c r="G19" s="539" t="n"/>
      <c r="H19" s="539">
        <f>IF(F19=0,"",(G19-F19))</f>
      </c>
      <c r="I19" s="539">
        <f>IF(F19=0,"",(G19-F19)/F19*100)</f>
      </c>
      <c r="J19" s="27" t="n"/>
    </row>
    <row r="20" ht="15.5" customHeight="1">
      <c r="A20" s="23" t="n"/>
      <c r="B20" s="24" t="n"/>
      <c r="C20" s="25" t="n"/>
      <c r="D20" s="539" t="n"/>
      <c r="E20" s="539" t="n"/>
      <c r="F20" s="539" t="n"/>
      <c r="G20" s="539" t="n"/>
      <c r="H20" s="539">
        <f>IF(F20=0,"",(G20-F20))</f>
      </c>
      <c r="I20" s="539">
        <f>IF(F20=0,"",(G20-F20)/F20*100)</f>
      </c>
      <c r="J20" s="27" t="n"/>
    </row>
    <row r="21" ht="15.5" customHeight="1">
      <c r="A21" s="23" t="n"/>
      <c r="B21" s="24" t="n"/>
      <c r="C21" s="25" t="n"/>
      <c r="D21" s="539" t="n"/>
      <c r="E21" s="539" t="n"/>
      <c r="F21" s="539" t="n"/>
      <c r="G21" s="539" t="n"/>
      <c r="H21" s="539">
        <f>IF(F21=0,"",(G21-F21))</f>
      </c>
      <c r="I21" s="539">
        <f>IF(F21=0,"",(G21-F21)/F21*100)</f>
      </c>
      <c r="J21" s="27" t="n"/>
    </row>
    <row r="22" ht="15.5" customHeight="1">
      <c r="A22" s="23" t="n"/>
      <c r="B22" s="24" t="n"/>
      <c r="C22" s="25" t="n"/>
      <c r="D22" s="539" t="n"/>
      <c r="E22" s="539" t="n"/>
      <c r="F22" s="539" t="n"/>
      <c r="G22" s="539" t="n"/>
      <c r="H22" s="539">
        <f>IF(F22=0,"",(G22-F22))</f>
      </c>
      <c r="I22" s="539">
        <f>IF(F22=0,"",(G22-F22)/F22*100)</f>
      </c>
      <c r="J22" s="27" t="n"/>
    </row>
    <row r="23" ht="15.5" customHeight="1">
      <c r="A23" s="23" t="n"/>
      <c r="B23" s="24" t="n"/>
      <c r="C23" s="25" t="n"/>
      <c r="D23" s="539" t="n"/>
      <c r="E23" s="539" t="n"/>
      <c r="F23" s="539" t="n"/>
      <c r="G23" s="539" t="n"/>
      <c r="H23" s="539">
        <f>IF(F23=0,"",(G23-F23))</f>
      </c>
      <c r="I23" s="539">
        <f>IF(F23=0,"",(G23-F23)/F23*100)</f>
      </c>
      <c r="J23" s="27" t="n"/>
    </row>
    <row r="24" ht="15.5" customHeight="1">
      <c r="A24" s="23" t="n"/>
      <c r="B24" s="24" t="n"/>
      <c r="C24" s="25" t="n"/>
      <c r="D24" s="539" t="n"/>
      <c r="E24" s="539" t="n"/>
      <c r="F24" s="539" t="n"/>
      <c r="G24" s="539" t="n"/>
      <c r="H24" s="539">
        <f>IF(F24=0,"",(G24-F24))</f>
      </c>
      <c r="I24" s="539">
        <f>IF(F24=0,"",(G24-F24)/F24*100)</f>
      </c>
      <c r="J24" s="27" t="n"/>
    </row>
    <row r="25" ht="15.5" customHeight="1">
      <c r="A25" s="21" t="inlineStr">
        <is>
          <t>合            计</t>
        </is>
      </c>
      <c r="B25" s="28" t="n"/>
      <c r="C25" s="25" t="n"/>
      <c r="D25" s="539">
        <f>SUM(D6:D24)</f>
      </c>
      <c r="E25" s="539" t="n"/>
      <c r="F25" s="539">
        <f>SUM(F6:F24)</f>
      </c>
      <c r="G25" s="539">
        <f>SUM(G6:G24)</f>
      </c>
      <c r="H25" s="539">
        <f>IF(F25=0,"",(G25-F25))</f>
      </c>
      <c r="I25" s="539">
        <f>IF(F25=0,"",(G25-F25)/F25*100)</f>
      </c>
      <c r="J25" s="27" t="n"/>
    </row>
    <row r="26" ht="15.5" customHeight="1">
      <c r="A26" s="21" t="inlineStr">
        <is>
          <t>减：商誉减值准备</t>
        </is>
      </c>
      <c r="B26" s="28" t="n"/>
      <c r="C26" s="25" t="n"/>
      <c r="D26" s="539" t="n"/>
      <c r="E26" s="539" t="n"/>
      <c r="F26" s="539">
        <f>D26</f>
      </c>
      <c r="G26" s="539"/>
      <c r="H26" s="539">
        <f>IF(F26=0,"",(G26-F26))</f>
      </c>
      <c r="I26" s="539">
        <f>IF(F26=0,"",(G26-F26)/F26*100)</f>
      </c>
      <c r="J26" s="27" t="n"/>
    </row>
    <row r="27" ht="15.5" customHeight="1">
      <c r="A27" s="21" t="inlineStr">
        <is>
          <t>净            额</t>
        </is>
      </c>
      <c r="B27" s="28" t="n"/>
      <c r="C27" s="25" t="n"/>
      <c r="D27" s="539">
        <f>D25-D26</f>
      </c>
      <c r="E27" s="539" t="n"/>
      <c r="F27" s="539">
        <f>F25-F26</f>
      </c>
      <c r="G27" s="539">
        <f>G25-G26</f>
      </c>
      <c r="H27" s="539">
        <f>IF(F27=0,"",(G27-F27))</f>
      </c>
      <c r="I27" s="539">
        <f>IF(F27=0,"",(G27-F27)/F27*100)</f>
      </c>
      <c r="J27" s="27" t="n"/>
    </row>
    <row r="28" ht="15.5" customHeight="1">
      <c r="A28" s="29">
        <f>封面!D11&amp;封面!G11</f>
      </c>
      <c r="F28" s="536" t="n"/>
      <c r="G28" s="13">
        <f>"评估人员："&amp;封面!G34</f>
      </c>
    </row>
    <row r="29" ht="15.5" customHeight="1">
      <c r="A29" s="29">
        <f>CONCATENATE(封面!D13,封面!F13,封面!G13,封面!H13,封面!I13,封面!J13,封面!K13)</f>
      </c>
    </row>
  </sheetData>
  <mergeCells count="5">
    <mergeCell ref="A26:B26"/>
    <mergeCell ref="A25:B25"/>
    <mergeCell ref="A3:J3"/>
    <mergeCell ref="A2:J2"/>
    <mergeCell ref="A27:B27"/>
  </mergeCells>
  <hyperlinks>
    <hyperlink ref="A1" location="索引目录!D51" display="返回索引页"/>
    <hyperlink ref="B1" location="无形资产汇总!B14" display="返回"/>
  </hyperlinks>
  <printOptions horizontalCentered="1"/>
  <pageMargins left="0.354330708661417" right="0.354330708661417" top="0.78740157480315" bottom="0.78740157480315" header="1.06" footer="0.511811023622047"/>
  <pageSetup orientation="landscape" paperSize="9" fitToHeight="0"/>
  <headerFooter alignWithMargins="0">
    <oddHeader>&amp;R&amp;"宋体,常规"共&amp;"Times New Roman,常规"&amp;N&amp;"宋体,常规"页第&amp;"Times New Roman,常规"&amp;P&amp;"宋体,常规"4-14_x000a_页</oddHeader>
    <oddFooter/>
    <evenHeader/>
    <evenFooter/>
    <firstHeader/>
    <firstFooter/>
  </headerFooter>
  <legacyDrawing xmlns:r="http://schemas.openxmlformats.org/officeDocument/2006/relationships" r:id="anysvml"/>
</worksheet>
</file>

<file path=xl/worksheets/sheet70.xml><?xml version="1.0" encoding="utf-8"?>
<worksheet xmlns="http://schemas.openxmlformats.org/spreadsheetml/2006/main">
  <sheetPr codeName="Sheet70">
    <outlinePr summaryBelow="1" summaryRight="1"/>
    <pageSetUpPr fitToPage="1"/>
  </sheetPr>
  <dimension ref="A1:M29"/>
  <sheetViews>
    <sheetView view="pageBreakPreview" zoomScale="60" zoomScaleNormal="100" workbookViewId="0">
      <selection activeCell="G451" sqref="G451"/>
    </sheetView>
  </sheetViews>
  <sheetFormatPr baseColWidth="8" defaultColWidth="9" defaultRowHeight="15.75" customHeight="1"/>
  <cols>
    <col width="5.08333333333333" customWidth="1" style="13" min="1" max="1"/>
    <col width="21" customWidth="1" style="13" min="2" max="2"/>
    <col width="7.75" customWidth="1" style="13" min="3" max="3"/>
    <col width="11.25" customWidth="1" style="13" min="4" max="4"/>
    <col width="8.08333333333333" customWidth="1" style="13" min="5" max="5"/>
    <col hidden="1" outlineLevel="1" width="14.3333333333333" customWidth="1" style="13" min="6" max="7"/>
    <col collapsed="1" width="14.3333333333333" customWidth="1" style="13" min="8" max="8"/>
    <col width="7" customWidth="1" style="13" min="9" max="9"/>
    <col width="14.3333333333333" customWidth="1" style="13" min="10" max="11"/>
    <col width="8.08333333333333" customWidth="1" style="13" min="12" max="12"/>
    <col width="10" customWidth="1" style="13" min="13" max="13"/>
    <col width="9" customWidth="1" style="13" min="14"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row>
    <row r="2" ht="30" customFormat="1" customHeight="1" s="11">
      <c r="A2" s="17" t="inlineStr">
        <is>
          <t>长期待摊费用评估明细表</t>
        </is>
      </c>
    </row>
    <row r="3" ht="14.15" customHeight="1">
      <c r="A3" s="535">
        <f>CONCATENATE(封面!D9,封面!F9,封面!G9,封面!H9,封面!I9,封面!J9,封面!K9)</f>
      </c>
    </row>
    <row r="4" ht="15.5" customHeight="1">
      <c r="A4" s="536">
        <f>封面!D7&amp;封面!F7</f>
      </c>
      <c r="M4" s="20" t="inlineStr">
        <is>
          <t>金额单位：人民币元</t>
        </is>
      </c>
    </row>
    <row r="5" ht="27.75" customFormat="1" customHeight="1" s="16">
      <c r="A5" s="22" t="inlineStr">
        <is>
          <t>序号</t>
        </is>
      </c>
      <c r="B5" s="22" t="inlineStr">
        <is>
          <t>费用名称或内容</t>
        </is>
      </c>
      <c r="C5" s="22" t="inlineStr">
        <is>
          <t>形成日期</t>
        </is>
      </c>
      <c r="D5" s="22" t="inlineStr">
        <is>
          <t>原始发生额</t>
        </is>
      </c>
      <c r="E5" s="22" t="inlineStr">
        <is>
          <t>预计摊
销月数</t>
        </is>
      </c>
      <c r="F5" s="22" t="inlineStr">
        <is>
          <t>审计前账面值</t>
        </is>
      </c>
      <c r="G5" s="22" t="inlineStr">
        <is>
          <t>审计调整</t>
        </is>
      </c>
      <c r="H5" s="22" t="inlineStr">
        <is>
          <t>账面价值</t>
        </is>
      </c>
      <c r="I5" s="22" t="inlineStr">
        <is>
          <t>尚存受
益月数</t>
        </is>
      </c>
      <c r="J5" s="22" t="inlineStr">
        <is>
          <t>评估价值</t>
        </is>
      </c>
      <c r="K5" s="22" t="inlineStr">
        <is>
          <t>增减值</t>
        </is>
      </c>
      <c r="L5" s="22" t="inlineStr">
        <is>
          <t>增值率%</t>
        </is>
      </c>
      <c r="M5" s="22" t="inlineStr">
        <is>
          <t>备注</t>
        </is>
      </c>
    </row>
    <row r="6" ht="15.5" customHeight="1">
      <c r="A6" s="23" t="n"/>
      <c r="B6" s="67" t="n"/>
      <c r="C6" s="25" t="n"/>
      <c r="D6" s="539" t="n"/>
      <c r="E6" s="23" t="n"/>
      <c r="F6" s="539" t="n"/>
      <c r="G6" s="539" t="n"/>
      <c r="H6" s="539" t="n"/>
      <c r="I6" s="23" t="n"/>
      <c r="J6" s="539">
        <f>H6</f>
      </c>
      <c r="K6" s="539">
        <f>IF(H6=0,"",(J6-H6))</f>
      </c>
      <c r="L6" s="539">
        <f>IF(H6=0,"",(J6-H6)/H6*100)</f>
      </c>
      <c r="M6" s="27" t="n"/>
    </row>
    <row r="7" ht="15.5" customHeight="1">
      <c r="A7" s="23" t="n"/>
      <c r="B7" s="67" t="n"/>
      <c r="C7" s="25" t="n"/>
      <c r="D7" s="539" t="n"/>
      <c r="E7" s="23" t="n"/>
      <c r="F7" s="539" t="n"/>
      <c r="G7" s="539" t="n"/>
      <c r="H7" s="539" t="n"/>
      <c r="I7" s="23" t="n"/>
      <c r="J7" s="539" t="n"/>
      <c r="K7" s="539">
        <f>IF(H7=0,"",(J7-H7))</f>
      </c>
      <c r="L7" s="539">
        <f>IF(H7=0,"",(J7-H7)/H7*100)</f>
      </c>
      <c r="M7" s="27" t="n"/>
    </row>
    <row r="8" ht="15.5" customHeight="1">
      <c r="A8" s="23" t="n"/>
      <c r="B8" s="67" t="n"/>
      <c r="C8" s="25" t="n"/>
      <c r="D8" s="539" t="n"/>
      <c r="E8" s="23" t="n"/>
      <c r="F8" s="539" t="n"/>
      <c r="G8" s="539" t="n"/>
      <c r="H8" s="539" t="n"/>
      <c r="I8" s="23" t="n"/>
      <c r="J8" s="539" t="n"/>
      <c r="K8" s="539">
        <f>IF(H8=0,"",(J8-H8))</f>
      </c>
      <c r="L8" s="539">
        <f>IF(H8=0,"",(J8-H8)/H8*100)</f>
      </c>
      <c r="M8" s="27" t="n"/>
    </row>
    <row r="9" ht="15.5" customHeight="1">
      <c r="A9" s="23" t="n"/>
      <c r="B9" s="67" t="n"/>
      <c r="C9" s="25" t="n"/>
      <c r="D9" s="539" t="n"/>
      <c r="E9" s="23" t="n"/>
      <c r="F9" s="539" t="n"/>
      <c r="G9" s="539" t="n"/>
      <c r="H9" s="539" t="n"/>
      <c r="I9" s="23" t="n"/>
      <c r="J9" s="539" t="n"/>
      <c r="K9" s="539">
        <f>IF(H9=0,"",(J9-H9))</f>
      </c>
      <c r="L9" s="539">
        <f>IF(H9=0,"",(J9-H9)/H9*100)</f>
      </c>
      <c r="M9" s="27" t="n"/>
    </row>
    <row r="10" ht="15.5" customHeight="1">
      <c r="A10" s="23" t="n"/>
      <c r="B10" s="67" t="n"/>
      <c r="C10" s="25" t="n"/>
      <c r="D10" s="539" t="n"/>
      <c r="E10" s="23" t="n"/>
      <c r="F10" s="539" t="n"/>
      <c r="G10" s="539" t="n"/>
      <c r="H10" s="539" t="n"/>
      <c r="I10" s="23" t="n"/>
      <c r="J10" s="539" t="n"/>
      <c r="K10" s="539">
        <f>IF(H10=0,"",(J10-H10))</f>
      </c>
      <c r="L10" s="539">
        <f>IF(H10=0,"",(J10-H10)/H10*100)</f>
      </c>
      <c r="M10" s="27" t="n"/>
    </row>
    <row r="11" ht="15.5" customHeight="1">
      <c r="A11" s="23" t="n"/>
      <c r="B11" s="67" t="n"/>
      <c r="C11" s="25" t="n"/>
      <c r="D11" s="539" t="n"/>
      <c r="E11" s="23" t="n"/>
      <c r="F11" s="539" t="n"/>
      <c r="G11" s="539" t="n"/>
      <c r="H11" s="539" t="n"/>
      <c r="I11" s="23" t="n"/>
      <c r="J11" s="539" t="n"/>
      <c r="K11" s="539">
        <f>IF(H11=0,"",(J11-H11))</f>
      </c>
      <c r="L11" s="539">
        <f>IF(H11=0,"",(J11-H11)/H11*100)</f>
      </c>
      <c r="M11" s="27" t="n"/>
    </row>
    <row r="12" ht="15.5" customHeight="1">
      <c r="A12" s="23" t="n"/>
      <c r="B12" s="67" t="n"/>
      <c r="C12" s="25" t="n"/>
      <c r="D12" s="539" t="n"/>
      <c r="E12" s="23" t="n"/>
      <c r="F12" s="539" t="n"/>
      <c r="G12" s="539" t="n"/>
      <c r="H12" s="539" t="n"/>
      <c r="I12" s="23" t="n"/>
      <c r="J12" s="539" t="n"/>
      <c r="K12" s="539">
        <f>IF(H12=0,"",(J12-H12))</f>
      </c>
      <c r="L12" s="539">
        <f>IF(H12=0,"",(J12-H12)/H12*100)</f>
      </c>
      <c r="M12" s="27" t="n"/>
    </row>
    <row r="13" ht="15.5" customHeight="1">
      <c r="A13" s="23" t="n"/>
      <c r="B13" s="24" t="n"/>
      <c r="C13" s="25" t="n"/>
      <c r="D13" s="539" t="n"/>
      <c r="E13" s="23" t="n"/>
      <c r="F13" s="539" t="n"/>
      <c r="G13" s="539" t="n"/>
      <c r="H13" s="539" t="n"/>
      <c r="I13" s="23" t="n"/>
      <c r="J13" s="539" t="n"/>
      <c r="K13" s="539">
        <f>IF(H13=0,"",(J13-H13))</f>
      </c>
      <c r="L13" s="539">
        <f>IF(H13=0,"",(J13-H13)/H13*100)</f>
      </c>
      <c r="M13" s="27" t="n"/>
    </row>
    <row r="14" ht="15.5" customHeight="1">
      <c r="A14" s="23" t="n"/>
      <c r="B14" s="24" t="n"/>
      <c r="C14" s="25" t="n"/>
      <c r="D14" s="539" t="n"/>
      <c r="E14" s="23" t="n"/>
      <c r="F14" s="539" t="n"/>
      <c r="G14" s="539" t="n"/>
      <c r="H14" s="539" t="n"/>
      <c r="I14" s="23" t="n"/>
      <c r="J14" s="539" t="n"/>
      <c r="K14" s="539">
        <f>IF(H14=0,"",(J14-H14))</f>
      </c>
      <c r="L14" s="539">
        <f>IF(H14=0,"",(J14-H14)/H14*100)</f>
      </c>
      <c r="M14" s="27" t="n"/>
    </row>
    <row r="15" ht="15.5" customHeight="1">
      <c r="A15" s="23" t="n"/>
      <c r="B15" s="24" t="n"/>
      <c r="C15" s="25" t="n"/>
      <c r="D15" s="539" t="n"/>
      <c r="E15" s="23" t="n"/>
      <c r="F15" s="539" t="n"/>
      <c r="G15" s="539" t="n"/>
      <c r="H15" s="539" t="n"/>
      <c r="I15" s="23" t="n"/>
      <c r="J15" s="539" t="n"/>
      <c r="K15" s="539">
        <f>IF(H15=0,"",(J15-H15))</f>
      </c>
      <c r="L15" s="539">
        <f>IF(H15=0,"",(J15-H15)/H15*100)</f>
      </c>
      <c r="M15" s="27" t="n"/>
    </row>
    <row r="16" ht="15.5" customHeight="1">
      <c r="A16" s="23" t="n"/>
      <c r="B16" s="24" t="n"/>
      <c r="C16" s="25" t="n"/>
      <c r="D16" s="539" t="n"/>
      <c r="E16" s="23" t="n"/>
      <c r="F16" s="539" t="n"/>
      <c r="G16" s="539" t="n"/>
      <c r="H16" s="539" t="n"/>
      <c r="I16" s="23" t="n"/>
      <c r="J16" s="539" t="n"/>
      <c r="K16" s="539">
        <f>IF(H16=0,"",(J16-H16))</f>
      </c>
      <c r="L16" s="539">
        <f>IF(H16=0,"",(J16-H16)/H16*100)</f>
      </c>
      <c r="M16" s="27" t="n"/>
    </row>
    <row r="17" ht="15.5" customHeight="1">
      <c r="A17" s="23" t="n"/>
      <c r="B17" s="24" t="n"/>
      <c r="C17" s="25" t="n"/>
      <c r="D17" s="539" t="n"/>
      <c r="E17" s="23" t="n"/>
      <c r="F17" s="539" t="n"/>
      <c r="G17" s="539" t="n"/>
      <c r="H17" s="539" t="n"/>
      <c r="I17" s="23" t="n"/>
      <c r="J17" s="539" t="n"/>
      <c r="K17" s="539">
        <f>IF(H17=0,"",(J17-H17))</f>
      </c>
      <c r="L17" s="539">
        <f>IF(H17=0,"",(J17-H17)/H17*100)</f>
      </c>
      <c r="M17" s="27" t="n"/>
    </row>
    <row r="18" ht="15.5" customHeight="1">
      <c r="A18" s="23" t="n"/>
      <c r="B18" s="24" t="n"/>
      <c r="C18" s="25" t="n"/>
      <c r="D18" s="539" t="n"/>
      <c r="E18" s="23" t="n"/>
      <c r="F18" s="539" t="n"/>
      <c r="G18" s="539" t="n"/>
      <c r="H18" s="539" t="n"/>
      <c r="I18" s="23" t="n"/>
      <c r="J18" s="539" t="n"/>
      <c r="K18" s="539">
        <f>IF(H18=0,"",(J18-H18))</f>
      </c>
      <c r="L18" s="539">
        <f>IF(H18=0,"",(J18-H18)/H18*100)</f>
      </c>
      <c r="M18" s="27" t="n"/>
    </row>
    <row r="19" ht="15.5" customHeight="1">
      <c r="A19" s="23" t="n"/>
      <c r="B19" s="24" t="n"/>
      <c r="C19" s="25" t="n"/>
      <c r="D19" s="539" t="n"/>
      <c r="E19" s="23" t="n"/>
      <c r="F19" s="539" t="n"/>
      <c r="G19" s="539" t="n"/>
      <c r="H19" s="539" t="n"/>
      <c r="I19" s="23" t="n"/>
      <c r="J19" s="539" t="n"/>
      <c r="K19" s="539">
        <f>IF(H19=0,"",(J19-H19))</f>
      </c>
      <c r="L19" s="539">
        <f>IF(H19=0,"",(J19-H19)/H19*100)</f>
      </c>
      <c r="M19" s="27" t="n"/>
    </row>
    <row r="20" ht="15.5" customHeight="1">
      <c r="A20" s="23" t="n"/>
      <c r="B20" s="24" t="n"/>
      <c r="C20" s="25" t="n"/>
      <c r="D20" s="539" t="n"/>
      <c r="E20" s="23" t="n"/>
      <c r="F20" s="539" t="n"/>
      <c r="G20" s="539" t="n"/>
      <c r="H20" s="539" t="n"/>
      <c r="I20" s="23" t="n"/>
      <c r="J20" s="539" t="n"/>
      <c r="K20" s="539">
        <f>IF(H20=0,"",(J20-H20))</f>
      </c>
      <c r="L20" s="539">
        <f>IF(H20=0,"",(J20-H20)/H20*100)</f>
      </c>
      <c r="M20" s="27" t="n"/>
    </row>
    <row r="21" ht="15.5" customHeight="1">
      <c r="A21" s="23" t="n"/>
      <c r="B21" s="24" t="n"/>
      <c r="C21" s="25" t="n"/>
      <c r="D21" s="539" t="n"/>
      <c r="E21" s="23" t="n"/>
      <c r="F21" s="539" t="n"/>
      <c r="G21" s="539" t="n"/>
      <c r="H21" s="539" t="n"/>
      <c r="I21" s="23" t="n"/>
      <c r="J21" s="539" t="n"/>
      <c r="K21" s="539">
        <f>IF(H21=0,"",(J21-H21))</f>
      </c>
      <c r="L21" s="539">
        <f>IF(H21=0,"",(J21-H21)/H21*100)</f>
      </c>
      <c r="M21" s="27" t="n"/>
    </row>
    <row r="22" ht="15.5" customHeight="1">
      <c r="A22" s="23" t="n"/>
      <c r="B22" s="24" t="n"/>
      <c r="C22" s="25" t="n"/>
      <c r="D22" s="539" t="n"/>
      <c r="E22" s="23" t="n"/>
      <c r="F22" s="539" t="n"/>
      <c r="G22" s="539" t="n"/>
      <c r="H22" s="539" t="n"/>
      <c r="I22" s="23" t="n"/>
      <c r="J22" s="539" t="n"/>
      <c r="K22" s="539">
        <f>IF(H22=0,"",(J22-H22))</f>
      </c>
      <c r="L22" s="539">
        <f>IF(H22=0,"",(J22-H22)/H22*100)</f>
      </c>
      <c r="M22" s="27" t="n"/>
    </row>
    <row r="23" ht="15.5" customHeight="1">
      <c r="A23" s="23" t="n"/>
      <c r="B23" s="24" t="n"/>
      <c r="C23" s="25" t="n"/>
      <c r="D23" s="539" t="n"/>
      <c r="E23" s="23" t="n"/>
      <c r="F23" s="539" t="n"/>
      <c r="G23" s="539" t="n"/>
      <c r="H23" s="539" t="n"/>
      <c r="I23" s="23" t="n"/>
      <c r="J23" s="539" t="n"/>
      <c r="K23" s="539">
        <f>IF(H23=0,"",(J23-H23))</f>
      </c>
      <c r="L23" s="539">
        <f>IF(H23=0,"",(J23-H23)/H23*100)</f>
      </c>
      <c r="M23" s="27" t="n"/>
    </row>
    <row r="24" ht="15.5" customHeight="1">
      <c r="A24" s="23" t="n"/>
      <c r="B24" s="24" t="n"/>
      <c r="C24" s="25" t="n"/>
      <c r="D24" s="539" t="n"/>
      <c r="E24" s="23" t="n"/>
      <c r="F24" s="539" t="n"/>
      <c r="G24" s="539" t="n"/>
      <c r="H24" s="539" t="n"/>
      <c r="I24" s="23" t="n"/>
      <c r="J24" s="539" t="n"/>
      <c r="K24" s="539">
        <f>IF(H24=0,"",(J24-H24))</f>
      </c>
      <c r="L24" s="539">
        <f>IF(H24=0,"",(J24-H24)/H24*100)</f>
      </c>
      <c r="M24" s="27" t="n"/>
    </row>
    <row r="25" ht="15.5" customHeight="1">
      <c r="A25" s="23" t="n"/>
      <c r="B25" s="24" t="n"/>
      <c r="C25" s="25" t="n"/>
      <c r="D25" s="539" t="n"/>
      <c r="E25" s="23" t="n"/>
      <c r="F25" s="539" t="n"/>
      <c r="G25" s="539" t="n"/>
      <c r="H25" s="539" t="n"/>
      <c r="I25" s="23" t="n"/>
      <c r="J25" s="539" t="n"/>
      <c r="K25" s="539">
        <f>IF(H25=0,"",(J25-H25))</f>
      </c>
      <c r="L25" s="539">
        <f>IF(H25=0,"",(J25-H25)/H25*100)</f>
      </c>
      <c r="M25" s="27" t="n"/>
    </row>
    <row r="26" ht="15.5" customHeight="1">
      <c r="A26" s="23" t="n"/>
      <c r="B26" s="67" t="n"/>
      <c r="C26" s="25" t="n"/>
      <c r="D26" s="539" t="n"/>
      <c r="E26" s="23" t="n"/>
      <c r="F26" s="539" t="n"/>
      <c r="G26" s="539" t="n"/>
      <c r="H26" s="539" t="n"/>
      <c r="I26" s="23" t="n"/>
      <c r="J26" s="539" t="n"/>
      <c r="K26" s="539">
        <f>IF(H26=0,"",(J26-H26))</f>
      </c>
      <c r="L26" s="539" t="n"/>
      <c r="M26" s="27" t="n"/>
    </row>
    <row r="27" ht="15.5" customHeight="1">
      <c r="A27" s="21" t="inlineStr">
        <is>
          <t>合                    计</t>
        </is>
      </c>
      <c r="B27" s="28" t="n"/>
      <c r="C27" s="25" t="n"/>
      <c r="D27" s="539" t="n"/>
      <c r="E27" s="23" t="n"/>
      <c r="F27" s="539">
        <f>SUM(F6:F26)</f>
      </c>
      <c r="G27" s="539" t="n"/>
      <c r="H27" s="539">
        <f>SUM(H6:H26)</f>
      </c>
      <c r="I27" s="23" t="n"/>
      <c r="J27" s="539">
        <f>SUM(J6:J26)</f>
      </c>
      <c r="K27" s="539">
        <f>IF(H27=0,"",(J27-H27))</f>
      </c>
      <c r="L27" s="539">
        <f>IF(H27=0,"",(J27-H27)/H27*100)</f>
      </c>
      <c r="M27" s="27" t="n"/>
    </row>
    <row r="28" ht="15.5" customHeight="1">
      <c r="A28" s="29">
        <f>封面!D11&amp;封面!G11</f>
      </c>
      <c r="H28" s="13">
        <f>"评估人员："&amp;封面!G36</f>
      </c>
    </row>
    <row r="29" ht="15.5" customHeight="1">
      <c r="A29" s="29">
        <f>CONCATENATE(封面!D13,封面!F13,封面!G13,封面!H13,封面!I13,封面!J13,封面!K13)</f>
      </c>
    </row>
  </sheetData>
  <mergeCells count="3">
    <mergeCell ref="A27:B27"/>
    <mergeCell ref="A3:M3"/>
    <mergeCell ref="A2:M2"/>
  </mergeCells>
  <hyperlinks>
    <hyperlink ref="A1" location="索引目录!D52" display="返回索引页"/>
    <hyperlink ref="B1" location="分类汇总!B34"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Roman,常规"&amp;P&amp;"宋体,常规"4-15_x000a_页</oddHeader>
    <oddFooter/>
    <evenHeader/>
    <evenFooter/>
    <firstHeader/>
    <firstFooter/>
  </headerFooter>
  <legacyDrawing xmlns:r="http://schemas.openxmlformats.org/officeDocument/2006/relationships" r:id="anysvml"/>
</worksheet>
</file>

<file path=xl/worksheets/sheet71.xml><?xml version="1.0" encoding="utf-8"?>
<worksheet xmlns="http://schemas.openxmlformats.org/spreadsheetml/2006/main">
  <sheetPr codeName="Sheet71">
    <outlinePr summaryBelow="1" summaryRight="1"/>
    <pageSetUpPr fitToPage="1"/>
  </sheetPr>
  <dimension ref="A1:H29"/>
  <sheetViews>
    <sheetView view="pageBreakPreview" zoomScale="60" zoomScaleNormal="100" workbookViewId="0">
      <selection activeCell="G451" sqref="G451"/>
    </sheetView>
  </sheetViews>
  <sheetFormatPr baseColWidth="8" defaultColWidth="9" defaultRowHeight="15.75" customHeight="1"/>
  <cols>
    <col width="6.08333333333333" customWidth="1" style="13" min="1" max="1"/>
    <col width="36.0833333333333" customWidth="1" style="13" min="2" max="2"/>
    <col width="15" customWidth="1" style="13" min="3" max="3"/>
    <col hidden="1" outlineLevel="1" width="19.3333333333333" customWidth="1" style="13" min="4" max="5"/>
    <col collapsed="1" width="24.3333333333333" customWidth="1" style="13" min="6" max="6"/>
    <col width="24.3333333333333" customWidth="1" style="13" min="7" max="7"/>
    <col width="15.5833333333333" customWidth="1" style="13" min="8" max="8"/>
    <col width="9" customWidth="1" style="13" min="9" max="16384"/>
  </cols>
  <sheetData>
    <row r="1" ht="15.5" customHeight="1">
      <c r="A1" s="559" t="inlineStr">
        <is>
          <t>返回索引页</t>
        </is>
      </c>
      <c r="B1" s="30" t="inlineStr">
        <is>
          <t>返回</t>
        </is>
      </c>
      <c r="C1" s="12" t="n"/>
      <c r="D1" s="12" t="n"/>
      <c r="E1" s="12" t="n"/>
      <c r="F1" s="12" t="n"/>
      <c r="G1" s="12" t="n"/>
      <c r="H1" s="12" t="n"/>
    </row>
    <row r="2" ht="30" customFormat="1" customHeight="1" s="11">
      <c r="A2" s="17" t="inlineStr">
        <is>
          <t>递延所得税资产评估明细表</t>
        </is>
      </c>
    </row>
    <row r="3" ht="14.15" customHeight="1">
      <c r="A3" s="535">
        <f>CONCATENATE(封面!D9,封面!F9,封面!G9,封面!H9,封面!I9,封面!J9,封面!K9)</f>
      </c>
    </row>
    <row r="4" ht="15.5" customHeight="1">
      <c r="A4" s="536">
        <f>封面!D7&amp;封面!F7</f>
      </c>
      <c r="H4" s="20" t="inlineStr">
        <is>
          <t>金额单位：人民币元</t>
        </is>
      </c>
    </row>
    <row r="5" ht="13" customFormat="1" customHeight="1" s="12">
      <c r="A5" s="21" t="inlineStr">
        <is>
          <t>序号</t>
        </is>
      </c>
      <c r="B5" s="21" t="inlineStr">
        <is>
          <t>内容或名称</t>
        </is>
      </c>
      <c r="C5" s="21" t="inlineStr">
        <is>
          <t>取得日期</t>
        </is>
      </c>
      <c r="D5" s="22" t="inlineStr">
        <is>
          <t>审计前账面值</t>
        </is>
      </c>
      <c r="E5" s="22" t="inlineStr">
        <is>
          <t>审计调整</t>
        </is>
      </c>
      <c r="F5" s="21" t="inlineStr">
        <is>
          <t>账面价值</t>
        </is>
      </c>
      <c r="G5" s="21" t="inlineStr">
        <is>
          <t>评估价值</t>
        </is>
      </c>
      <c r="H5" s="21" t="inlineStr">
        <is>
          <t>备注</t>
        </is>
      </c>
    </row>
    <row r="6" ht="15.5" customHeight="1">
      <c r="A6" s="23" t="n"/>
      <c r="B6" s="24" t="n"/>
      <c r="C6" s="25" t="n"/>
      <c r="D6" s="604" t="n"/>
      <c r="E6" s="604" t="n"/>
      <c r="F6" s="604" t="n"/>
      <c r="G6" s="604" t="n"/>
      <c r="H6" s="27" t="n"/>
    </row>
    <row r="7" ht="15.5" customHeight="1">
      <c r="A7" s="23" t="n"/>
      <c r="B7" s="24" t="n"/>
      <c r="C7" s="25" t="n"/>
      <c r="D7" s="604" t="n"/>
      <c r="E7" s="604" t="n"/>
      <c r="F7" s="604" t="n"/>
      <c r="G7" s="604" t="n"/>
      <c r="H7" s="27" t="n"/>
    </row>
    <row r="8" ht="15.5" customHeight="1">
      <c r="A8" s="23" t="n"/>
      <c r="B8" s="24" t="n"/>
      <c r="C8" s="25" t="n"/>
      <c r="D8" s="604" t="n"/>
      <c r="E8" s="604" t="n"/>
      <c r="F8" s="604" t="n"/>
      <c r="G8" s="604" t="n"/>
      <c r="H8" s="27" t="n"/>
    </row>
    <row r="9" ht="15.5" customHeight="1">
      <c r="A9" s="23" t="n"/>
      <c r="B9" s="24" t="n"/>
      <c r="C9" s="25" t="n"/>
      <c r="D9" s="604" t="n"/>
      <c r="E9" s="604" t="n"/>
      <c r="F9" s="604" t="n"/>
      <c r="G9" s="604" t="n"/>
      <c r="H9" s="27" t="n"/>
    </row>
    <row r="10" ht="15.5" customHeight="1">
      <c r="A10" s="23" t="n"/>
      <c r="B10" s="24" t="n"/>
      <c r="C10" s="25" t="n"/>
      <c r="D10" s="604" t="n"/>
      <c r="E10" s="604" t="n"/>
      <c r="F10" s="604" t="n"/>
      <c r="G10" s="604" t="n"/>
      <c r="H10" s="27" t="n"/>
    </row>
    <row r="11" ht="15.5" customHeight="1">
      <c r="A11" s="23" t="n"/>
      <c r="B11" s="24" t="n"/>
      <c r="C11" s="25" t="n"/>
      <c r="D11" s="604" t="n"/>
      <c r="E11" s="604" t="n"/>
      <c r="F11" s="604" t="n"/>
      <c r="G11" s="604" t="n"/>
      <c r="H11" s="27" t="n"/>
    </row>
    <row r="12" ht="15.5" customHeight="1">
      <c r="A12" s="23" t="n"/>
      <c r="B12" s="24" t="n"/>
      <c r="C12" s="25" t="n"/>
      <c r="D12" s="604" t="n"/>
      <c r="E12" s="604" t="n"/>
      <c r="F12" s="604" t="n"/>
      <c r="G12" s="604" t="n"/>
      <c r="H12" s="27" t="n"/>
    </row>
    <row r="13" ht="15.5" customHeight="1">
      <c r="A13" s="23" t="n"/>
      <c r="B13" s="24" t="n"/>
      <c r="C13" s="25" t="n"/>
      <c r="D13" s="604" t="n"/>
      <c r="E13" s="604" t="n"/>
      <c r="F13" s="604" t="n"/>
      <c r="G13" s="604" t="n"/>
      <c r="H13" s="27" t="n"/>
    </row>
    <row r="14" ht="15.5" customHeight="1">
      <c r="A14" s="23" t="n"/>
      <c r="B14" s="24" t="n"/>
      <c r="C14" s="25" t="n"/>
      <c r="D14" s="604" t="n"/>
      <c r="E14" s="604" t="n"/>
      <c r="F14" s="604" t="n"/>
      <c r="G14" s="604" t="n"/>
      <c r="H14" s="27" t="n"/>
    </row>
    <row r="15" ht="15.5" customHeight="1">
      <c r="A15" s="23" t="n"/>
      <c r="B15" s="24" t="n"/>
      <c r="C15" s="25" t="n"/>
      <c r="D15" s="604" t="n"/>
      <c r="E15" s="604" t="n"/>
      <c r="F15" s="604" t="n"/>
      <c r="G15" s="604" t="n"/>
      <c r="H15" s="27" t="n"/>
    </row>
    <row r="16" ht="15.5" customHeight="1">
      <c r="A16" s="23" t="n"/>
      <c r="B16" s="24" t="n"/>
      <c r="C16" s="25" t="n"/>
      <c r="D16" s="604" t="n"/>
      <c r="E16" s="604" t="n"/>
      <c r="F16" s="604" t="n"/>
      <c r="G16" s="604" t="n"/>
      <c r="H16" s="27" t="n"/>
    </row>
    <row r="17" ht="15.5" customHeight="1">
      <c r="A17" s="23" t="n"/>
      <c r="B17" s="24" t="n"/>
      <c r="C17" s="25" t="n"/>
      <c r="D17" s="604" t="n"/>
      <c r="E17" s="604" t="n"/>
      <c r="F17" s="604" t="n"/>
      <c r="G17" s="604" t="n"/>
      <c r="H17" s="27" t="n"/>
    </row>
    <row r="18" ht="15.5" customHeight="1">
      <c r="A18" s="23" t="n"/>
      <c r="B18" s="24" t="n"/>
      <c r="C18" s="25" t="n"/>
      <c r="D18" s="604" t="n"/>
      <c r="E18" s="604" t="n"/>
      <c r="F18" s="604" t="n"/>
      <c r="G18" s="604" t="n"/>
      <c r="H18" s="27" t="n"/>
    </row>
    <row r="19" ht="15.5" customHeight="1">
      <c r="A19" s="23" t="n"/>
      <c r="B19" s="24" t="n"/>
      <c r="C19" s="25" t="n"/>
      <c r="D19" s="604" t="n"/>
      <c r="E19" s="604" t="n"/>
      <c r="F19" s="604" t="n"/>
      <c r="G19" s="604" t="n"/>
      <c r="H19" s="27" t="n"/>
    </row>
    <row r="20" ht="15.5" customHeight="1">
      <c r="A20" s="23" t="n"/>
      <c r="B20" s="24" t="n"/>
      <c r="C20" s="25" t="n"/>
      <c r="D20" s="604" t="n"/>
      <c r="E20" s="604" t="n"/>
      <c r="F20" s="604" t="n"/>
      <c r="G20" s="604" t="n"/>
      <c r="H20" s="27" t="n"/>
    </row>
    <row r="21" ht="15.5" customHeight="1">
      <c r="A21" s="23" t="n"/>
      <c r="B21" s="24" t="n"/>
      <c r="C21" s="25" t="n"/>
      <c r="D21" s="604" t="n"/>
      <c r="E21" s="604" t="n"/>
      <c r="F21" s="604" t="n"/>
      <c r="G21" s="604" t="n"/>
      <c r="H21" s="27" t="n"/>
    </row>
    <row r="22" ht="15.5" customHeight="1">
      <c r="A22" s="23" t="n"/>
      <c r="B22" s="24" t="n"/>
      <c r="C22" s="25" t="n"/>
      <c r="D22" s="604" t="n"/>
      <c r="E22" s="604" t="n"/>
      <c r="F22" s="604" t="n"/>
      <c r="G22" s="604" t="n"/>
      <c r="H22" s="27" t="n"/>
    </row>
    <row r="23" ht="15.5" customHeight="1">
      <c r="A23" s="23" t="n"/>
      <c r="B23" s="24" t="n"/>
      <c r="C23" s="25" t="n"/>
      <c r="D23" s="604" t="n"/>
      <c r="E23" s="604" t="n"/>
      <c r="F23" s="604" t="n"/>
      <c r="G23" s="604" t="n"/>
      <c r="H23" s="27" t="n"/>
    </row>
    <row r="24" ht="15.5" customHeight="1">
      <c r="A24" s="23" t="n"/>
      <c r="B24" s="24" t="n"/>
      <c r="C24" s="25" t="n"/>
      <c r="D24" s="604" t="n"/>
      <c r="E24" s="604" t="n"/>
      <c r="F24" s="604" t="n"/>
      <c r="G24" s="604" t="n"/>
      <c r="H24" s="27" t="n"/>
    </row>
    <row r="25" ht="15.5" customHeight="1">
      <c r="A25" s="23" t="n"/>
      <c r="B25" s="24" t="n"/>
      <c r="C25" s="25" t="n"/>
      <c r="D25" s="604" t="n"/>
      <c r="E25" s="604" t="n"/>
      <c r="F25" s="604" t="n"/>
      <c r="G25" s="604" t="n"/>
      <c r="H25" s="27" t="n"/>
    </row>
    <row r="26" ht="15.5" customHeight="1">
      <c r="A26" s="23" t="n"/>
      <c r="B26" s="24" t="n"/>
      <c r="C26" s="25" t="n"/>
      <c r="D26" s="604" t="n"/>
      <c r="E26" s="604" t="n"/>
      <c r="F26" s="604" t="n"/>
      <c r="G26" s="604" t="n"/>
      <c r="H26" s="27" t="n"/>
    </row>
    <row r="27" ht="15.5" customHeight="1">
      <c r="A27" s="21" t="inlineStr">
        <is>
          <t>合                    计</t>
        </is>
      </c>
      <c r="B27" s="28" t="n"/>
      <c r="C27" s="25" t="n"/>
      <c r="D27" s="604">
        <f>SUM(D6:D26)</f>
      </c>
      <c r="E27" s="604" t="n"/>
      <c r="F27" s="604">
        <f>SUM(F6:F26)</f>
      </c>
      <c r="G27" s="604">
        <f>SUM(G6:G26)</f>
      </c>
      <c r="H27" s="27" t="n"/>
    </row>
    <row r="28" ht="15.5" customHeight="1">
      <c r="A28" s="29">
        <f>封面!D11&amp;封面!G11</f>
      </c>
      <c r="F28" s="536">
        <f>"评估人员："&amp;封面!G36</f>
      </c>
    </row>
    <row r="29" ht="15.5" customHeight="1">
      <c r="A29" s="29">
        <f>CONCATENATE(封面!D13,封面!F13,封面!G13,封面!H13,封面!I13,封面!J13,封面!K13)</f>
      </c>
    </row>
  </sheetData>
  <mergeCells count="3">
    <mergeCell ref="A27:B27"/>
    <mergeCell ref="A3:H3"/>
    <mergeCell ref="A2:H2"/>
  </mergeCells>
  <hyperlinks>
    <hyperlink ref="A1" location="索引目录!D53" display="返回索引页"/>
    <hyperlink ref="B1" location="分类汇总!B35"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Roman,常规"&amp;P&amp;"宋体,常规"4-16_x000a_页</oddHeader>
    <oddFooter/>
    <evenHeader/>
    <evenFooter/>
    <firstHeader/>
    <firstFooter/>
  </headerFooter>
</worksheet>
</file>

<file path=xl/worksheets/sheet72.xml><?xml version="1.0" encoding="utf-8"?>
<worksheet xmlns="http://schemas.openxmlformats.org/spreadsheetml/2006/main">
  <sheetPr codeName="Sheet72">
    <outlinePr summaryBelow="1" summaryRight="1"/>
    <pageSetUpPr fitToPage="1"/>
  </sheetPr>
  <dimension ref="A1:I29"/>
  <sheetViews>
    <sheetView view="pageBreakPreview" zoomScale="60" zoomScaleNormal="100" workbookViewId="0">
      <selection activeCell="G451" sqref="G451"/>
    </sheetView>
  </sheetViews>
  <sheetFormatPr baseColWidth="8" defaultColWidth="9" defaultRowHeight="15.75" customHeight="1"/>
  <cols>
    <col width="6.25" customWidth="1" style="13" min="1" max="1"/>
    <col width="26.5833333333333" customWidth="1" style="13" min="2" max="2"/>
    <col width="10.8333333333333" customWidth="1" style="13" min="3" max="3"/>
    <col hidden="1" outlineLevel="1" width="16.25" customWidth="1" style="13" min="4" max="5"/>
    <col collapsed="1" width="22.5833333333333" customWidth="1" style="13" min="6" max="6"/>
    <col width="23" customWidth="1" style="13" min="7" max="7"/>
    <col width="13.75" customWidth="1" style="13" min="8" max="8"/>
    <col width="16.5" customWidth="1" style="13" min="9" max="9"/>
    <col width="9" customWidth="1" style="13" min="10" max="16384"/>
  </cols>
  <sheetData>
    <row r="1" ht="15.5" customHeight="1">
      <c r="A1" s="559" t="inlineStr">
        <is>
          <t>返回索引页</t>
        </is>
      </c>
      <c r="B1" s="66" t="inlineStr">
        <is>
          <t>返回</t>
        </is>
      </c>
      <c r="C1" s="16" t="n"/>
      <c r="D1" s="16" t="n"/>
      <c r="E1" s="16" t="n"/>
      <c r="F1" s="16" t="n"/>
      <c r="G1" s="16" t="n"/>
      <c r="H1" s="16" t="n"/>
      <c r="I1" s="16" t="n"/>
    </row>
    <row r="2" ht="30" customFormat="1" customHeight="1" s="11">
      <c r="A2" s="17" t="inlineStr">
        <is>
          <t>其他非流动资产评估明细表</t>
        </is>
      </c>
    </row>
    <row r="3" ht="14.15" customHeight="1">
      <c r="A3" s="535">
        <f>CONCATENATE(封面!D9,封面!F9,封面!G9,封面!H9,封面!I9,封面!J9,封面!K9)</f>
      </c>
    </row>
    <row r="4" ht="15.5" customHeight="1">
      <c r="A4" s="536">
        <f>封面!D7&amp;封面!F7</f>
      </c>
      <c r="I4" s="20" t="inlineStr">
        <is>
          <t>金额单位：人民币元</t>
        </is>
      </c>
    </row>
    <row r="5" ht="13" customFormat="1" customHeight="1" s="12">
      <c r="A5" s="21" t="inlineStr">
        <is>
          <t>序号</t>
        </is>
      </c>
      <c r="B5" s="21" t="inlineStr">
        <is>
          <t>内容或名称</t>
        </is>
      </c>
      <c r="C5" s="21" t="inlineStr">
        <is>
          <t>取得日期</t>
        </is>
      </c>
      <c r="D5" s="22" t="inlineStr">
        <is>
          <t>审计前账面值</t>
        </is>
      </c>
      <c r="E5" s="22" t="inlineStr">
        <is>
          <t>审计调整</t>
        </is>
      </c>
      <c r="F5" s="21" t="inlineStr">
        <is>
          <t>账面价值</t>
        </is>
      </c>
      <c r="G5" s="21" t="inlineStr">
        <is>
          <t>评估价值</t>
        </is>
      </c>
      <c r="H5" s="21" t="inlineStr">
        <is>
          <t>增值率%</t>
        </is>
      </c>
      <c r="I5" s="21" t="inlineStr">
        <is>
          <t>备注</t>
        </is>
      </c>
    </row>
    <row r="6" ht="15.5" customHeight="1">
      <c r="A6" s="23" t="n"/>
      <c r="B6" s="24" t="n"/>
      <c r="C6" s="25" t="n"/>
      <c r="D6" s="539" t="n"/>
      <c r="E6" s="539" t="n"/>
      <c r="F6" s="539" t="n"/>
      <c r="G6" s="539" t="n"/>
      <c r="H6" s="539">
        <f>IF(F6=0,"",(G6-F6)/F6*100)</f>
      </c>
      <c r="I6" s="27" t="n"/>
    </row>
    <row r="7" ht="15.5" customHeight="1">
      <c r="A7" s="23" t="n"/>
      <c r="B7" s="24" t="n"/>
      <c r="C7" s="25" t="n"/>
      <c r="D7" s="539" t="n"/>
      <c r="E7" s="539" t="n"/>
      <c r="F7" s="539" t="n"/>
      <c r="G7" s="539" t="n"/>
      <c r="H7" s="539">
        <f>IF(F7=0,"",(G7-F7)/F7*100)</f>
      </c>
      <c r="I7" s="27" t="n"/>
    </row>
    <row r="8" ht="15.5" customHeight="1">
      <c r="A8" s="23" t="n"/>
      <c r="B8" s="24" t="n"/>
      <c r="C8" s="25" t="n"/>
      <c r="D8" s="539" t="n"/>
      <c r="E8" s="539" t="n"/>
      <c r="F8" s="539" t="n"/>
      <c r="G8" s="539" t="n"/>
      <c r="H8" s="539">
        <f>IF(F8=0,"",(G8-F8)/F8*100)</f>
      </c>
      <c r="I8" s="27" t="n"/>
    </row>
    <row r="9" ht="15.5" customHeight="1">
      <c r="A9" s="23" t="n"/>
      <c r="B9" s="24" t="n"/>
      <c r="C9" s="25" t="n"/>
      <c r="D9" s="539" t="n"/>
      <c r="E9" s="539" t="n"/>
      <c r="F9" s="539" t="n"/>
      <c r="G9" s="539" t="n"/>
      <c r="H9" s="539">
        <f>IF(F9=0,"",(G9-F9)/F9*100)</f>
      </c>
      <c r="I9" s="27" t="n"/>
    </row>
    <row r="10" ht="15.5" customHeight="1">
      <c r="A10" s="23" t="n"/>
      <c r="B10" s="24" t="n"/>
      <c r="C10" s="25" t="n"/>
      <c r="D10" s="539" t="n"/>
      <c r="E10" s="539" t="n"/>
      <c r="F10" s="539" t="n"/>
      <c r="G10" s="539" t="n"/>
      <c r="H10" s="539">
        <f>IF(F10=0,"",(G10-F10)/F10*100)</f>
      </c>
      <c r="I10" s="27" t="n"/>
    </row>
    <row r="11" ht="15.5" customHeight="1">
      <c r="A11" s="23" t="n"/>
      <c r="B11" s="24" t="n"/>
      <c r="C11" s="25" t="n"/>
      <c r="D11" s="539" t="n"/>
      <c r="E11" s="539" t="n"/>
      <c r="F11" s="539" t="n"/>
      <c r="G11" s="539" t="n"/>
      <c r="H11" s="539">
        <f>IF(F11=0,"",(G11-F11)/F11*100)</f>
      </c>
      <c r="I11" s="27" t="n"/>
    </row>
    <row r="12" ht="15.5" customHeight="1">
      <c r="A12" s="23" t="n"/>
      <c r="B12" s="24" t="n"/>
      <c r="C12" s="25" t="n"/>
      <c r="D12" s="539" t="n"/>
      <c r="E12" s="539" t="n"/>
      <c r="F12" s="539" t="n"/>
      <c r="G12" s="539" t="n"/>
      <c r="H12" s="539">
        <f>IF(F12=0,"",(G12-F12)/F12*100)</f>
      </c>
      <c r="I12" s="27" t="n"/>
    </row>
    <row r="13" ht="15.5" customHeight="1">
      <c r="A13" s="23" t="n"/>
      <c r="B13" s="24" t="n"/>
      <c r="C13" s="25" t="n"/>
      <c r="D13" s="539" t="n"/>
      <c r="E13" s="539" t="n"/>
      <c r="F13" s="539" t="n"/>
      <c r="G13" s="539" t="n"/>
      <c r="H13" s="539">
        <f>IF(F13=0,"",(G13-F13)/F13*100)</f>
      </c>
      <c r="I13" s="27" t="n"/>
    </row>
    <row r="14" ht="15.5" customHeight="1">
      <c r="A14" s="23" t="n"/>
      <c r="B14" s="24" t="n"/>
      <c r="C14" s="25" t="n"/>
      <c r="D14" s="539" t="n"/>
      <c r="E14" s="539" t="n"/>
      <c r="F14" s="539" t="n"/>
      <c r="G14" s="539" t="n"/>
      <c r="H14" s="539">
        <f>IF(F14=0,"",(G14-F14)/F14*100)</f>
      </c>
      <c r="I14" s="27" t="n"/>
    </row>
    <row r="15" ht="15.5" customHeight="1">
      <c r="A15" s="23" t="n"/>
      <c r="B15" s="24" t="n"/>
      <c r="C15" s="25" t="n"/>
      <c r="D15" s="539" t="n"/>
      <c r="E15" s="539" t="n"/>
      <c r="F15" s="539" t="n"/>
      <c r="G15" s="539" t="n"/>
      <c r="H15" s="539">
        <f>IF(F15=0,"",(G15-F15)/F15*100)</f>
      </c>
      <c r="I15" s="27" t="n"/>
    </row>
    <row r="16" ht="15.5" customHeight="1">
      <c r="A16" s="23" t="n"/>
      <c r="B16" s="24" t="n"/>
      <c r="C16" s="25" t="n"/>
      <c r="D16" s="539" t="n"/>
      <c r="E16" s="539" t="n"/>
      <c r="F16" s="539" t="n"/>
      <c r="G16" s="539" t="n"/>
      <c r="H16" s="539">
        <f>IF(F16=0,"",(G16-F16)/F16*100)</f>
      </c>
      <c r="I16" s="27" t="n"/>
    </row>
    <row r="17" ht="15.5" customHeight="1">
      <c r="A17" s="23" t="n"/>
      <c r="B17" s="24" t="n"/>
      <c r="C17" s="25" t="n"/>
      <c r="D17" s="539" t="n"/>
      <c r="E17" s="539" t="n"/>
      <c r="F17" s="539" t="n"/>
      <c r="G17" s="539" t="n"/>
      <c r="H17" s="539">
        <f>IF(F17=0,"",(G17-F17)/F17*100)</f>
      </c>
      <c r="I17" s="27" t="n"/>
    </row>
    <row r="18" ht="15.5" customHeight="1">
      <c r="A18" s="23" t="n"/>
      <c r="B18" s="24" t="n"/>
      <c r="C18" s="25" t="n"/>
      <c r="D18" s="539" t="n"/>
      <c r="E18" s="539" t="n"/>
      <c r="F18" s="539" t="n"/>
      <c r="G18" s="539" t="n"/>
      <c r="H18" s="539">
        <f>IF(F18=0,"",(G18-F18)/F18*100)</f>
      </c>
      <c r="I18" s="27" t="n"/>
    </row>
    <row r="19" ht="15.5" customHeight="1">
      <c r="A19" s="23" t="n"/>
      <c r="B19" s="24" t="n"/>
      <c r="C19" s="25" t="n"/>
      <c r="D19" s="539" t="n"/>
      <c r="E19" s="539" t="n"/>
      <c r="F19" s="539" t="n"/>
      <c r="G19" s="539" t="n"/>
      <c r="H19" s="539">
        <f>IF(F19=0,"",(G19-F19)/F19*100)</f>
      </c>
      <c r="I19" s="27" t="n"/>
    </row>
    <row r="20" ht="15.5" customHeight="1">
      <c r="A20" s="23" t="n"/>
      <c r="B20" s="24" t="n"/>
      <c r="C20" s="25" t="n"/>
      <c r="D20" s="539" t="n"/>
      <c r="E20" s="539" t="n"/>
      <c r="F20" s="539" t="n"/>
      <c r="G20" s="539" t="n"/>
      <c r="H20" s="539">
        <f>IF(F20=0,"",(G20-F20)/F20*100)</f>
      </c>
      <c r="I20" s="27" t="n"/>
    </row>
    <row r="21" ht="15.5" customHeight="1">
      <c r="A21" s="23" t="n"/>
      <c r="B21" s="24" t="n"/>
      <c r="C21" s="25" t="n"/>
      <c r="D21" s="539" t="n"/>
      <c r="E21" s="539" t="n"/>
      <c r="F21" s="539" t="n"/>
      <c r="G21" s="539" t="n"/>
      <c r="H21" s="539">
        <f>IF(F21=0,"",(G21-F21)/F21*100)</f>
      </c>
      <c r="I21" s="27" t="n"/>
    </row>
    <row r="22" ht="15.5" customHeight="1">
      <c r="A22" s="23" t="n"/>
      <c r="B22" s="24" t="n"/>
      <c r="C22" s="25" t="n"/>
      <c r="D22" s="539" t="n"/>
      <c r="E22" s="539" t="n"/>
      <c r="F22" s="539" t="n"/>
      <c r="G22" s="539" t="n"/>
      <c r="H22" s="539">
        <f>IF(F22=0,"",(G22-F22)/F22*100)</f>
      </c>
      <c r="I22" s="27" t="n"/>
    </row>
    <row r="23" ht="15.5" customHeight="1">
      <c r="A23" s="23" t="n"/>
      <c r="B23" s="24" t="n"/>
      <c r="C23" s="25" t="n"/>
      <c r="D23" s="539" t="n"/>
      <c r="E23" s="539" t="n"/>
      <c r="F23" s="539" t="n"/>
      <c r="G23" s="539" t="n"/>
      <c r="H23" s="539">
        <f>IF(F23=0,"",(G23-F23)/F23*100)</f>
      </c>
      <c r="I23" s="27" t="n"/>
    </row>
    <row r="24" ht="15.5" customHeight="1">
      <c r="A24" s="23" t="n"/>
      <c r="B24" s="24" t="n"/>
      <c r="C24" s="25" t="n"/>
      <c r="D24" s="539" t="n"/>
      <c r="E24" s="539" t="n"/>
      <c r="F24" s="539" t="n"/>
      <c r="G24" s="539" t="n"/>
      <c r="H24" s="539">
        <f>IF(F24=0,"",(G24-F24)/F24*100)</f>
      </c>
      <c r="I24" s="27" t="n"/>
    </row>
    <row r="25" ht="15.5" customHeight="1">
      <c r="A25" s="23" t="n"/>
      <c r="B25" s="24" t="n"/>
      <c r="C25" s="25" t="n"/>
      <c r="D25" s="539" t="n"/>
      <c r="E25" s="539" t="n"/>
      <c r="F25" s="539" t="n"/>
      <c r="G25" s="539" t="n"/>
      <c r="H25" s="539">
        <f>IF(F25=0,"",(G25-F25)/F25*100)</f>
      </c>
      <c r="I25" s="27" t="n"/>
    </row>
    <row r="26" ht="15.5" customHeight="1">
      <c r="A26" s="23" t="n"/>
      <c r="B26" s="24" t="n"/>
      <c r="C26" s="25" t="n"/>
      <c r="D26" s="539" t="n"/>
      <c r="E26" s="539" t="n"/>
      <c r="F26" s="539" t="n"/>
      <c r="G26" s="539" t="n"/>
      <c r="H26" s="539" t="n"/>
      <c r="I26" s="27" t="n"/>
    </row>
    <row r="27" ht="15.5" customHeight="1">
      <c r="A27" s="21" t="inlineStr">
        <is>
          <t>合                    计</t>
        </is>
      </c>
      <c r="B27" s="28" t="n"/>
      <c r="C27" s="25" t="n"/>
      <c r="D27" s="539">
        <f>SUM(D6:D26)</f>
      </c>
      <c r="E27" s="539" t="n"/>
      <c r="F27" s="539">
        <f>SUM(F6:F26)</f>
      </c>
      <c r="G27" s="539">
        <f>SUM(G6:G26)</f>
      </c>
      <c r="H27" s="539">
        <f>IF(F27=0,"",(G27-F27)/F27*100)</f>
      </c>
      <c r="I27" s="27" t="n"/>
    </row>
    <row r="28" ht="15.5" customHeight="1">
      <c r="A28" s="29">
        <f>封面!D11&amp;封面!G11</f>
      </c>
      <c r="F28" s="536" t="n"/>
      <c r="G28" s="13">
        <f>"评估人员："&amp;封面!G36</f>
      </c>
    </row>
    <row r="29" ht="15.5" customHeight="1">
      <c r="A29" s="29">
        <f>CONCATENATE(封面!D13,封面!F13,封面!G13,封面!H13,封面!I13,封面!J13,封面!K13)</f>
      </c>
    </row>
  </sheetData>
  <mergeCells count="3">
    <mergeCell ref="A27:B27"/>
    <mergeCell ref="A2:I2"/>
    <mergeCell ref="A3:I3"/>
  </mergeCells>
  <hyperlinks>
    <hyperlink ref="A1" location="索引目录!D54" display="返回索引页"/>
    <hyperlink ref="B1" location="非流动资产汇总!Print_Area" display="返回"/>
  </hyperlinks>
  <printOptions horizontalCentered="1"/>
  <pageMargins left="0.354330708661417" right="0.354330708661417" top="0.78740157480315" bottom="0.78740157480315" header="1.06299212598425" footer="0.511811023622047"/>
  <pageSetup orientation="landscape" paperSize="9" fitToHeight="0"/>
  <headerFooter alignWithMargins="0">
    <oddHeader>&amp;R&amp;"宋体,常规"共&amp;"Times New Roman,常规"&amp;N&amp;"宋体,常规"页第&amp;"Times New Roman,常规"&amp;P&amp;"宋体,常规"4-17_x000a_页</oddHeader>
    <oddFooter/>
    <evenHeader/>
    <evenFooter/>
    <firstHeader/>
    <firstFooter/>
  </headerFooter>
  <legacyDrawing xmlns:r="http://schemas.openxmlformats.org/officeDocument/2006/relationships" r:id="anysvml"/>
</worksheet>
</file>

<file path=xl/worksheets/sheet73.xml><?xml version="1.0" encoding="utf-8"?>
<worksheet xmlns="http://schemas.openxmlformats.org/spreadsheetml/2006/main">
  <sheetPr codeName="Sheet73">
    <tabColor indexed="10"/>
    <outlinePr summaryBelow="1" summaryRight="1"/>
    <pageSetUpPr fitToPage="1"/>
  </sheetPr>
  <dimension ref="A1:G29"/>
  <sheetViews>
    <sheetView view="pageBreakPreview" topLeftCell="A3" zoomScale="90" zoomScaleNormal="85" workbookViewId="0">
      <selection activeCell="G451" sqref="G451"/>
    </sheetView>
  </sheetViews>
  <sheetFormatPr baseColWidth="8" defaultColWidth="9" defaultRowHeight="15.75" customHeight="1"/>
  <cols>
    <col width="7.83333333333333" customWidth="1" style="13" min="1" max="1"/>
    <col width="26.5833333333333" customWidth="1" style="13" min="2" max="2"/>
    <col hidden="1" outlineLevel="1" width="19.0833333333333" customWidth="1" style="13" min="3" max="3"/>
    <col collapsed="1" width="24.75" customWidth="1" style="13" min="4" max="4"/>
    <col width="24.75" customWidth="1" style="13" min="5" max="5"/>
    <col width="22.0833333333333" customWidth="1" style="13" min="6" max="6"/>
    <col width="15.3333333333333" customWidth="1" style="13" min="7" max="7"/>
    <col width="9" customWidth="1" style="13" min="8" max="16384"/>
  </cols>
  <sheetData>
    <row r="1" ht="15.5" customHeight="1">
      <c r="A1" s="529" t="inlineStr">
        <is>
          <t>返回索引页</t>
        </is>
      </c>
      <c r="B1" s="52" t="inlineStr">
        <is>
          <t>返回</t>
        </is>
      </c>
      <c r="C1" s="16" t="n"/>
      <c r="D1" s="16" t="n"/>
      <c r="E1" s="16" t="n"/>
      <c r="F1" s="16" t="n"/>
      <c r="G1" s="16" t="n"/>
    </row>
    <row r="2" ht="30" customFormat="1" customHeight="1" s="11">
      <c r="A2" s="53" t="inlineStr">
        <is>
          <t>流动负债评估汇总表</t>
        </is>
      </c>
    </row>
    <row r="3" ht="14.15" customHeight="1">
      <c r="A3" s="535">
        <f>CONCATENATE(封面!D9,封面!F9,封面!G9,封面!H9,封面!I9,封面!J9,封面!K9)</f>
      </c>
    </row>
    <row r="4" ht="15.5" customHeight="1">
      <c r="A4" s="536">
        <f>封面!D7&amp;封面!F7</f>
      </c>
      <c r="G4" s="44" t="inlineStr">
        <is>
          <t>金额单位：人民币元</t>
        </is>
      </c>
    </row>
    <row r="5" ht="13" customFormat="1" customHeight="1" s="12">
      <c r="A5" s="45" t="inlineStr">
        <is>
          <t>编号</t>
        </is>
      </c>
      <c r="B5" s="45" t="inlineStr">
        <is>
          <t>科目名称</t>
        </is>
      </c>
      <c r="C5" s="45" t="inlineStr">
        <is>
          <t>审计前账面值</t>
        </is>
      </c>
      <c r="D5" s="45" t="inlineStr">
        <is>
          <t>账面价值</t>
        </is>
      </c>
      <c r="E5" s="45" t="inlineStr">
        <is>
          <t>评估价值</t>
        </is>
      </c>
      <c r="F5" s="46" t="inlineStr">
        <is>
          <t>增值额</t>
        </is>
      </c>
      <c r="G5" s="45" t="inlineStr">
        <is>
          <t>增值率%</t>
        </is>
      </c>
    </row>
    <row r="6" ht="15.5" customHeight="1">
      <c r="A6" s="45" t="inlineStr">
        <is>
          <t>5-1</t>
        </is>
      </c>
      <c r="B6" s="27" t="inlineStr">
        <is>
          <t>短期借款</t>
        </is>
      </c>
      <c r="C6" s="539">
        <f>短期借款!H27</f>
      </c>
      <c r="D6" s="539">
        <f>短期借款!J27</f>
      </c>
      <c r="E6" s="539">
        <f>短期借款!L27</f>
      </c>
      <c r="F6" s="539">
        <f>E6-D6</f>
      </c>
      <c r="G6" s="546">
        <f>IF(D6=0,"",F6/D6*100)</f>
      </c>
    </row>
    <row r="7" ht="15.5" customHeight="1">
      <c r="A7" s="45" t="inlineStr">
        <is>
          <t>5-2</t>
        </is>
      </c>
      <c r="B7" s="27" t="inlineStr">
        <is>
          <t>交易性金融负债</t>
        </is>
      </c>
      <c r="C7" s="539">
        <f>交易性金融负债!E27</f>
      </c>
      <c r="D7" s="539">
        <f>交易性金融负债!G27</f>
      </c>
      <c r="E7" s="539">
        <f>交易性金融负债!H27</f>
      </c>
      <c r="F7" s="539">
        <f>E7-D7</f>
      </c>
      <c r="G7" s="546">
        <f>IF(D7=0,"",F7/D7*100)</f>
      </c>
    </row>
    <row r="8" ht="15.5" customHeight="1">
      <c r="A8" s="45" t="inlineStr">
        <is>
          <t>5-3</t>
        </is>
      </c>
      <c r="B8" s="27" t="inlineStr">
        <is>
          <t>应付票据</t>
        </is>
      </c>
      <c r="C8" s="539">
        <f>应付票据!F27</f>
      </c>
      <c r="D8" s="539">
        <f>应付票据!H27</f>
      </c>
      <c r="E8" s="539">
        <f>应付票据!I27</f>
      </c>
      <c r="F8" s="539">
        <f>E8-D8</f>
      </c>
      <c r="G8" s="546">
        <f>IF(D8=0,"",F8/D8*100)</f>
      </c>
    </row>
    <row r="9" ht="15.5" customHeight="1">
      <c r="A9" s="45" t="inlineStr">
        <is>
          <t>5-4</t>
        </is>
      </c>
      <c r="B9" s="27" t="inlineStr">
        <is>
          <t>应付账款</t>
        </is>
      </c>
      <c r="C9" s="539">
        <f>应付账款!E28</f>
      </c>
      <c r="D9" s="539">
        <f>应付账款!G28</f>
      </c>
      <c r="E9" s="539">
        <f>应付账款!H28</f>
      </c>
      <c r="F9" s="539">
        <f>E9-D9</f>
      </c>
      <c r="G9" s="546">
        <f>IF(D9=0,"",F9/D9*100)</f>
      </c>
    </row>
    <row r="10" ht="15.5" customHeight="1">
      <c r="A10" s="45" t="inlineStr">
        <is>
          <t>5-5</t>
        </is>
      </c>
      <c r="B10" s="27" t="inlineStr">
        <is>
          <t>预收款项</t>
        </is>
      </c>
      <c r="C10" s="539">
        <f>预收账款!E27</f>
      </c>
      <c r="D10" s="539">
        <f>预收账款!G27</f>
      </c>
      <c r="E10" s="539">
        <f>预收账款!H27</f>
      </c>
      <c r="F10" s="539">
        <f>E10-D10</f>
      </c>
      <c r="G10" s="546">
        <f>IF(D10=0,"",F10/D10*100)</f>
      </c>
    </row>
    <row r="11" ht="15.5" customHeight="1">
      <c r="A11" s="45" t="inlineStr">
        <is>
          <t>5-6</t>
        </is>
      </c>
      <c r="B11" s="27" t="inlineStr">
        <is>
          <t>应付职工薪酬</t>
        </is>
      </c>
      <c r="C11" s="539">
        <f>职工薪酬!D27</f>
      </c>
      <c r="D11" s="539">
        <f>职工薪酬!F27</f>
      </c>
      <c r="E11" s="539">
        <f>职工薪酬!G27</f>
      </c>
      <c r="F11" s="539">
        <f>E11-D11</f>
      </c>
      <c r="G11" s="546">
        <f>IF(D11=0,"",F11/D11*100)</f>
      </c>
    </row>
    <row r="12" ht="15.5" customHeight="1">
      <c r="A12" s="45" t="inlineStr">
        <is>
          <t>5-7</t>
        </is>
      </c>
      <c r="B12" s="27" t="inlineStr">
        <is>
          <t>应交税费</t>
        </is>
      </c>
      <c r="C12" s="539">
        <f>应交税费!E27</f>
      </c>
      <c r="D12" s="539">
        <f>应交税费!G27</f>
      </c>
      <c r="E12" s="539">
        <f>应交税费!H27</f>
      </c>
      <c r="F12" s="539">
        <f>E12-D12</f>
      </c>
      <c r="G12" s="546">
        <f>IF(D12=0,"",F12/D12*100)</f>
      </c>
    </row>
    <row r="13" ht="15.5" customHeight="1">
      <c r="A13" s="45" t="inlineStr">
        <is>
          <t>5-8</t>
        </is>
      </c>
      <c r="B13" s="27" t="inlineStr">
        <is>
          <t>应付利息</t>
        </is>
      </c>
      <c r="C13" s="539">
        <f>应付利息!G27</f>
      </c>
      <c r="D13" s="539">
        <f>应付利息!I27</f>
      </c>
      <c r="E13" s="539">
        <f>应付利息!J27</f>
      </c>
      <c r="F13" s="539">
        <f>E13-D13</f>
      </c>
      <c r="G13" s="546">
        <f>IF(D13=0,"",F13/D13*100)</f>
      </c>
    </row>
    <row r="14" ht="15.5" customHeight="1">
      <c r="A14" s="45" t="inlineStr">
        <is>
          <t>5-9</t>
        </is>
      </c>
      <c r="B14" s="27" t="inlineStr">
        <is>
          <t>应付股利（应付利润）</t>
        </is>
      </c>
      <c r="C14" s="539">
        <f>'应付股利（利润）'!E27</f>
      </c>
      <c r="D14" s="539">
        <f>'应付股利（利润）'!G27</f>
      </c>
      <c r="E14" s="539">
        <f>'应付股利（利润）'!H27</f>
      </c>
      <c r="F14" s="539">
        <f>E14-D14</f>
      </c>
      <c r="G14" s="546">
        <f>IF(D14=0,"",F14/D14*100)</f>
      </c>
    </row>
    <row r="15" ht="15.5" customHeight="1">
      <c r="A15" s="45" t="inlineStr">
        <is>
          <t>5-10</t>
        </is>
      </c>
      <c r="B15" s="27" t="inlineStr">
        <is>
          <t>其他应付款</t>
        </is>
      </c>
      <c r="C15" s="539">
        <f>其他应付款!E51</f>
      </c>
      <c r="D15" s="539">
        <f>其他应付款!G51</f>
      </c>
      <c r="E15" s="539">
        <f>其他应付款!H51</f>
      </c>
      <c r="F15" s="539">
        <f>E15-D15</f>
      </c>
      <c r="G15" s="546">
        <f>IF(D15=0,"",F15/D15*100)</f>
      </c>
    </row>
    <row r="16" ht="15.5" customHeight="1">
      <c r="A16" s="45" t="inlineStr">
        <is>
          <t>5-11</t>
        </is>
      </c>
      <c r="B16" s="27" t="inlineStr">
        <is>
          <t>一年内到期的非流动负债</t>
        </is>
      </c>
      <c r="C16" s="539">
        <f>一年到期非流动负债!F27</f>
      </c>
      <c r="D16" s="539">
        <f>一年到期非流动负债!H27</f>
      </c>
      <c r="E16" s="539">
        <f>一年到期非流动负债!I27</f>
      </c>
      <c r="F16" s="539">
        <f>E16-D16</f>
      </c>
      <c r="G16" s="546">
        <f>IF(D16=0,"",F16/D16*100)</f>
      </c>
    </row>
    <row r="17" ht="15.5" customHeight="1">
      <c r="A17" s="45" t="inlineStr">
        <is>
          <t>5-12</t>
        </is>
      </c>
      <c r="B17" s="27" t="inlineStr">
        <is>
          <t>其他流动负债</t>
        </is>
      </c>
      <c r="C17" s="539">
        <f>其他流动负债!E27</f>
      </c>
      <c r="D17" s="539">
        <f>其他流动负债!G27</f>
      </c>
      <c r="E17" s="539">
        <f>其他流动负债!H27</f>
      </c>
      <c r="F17" s="539">
        <f>E17-D17</f>
      </c>
      <c r="G17" s="546">
        <f>IF(D17=0,"",F17/D17*100)</f>
      </c>
    </row>
    <row r="18" ht="15.5" customHeight="1">
      <c r="A18" s="23" t="n"/>
      <c r="B18" s="27" t="n"/>
      <c r="C18" s="539" t="n"/>
      <c r="D18" s="539" t="n"/>
      <c r="E18" s="539" t="n"/>
      <c r="F18" s="539" t="n"/>
      <c r="G18" s="546">
        <f>IF(D18=0,"",F18/D18*100)</f>
      </c>
    </row>
    <row r="19" ht="15.5" customHeight="1">
      <c r="A19" s="23" t="n"/>
      <c r="B19" s="27" t="n"/>
      <c r="C19" s="539" t="n"/>
      <c r="D19" s="539" t="n"/>
      <c r="E19" s="539" t="n"/>
      <c r="F19" s="539" t="n"/>
      <c r="G19" s="546">
        <f>IF(D19=0,"",F19/D19*100)</f>
      </c>
    </row>
    <row r="20" ht="15.5" customHeight="1">
      <c r="A20" s="23" t="n"/>
      <c r="B20" s="27" t="n"/>
      <c r="C20" s="539" t="n"/>
      <c r="D20" s="539" t="n"/>
      <c r="E20" s="539" t="n"/>
      <c r="F20" s="539" t="n"/>
      <c r="G20" s="546" t="n"/>
    </row>
    <row r="21" ht="15.5" customHeight="1">
      <c r="A21" s="23" t="n"/>
      <c r="B21" s="27" t="n"/>
      <c r="C21" s="539" t="n"/>
      <c r="D21" s="539" t="n"/>
      <c r="E21" s="539" t="n"/>
      <c r="F21" s="539" t="n"/>
      <c r="G21" s="546" t="n"/>
    </row>
    <row r="22" ht="15.5" customHeight="1">
      <c r="A22" s="23" t="n"/>
      <c r="B22" s="27" t="n"/>
      <c r="C22" s="539" t="n"/>
      <c r="D22" s="539" t="n"/>
      <c r="E22" s="539" t="n"/>
      <c r="F22" s="539" t="n"/>
      <c r="G22" s="546">
        <f>IF(D22=0,"",F22/D22*100)</f>
      </c>
    </row>
    <row r="23" ht="15.5" customHeight="1">
      <c r="A23" s="23" t="n"/>
      <c r="B23" s="27" t="n"/>
      <c r="C23" s="539" t="n"/>
      <c r="D23" s="539" t="n"/>
      <c r="E23" s="539" t="n"/>
      <c r="F23" s="539" t="n"/>
      <c r="G23" s="546">
        <f>IF(D23=0,"",F23/D23*100)</f>
      </c>
    </row>
    <row r="24" ht="15.5" customHeight="1">
      <c r="A24" s="23" t="n"/>
      <c r="B24" s="27" t="n"/>
      <c r="C24" s="539" t="n"/>
      <c r="D24" s="539" t="n"/>
      <c r="E24" s="539" t="n"/>
      <c r="F24" s="539" t="n"/>
      <c r="G24" s="546">
        <f>IF(D24=0,"",F24/D24*100)</f>
      </c>
    </row>
    <row r="25" ht="15.5" customHeight="1">
      <c r="A25" s="45" t="n"/>
      <c r="B25" s="50" t="n"/>
      <c r="C25" s="539" t="n"/>
      <c r="D25" s="539" t="n"/>
      <c r="E25" s="539" t="n"/>
      <c r="F25" s="539" t="n"/>
      <c r="G25" s="546">
        <f>IF(D25=0,"",F25/D25*100)</f>
      </c>
    </row>
    <row r="26" ht="15.5" customHeight="1">
      <c r="A26" s="45" t="n"/>
      <c r="B26" s="50" t="n"/>
      <c r="C26" s="539" t="n"/>
      <c r="D26" s="539" t="n"/>
      <c r="E26" s="539" t="n"/>
      <c r="F26" s="539" t="n"/>
      <c r="G26" s="546">
        <f>IF(D26=0,"",F26/D26*100)</f>
      </c>
    </row>
    <row r="27" ht="15.5" customHeight="1">
      <c r="A27" s="45" t="inlineStr">
        <is>
          <t>9</t>
        </is>
      </c>
      <c r="B27" s="45" t="inlineStr">
        <is>
          <t>流动负债合计</t>
        </is>
      </c>
      <c r="C27" s="539">
        <f>SUM(C6:C26)</f>
      </c>
      <c r="D27" s="539">
        <f>SUM(D6:D26)</f>
      </c>
      <c r="E27" s="539">
        <f>SUM(E6:E26)</f>
      </c>
      <c r="F27" s="539">
        <f>SUM(F6:F26)</f>
      </c>
      <c r="G27" s="546">
        <f>IF(D27=0,"",F27/D27*100)</f>
      </c>
    </row>
    <row r="28" ht="15.5" customHeight="1">
      <c r="A28" s="29">
        <f>封面!D11&amp;封面!G11</f>
      </c>
      <c r="E28" s="13">
        <f>"评估人员："&amp;封面!G38</f>
      </c>
    </row>
    <row r="29" ht="15.5" customHeight="1">
      <c r="A29" s="29">
        <f>CONCATENATE(封面!D13,封面!F13,封面!G13,封面!H13,封面!I13,封面!J13,封面!K13)</f>
      </c>
    </row>
  </sheetData>
  <mergeCells count="2">
    <mergeCell ref="A3:G3"/>
    <mergeCell ref="A2:G2"/>
  </mergeCells>
  <hyperlinks>
    <hyperlink ref="A1" location="索引目录!G6" display="返回索引页"/>
    <hyperlink ref="B1" location="分类汇总!B39" display="返回"/>
    <hyperlink ref="B6" location="短期借款!B1" display="短期借款"/>
    <hyperlink ref="B7" location="交易性金融负债!B1" display="交易性金融负债"/>
    <hyperlink ref="B8" location="应付票据!B1" display="应付票据"/>
    <hyperlink ref="B9" location="应付账款!B1" display="应付账款"/>
    <hyperlink ref="B10" location="预收账款!B1" display="预收款项"/>
    <hyperlink ref="B11" location="职工薪酬!B1" display="应付职工薪酬"/>
    <hyperlink ref="B12" location="应交税费!B1" display="应交税费"/>
    <hyperlink ref="B13" location="应付利息!B1" display="应付利息"/>
    <hyperlink ref="B14" location="'应付股利（利润）'!B1" display="应付股利（应付利润）"/>
    <hyperlink ref="B15" location="其他应付款!B1" display="其他应付款"/>
    <hyperlink ref="B16" location="一年到期非流动负债!B1" display="一年内到期的非流动负债"/>
    <hyperlink ref="B17" location="其他流动负债!B1" display="其他流动负债"/>
  </hyperlinks>
  <printOptions horizontalCentered="1"/>
  <pageMargins left="0.354330708661417" right="0.354330708661417" top="0.78740157480315" bottom="0.78740157480315" header="0.99" footer="0.511811023622047"/>
  <pageSetup orientation="landscape" paperSize="9" fitToHeight="0"/>
  <headerFooter alignWithMargins="0">
    <oddHeader>&amp;R&amp;"宋体,常规"共&amp;"Times New Roman,常规"&amp;N&amp;"宋体,常规"页第&amp;"Times New Roman,常规"&amp;P&amp;"宋体,常规"5_x000a_页</oddHeader>
    <oddFooter/>
    <evenHeader/>
    <evenFooter/>
    <firstHeader/>
    <firstFooter/>
  </headerFooter>
</worksheet>
</file>

<file path=xl/worksheets/sheet74.xml><?xml version="1.0" encoding="utf-8"?>
<worksheet xmlns="http://schemas.openxmlformats.org/spreadsheetml/2006/main">
  <sheetPr codeName="Sheet74">
    <outlinePr summaryBelow="1" summaryRight="1"/>
    <pageSetUpPr fitToPage="1"/>
  </sheetPr>
  <dimension ref="A1:M29"/>
  <sheetViews>
    <sheetView view="pageBreakPreview" zoomScale="60" zoomScaleNormal="100" workbookViewId="0">
      <selection activeCell="G451" sqref="G451"/>
    </sheetView>
  </sheetViews>
  <sheetFormatPr baseColWidth="8" defaultColWidth="9" defaultRowHeight="15.75" customHeight="1"/>
  <cols>
    <col width="5.5" customWidth="1" style="13" min="1" max="1"/>
    <col width="20" customWidth="1" style="13" min="2" max="2"/>
    <col width="8.75" customWidth="1" style="13" min="3" max="4"/>
    <col width="7.25" customWidth="1" style="13" min="5" max="6"/>
    <col width="10.5833333333333" customWidth="1" style="13" min="7" max="7"/>
    <col hidden="1" outlineLevel="1" width="13.8333333333333" customWidth="1" style="13" min="8" max="9"/>
    <col collapsed="1" width="13.8333333333333" customWidth="1" style="13" min="10" max="10"/>
    <col width="14.5833333333333" customWidth="1" style="13" min="11" max="12"/>
    <col width="10.5833333333333" customWidth="1" style="13" min="13" max="13"/>
    <col width="9" customWidth="1" style="13" min="14"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row>
    <row r="2" ht="30" customFormat="1" customHeight="1" s="11">
      <c r="A2" s="17" t="inlineStr">
        <is>
          <t>短期借款评估明细表</t>
        </is>
      </c>
    </row>
    <row r="3" ht="14.15" customHeight="1">
      <c r="A3" s="535">
        <f>CONCATENATE(封面!D9,封面!F9,封面!G9,封面!H9,封面!I9,封面!J9,封面!K9)</f>
      </c>
    </row>
    <row r="4" ht="15.5" customHeight="1">
      <c r="A4" s="536">
        <f>封面!D7&amp;封面!F7</f>
      </c>
      <c r="M4" s="20" t="inlineStr">
        <is>
          <t>金额单位：人民币元</t>
        </is>
      </c>
    </row>
    <row r="5" ht="13" customFormat="1" customHeight="1" s="12">
      <c r="A5" s="21" t="inlineStr">
        <is>
          <t>序号</t>
        </is>
      </c>
      <c r="B5" s="21" t="inlineStr">
        <is>
          <t>放款银行或机构名称</t>
        </is>
      </c>
      <c r="C5" s="21" t="inlineStr">
        <is>
          <t>发生日期</t>
        </is>
      </c>
      <c r="D5" s="21" t="inlineStr">
        <is>
          <t>到期日</t>
        </is>
      </c>
      <c r="E5" s="21" t="inlineStr">
        <is>
          <t>月利率%</t>
        </is>
      </c>
      <c r="F5" s="21" t="inlineStr">
        <is>
          <t>币种</t>
        </is>
      </c>
      <c r="G5" s="21" t="inlineStr">
        <is>
          <t>外币金额</t>
        </is>
      </c>
      <c r="H5" s="22" t="inlineStr">
        <is>
          <t>审计前账面值</t>
        </is>
      </c>
      <c r="I5" s="22" t="inlineStr">
        <is>
          <t>审计调整</t>
        </is>
      </c>
      <c r="J5" s="21" t="inlineStr">
        <is>
          <t>账面价值</t>
        </is>
      </c>
      <c r="K5" s="21" t="inlineStr">
        <is>
          <t>外币基准日汇率</t>
        </is>
      </c>
      <c r="L5" s="21" t="inlineStr">
        <is>
          <t>评估价值</t>
        </is>
      </c>
      <c r="M5" s="21" t="inlineStr">
        <is>
          <t>备注</t>
        </is>
      </c>
    </row>
    <row r="6" ht="15.5" customHeight="1">
      <c r="A6" s="23" t="n"/>
      <c r="B6" s="24" t="n"/>
      <c r="C6" s="25" t="n"/>
      <c r="D6" s="25" t="n"/>
      <c r="E6" s="25" t="n"/>
      <c r="F6" s="23" t="n"/>
      <c r="G6" s="539" t="n"/>
      <c r="H6" s="539" t="n"/>
      <c r="I6" s="539" t="n"/>
      <c r="J6" s="539" t="n"/>
      <c r="K6" s="38" t="n"/>
      <c r="L6" s="539" t="n"/>
      <c r="M6" s="27" t="n"/>
    </row>
    <row r="7" ht="15.5" customHeight="1">
      <c r="A7" s="23" t="n"/>
      <c r="B7" s="24" t="n"/>
      <c r="C7" s="25" t="n"/>
      <c r="D7" s="25" t="n"/>
      <c r="E7" s="23" t="n"/>
      <c r="F7" s="23" t="n"/>
      <c r="G7" s="539" t="n"/>
      <c r="H7" s="539" t="n"/>
      <c r="I7" s="539" t="n"/>
      <c r="J7" s="539" t="n"/>
      <c r="K7" s="38" t="n"/>
      <c r="L7" s="539" t="n"/>
      <c r="M7" s="27" t="n"/>
    </row>
    <row r="8" ht="15.5" customHeight="1">
      <c r="A8" s="23" t="n"/>
      <c r="B8" s="24" t="n"/>
      <c r="C8" s="25" t="n"/>
      <c r="D8" s="25" t="n"/>
      <c r="E8" s="23" t="n"/>
      <c r="F8" s="23" t="n"/>
      <c r="G8" s="539" t="n"/>
      <c r="H8" s="539" t="n"/>
      <c r="I8" s="539" t="n"/>
      <c r="J8" s="539" t="n"/>
      <c r="K8" s="38" t="n"/>
      <c r="L8" s="539" t="n"/>
      <c r="M8" s="27" t="n"/>
    </row>
    <row r="9" ht="15.5" customHeight="1">
      <c r="A9" s="23" t="n"/>
      <c r="B9" s="24" t="n"/>
      <c r="C9" s="25" t="n"/>
      <c r="D9" s="25" t="n"/>
      <c r="E9" s="23" t="n"/>
      <c r="F9" s="23" t="n"/>
      <c r="G9" s="539" t="n"/>
      <c r="H9" s="539" t="n"/>
      <c r="I9" s="539" t="n"/>
      <c r="J9" s="539" t="n"/>
      <c r="K9" s="38" t="n"/>
      <c r="L9" s="539" t="n"/>
      <c r="M9" s="27" t="n"/>
    </row>
    <row r="10" ht="15.5" customHeight="1">
      <c r="A10" s="23" t="n"/>
      <c r="B10" s="24" t="n"/>
      <c r="C10" s="25" t="n"/>
      <c r="D10" s="25" t="n"/>
      <c r="E10" s="23" t="n"/>
      <c r="F10" s="23" t="n"/>
      <c r="G10" s="539" t="n"/>
      <c r="H10" s="539" t="n"/>
      <c r="I10" s="539" t="n"/>
      <c r="J10" s="539" t="n"/>
      <c r="K10" s="38" t="n"/>
      <c r="L10" s="539" t="n"/>
      <c r="M10" s="27" t="n"/>
    </row>
    <row r="11" ht="15.5" customHeight="1">
      <c r="A11" s="23" t="n"/>
      <c r="B11" s="24" t="n"/>
      <c r="C11" s="25" t="n"/>
      <c r="D11" s="25" t="n"/>
      <c r="E11" s="23" t="n"/>
      <c r="F11" s="23" t="n"/>
      <c r="G11" s="539" t="n"/>
      <c r="H11" s="539" t="n"/>
      <c r="I11" s="539" t="n"/>
      <c r="J11" s="539" t="n"/>
      <c r="K11" s="38" t="n"/>
      <c r="L11" s="539" t="n"/>
      <c r="M11" s="27" t="n"/>
    </row>
    <row r="12" ht="15.5" customHeight="1">
      <c r="A12" s="23" t="n"/>
      <c r="B12" s="24" t="n"/>
      <c r="C12" s="25" t="n"/>
      <c r="D12" s="25" t="n"/>
      <c r="E12" s="23" t="n"/>
      <c r="F12" s="23" t="n"/>
      <c r="G12" s="539" t="n"/>
      <c r="H12" s="539" t="n"/>
      <c r="I12" s="539" t="n"/>
      <c r="J12" s="539" t="n"/>
      <c r="K12" s="38" t="n"/>
      <c r="L12" s="539" t="n"/>
      <c r="M12" s="27" t="n"/>
    </row>
    <row r="13" ht="15.5" customHeight="1">
      <c r="A13" s="23" t="n"/>
      <c r="B13" s="24" t="n"/>
      <c r="C13" s="25" t="n"/>
      <c r="D13" s="25" t="n"/>
      <c r="E13" s="23" t="n"/>
      <c r="F13" s="23" t="n"/>
      <c r="G13" s="539" t="n"/>
      <c r="H13" s="539" t="n"/>
      <c r="I13" s="539" t="n"/>
      <c r="J13" s="539" t="n"/>
      <c r="K13" s="38" t="n"/>
      <c r="L13" s="539" t="n"/>
      <c r="M13" s="27" t="n"/>
    </row>
    <row r="14" ht="15.5" customHeight="1">
      <c r="A14" s="23" t="n"/>
      <c r="B14" s="24" t="n"/>
      <c r="C14" s="25" t="n"/>
      <c r="D14" s="25" t="n"/>
      <c r="E14" s="23" t="n"/>
      <c r="F14" s="23" t="n"/>
      <c r="G14" s="539" t="n"/>
      <c r="H14" s="539" t="n"/>
      <c r="I14" s="539" t="n"/>
      <c r="J14" s="539" t="n"/>
      <c r="K14" s="38" t="n"/>
      <c r="L14" s="539" t="n"/>
      <c r="M14" s="27" t="n"/>
    </row>
    <row r="15" ht="15.5" customHeight="1">
      <c r="A15" s="23" t="n"/>
      <c r="B15" s="24" t="n"/>
      <c r="C15" s="25" t="n"/>
      <c r="D15" s="25" t="n"/>
      <c r="E15" s="23" t="n"/>
      <c r="F15" s="23" t="n"/>
      <c r="G15" s="539" t="n"/>
      <c r="H15" s="539" t="n"/>
      <c r="I15" s="539" t="n"/>
      <c r="J15" s="539" t="n"/>
      <c r="K15" s="38" t="n"/>
      <c r="L15" s="539" t="n"/>
      <c r="M15" s="27" t="n"/>
    </row>
    <row r="16" ht="15.5" customHeight="1">
      <c r="A16" s="23" t="n"/>
      <c r="B16" s="24" t="n"/>
      <c r="C16" s="25" t="n"/>
      <c r="D16" s="25" t="n"/>
      <c r="E16" s="23" t="n"/>
      <c r="F16" s="23" t="n"/>
      <c r="G16" s="539" t="n"/>
      <c r="H16" s="539" t="n"/>
      <c r="I16" s="539" t="n"/>
      <c r="J16" s="539" t="n"/>
      <c r="K16" s="38" t="n"/>
      <c r="L16" s="539" t="n"/>
      <c r="M16" s="27" t="n"/>
    </row>
    <row r="17" ht="15.5" customHeight="1">
      <c r="A17" s="23" t="n"/>
      <c r="B17" s="24" t="n"/>
      <c r="C17" s="25" t="n"/>
      <c r="D17" s="25" t="n"/>
      <c r="E17" s="23" t="n"/>
      <c r="F17" s="23" t="n"/>
      <c r="G17" s="539" t="n"/>
      <c r="H17" s="539" t="n"/>
      <c r="I17" s="539" t="n"/>
      <c r="J17" s="539" t="n"/>
      <c r="K17" s="38" t="n"/>
      <c r="L17" s="539" t="n"/>
      <c r="M17" s="27" t="n"/>
    </row>
    <row r="18" ht="15.5" customHeight="1">
      <c r="A18" s="23" t="n"/>
      <c r="B18" s="24" t="n"/>
      <c r="C18" s="25" t="n"/>
      <c r="D18" s="25" t="n"/>
      <c r="E18" s="23" t="n"/>
      <c r="F18" s="23" t="n"/>
      <c r="G18" s="539" t="n"/>
      <c r="H18" s="539" t="n"/>
      <c r="I18" s="539" t="n"/>
      <c r="J18" s="539" t="n"/>
      <c r="K18" s="38" t="n"/>
      <c r="L18" s="539" t="n"/>
      <c r="M18" s="27" t="n"/>
    </row>
    <row r="19" ht="15.5" customHeight="1">
      <c r="A19" s="23" t="n"/>
      <c r="B19" s="24" t="n"/>
      <c r="C19" s="25" t="n"/>
      <c r="D19" s="25" t="n"/>
      <c r="E19" s="23" t="n"/>
      <c r="F19" s="23" t="n"/>
      <c r="G19" s="539" t="n"/>
      <c r="H19" s="539" t="n"/>
      <c r="I19" s="539" t="n"/>
      <c r="J19" s="539" t="n"/>
      <c r="K19" s="38" t="n"/>
      <c r="L19" s="539" t="n"/>
      <c r="M19" s="27" t="n"/>
    </row>
    <row r="20" ht="15.5" customHeight="1">
      <c r="A20" s="23" t="n"/>
      <c r="B20" s="24" t="n"/>
      <c r="C20" s="25" t="n"/>
      <c r="D20" s="25" t="n"/>
      <c r="E20" s="23" t="n"/>
      <c r="F20" s="23" t="n"/>
      <c r="G20" s="539" t="n"/>
      <c r="H20" s="539" t="n"/>
      <c r="I20" s="539" t="n"/>
      <c r="J20" s="539" t="n"/>
      <c r="K20" s="38" t="n"/>
      <c r="L20" s="539" t="n"/>
      <c r="M20" s="27" t="n"/>
    </row>
    <row r="21" ht="15.5" customHeight="1">
      <c r="A21" s="23" t="n"/>
      <c r="B21" s="24" t="n"/>
      <c r="C21" s="25" t="n"/>
      <c r="D21" s="25" t="n"/>
      <c r="E21" s="23" t="n"/>
      <c r="F21" s="23" t="n"/>
      <c r="G21" s="539" t="n"/>
      <c r="H21" s="539" t="n"/>
      <c r="I21" s="539" t="n"/>
      <c r="J21" s="539" t="n"/>
      <c r="K21" s="38" t="n"/>
      <c r="L21" s="539" t="n"/>
      <c r="M21" s="27" t="n"/>
    </row>
    <row r="22" ht="15.5" customHeight="1">
      <c r="A22" s="23" t="n"/>
      <c r="B22" s="24" t="n"/>
      <c r="C22" s="25" t="n"/>
      <c r="D22" s="25" t="n"/>
      <c r="E22" s="23" t="n"/>
      <c r="F22" s="23" t="n"/>
      <c r="G22" s="539" t="n"/>
      <c r="H22" s="539" t="n"/>
      <c r="I22" s="539" t="n"/>
      <c r="J22" s="539" t="n"/>
      <c r="K22" s="38" t="n"/>
      <c r="L22" s="539" t="n"/>
      <c r="M22" s="27" t="n"/>
    </row>
    <row r="23" ht="15.5" customHeight="1">
      <c r="A23" s="23" t="n"/>
      <c r="B23" s="24" t="n"/>
      <c r="C23" s="25" t="n"/>
      <c r="D23" s="25" t="n"/>
      <c r="E23" s="23" t="n"/>
      <c r="F23" s="23" t="n"/>
      <c r="G23" s="539" t="n"/>
      <c r="H23" s="539" t="n"/>
      <c r="I23" s="539" t="n"/>
      <c r="J23" s="539" t="n"/>
      <c r="K23" s="38" t="n"/>
      <c r="L23" s="539" t="n"/>
      <c r="M23" s="27" t="n"/>
    </row>
    <row r="24" ht="15.5" customHeight="1">
      <c r="A24" s="23" t="n"/>
      <c r="B24" s="24" t="n"/>
      <c r="C24" s="25" t="n"/>
      <c r="D24" s="25" t="n"/>
      <c r="E24" s="23" t="n"/>
      <c r="F24" s="23" t="n"/>
      <c r="G24" s="539" t="n"/>
      <c r="H24" s="539" t="n"/>
      <c r="I24" s="539" t="n"/>
      <c r="J24" s="539" t="n"/>
      <c r="K24" s="38" t="n"/>
      <c r="L24" s="539" t="n"/>
      <c r="M24" s="27" t="n"/>
    </row>
    <row r="25" ht="15.5" customHeight="1">
      <c r="A25" s="23" t="n"/>
      <c r="B25" s="24" t="n"/>
      <c r="C25" s="25" t="n"/>
      <c r="D25" s="25" t="n"/>
      <c r="E25" s="23" t="n"/>
      <c r="F25" s="23" t="n"/>
      <c r="G25" s="539" t="n"/>
      <c r="H25" s="539" t="n"/>
      <c r="I25" s="539" t="n"/>
      <c r="J25" s="539" t="n"/>
      <c r="K25" s="38" t="n"/>
      <c r="L25" s="539" t="n"/>
      <c r="M25" s="27" t="n"/>
    </row>
    <row r="26" ht="15.5" customHeight="1">
      <c r="A26" s="23" t="n"/>
      <c r="B26" s="24" t="n"/>
      <c r="C26" s="25" t="n"/>
      <c r="D26" s="25" t="n"/>
      <c r="E26" s="23" t="n"/>
      <c r="F26" s="23" t="n"/>
      <c r="G26" s="539" t="n"/>
      <c r="H26" s="539" t="n"/>
      <c r="I26" s="539" t="n"/>
      <c r="J26" s="539" t="n"/>
      <c r="K26" s="38" t="n"/>
      <c r="L26" s="539" t="n"/>
      <c r="M26" s="27" t="n"/>
    </row>
    <row r="27" ht="15.5" customHeight="1">
      <c r="A27" s="21" t="inlineStr">
        <is>
          <t>合                       计</t>
        </is>
      </c>
      <c r="B27" s="28" t="n"/>
      <c r="C27" s="25" t="n"/>
      <c r="D27" s="25" t="n"/>
      <c r="E27" s="23" t="n"/>
      <c r="F27" s="23" t="n"/>
      <c r="G27" s="539" t="n"/>
      <c r="H27" s="539">
        <f>SUM(H6:H26)</f>
      </c>
      <c r="I27" s="539" t="n"/>
      <c r="J27" s="539">
        <f>SUM(J6:J26)</f>
      </c>
      <c r="K27" s="38" t="n"/>
      <c r="L27" s="539">
        <f>SUM(L6:L26)</f>
      </c>
      <c r="M27" s="27" t="n"/>
    </row>
    <row r="28" ht="15.5" customHeight="1">
      <c r="A28" s="29">
        <f>封面!D11&amp;封面!G11</f>
      </c>
      <c r="J28" s="536">
        <f>"评估人员："&amp;封面!G38</f>
      </c>
    </row>
    <row r="29" ht="15.5" customHeight="1">
      <c r="A29" s="29">
        <f>CONCATENATE(封面!D13,封面!F13,封面!G13,封面!H13,封面!I13,封面!J13,封面!K13)</f>
      </c>
    </row>
  </sheetData>
  <mergeCells count="3">
    <mergeCell ref="A27:B27"/>
    <mergeCell ref="A3:M3"/>
    <mergeCell ref="A2:M2"/>
  </mergeCells>
  <hyperlinks>
    <hyperlink ref="A1" location="索引目录!I6" display="返回索引页"/>
    <hyperlink ref="B1" location="流动负债汇总!B6" display="返回"/>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Roman,常规"&amp;P&amp;"宋体,常规"5-1_x000a_页</oddHeader>
    <oddFooter/>
    <evenHeader/>
    <evenFooter/>
    <firstHeader/>
    <firstFooter/>
  </headerFooter>
  <legacyDrawing xmlns:r="http://schemas.openxmlformats.org/officeDocument/2006/relationships" r:id="anysvml"/>
</worksheet>
</file>

<file path=xl/worksheets/sheet75.xml><?xml version="1.0" encoding="utf-8"?>
<worksheet xmlns="http://schemas.openxmlformats.org/spreadsheetml/2006/main">
  <sheetPr codeName="Sheet75">
    <outlinePr summaryBelow="1" summaryRight="1"/>
    <pageSetUpPr fitToPage="1"/>
  </sheetPr>
  <dimension ref="A1:I29"/>
  <sheetViews>
    <sheetView view="pageBreakPreview" zoomScale="60" zoomScaleNormal="100" workbookViewId="0">
      <selection activeCell="G451" sqref="G451"/>
    </sheetView>
  </sheetViews>
  <sheetFormatPr baseColWidth="8" defaultColWidth="9" defaultRowHeight="15.75" customHeight="1"/>
  <cols>
    <col width="6.25" customWidth="1" style="13" min="1" max="1"/>
    <col width="30" customWidth="1" style="13" min="2" max="2"/>
    <col width="12.5" customWidth="1" style="13" min="3" max="3"/>
    <col width="18.75" customWidth="1" style="13" min="4" max="4"/>
    <col hidden="1" outlineLevel="1" width="18.75" customWidth="1" style="13" min="5" max="6"/>
    <col collapsed="1" width="18.75" customWidth="1" style="13" min="7" max="7"/>
    <col width="18.75" customWidth="1" style="13" min="8" max="8"/>
    <col width="15.5" customWidth="1" style="13" min="9" max="9"/>
    <col width="9" customWidth="1" style="13" min="10" max="16384"/>
  </cols>
  <sheetData>
    <row r="1" ht="15.5" customHeight="1">
      <c r="A1" s="559" t="inlineStr">
        <is>
          <t>返回索引页</t>
        </is>
      </c>
      <c r="B1" s="15" t="inlineStr">
        <is>
          <t>返回</t>
        </is>
      </c>
      <c r="C1" s="16" t="n"/>
      <c r="D1" s="16" t="n"/>
      <c r="E1" s="16" t="n"/>
      <c r="F1" s="16" t="n"/>
      <c r="G1" s="16" t="n"/>
      <c r="H1" s="16" t="n"/>
      <c r="I1" s="16" t="n"/>
    </row>
    <row r="2" ht="30" customFormat="1" customHeight="1" s="11">
      <c r="A2" s="17" t="inlineStr">
        <is>
          <t>交易性金融负债评估明细表</t>
        </is>
      </c>
    </row>
    <row r="3" ht="14.15" customHeight="1">
      <c r="A3" s="535">
        <f>CONCATENATE(封面!D9,封面!F9,封面!G9,封面!H9,封面!I9,封面!J9,封面!K9)</f>
      </c>
    </row>
    <row r="4" ht="15.5" customHeight="1">
      <c r="A4" s="536">
        <f>封面!D7&amp;封面!F7</f>
      </c>
      <c r="I4" s="20" t="inlineStr">
        <is>
          <t>金额单位：人民币元</t>
        </is>
      </c>
    </row>
    <row r="5" ht="13" customFormat="1" customHeight="1" s="12">
      <c r="A5" s="21" t="inlineStr">
        <is>
          <t>序号</t>
        </is>
      </c>
      <c r="B5" s="21" t="inlineStr">
        <is>
          <t>户名（结算对象）</t>
        </is>
      </c>
      <c r="C5" s="21" t="inlineStr">
        <is>
          <t>发生日期</t>
        </is>
      </c>
      <c r="D5" s="21" t="inlineStr">
        <is>
          <t>业务内容</t>
        </is>
      </c>
      <c r="E5" s="22" t="inlineStr">
        <is>
          <t>审计前账面值</t>
        </is>
      </c>
      <c r="F5" s="22" t="inlineStr">
        <is>
          <t>审计调整</t>
        </is>
      </c>
      <c r="G5" s="21" t="inlineStr">
        <is>
          <t>账面价值</t>
        </is>
      </c>
      <c r="H5" s="21" t="inlineStr">
        <is>
          <t>评估价值</t>
        </is>
      </c>
      <c r="I5" s="21" t="inlineStr">
        <is>
          <t>备注</t>
        </is>
      </c>
    </row>
    <row r="6" ht="15.5" customHeight="1">
      <c r="A6" s="23" t="n"/>
      <c r="B6" s="24" t="n"/>
      <c r="C6" s="25" t="n"/>
      <c r="D6" s="23" t="n"/>
      <c r="E6" s="539" t="n"/>
      <c r="F6" s="539" t="n"/>
      <c r="G6" s="539" t="n"/>
      <c r="H6" s="539" t="n"/>
      <c r="I6" s="27" t="n"/>
    </row>
    <row r="7" ht="15.5" customHeight="1">
      <c r="A7" s="23" t="n"/>
      <c r="B7" s="24" t="n"/>
      <c r="C7" s="25" t="n"/>
      <c r="D7" s="23" t="n"/>
      <c r="E7" s="539" t="n"/>
      <c r="F7" s="539" t="n"/>
      <c r="G7" s="539" t="n"/>
      <c r="H7" s="539" t="n"/>
      <c r="I7" s="27" t="n"/>
    </row>
    <row r="8" ht="15.5" customHeight="1">
      <c r="A8" s="23" t="n"/>
      <c r="B8" s="24" t="n"/>
      <c r="C8" s="25" t="n"/>
      <c r="D8" s="23" t="n"/>
      <c r="E8" s="539" t="n"/>
      <c r="F8" s="539" t="n"/>
      <c r="G8" s="539" t="n"/>
      <c r="H8" s="539" t="n"/>
      <c r="I8" s="27" t="n"/>
    </row>
    <row r="9" ht="15.5" customHeight="1">
      <c r="A9" s="23" t="n"/>
      <c r="B9" s="24" t="n"/>
      <c r="C9" s="25" t="n"/>
      <c r="D9" s="23" t="n"/>
      <c r="E9" s="539" t="n"/>
      <c r="F9" s="539" t="n"/>
      <c r="G9" s="539" t="n"/>
      <c r="H9" s="539" t="n"/>
      <c r="I9" s="27" t="n"/>
    </row>
    <row r="10" ht="15.5" customHeight="1">
      <c r="A10" s="23" t="n"/>
      <c r="B10" s="24" t="n"/>
      <c r="C10" s="25" t="n"/>
      <c r="D10" s="23" t="n"/>
      <c r="E10" s="539" t="n"/>
      <c r="F10" s="539" t="n"/>
      <c r="G10" s="539" t="n"/>
      <c r="H10" s="539" t="n"/>
      <c r="I10" s="27" t="n"/>
    </row>
    <row r="11" ht="15.5" customHeight="1">
      <c r="A11" s="23" t="n"/>
      <c r="B11" s="24" t="n"/>
      <c r="C11" s="25" t="n"/>
      <c r="D11" s="23" t="n"/>
      <c r="E11" s="539" t="n"/>
      <c r="F11" s="539" t="n"/>
      <c r="G11" s="539" t="n"/>
      <c r="H11" s="539" t="n"/>
      <c r="I11" s="27" t="n"/>
    </row>
    <row r="12" ht="15.5" customHeight="1">
      <c r="A12" s="23" t="n"/>
      <c r="B12" s="24" t="n"/>
      <c r="C12" s="25" t="n"/>
      <c r="D12" s="23" t="n"/>
      <c r="E12" s="539" t="n"/>
      <c r="F12" s="539" t="n"/>
      <c r="G12" s="539" t="n"/>
      <c r="H12" s="539" t="n"/>
      <c r="I12" s="27" t="n"/>
    </row>
    <row r="13" ht="15.5" customHeight="1">
      <c r="A13" s="23" t="n"/>
      <c r="B13" s="24" t="n"/>
      <c r="C13" s="25" t="n"/>
      <c r="D13" s="23" t="n"/>
      <c r="E13" s="539" t="n"/>
      <c r="F13" s="539" t="n"/>
      <c r="G13" s="539" t="n"/>
      <c r="H13" s="539" t="n"/>
      <c r="I13" s="27" t="n"/>
    </row>
    <row r="14" ht="15.5" customHeight="1">
      <c r="A14" s="23" t="n"/>
      <c r="B14" s="24" t="n"/>
      <c r="C14" s="25" t="n"/>
      <c r="D14" s="23" t="n"/>
      <c r="E14" s="539" t="n"/>
      <c r="F14" s="539" t="n"/>
      <c r="G14" s="539" t="n"/>
      <c r="H14" s="539" t="n"/>
      <c r="I14" s="27" t="n"/>
    </row>
    <row r="15" ht="15.5" customHeight="1">
      <c r="A15" s="23" t="n"/>
      <c r="B15" s="24" t="n"/>
      <c r="C15" s="25" t="n"/>
      <c r="D15" s="23" t="n"/>
      <c r="E15" s="539" t="n"/>
      <c r="F15" s="539" t="n"/>
      <c r="G15" s="539" t="n"/>
      <c r="H15" s="539" t="n"/>
      <c r="I15" s="27" t="n"/>
    </row>
    <row r="16" ht="15.5" customHeight="1">
      <c r="A16" s="23" t="n"/>
      <c r="B16" s="24" t="n"/>
      <c r="C16" s="25" t="n"/>
      <c r="D16" s="23" t="n"/>
      <c r="E16" s="539" t="n"/>
      <c r="F16" s="539" t="n"/>
      <c r="G16" s="539" t="n"/>
      <c r="H16" s="539" t="n"/>
      <c r="I16" s="27" t="n"/>
    </row>
    <row r="17" ht="15.5" customHeight="1">
      <c r="A17" s="23" t="n"/>
      <c r="B17" s="24" t="n"/>
      <c r="C17" s="25" t="n"/>
      <c r="D17" s="23" t="n"/>
      <c r="E17" s="539" t="n"/>
      <c r="F17" s="539" t="n"/>
      <c r="G17" s="539" t="n"/>
      <c r="H17" s="539" t="n"/>
      <c r="I17" s="27" t="n"/>
    </row>
    <row r="18" ht="15.5" customHeight="1">
      <c r="A18" s="23" t="n"/>
      <c r="B18" s="24" t="n"/>
      <c r="C18" s="25" t="n"/>
      <c r="D18" s="23" t="n"/>
      <c r="E18" s="539" t="n"/>
      <c r="F18" s="539" t="n"/>
      <c r="G18" s="539" t="n"/>
      <c r="H18" s="539" t="n"/>
      <c r="I18" s="27" t="n"/>
    </row>
    <row r="19" ht="15.5" customHeight="1">
      <c r="A19" s="23" t="n"/>
      <c r="B19" s="24" t="n"/>
      <c r="C19" s="25" t="n"/>
      <c r="D19" s="23" t="n"/>
      <c r="E19" s="539" t="n"/>
      <c r="F19" s="539" t="n"/>
      <c r="G19" s="539" t="n"/>
      <c r="H19" s="539" t="n"/>
      <c r="I19" s="27" t="n"/>
    </row>
    <row r="20" ht="15.5" customHeight="1">
      <c r="A20" s="23" t="n"/>
      <c r="B20" s="24" t="n"/>
      <c r="C20" s="25" t="n"/>
      <c r="D20" s="23" t="n"/>
      <c r="E20" s="539" t="n"/>
      <c r="F20" s="539" t="n"/>
      <c r="G20" s="539" t="n"/>
      <c r="H20" s="539" t="n"/>
      <c r="I20" s="27" t="n"/>
    </row>
    <row r="21" ht="15.5" customHeight="1">
      <c r="A21" s="23" t="n"/>
      <c r="B21" s="24" t="n"/>
      <c r="C21" s="25" t="n"/>
      <c r="D21" s="23" t="n"/>
      <c r="E21" s="539" t="n"/>
      <c r="F21" s="539" t="n"/>
      <c r="G21" s="539" t="n"/>
      <c r="H21" s="539" t="n"/>
      <c r="I21" s="27" t="n"/>
    </row>
    <row r="22" ht="15.5" customHeight="1">
      <c r="A22" s="23" t="n"/>
      <c r="B22" s="24" t="n"/>
      <c r="C22" s="25" t="n"/>
      <c r="D22" s="23" t="n"/>
      <c r="E22" s="539" t="n"/>
      <c r="F22" s="539" t="n"/>
      <c r="G22" s="539" t="n"/>
      <c r="H22" s="539" t="n"/>
      <c r="I22" s="27" t="n"/>
    </row>
    <row r="23" ht="15.5" customHeight="1">
      <c r="A23" s="23" t="n"/>
      <c r="B23" s="24" t="n"/>
      <c r="C23" s="25" t="n"/>
      <c r="D23" s="23" t="n"/>
      <c r="E23" s="539" t="n"/>
      <c r="F23" s="539" t="n"/>
      <c r="G23" s="539" t="n"/>
      <c r="H23" s="539" t="n"/>
      <c r="I23" s="27" t="n"/>
    </row>
    <row r="24" ht="15.5" customHeight="1">
      <c r="A24" s="23" t="n"/>
      <c r="B24" s="24" t="n"/>
      <c r="C24" s="25" t="n"/>
      <c r="D24" s="23" t="n"/>
      <c r="E24" s="539" t="n"/>
      <c r="F24" s="539" t="n"/>
      <c r="G24" s="539" t="n"/>
      <c r="H24" s="539" t="n"/>
      <c r="I24" s="27" t="n"/>
    </row>
    <row r="25" ht="15.5" customHeight="1">
      <c r="A25" s="23" t="n"/>
      <c r="B25" s="24" t="n"/>
      <c r="C25" s="25" t="n"/>
      <c r="D25" s="23" t="n"/>
      <c r="E25" s="539" t="n"/>
      <c r="F25" s="539" t="n"/>
      <c r="G25" s="539" t="n"/>
      <c r="H25" s="539" t="n"/>
      <c r="I25" s="27" t="n"/>
    </row>
    <row r="26" ht="15.5" customHeight="1">
      <c r="A26" s="23" t="n"/>
      <c r="B26" s="24" t="n"/>
      <c r="C26" s="25" t="n"/>
      <c r="D26" s="23" t="n"/>
      <c r="E26" s="539" t="n"/>
      <c r="F26" s="539" t="n"/>
      <c r="G26" s="539" t="n"/>
      <c r="H26" s="539" t="n"/>
      <c r="I26" s="27" t="n"/>
    </row>
    <row r="27" ht="15.5" customHeight="1">
      <c r="A27" s="21" t="inlineStr">
        <is>
          <t>合                                    计</t>
        </is>
      </c>
      <c r="B27" s="28" t="n"/>
      <c r="C27" s="25" t="n"/>
      <c r="D27" s="23" t="n"/>
      <c r="E27" s="539">
        <f>SUM(E6:E26)</f>
      </c>
      <c r="F27" s="539" t="n"/>
      <c r="G27" s="539">
        <f>SUM(G6:G26)</f>
      </c>
      <c r="H27" s="539">
        <f>SUM(H6:H26)</f>
      </c>
      <c r="I27" s="27" t="n"/>
    </row>
    <row r="28" ht="15.5" customHeight="1">
      <c r="A28" s="29">
        <f>封面!D11&amp;封面!G11</f>
      </c>
      <c r="G28" s="536">
        <f>"评估人员："&amp;封面!G38</f>
      </c>
    </row>
    <row r="29" ht="15.5" customHeight="1">
      <c r="A29" s="29">
        <f>CONCATENATE(封面!D13,封面!F13,封面!G13,封面!H13,封面!I13,封面!J13,封面!K13)</f>
      </c>
    </row>
  </sheetData>
  <mergeCells count="3">
    <mergeCell ref="A27:B27"/>
    <mergeCell ref="A2:I2"/>
    <mergeCell ref="A3:I3"/>
  </mergeCells>
  <hyperlinks>
    <hyperlink ref="A1" location="索引目录!I7" display="返回索引页"/>
    <hyperlink ref="B1" location="流动负债汇总!B7" display="返回"/>
  </hyperlinks>
  <printOptions horizontalCentered="1"/>
  <pageMargins left="0.354330708661417" right="0.354330708661417" top="0.78740157480315" bottom="0.78740157480315" header="1.01" footer="0.511811023622047"/>
  <pageSetup orientation="landscape" paperSize="9" fitToHeight="0"/>
  <headerFooter alignWithMargins="0">
    <oddHeader>&amp;R&amp;"宋体,常规"共&amp;"Times New Roman,常规"&amp;N&amp;"宋体,常规"页第&amp;"Times New Roman,常规"&amp;P&amp;"宋体,常规"5-2_x000a_页</oddHeader>
    <oddFooter/>
    <evenHeader/>
    <evenFooter/>
    <firstHeader/>
    <firstFooter/>
  </headerFooter>
  <legacyDrawing xmlns:r="http://schemas.openxmlformats.org/officeDocument/2006/relationships" r:id="anysvml"/>
</worksheet>
</file>

<file path=xl/worksheets/sheet76.xml><?xml version="1.0" encoding="utf-8"?>
<worksheet xmlns="http://schemas.openxmlformats.org/spreadsheetml/2006/main">
  <sheetPr codeName="Sheet76">
    <outlinePr summaryBelow="1" summaryRight="1"/>
    <pageSetUpPr fitToPage="1"/>
  </sheetPr>
  <dimension ref="A1:J29"/>
  <sheetViews>
    <sheetView view="pageBreakPreview" zoomScale="60" zoomScaleNormal="100" workbookViewId="0">
      <selection activeCell="G451" sqref="G451"/>
    </sheetView>
  </sheetViews>
  <sheetFormatPr baseColWidth="8" defaultColWidth="9" defaultRowHeight="15.75" customHeight="1"/>
  <cols>
    <col width="6.75" customWidth="1" style="13" min="1" max="1"/>
    <col width="27" customWidth="1" style="13" min="2" max="2"/>
    <col width="11" customWidth="1" style="13" min="3" max="4"/>
    <col width="10.5" customWidth="1" style="13" min="5" max="5"/>
    <col hidden="1" outlineLevel="1" width="16" customWidth="1" style="13" min="6" max="7"/>
    <col collapsed="1" width="18.8333333333333" customWidth="1" style="13" min="8" max="8"/>
    <col width="18.8333333333333" customWidth="1" style="13" min="9" max="9"/>
    <col width="16.75" customWidth="1" style="13" min="10" max="10"/>
    <col width="9" customWidth="1" style="13" min="11" max="16384"/>
  </cols>
  <sheetData>
    <row r="1" ht="15.5" customHeight="1">
      <c r="A1" s="559" t="inlineStr">
        <is>
          <t>返回索引页</t>
        </is>
      </c>
      <c r="B1" s="15" t="inlineStr">
        <is>
          <t>返回</t>
        </is>
      </c>
      <c r="C1" s="16" t="n"/>
      <c r="D1" s="16" t="n"/>
      <c r="E1" s="16" t="n"/>
      <c r="F1" s="16" t="n"/>
      <c r="G1" s="16" t="n"/>
      <c r="H1" s="16" t="n"/>
      <c r="I1" s="16" t="n"/>
      <c r="J1" s="16" t="n"/>
    </row>
    <row r="2" ht="30" customFormat="1" customHeight="1" s="11">
      <c r="A2" s="17" t="inlineStr">
        <is>
          <t>应付票据评估明细表</t>
        </is>
      </c>
    </row>
    <row r="3" ht="14.15" customHeight="1">
      <c r="A3" s="535">
        <f>CONCATENATE(封面!D9,封面!F9,封面!G9,封面!H9,封面!I9,封面!J9,封面!K9)</f>
      </c>
    </row>
    <row r="4" ht="15.5" customHeight="1">
      <c r="A4" s="536">
        <f>封面!D7&amp;封面!F7</f>
      </c>
      <c r="J4" s="20" t="inlineStr">
        <is>
          <t>金额单位：人民币元</t>
        </is>
      </c>
    </row>
    <row r="5" ht="13" customFormat="1" customHeight="1" s="12">
      <c r="A5" s="21" t="inlineStr">
        <is>
          <t>序号</t>
        </is>
      </c>
      <c r="B5" s="21" t="inlineStr">
        <is>
          <t>户名（结算对象）</t>
        </is>
      </c>
      <c r="C5" s="21" t="inlineStr">
        <is>
          <t>发生日期</t>
        </is>
      </c>
      <c r="D5" s="21" t="inlineStr">
        <is>
          <t>到期日</t>
        </is>
      </c>
      <c r="E5" s="21" t="inlineStr">
        <is>
          <t>票面利率%</t>
        </is>
      </c>
      <c r="F5" s="22" t="inlineStr">
        <is>
          <t>审计前账面值</t>
        </is>
      </c>
      <c r="G5" s="22" t="inlineStr">
        <is>
          <t>审计调整</t>
        </is>
      </c>
      <c r="H5" s="21" t="inlineStr">
        <is>
          <t>账面价值</t>
        </is>
      </c>
      <c r="I5" s="21" t="inlineStr">
        <is>
          <t>评估价值</t>
        </is>
      </c>
      <c r="J5" s="21" t="inlineStr">
        <is>
          <t>备注</t>
        </is>
      </c>
    </row>
    <row r="6" ht="15.5" customHeight="1">
      <c r="A6" s="23" t="n"/>
      <c r="B6" s="24" t="n"/>
      <c r="C6" s="25" t="n"/>
      <c r="D6" s="23" t="n"/>
      <c r="E6" s="23" t="n"/>
      <c r="F6" s="539" t="n"/>
      <c r="G6" s="539" t="n"/>
      <c r="H6" s="539" t="n"/>
      <c r="I6" s="539" t="n"/>
      <c r="J6" s="27" t="n"/>
    </row>
    <row r="7" ht="15.5" customHeight="1">
      <c r="A7" s="23" t="n"/>
      <c r="B7" s="24" t="n"/>
      <c r="C7" s="25" t="n"/>
      <c r="D7" s="25" t="n"/>
      <c r="E7" s="23" t="n"/>
      <c r="F7" s="539" t="n"/>
      <c r="G7" s="539" t="n"/>
      <c r="H7" s="539" t="n"/>
      <c r="I7" s="539" t="n"/>
      <c r="J7" s="27" t="n"/>
    </row>
    <row r="8" ht="15.5" customHeight="1">
      <c r="A8" s="23" t="n"/>
      <c r="B8" s="24" t="n"/>
      <c r="C8" s="25" t="n"/>
      <c r="D8" s="25" t="n"/>
      <c r="E8" s="23" t="n"/>
      <c r="F8" s="539" t="n"/>
      <c r="G8" s="539" t="n"/>
      <c r="H8" s="539" t="n"/>
      <c r="I8" s="539" t="n"/>
      <c r="J8" s="27" t="n"/>
    </row>
    <row r="9" ht="15.5" customHeight="1">
      <c r="A9" s="23" t="n"/>
      <c r="B9" s="24" t="n"/>
      <c r="C9" s="25" t="n"/>
      <c r="D9" s="25" t="n"/>
      <c r="E9" s="23" t="n"/>
      <c r="F9" s="539" t="n"/>
      <c r="G9" s="539" t="n"/>
      <c r="H9" s="539" t="n"/>
      <c r="I9" s="539" t="n"/>
      <c r="J9" s="27" t="n"/>
    </row>
    <row r="10" ht="15.5" customHeight="1">
      <c r="A10" s="23" t="n"/>
      <c r="B10" s="24" t="n"/>
      <c r="C10" s="25" t="n"/>
      <c r="D10" s="25" t="n"/>
      <c r="E10" s="23" t="n"/>
      <c r="F10" s="539" t="n"/>
      <c r="G10" s="539" t="n"/>
      <c r="H10" s="539" t="n"/>
      <c r="I10" s="539" t="n"/>
      <c r="J10" s="27" t="n"/>
    </row>
    <row r="11" ht="15.5" customHeight="1">
      <c r="A11" s="23" t="n"/>
      <c r="B11" s="24" t="n"/>
      <c r="C11" s="25" t="n"/>
      <c r="D11" s="25" t="n"/>
      <c r="E11" s="23" t="n"/>
      <c r="F11" s="539" t="n"/>
      <c r="G11" s="539" t="n"/>
      <c r="H11" s="539" t="n"/>
      <c r="I11" s="539" t="n"/>
      <c r="J11" s="27" t="n"/>
    </row>
    <row r="12" ht="15.5" customHeight="1">
      <c r="A12" s="23" t="n"/>
      <c r="B12" s="24" t="n"/>
      <c r="C12" s="25" t="n"/>
      <c r="D12" s="25" t="n"/>
      <c r="E12" s="23" t="n"/>
      <c r="F12" s="539" t="n"/>
      <c r="G12" s="539" t="n"/>
      <c r="H12" s="539" t="n"/>
      <c r="I12" s="539" t="n"/>
      <c r="J12" s="27" t="n"/>
    </row>
    <row r="13" ht="15.5" customHeight="1">
      <c r="A13" s="23" t="n"/>
      <c r="B13" s="24" t="n"/>
      <c r="C13" s="25" t="n"/>
      <c r="D13" s="25" t="n"/>
      <c r="E13" s="23" t="n"/>
      <c r="F13" s="539" t="n"/>
      <c r="G13" s="539" t="n"/>
      <c r="H13" s="539" t="n"/>
      <c r="I13" s="539" t="n"/>
      <c r="J13" s="27" t="n"/>
    </row>
    <row r="14" ht="15.5" customHeight="1">
      <c r="A14" s="23" t="n"/>
      <c r="B14" s="24" t="n"/>
      <c r="C14" s="25" t="n"/>
      <c r="D14" s="25" t="n"/>
      <c r="E14" s="23" t="n"/>
      <c r="F14" s="539" t="n"/>
      <c r="G14" s="539" t="n"/>
      <c r="H14" s="539" t="n"/>
      <c r="I14" s="539" t="n"/>
      <c r="J14" s="27" t="n"/>
    </row>
    <row r="15" ht="15.5" customHeight="1">
      <c r="A15" s="23" t="n"/>
      <c r="B15" s="24" t="n"/>
      <c r="C15" s="25" t="n"/>
      <c r="D15" s="25" t="n"/>
      <c r="E15" s="23" t="n"/>
      <c r="F15" s="539" t="n"/>
      <c r="G15" s="539" t="n"/>
      <c r="H15" s="539" t="n"/>
      <c r="I15" s="539" t="n"/>
      <c r="J15" s="27" t="n"/>
    </row>
    <row r="16" ht="15.5" customHeight="1">
      <c r="A16" s="23" t="n"/>
      <c r="B16" s="24" t="n"/>
      <c r="C16" s="25" t="n"/>
      <c r="D16" s="25" t="n"/>
      <c r="E16" s="23" t="n"/>
      <c r="F16" s="539" t="n"/>
      <c r="G16" s="539" t="n"/>
      <c r="H16" s="539" t="n"/>
      <c r="I16" s="539" t="n"/>
      <c r="J16" s="27" t="n"/>
    </row>
    <row r="17" ht="15.5" customHeight="1">
      <c r="A17" s="23" t="n"/>
      <c r="B17" s="24" t="n"/>
      <c r="C17" s="25" t="n"/>
      <c r="D17" s="25" t="n"/>
      <c r="E17" s="23" t="n"/>
      <c r="F17" s="539" t="n"/>
      <c r="G17" s="539" t="n"/>
      <c r="H17" s="539" t="n"/>
      <c r="I17" s="539" t="n"/>
      <c r="J17" s="27" t="n"/>
    </row>
    <row r="18" ht="15.5" customHeight="1">
      <c r="A18" s="23" t="n"/>
      <c r="B18" s="24" t="n"/>
      <c r="C18" s="25" t="n"/>
      <c r="D18" s="25" t="n"/>
      <c r="E18" s="23" t="n"/>
      <c r="F18" s="539" t="n"/>
      <c r="G18" s="539" t="n"/>
      <c r="H18" s="539" t="n"/>
      <c r="I18" s="539" t="n"/>
      <c r="J18" s="27" t="n"/>
    </row>
    <row r="19" ht="15.5" customHeight="1">
      <c r="A19" s="23" t="n"/>
      <c r="B19" s="24" t="n"/>
      <c r="C19" s="25" t="n"/>
      <c r="D19" s="25" t="n"/>
      <c r="E19" s="23" t="n"/>
      <c r="F19" s="539" t="n"/>
      <c r="G19" s="539" t="n"/>
      <c r="H19" s="539" t="n"/>
      <c r="I19" s="539" t="n"/>
      <c r="J19" s="27" t="n"/>
    </row>
    <row r="20" ht="15.5" customHeight="1">
      <c r="A20" s="23" t="n"/>
      <c r="B20" s="24" t="n"/>
      <c r="C20" s="25" t="n"/>
      <c r="D20" s="25" t="n"/>
      <c r="E20" s="23" t="n"/>
      <c r="F20" s="539" t="n"/>
      <c r="G20" s="539" t="n"/>
      <c r="H20" s="539" t="n"/>
      <c r="I20" s="539" t="n"/>
      <c r="J20" s="27" t="n"/>
    </row>
    <row r="21" ht="15.5" customHeight="1">
      <c r="A21" s="23" t="n"/>
      <c r="B21" s="24" t="n"/>
      <c r="C21" s="25" t="n"/>
      <c r="D21" s="25" t="n"/>
      <c r="E21" s="23" t="n"/>
      <c r="F21" s="539" t="n"/>
      <c r="G21" s="539" t="n"/>
      <c r="H21" s="539" t="n"/>
      <c r="I21" s="539" t="n"/>
      <c r="J21" s="27" t="n"/>
    </row>
    <row r="22" ht="15.5" customHeight="1">
      <c r="A22" s="23" t="n"/>
      <c r="B22" s="24" t="n"/>
      <c r="C22" s="25" t="n"/>
      <c r="D22" s="25" t="n"/>
      <c r="E22" s="23" t="n"/>
      <c r="F22" s="539" t="n"/>
      <c r="G22" s="539" t="n"/>
      <c r="H22" s="539" t="n"/>
      <c r="I22" s="539" t="n"/>
      <c r="J22" s="27" t="n"/>
    </row>
    <row r="23" ht="15.5" customHeight="1">
      <c r="A23" s="23" t="n"/>
      <c r="B23" s="24" t="n"/>
      <c r="C23" s="25" t="n"/>
      <c r="D23" s="25" t="n"/>
      <c r="E23" s="23" t="n"/>
      <c r="F23" s="539" t="n"/>
      <c r="G23" s="539" t="n"/>
      <c r="H23" s="539" t="n"/>
      <c r="I23" s="539" t="n"/>
      <c r="J23" s="27" t="n"/>
    </row>
    <row r="24" ht="15.5" customHeight="1">
      <c r="A24" s="23" t="n"/>
      <c r="B24" s="24" t="n"/>
      <c r="C24" s="25" t="n"/>
      <c r="D24" s="25" t="n"/>
      <c r="E24" s="23" t="n"/>
      <c r="F24" s="539" t="n"/>
      <c r="G24" s="539" t="n"/>
      <c r="H24" s="539" t="n"/>
      <c r="I24" s="539" t="n"/>
      <c r="J24" s="27" t="n"/>
    </row>
    <row r="25" ht="15.5" customHeight="1">
      <c r="A25" s="23" t="n"/>
      <c r="B25" s="24" t="n"/>
      <c r="C25" s="25" t="n"/>
      <c r="D25" s="25" t="n"/>
      <c r="E25" s="23" t="n"/>
      <c r="F25" s="539" t="n"/>
      <c r="G25" s="539" t="n"/>
      <c r="H25" s="539" t="n"/>
      <c r="I25" s="539" t="n"/>
      <c r="J25" s="27" t="n"/>
    </row>
    <row r="26" ht="15.5" customHeight="1">
      <c r="A26" s="23" t="n"/>
      <c r="B26" s="24" t="n"/>
      <c r="C26" s="25" t="n"/>
      <c r="D26" s="25" t="n"/>
      <c r="E26" s="23" t="n"/>
      <c r="F26" s="539" t="n"/>
      <c r="G26" s="539" t="n"/>
      <c r="H26" s="539" t="n"/>
      <c r="I26" s="539" t="n"/>
      <c r="J26" s="27" t="n"/>
    </row>
    <row r="27" ht="15.5" customHeight="1">
      <c r="A27" s="21" t="inlineStr">
        <is>
          <t>合                         计</t>
        </is>
      </c>
      <c r="B27" s="28" t="n"/>
      <c r="C27" s="25" t="n"/>
      <c r="D27" s="25" t="n"/>
      <c r="E27" s="23" t="n"/>
      <c r="F27" s="539">
        <f>SUM(F6:F26)</f>
      </c>
      <c r="G27" s="539" t="n"/>
      <c r="H27" s="539">
        <f>SUM(H6:H26)</f>
      </c>
      <c r="I27" s="539">
        <f>SUM(I6:I26)</f>
      </c>
      <c r="J27" s="27" t="n"/>
    </row>
    <row r="28" ht="15.5" customHeight="1">
      <c r="A28" s="29">
        <f>封面!D11&amp;封面!G11</f>
      </c>
      <c r="H28" s="536">
        <f>"评估人员："&amp;封面!G38</f>
      </c>
    </row>
    <row r="29" ht="15.5" customHeight="1">
      <c r="A29" s="29">
        <f>CONCATENATE(封面!D13,封面!F13,封面!G13,封面!H13,封面!I13,封面!J13,封面!K13)</f>
      </c>
    </row>
  </sheetData>
  <mergeCells count="3">
    <mergeCell ref="A27:B27"/>
    <mergeCell ref="A3:J3"/>
    <mergeCell ref="A2:J2"/>
  </mergeCells>
  <hyperlinks>
    <hyperlink ref="A1" location="索引目录!I8" display="返回索引页"/>
    <hyperlink ref="B1" location="流动负债汇总!B8" display="返回"/>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Roman,常规"&amp;P&amp;"宋体,常规"5-3_x000a_页</oddHeader>
    <oddFooter/>
    <evenHeader/>
    <evenFooter/>
    <firstHeader/>
    <firstFooter/>
  </headerFooter>
  <legacyDrawing xmlns:r="http://schemas.openxmlformats.org/officeDocument/2006/relationships" r:id="anysvml"/>
</worksheet>
</file>

<file path=xl/worksheets/sheet77.xml><?xml version="1.0" encoding="utf-8"?>
<worksheet xmlns="http://schemas.openxmlformats.org/spreadsheetml/2006/main">
  <sheetPr codeName="Sheet77">
    <outlinePr summaryBelow="1" summaryRight="1"/>
    <pageSetUpPr fitToPage="1"/>
  </sheetPr>
  <dimension ref="A1:I30"/>
  <sheetViews>
    <sheetView view="pageBreakPreview" topLeftCell="A8" zoomScale="130" zoomScaleNormal="100" workbookViewId="0">
      <selection activeCell="G451" sqref="G451"/>
    </sheetView>
  </sheetViews>
  <sheetFormatPr baseColWidth="8" defaultColWidth="9" defaultRowHeight="15.75" customHeight="1"/>
  <cols>
    <col width="5.75" customWidth="1" style="13" min="1" max="1"/>
    <col width="28.8333333333333" customWidth="1" style="13" min="2" max="2"/>
    <col width="12.5833333333333" customWidth="1" style="13" min="3" max="3"/>
    <col width="18.25" customWidth="1" style="13" min="4" max="4"/>
    <col hidden="1" outlineLevel="1" width="16.5" customWidth="1" style="13" min="5" max="6"/>
    <col collapsed="1" width="20.0833333333333" customWidth="1" style="13" min="7" max="7"/>
    <col width="20.0833333333333" customWidth="1" style="13" min="8" max="8"/>
    <col width="15.5" customWidth="1" style="13" min="9" max="9"/>
    <col width="10.5" customWidth="1" style="13" min="10" max="10"/>
    <col width="9" customWidth="1" style="13" min="11" max="16384"/>
  </cols>
  <sheetData>
    <row r="1" ht="15.5" customHeight="1">
      <c r="A1" s="529" t="inlineStr">
        <is>
          <t>返回索引页</t>
        </is>
      </c>
      <c r="B1" s="52" t="inlineStr">
        <is>
          <t>返回</t>
        </is>
      </c>
      <c r="C1" s="16" t="n"/>
      <c r="D1" s="16" t="n"/>
      <c r="E1" s="16" t="n"/>
      <c r="F1" s="16" t="n"/>
      <c r="G1" s="16" t="n"/>
      <c r="H1" s="16" t="n"/>
      <c r="I1" s="16" t="n"/>
    </row>
    <row r="2" ht="30" customFormat="1" customHeight="1" s="11">
      <c r="A2" s="53" t="inlineStr">
        <is>
          <t>应付账款评估明细表</t>
        </is>
      </c>
    </row>
    <row r="3" ht="14.15" customHeight="1">
      <c r="A3" s="535">
        <f>CONCATENATE(封面!D9,封面!F9,封面!G9,封面!H9,封面!I9,封面!J9,封面!K9)</f>
      </c>
    </row>
    <row r="4" ht="15.5" customHeight="1">
      <c r="A4" s="536">
        <f>封面!D7&amp;封面!F7</f>
      </c>
      <c r="I4" s="54" t="inlineStr">
        <is>
          <t>金额单位：人民币元</t>
        </is>
      </c>
    </row>
    <row r="5" ht="13" customFormat="1" customHeight="1" s="12">
      <c r="A5" s="23" t="inlineStr">
        <is>
          <t>序号</t>
        </is>
      </c>
      <c r="B5" s="23" t="inlineStr">
        <is>
          <t>户名（结算对象）</t>
        </is>
      </c>
      <c r="C5" s="23" t="inlineStr">
        <is>
          <t>发生日期</t>
        </is>
      </c>
      <c r="D5" s="23" t="inlineStr">
        <is>
          <t>业务内容</t>
        </is>
      </c>
      <c r="E5" s="55" t="inlineStr">
        <is>
          <t>审计前账面值</t>
        </is>
      </c>
      <c r="F5" s="55" t="inlineStr">
        <is>
          <t>审计调整</t>
        </is>
      </c>
      <c r="G5" s="23" t="inlineStr">
        <is>
          <t>账面价值</t>
        </is>
      </c>
      <c r="H5" s="23" t="inlineStr">
        <is>
          <t>评估价值</t>
        </is>
      </c>
      <c r="I5" s="23" t="inlineStr">
        <is>
          <t>备注</t>
        </is>
      </c>
    </row>
    <row r="6" ht="15.5" customHeight="1">
      <c r="A6" s="23" t="n">
        <v>1</v>
      </c>
      <c r="B6" s="59"/>
      <c r="C6" s="613"/>
      <c r="D6" s="58"/>
      <c r="E6" s="539" t="n"/>
      <c r="F6" s="539" t="n"/>
      <c r="G6" s="539"/>
      <c r="H6" s="539">
        <f>G6</f>
      </c>
      <c r="I6" s="27" t="n"/>
    </row>
    <row r="7" ht="15.5" customHeight="1">
      <c r="A7" s="23" t="n">
        <v>2</v>
      </c>
      <c r="B7" s="59"/>
      <c r="C7" s="613"/>
      <c r="D7" s="58"/>
      <c r="E7" s="539" t="n"/>
      <c r="F7" s="539" t="n"/>
      <c r="G7" s="539"/>
      <c r="H7" s="539">
        <f>G7</f>
      </c>
      <c r="I7" s="27" t="n"/>
    </row>
    <row r="8" ht="15.5" customHeight="1">
      <c r="A8" s="23" t="n">
        <v>3</v>
      </c>
      <c r="B8" s="59"/>
      <c r="C8" s="613"/>
      <c r="D8" s="58"/>
      <c r="E8" s="539" t="n"/>
      <c r="F8" s="539" t="n"/>
      <c r="G8" s="539"/>
      <c r="H8" s="539">
        <f>G8</f>
      </c>
      <c r="I8" s="27" t="n"/>
    </row>
    <row r="9" ht="15.5" customHeight="1">
      <c r="A9" s="23" t="n">
        <v>4</v>
      </c>
      <c r="B9" s="59"/>
      <c r="C9" s="613"/>
      <c r="D9" s="58"/>
      <c r="E9" s="539" t="n"/>
      <c r="F9" s="539" t="n"/>
      <c r="G9" s="539"/>
      <c r="H9" s="539">
        <f>G9</f>
      </c>
      <c r="I9" s="27" t="n"/>
    </row>
    <row r="10" ht="15.5" customHeight="1">
      <c r="A10" s="23" t="n">
        <v>5</v>
      </c>
      <c r="B10" s="59"/>
      <c r="C10" s="613"/>
      <c r="D10" s="58"/>
      <c r="E10" s="539" t="n"/>
      <c r="F10" s="539" t="n"/>
      <c r="G10" s="539"/>
      <c r="H10" s="539">
        <f>G10</f>
      </c>
      <c r="I10" s="27" t="n"/>
    </row>
    <row r="11" ht="15.5" customHeight="1">
      <c r="A11" s="23" t="n">
        <v>6</v>
      </c>
      <c r="B11" s="59"/>
      <c r="C11" s="613"/>
      <c r="D11" s="58"/>
      <c r="E11" s="539" t="n"/>
      <c r="F11" s="539" t="n"/>
      <c r="G11" s="539"/>
      <c r="H11" s="539">
        <f>G11</f>
      </c>
      <c r="I11" s="27" t="n"/>
    </row>
    <row r="12" ht="15.5" customHeight="1">
      <c r="A12" s="23" t="n">
        <v>7</v>
      </c>
      <c r="B12" s="59"/>
      <c r="C12" s="613"/>
      <c r="D12" s="58"/>
      <c r="E12" s="539" t="n"/>
      <c r="F12" s="539" t="n"/>
      <c r="G12" s="539"/>
      <c r="H12" s="539">
        <f>G12</f>
      </c>
      <c r="I12" s="27" t="n"/>
    </row>
    <row r="13" ht="15.5" customHeight="1">
      <c r="A13" s="23" t="n">
        <v>8</v>
      </c>
      <c r="B13" s="59"/>
      <c r="C13" s="613"/>
      <c r="D13" s="58"/>
      <c r="E13" s="539" t="n"/>
      <c r="F13" s="539" t="n"/>
      <c r="G13" s="539"/>
      <c r="H13" s="539">
        <f>G13</f>
      </c>
      <c r="I13" s="27" t="n"/>
    </row>
    <row r="14" ht="15.5" customHeight="1">
      <c r="A14" s="23" t="n">
        <v>11</v>
      </c>
      <c r="B14" s="59"/>
      <c r="C14" s="613"/>
      <c r="D14" s="58"/>
      <c r="E14" s="539" t="n"/>
      <c r="F14" s="539" t="n"/>
      <c r="G14" s="539"/>
      <c r="H14" s="539">
        <f>G14</f>
      </c>
      <c r="I14" s="27" t="n"/>
    </row>
    <row r="15" ht="15.5" customHeight="1">
      <c r="A15" s="23" t="n">
        <v>12</v>
      </c>
      <c r="B15" s="56"/>
      <c r="C15" s="613"/>
      <c r="D15" s="58"/>
      <c r="E15" s="539" t="n"/>
      <c r="F15" s="539" t="n"/>
      <c r="G15" s="539"/>
      <c r="H15" s="539">
        <f>G15</f>
      </c>
      <c r="I15" s="27" t="n"/>
    </row>
    <row r="16" ht="15.5" customHeight="1">
      <c r="A16" s="23" t="n">
        <v>13</v>
      </c>
      <c r="B16" s="59"/>
      <c r="C16" s="613"/>
      <c r="D16" s="58"/>
      <c r="E16" s="539" t="n"/>
      <c r="F16" s="539" t="n"/>
      <c r="G16" s="539"/>
      <c r="H16" s="539">
        <f>G16</f>
      </c>
      <c r="I16" s="27" t="n"/>
    </row>
    <row r="17" ht="15.5" customHeight="1">
      <c r="A17" s="23" t="n">
        <v>14</v>
      </c>
      <c r="B17" s="59"/>
      <c r="C17" s="613"/>
      <c r="D17" s="58"/>
      <c r="E17" s="539" t="n"/>
      <c r="F17" s="539" t="n"/>
      <c r="G17" s="539"/>
      <c r="H17" s="539">
        <f>G17</f>
      </c>
      <c r="I17" s="27" t="n"/>
    </row>
    <row r="18" ht="15.5" customHeight="1">
      <c r="A18" s="23" t="n">
        <v>15</v>
      </c>
      <c r="B18" s="59"/>
      <c r="C18" s="613"/>
      <c r="D18" s="58"/>
      <c r="E18" s="539" t="n"/>
      <c r="F18" s="539" t="n"/>
      <c r="G18" s="539"/>
      <c r="H18" s="539">
        <f>G18</f>
      </c>
      <c r="I18" s="27" t="n"/>
    </row>
    <row r="19" ht="15.5" customHeight="1">
      <c r="A19" s="23" t="n">
        <v>16</v>
      </c>
      <c r="B19" s="59"/>
      <c r="C19" s="613"/>
      <c r="D19" s="58"/>
      <c r="E19" s="539" t="n"/>
      <c r="F19" s="539" t="n"/>
      <c r="G19" s="539"/>
      <c r="H19" s="539">
        <f>G19</f>
      </c>
      <c r="I19" s="27" t="n"/>
    </row>
    <row r="20" ht="15.5" customHeight="1">
      <c r="A20" s="23" t="n">
        <v>19</v>
      </c>
      <c r="B20" s="59"/>
      <c r="C20" s="613"/>
      <c r="D20" s="58"/>
      <c r="E20" s="539" t="n"/>
      <c r="F20" s="539" t="n"/>
      <c r="G20" s="539"/>
      <c r="H20" s="539">
        <f>G20</f>
      </c>
      <c r="I20" s="27" t="n"/>
    </row>
    <row r="21" ht="15.5" customHeight="1">
      <c r="A21" s="23" t="n">
        <v>20</v>
      </c>
      <c r="B21" s="59"/>
      <c r="C21" s="613"/>
      <c r="D21" s="58"/>
      <c r="E21" s="539" t="n"/>
      <c r="F21" s="539" t="n"/>
      <c r="G21" s="539"/>
      <c r="H21" s="539">
        <f>G21</f>
      </c>
      <c r="I21" s="27" t="n"/>
    </row>
    <row r="22" ht="15.5" customHeight="1">
      <c r="A22" s="23" t="n">
        <v>23</v>
      </c>
      <c r="B22" s="59"/>
      <c r="C22" s="613"/>
      <c r="D22" s="63"/>
      <c r="E22" s="539" t="n"/>
      <c r="F22" s="539" t="n"/>
      <c r="G22" s="539"/>
      <c r="H22" s="539">
        <f>G22</f>
      </c>
      <c r="I22" s="27" t="n"/>
    </row>
    <row r="23" ht="15.5" customHeight="1">
      <c r="A23" s="23" t="n">
        <v>24</v>
      </c>
      <c r="B23" s="59"/>
      <c r="C23" s="613"/>
      <c r="D23" s="63"/>
      <c r="E23" s="539" t="n"/>
      <c r="F23" s="539" t="n"/>
      <c r="G23" s="539"/>
      <c r="H23" s="539">
        <f>G23</f>
      </c>
      <c r="I23" s="27" t="n"/>
    </row>
    <row r="24" ht="15.5" customHeight="1">
      <c r="A24" s="23" t="n">
        <v>25</v>
      </c>
      <c r="B24" s="59"/>
      <c r="C24" s="613"/>
      <c r="D24" s="63"/>
      <c r="E24" s="539" t="n"/>
      <c r="F24" s="539" t="n"/>
      <c r="G24" s="539"/>
      <c r="H24" s="539">
        <f>G24</f>
      </c>
      <c r="I24" s="27" t="n"/>
    </row>
    <row r="25" ht="15.5" customHeight="1">
      <c r="A25" s="23" t="n">
        <v>26</v>
      </c>
      <c r="B25" s="59"/>
      <c r="C25" s="613"/>
      <c r="D25" s="58"/>
      <c r="E25" s="539" t="n"/>
      <c r="F25" s="539" t="n"/>
      <c r="G25" s="539"/>
      <c r="H25" s="539">
        <f>G25</f>
      </c>
      <c r="I25" s="27" t="n"/>
    </row>
    <row r="26" ht="15.5" customHeight="1">
      <c r="A26" s="23" t="n">
        <v>27</v>
      </c>
      <c r="B26" s="59"/>
      <c r="C26" s="613"/>
      <c r="D26" s="58"/>
      <c r="E26" s="539" t="n"/>
      <c r="F26" s="539" t="n"/>
      <c r="G26" s="539"/>
      <c r="H26" s="539">
        <f>G26</f>
      </c>
      <c r="I26" s="27" t="n"/>
    </row>
    <row r="27" ht="15.5" customHeight="1">
      <c r="A27" s="23" t="n">
        <v>28</v>
      </c>
      <c r="B27" s="59"/>
      <c r="C27" s="613"/>
      <c r="D27" s="58"/>
      <c r="E27" s="539" t="n"/>
      <c r="F27" s="539" t="n"/>
      <c r="G27" s="539"/>
      <c r="H27" s="539">
        <f>G27</f>
      </c>
      <c r="I27" s="27" t="n"/>
    </row>
    <row r="28" ht="15.5" customHeight="1">
      <c r="A28" s="23" t="inlineStr">
        <is>
          <t>合                                    计</t>
        </is>
      </c>
      <c r="B28" s="28" t="n"/>
      <c r="C28" s="25" t="n"/>
      <c r="D28" s="23" t="n"/>
      <c r="E28" s="539">
        <f>SUM(E6:E27)</f>
      </c>
      <c r="F28" s="539" t="n"/>
      <c r="G28" s="539">
        <f>SUM(G6:G27)</f>
      </c>
      <c r="H28" s="539">
        <f>SUM(H6:H27)</f>
      </c>
      <c r="I28" s="27" t="n"/>
    </row>
    <row r="29" ht="15.5" customHeight="1">
      <c r="A29" s="29">
        <f>封面!D11&amp;封面!G11</f>
      </c>
      <c r="G29" s="536">
        <f>"评估人员："&amp;封面!G38</f>
      </c>
    </row>
    <row r="30" ht="15.5" customHeight="1">
      <c r="A30" s="29">
        <f>CONCATENATE(封面!D13,封面!F13,封面!G13,封面!H13,封面!I13,封面!J13,封面!K13)</f>
      </c>
    </row>
  </sheetData>
  <mergeCells count="3">
    <mergeCell ref="A2:I2"/>
    <mergeCell ref="A3:I3"/>
    <mergeCell ref="A28:B28"/>
  </mergeCells>
  <hyperlinks>
    <hyperlink ref="A1" location="索引目录!I9" display="返回索引页"/>
    <hyperlink ref="B1" location="流动负债汇总!B9" display="返回"/>
  </hyperlinks>
  <printOptions horizontalCentered="1"/>
  <pageMargins left="0.354330708661417" right="0.354330708661417" top="0.78740157480315" bottom="0.78740157480315" header="1.01" footer="0.511811023622047"/>
  <pageSetup orientation="landscape" paperSize="9" fitToHeight="0"/>
  <headerFooter alignWithMargins="0">
    <oddHeader>&amp;R&amp;"宋体,常规"共&amp;"Times New Roman,常规"&amp;N&amp;"宋体,常规"页第&amp;"Times New Roman,常规"&amp;P&amp;"宋体,常规"5-4_x000a_页</oddHeader>
    <oddFooter/>
    <evenHeader/>
    <evenFooter/>
    <firstHeader/>
    <firstFooter/>
  </headerFooter>
  <legacyDrawing xmlns:r="http://schemas.openxmlformats.org/officeDocument/2006/relationships" r:id="anysvml"/>
</worksheet>
</file>

<file path=xl/worksheets/sheet78.xml><?xml version="1.0" encoding="utf-8"?>
<worksheet xmlns="http://schemas.openxmlformats.org/spreadsheetml/2006/main">
  <sheetPr codeName="Sheet78">
    <outlinePr summaryBelow="1" summaryRight="1"/>
    <pageSetUpPr fitToPage="1"/>
  </sheetPr>
  <dimension ref="A1:I29"/>
  <sheetViews>
    <sheetView topLeftCell="C1" zoomScaleSheetLayoutView="115" workbookViewId="0">
      <selection activeCell="G451" sqref="G451"/>
    </sheetView>
  </sheetViews>
  <sheetFormatPr baseColWidth="8" defaultColWidth="9" defaultRowHeight="15.75" customHeight="1"/>
  <cols>
    <col width="6.33333333333333" customWidth="1" style="13" min="1" max="1"/>
    <col width="35.3333333333333" customWidth="1" style="13" min="2" max="2"/>
    <col width="11.5833333333333" customWidth="1" style="13" min="3" max="3"/>
    <col width="21.0833333333333" customWidth="1" style="13" min="4" max="4"/>
    <col hidden="1" outlineLevel="1" width="16.5" customWidth="1" style="13" min="5" max="6"/>
    <col collapsed="1" width="16.6666666666667" customWidth="1" style="13" min="7" max="7"/>
    <col width="15.5833333333333" customWidth="1" style="13" min="8" max="8"/>
    <col width="15.5" customWidth="1" style="13" min="9" max="9"/>
    <col width="9" customWidth="1" style="13" min="10" max="16384"/>
  </cols>
  <sheetData>
    <row r="1" ht="15" customFormat="1" customHeight="1" s="64">
      <c r="A1" s="529" t="inlineStr">
        <is>
          <t>返回索引页</t>
        </is>
      </c>
      <c r="B1" s="52" t="inlineStr">
        <is>
          <t>返回</t>
        </is>
      </c>
      <c r="C1" s="65" t="n"/>
      <c r="D1" s="65" t="n"/>
      <c r="E1" s="65" t="n"/>
      <c r="F1" s="65" t="n"/>
      <c r="G1" s="65" t="n"/>
      <c r="H1" s="65" t="n"/>
      <c r="I1" s="65" t="n"/>
    </row>
    <row r="2" ht="30" customFormat="1" customHeight="1" s="11">
      <c r="A2" s="53" t="inlineStr">
        <is>
          <t>预收账款评估明细表</t>
        </is>
      </c>
    </row>
    <row r="3" ht="14.15" customHeight="1">
      <c r="A3" s="535">
        <f>CONCATENATE(封面!D9,封面!F9,封面!G9,封面!H9,封面!I9,封面!J9,封面!K9)</f>
      </c>
    </row>
    <row r="4" ht="15.5" customHeight="1">
      <c r="A4" s="536">
        <f>封面!D7&amp;封面!F7</f>
      </c>
      <c r="I4" s="54" t="inlineStr">
        <is>
          <t>金额单位：人民币元</t>
        </is>
      </c>
    </row>
    <row r="5" ht="13" customFormat="1" customHeight="1" s="12">
      <c r="A5" s="23" t="inlineStr">
        <is>
          <t>序号</t>
        </is>
      </c>
      <c r="B5" s="23" t="inlineStr">
        <is>
          <t>户名（结算对象）</t>
        </is>
      </c>
      <c r="C5" s="23" t="inlineStr">
        <is>
          <t>发生日期</t>
        </is>
      </c>
      <c r="D5" s="23" t="inlineStr">
        <is>
          <t>业务内容</t>
        </is>
      </c>
      <c r="E5" s="55" t="inlineStr">
        <is>
          <t>审计前账面值</t>
        </is>
      </c>
      <c r="F5" s="55" t="inlineStr">
        <is>
          <t>审计调整</t>
        </is>
      </c>
      <c r="G5" s="23" t="inlineStr">
        <is>
          <t>账面价值</t>
        </is>
      </c>
      <c r="H5" s="23" t="inlineStr">
        <is>
          <t>评估价值</t>
        </is>
      </c>
      <c r="I5" s="23" t="inlineStr">
        <is>
          <t>备注</t>
        </is>
      </c>
    </row>
    <row r="6" ht="15.5" customHeight="1">
      <c r="A6" s="23" t="n"/>
      <c r="B6" s="56" t="n"/>
      <c r="C6" s="25" t="n"/>
      <c r="D6" s="23" t="n"/>
      <c r="E6" s="539" t="n"/>
      <c r="F6" s="539" t="n"/>
      <c r="G6" s="539" t="n"/>
      <c r="H6" s="539" t="n"/>
      <c r="I6" s="27" t="n"/>
    </row>
    <row r="7" ht="15.5" customHeight="1">
      <c r="A7" s="23" t="n"/>
      <c r="B7" s="56" t="n"/>
      <c r="C7" s="25" t="n"/>
      <c r="D7" s="23" t="n"/>
      <c r="E7" s="539" t="n"/>
      <c r="F7" s="539" t="n"/>
      <c r="G7" s="539" t="n"/>
      <c r="H7" s="539" t="n"/>
      <c r="I7" s="27" t="n"/>
    </row>
    <row r="8" ht="15.5" customHeight="1">
      <c r="A8" s="23" t="n"/>
      <c r="B8" s="56" t="n"/>
      <c r="C8" s="25" t="n"/>
      <c r="D8" s="23" t="n"/>
      <c r="E8" s="539" t="n"/>
      <c r="F8" s="539" t="n"/>
      <c r="G8" s="539" t="n"/>
      <c r="H8" s="539" t="n"/>
      <c r="I8" s="27" t="n"/>
    </row>
    <row r="9" ht="15.5" customHeight="1">
      <c r="A9" s="23" t="n"/>
      <c r="B9" s="56" t="n"/>
      <c r="C9" s="25" t="n"/>
      <c r="D9" s="23" t="n"/>
      <c r="E9" s="539" t="n"/>
      <c r="F9" s="539" t="n"/>
      <c r="G9" s="539" t="n"/>
      <c r="H9" s="539" t="n"/>
      <c r="I9" s="27" t="n"/>
    </row>
    <row r="10" ht="15.5" customHeight="1">
      <c r="A10" s="23" t="n"/>
      <c r="B10" s="24" t="n"/>
      <c r="C10" s="25" t="n"/>
      <c r="D10" s="25" t="n"/>
      <c r="E10" s="539" t="n"/>
      <c r="F10" s="539" t="n"/>
      <c r="G10" s="539" t="n"/>
      <c r="H10" s="539" t="n"/>
      <c r="I10" s="27" t="n"/>
    </row>
    <row r="11" ht="15.5" customHeight="1">
      <c r="A11" s="23" t="n"/>
      <c r="B11" s="24" t="n"/>
      <c r="C11" s="25" t="n"/>
      <c r="D11" s="25" t="n"/>
      <c r="E11" s="539" t="n"/>
      <c r="F11" s="539" t="n"/>
      <c r="G11" s="539" t="n"/>
      <c r="H11" s="539" t="n"/>
      <c r="I11" s="27" t="n"/>
    </row>
    <row r="12" ht="15.5" customHeight="1">
      <c r="A12" s="23" t="n"/>
      <c r="B12" s="24" t="n"/>
      <c r="C12" s="25" t="n"/>
      <c r="D12" s="23" t="n"/>
      <c r="E12" s="539" t="n"/>
      <c r="F12" s="539" t="n"/>
      <c r="G12" s="539" t="n"/>
      <c r="H12" s="539" t="n"/>
      <c r="I12" s="27" t="n"/>
    </row>
    <row r="13" ht="15.5" customHeight="1">
      <c r="A13" s="23" t="n"/>
      <c r="B13" s="24" t="n"/>
      <c r="C13" s="25" t="n"/>
      <c r="D13" s="23" t="n"/>
      <c r="E13" s="539" t="n"/>
      <c r="F13" s="539" t="n"/>
      <c r="G13" s="539" t="n"/>
      <c r="H13" s="539" t="n"/>
      <c r="I13" s="27" t="n"/>
    </row>
    <row r="14" ht="15.5" customHeight="1">
      <c r="A14" s="23" t="n"/>
      <c r="B14" s="24" t="n"/>
      <c r="C14" s="25" t="n"/>
      <c r="D14" s="23" t="n"/>
      <c r="E14" s="539" t="n"/>
      <c r="F14" s="539" t="n"/>
      <c r="G14" s="539" t="n"/>
      <c r="H14" s="539" t="n"/>
      <c r="I14" s="27" t="n"/>
    </row>
    <row r="15" ht="15.5" customHeight="1">
      <c r="A15" s="23" t="n"/>
      <c r="B15" s="24" t="n"/>
      <c r="C15" s="25" t="n"/>
      <c r="D15" s="23" t="n"/>
      <c r="E15" s="539" t="n"/>
      <c r="F15" s="539" t="n"/>
      <c r="G15" s="539" t="n"/>
      <c r="H15" s="539" t="n"/>
      <c r="I15" s="27" t="n"/>
    </row>
    <row r="16" ht="15.5" customHeight="1">
      <c r="A16" s="23" t="n"/>
      <c r="B16" s="24" t="n"/>
      <c r="C16" s="25" t="n"/>
      <c r="D16" s="23" t="n"/>
      <c r="E16" s="539" t="n"/>
      <c r="F16" s="539" t="n"/>
      <c r="G16" s="539" t="n"/>
      <c r="H16" s="539" t="n"/>
      <c r="I16" s="27" t="n"/>
    </row>
    <row r="17" ht="15.5" customHeight="1">
      <c r="A17" s="23" t="n"/>
      <c r="B17" s="24" t="n"/>
      <c r="C17" s="25" t="n"/>
      <c r="D17" s="23" t="n"/>
      <c r="E17" s="539" t="n"/>
      <c r="F17" s="539" t="n"/>
      <c r="G17" s="539" t="n"/>
      <c r="H17" s="539" t="n"/>
      <c r="I17" s="27" t="n"/>
    </row>
    <row r="18" ht="15.5" customHeight="1">
      <c r="A18" s="23" t="n"/>
      <c r="B18" s="24" t="n"/>
      <c r="C18" s="25" t="n"/>
      <c r="D18" s="23" t="n"/>
      <c r="E18" s="539" t="n"/>
      <c r="F18" s="539" t="n"/>
      <c r="G18" s="539" t="n"/>
      <c r="H18" s="539" t="n"/>
      <c r="I18" s="27" t="n"/>
    </row>
    <row r="19" ht="15.5" customHeight="1">
      <c r="A19" s="23" t="n"/>
      <c r="B19" s="24" t="n"/>
      <c r="C19" s="25" t="n"/>
      <c r="D19" s="23" t="n"/>
      <c r="E19" s="539" t="n"/>
      <c r="F19" s="539" t="n"/>
      <c r="G19" s="539" t="n"/>
      <c r="H19" s="539" t="n"/>
      <c r="I19" s="27" t="n"/>
    </row>
    <row r="20" ht="15.5" customHeight="1">
      <c r="A20" s="23" t="n"/>
      <c r="B20" s="24" t="n"/>
      <c r="C20" s="25" t="n"/>
      <c r="D20" s="23" t="n"/>
      <c r="E20" s="539" t="n"/>
      <c r="F20" s="539" t="n"/>
      <c r="G20" s="539" t="n"/>
      <c r="H20" s="539" t="n"/>
      <c r="I20" s="27" t="n"/>
    </row>
    <row r="21" ht="15.5" customHeight="1">
      <c r="A21" s="23" t="n"/>
      <c r="B21" s="24" t="n"/>
      <c r="C21" s="25" t="n"/>
      <c r="D21" s="23" t="n"/>
      <c r="E21" s="539" t="n"/>
      <c r="F21" s="539" t="n"/>
      <c r="G21" s="539" t="n"/>
      <c r="H21" s="539" t="n"/>
      <c r="I21" s="27" t="n"/>
    </row>
    <row r="22" ht="15.5" customHeight="1">
      <c r="A22" s="23" t="n"/>
      <c r="B22" s="24" t="n"/>
      <c r="C22" s="25" t="n"/>
      <c r="D22" s="23" t="n"/>
      <c r="E22" s="539" t="n"/>
      <c r="F22" s="539" t="n"/>
      <c r="G22" s="539" t="n"/>
      <c r="H22" s="539" t="n"/>
      <c r="I22" s="27" t="n"/>
    </row>
    <row r="23" ht="15.5" customHeight="1">
      <c r="A23" s="23" t="n"/>
      <c r="B23" s="24" t="n"/>
      <c r="C23" s="25" t="n"/>
      <c r="D23" s="23" t="n"/>
      <c r="E23" s="539" t="n"/>
      <c r="F23" s="539" t="n"/>
      <c r="G23" s="539" t="n"/>
      <c r="H23" s="539" t="n"/>
      <c r="I23" s="27" t="n"/>
    </row>
    <row r="24" ht="15.5" customHeight="1">
      <c r="A24" s="23" t="n"/>
      <c r="B24" s="24" t="n"/>
      <c r="C24" s="25" t="n"/>
      <c r="D24" s="23" t="n"/>
      <c r="E24" s="539" t="n"/>
      <c r="F24" s="539" t="n"/>
      <c r="G24" s="539" t="n"/>
      <c r="H24" s="539" t="n"/>
      <c r="I24" s="27" t="n"/>
    </row>
    <row r="25" ht="15.5" customHeight="1">
      <c r="A25" s="23" t="n"/>
      <c r="B25" s="24" t="n"/>
      <c r="C25" s="25" t="n"/>
      <c r="D25" s="23" t="n"/>
      <c r="E25" s="539" t="n"/>
      <c r="F25" s="539" t="n"/>
      <c r="G25" s="539" t="n"/>
      <c r="H25" s="539" t="n"/>
      <c r="I25" s="27" t="n"/>
    </row>
    <row r="26" ht="15.5" customHeight="1">
      <c r="A26" s="23" t="n"/>
      <c r="B26" s="24" t="n"/>
      <c r="C26" s="25" t="n"/>
      <c r="D26" s="23" t="n"/>
      <c r="E26" s="539" t="n"/>
      <c r="F26" s="539" t="n"/>
      <c r="G26" s="539" t="n"/>
      <c r="H26" s="539" t="n"/>
      <c r="I26" s="27" t="n"/>
    </row>
    <row r="27" ht="15.5" customHeight="1">
      <c r="A27" s="23" t="inlineStr">
        <is>
          <t>合                                    计</t>
        </is>
      </c>
      <c r="B27" s="28" t="n"/>
      <c r="C27" s="25" t="n"/>
      <c r="D27" s="23" t="n"/>
      <c r="E27" s="539">
        <f>SUM(E6:E26)</f>
      </c>
      <c r="F27" s="539" t="n"/>
      <c r="G27" s="539">
        <f>SUM(G6:G26)</f>
      </c>
      <c r="H27" s="539">
        <f>SUM(H6:H26)</f>
      </c>
      <c r="I27" s="27" t="n"/>
    </row>
    <row r="28" ht="15.5" customHeight="1">
      <c r="A28" s="29">
        <f>封面!D11&amp;封面!G11</f>
      </c>
      <c r="G28" s="536">
        <f>"评估人员："&amp;封面!G38</f>
      </c>
    </row>
    <row r="29" ht="15.5" customHeight="1">
      <c r="A29" s="29">
        <f>CONCATENATE(封面!D13,封面!F13,封面!G13,封面!H13,封面!I13,封面!J13,封面!K13)</f>
      </c>
    </row>
  </sheetData>
  <mergeCells count="3">
    <mergeCell ref="A27:B27"/>
    <mergeCell ref="A2:I2"/>
    <mergeCell ref="A3:I3"/>
  </mergeCells>
  <hyperlinks>
    <hyperlink ref="A1" location="索引目录!I10" display="返回索引页"/>
    <hyperlink ref="B1" location="流动负债汇总!B10" display="返回"/>
  </hyperlinks>
  <printOptions horizontalCentered="1"/>
  <pageMargins left="0.354330708661417" right="0.354330708661417" top="0.78740157480315" bottom="0.78740157480315" header="0.97" footer="0.511811023622047"/>
  <pageSetup orientation="landscape" paperSize="9" fitToHeight="0"/>
  <headerFooter alignWithMargins="0">
    <oddHeader>&amp;R&amp;"宋体,常规"共&amp;"Times New Roman,常规"&amp;N&amp;"宋体,常规"页第&amp;"Times New Roman,常规"&amp;P&amp;"宋体,常规"5-5_x000a_页</oddHeader>
    <oddFooter/>
    <evenHeader/>
    <evenFooter/>
    <firstHeader/>
    <firstFooter/>
  </headerFooter>
  <legacyDrawing xmlns:r="http://schemas.openxmlformats.org/officeDocument/2006/relationships" r:id="anysvml"/>
</worksheet>
</file>

<file path=xl/worksheets/sheet79.xml><?xml version="1.0" encoding="utf-8"?>
<worksheet xmlns="http://schemas.openxmlformats.org/spreadsheetml/2006/main">
  <sheetPr codeName="Sheet79">
    <outlinePr summaryBelow="1" summaryRight="1"/>
    <pageSetUpPr fitToPage="1"/>
  </sheetPr>
  <dimension ref="A1:H29"/>
  <sheetViews>
    <sheetView zoomScale="90" zoomScaleNormal="90" workbookViewId="0">
      <selection activeCell="G451" sqref="G451"/>
    </sheetView>
  </sheetViews>
  <sheetFormatPr baseColWidth="8" defaultColWidth="9" defaultRowHeight="15.75" customHeight="1"/>
  <cols>
    <col width="8.75" customWidth="1" style="13" min="1" max="1"/>
    <col width="28.9166666666667" customWidth="1" style="13" min="2" max="2"/>
    <col width="15.75" customWidth="1" style="13" min="3" max="3"/>
    <col hidden="1" outlineLevel="1" width="19.3333333333333" customWidth="1" style="13" min="4" max="5"/>
    <col collapsed="1" width="25" customWidth="1" style="13" min="6" max="6"/>
    <col width="25" customWidth="1" style="13" min="7" max="7"/>
    <col width="19" customWidth="1" style="13" min="8" max="8"/>
    <col width="9" customWidth="1" style="13" min="9" max="16384"/>
  </cols>
  <sheetData>
    <row r="1" ht="15.5" customHeight="1">
      <c r="A1" s="529" t="inlineStr">
        <is>
          <t>返回索引页</t>
        </is>
      </c>
      <c r="B1" s="52" t="inlineStr">
        <is>
          <t>返回</t>
        </is>
      </c>
      <c r="C1" s="16" t="n"/>
      <c r="D1" s="16" t="n"/>
      <c r="E1" s="16" t="n"/>
      <c r="F1" s="16" t="n"/>
      <c r="G1" s="16" t="n"/>
      <c r="H1" s="16" t="n"/>
    </row>
    <row r="2" ht="30" customFormat="1" customHeight="1" s="11">
      <c r="A2" s="53" t="inlineStr">
        <is>
          <t>应付职工薪酬评估明细表</t>
        </is>
      </c>
    </row>
    <row r="3" ht="14.15" customHeight="1">
      <c r="A3" s="535">
        <f>CONCATENATE(封面!D9,封面!F9,封面!G9,封面!H9,封面!I9,封面!J9,封面!K9)</f>
      </c>
    </row>
    <row r="4" ht="15.5" customHeight="1">
      <c r="A4" s="536">
        <f>封面!D7&amp;封面!F7</f>
      </c>
      <c r="H4" s="54" t="inlineStr">
        <is>
          <t>金额单位：人民币元</t>
        </is>
      </c>
    </row>
    <row r="5" ht="13" customFormat="1" customHeight="1" s="12">
      <c r="A5" s="23" t="inlineStr">
        <is>
          <t>序号</t>
        </is>
      </c>
      <c r="B5" s="23" t="inlineStr">
        <is>
          <t>结算内容</t>
        </is>
      </c>
      <c r="C5" s="23" t="inlineStr">
        <is>
          <t>发生日期</t>
        </is>
      </c>
      <c r="D5" s="55" t="inlineStr">
        <is>
          <t>审计前账面值</t>
        </is>
      </c>
      <c r="E5" s="55" t="inlineStr">
        <is>
          <t>审计调整</t>
        </is>
      </c>
      <c r="F5" s="23" t="inlineStr">
        <is>
          <t>账面价值</t>
        </is>
      </c>
      <c r="G5" s="23" t="inlineStr">
        <is>
          <t>评估价值</t>
        </is>
      </c>
      <c r="H5" s="23" t="inlineStr">
        <is>
          <t>备注</t>
        </is>
      </c>
    </row>
    <row r="6" ht="15.5" customHeight="1">
      <c r="A6" s="23" t="n">
        <v>1</v>
      </c>
      <c r="B6" s="24"/>
      <c r="C6" s="25"/>
      <c r="D6" s="539"/>
      <c r="E6" s="539" t="n"/>
      <c r="F6" s="539"/>
      <c r="G6" s="539">
        <f>F6</f>
      </c>
      <c r="H6" s="27" t="n"/>
    </row>
    <row r="7" ht="15.5" customHeight="1">
      <c r="A7" s="23" t="n">
        <v>2</v>
      </c>
      <c r="B7" s="24"/>
      <c r="C7" s="25"/>
      <c r="D7" s="539"/>
      <c r="E7" s="539" t="n"/>
      <c r="F7" s="539"/>
      <c r="G7" s="539">
        <f>F7</f>
      </c>
      <c r="H7" s="27" t="n"/>
    </row>
    <row r="8" ht="15.5" customHeight="1">
      <c r="A8" s="23" t="n">
        <v>3</v>
      </c>
      <c r="B8" s="24"/>
      <c r="C8" s="25"/>
      <c r="D8" s="539"/>
      <c r="E8" s="539" t="n"/>
      <c r="F8" s="539"/>
      <c r="G8" s="539">
        <f>F8</f>
      </c>
      <c r="H8" s="27" t="n"/>
    </row>
    <row r="9" ht="15.5" customHeight="1">
      <c r="A9" s="23" t="n"/>
      <c r="B9" s="24" t="n"/>
      <c r="C9" s="25" t="n"/>
      <c r="D9" s="539" t="n"/>
      <c r="E9" s="539" t="n"/>
      <c r="F9" s="539" t="n"/>
      <c r="G9" s="539" t="n"/>
      <c r="H9" s="27" t="n"/>
    </row>
    <row r="10" ht="15.5" customHeight="1">
      <c r="A10" s="23" t="n"/>
      <c r="B10" s="24" t="n"/>
      <c r="C10" s="25" t="n"/>
      <c r="D10" s="539" t="n"/>
      <c r="E10" s="539" t="n"/>
      <c r="F10" s="539" t="n"/>
      <c r="G10" s="539" t="n"/>
      <c r="H10" s="27" t="n"/>
    </row>
    <row r="11" ht="15.5" customHeight="1">
      <c r="A11" s="23" t="n"/>
      <c r="B11" s="24" t="n"/>
      <c r="C11" s="25" t="n"/>
      <c r="D11" s="539" t="n"/>
      <c r="E11" s="539" t="n"/>
      <c r="F11" s="539" t="n"/>
      <c r="G11" s="539" t="n"/>
      <c r="H11" s="27" t="n"/>
    </row>
    <row r="12" ht="15.5" customHeight="1">
      <c r="A12" s="23" t="n"/>
      <c r="B12" s="24" t="n"/>
      <c r="C12" s="25" t="n"/>
      <c r="D12" s="539" t="n"/>
      <c r="E12" s="539" t="n"/>
      <c r="F12" s="539" t="n"/>
      <c r="G12" s="539" t="n"/>
      <c r="H12" s="27" t="n"/>
    </row>
    <row r="13" ht="15.5" customHeight="1">
      <c r="A13" s="23" t="n"/>
      <c r="B13" s="24" t="n"/>
      <c r="C13" s="25" t="n"/>
      <c r="D13" s="539" t="n"/>
      <c r="E13" s="539" t="n"/>
      <c r="F13" s="539" t="n"/>
      <c r="G13" s="539" t="n"/>
      <c r="H13" s="27" t="n"/>
    </row>
    <row r="14" ht="15.5" customHeight="1">
      <c r="A14" s="23" t="n"/>
      <c r="B14" s="24" t="n"/>
      <c r="C14" s="25" t="n"/>
      <c r="D14" s="539" t="n"/>
      <c r="E14" s="539" t="n"/>
      <c r="F14" s="539" t="n"/>
      <c r="G14" s="539" t="n"/>
      <c r="H14" s="27" t="n"/>
    </row>
    <row r="15" ht="15.5" customHeight="1">
      <c r="A15" s="23" t="n"/>
      <c r="B15" s="24" t="n"/>
      <c r="C15" s="25" t="n"/>
      <c r="D15" s="539" t="n"/>
      <c r="E15" s="539" t="n"/>
      <c r="F15" s="539" t="n"/>
      <c r="G15" s="539" t="n"/>
      <c r="H15" s="27" t="n"/>
    </row>
    <row r="16" ht="15.5" customHeight="1">
      <c r="A16" s="23" t="n"/>
      <c r="B16" s="24" t="n"/>
      <c r="C16" s="25" t="n"/>
      <c r="D16" s="539" t="n"/>
      <c r="E16" s="539" t="n"/>
      <c r="F16" s="539" t="n"/>
      <c r="G16" s="539" t="n"/>
      <c r="H16" s="27" t="n"/>
    </row>
    <row r="17" ht="15.5" customHeight="1">
      <c r="A17" s="23" t="n"/>
      <c r="B17" s="24" t="n"/>
      <c r="C17" s="25" t="n"/>
      <c r="D17" s="539" t="n"/>
      <c r="E17" s="539" t="n"/>
      <c r="F17" s="539" t="n"/>
      <c r="G17" s="539" t="n"/>
      <c r="H17" s="27" t="n"/>
    </row>
    <row r="18" ht="15.5" customHeight="1">
      <c r="A18" s="23" t="n"/>
      <c r="B18" s="24" t="n"/>
      <c r="C18" s="25" t="n"/>
      <c r="D18" s="539" t="n"/>
      <c r="E18" s="539" t="n"/>
      <c r="F18" s="539" t="n"/>
      <c r="G18" s="539" t="n"/>
      <c r="H18" s="27" t="n"/>
    </row>
    <row r="19" ht="15.5" customHeight="1">
      <c r="A19" s="23" t="n"/>
      <c r="B19" s="24" t="n"/>
      <c r="C19" s="25" t="n"/>
      <c r="D19" s="539" t="n"/>
      <c r="E19" s="539" t="n"/>
      <c r="F19" s="539" t="n"/>
      <c r="G19" s="539" t="n"/>
      <c r="H19" s="27" t="n"/>
    </row>
    <row r="20" ht="15.5" customHeight="1">
      <c r="A20" s="23" t="n"/>
      <c r="B20" s="24" t="n"/>
      <c r="C20" s="25" t="n"/>
      <c r="D20" s="539" t="n"/>
      <c r="E20" s="539" t="n"/>
      <c r="F20" s="539" t="n"/>
      <c r="G20" s="539" t="n"/>
      <c r="H20" s="27" t="n"/>
    </row>
    <row r="21" ht="15.5" customHeight="1">
      <c r="A21" s="23" t="n"/>
      <c r="B21" s="24" t="n"/>
      <c r="C21" s="25" t="n"/>
      <c r="D21" s="539" t="n"/>
      <c r="E21" s="539" t="n"/>
      <c r="F21" s="539" t="n"/>
      <c r="G21" s="539" t="n"/>
      <c r="H21" s="27" t="n"/>
    </row>
    <row r="22" ht="15.5" customHeight="1">
      <c r="A22" s="23" t="n"/>
      <c r="B22" s="24" t="n"/>
      <c r="C22" s="25" t="n"/>
      <c r="D22" s="539" t="n"/>
      <c r="E22" s="539" t="n"/>
      <c r="F22" s="539" t="n"/>
      <c r="G22" s="539" t="n"/>
      <c r="H22" s="27" t="n"/>
    </row>
    <row r="23" ht="15.5" customHeight="1">
      <c r="A23" s="23" t="n"/>
      <c r="B23" s="24" t="n"/>
      <c r="C23" s="25" t="n"/>
      <c r="D23" s="539" t="n"/>
      <c r="E23" s="539" t="n"/>
      <c r="F23" s="539" t="n"/>
      <c r="G23" s="539" t="n"/>
      <c r="H23" s="27" t="n"/>
    </row>
    <row r="24" ht="15.5" customHeight="1">
      <c r="A24" s="23" t="n"/>
      <c r="B24" s="24" t="n"/>
      <c r="C24" s="25" t="n"/>
      <c r="D24" s="539" t="n"/>
      <c r="E24" s="539" t="n"/>
      <c r="F24" s="539" t="n"/>
      <c r="G24" s="539" t="n"/>
      <c r="H24" s="27" t="n"/>
    </row>
    <row r="25" ht="15.5" customHeight="1">
      <c r="A25" s="23" t="n"/>
      <c r="B25" s="24" t="n"/>
      <c r="C25" s="25" t="n"/>
      <c r="D25" s="539" t="n"/>
      <c r="E25" s="539" t="n"/>
      <c r="F25" s="539" t="n"/>
      <c r="G25" s="539" t="n"/>
      <c r="H25" s="27" t="n"/>
    </row>
    <row r="26" ht="15.5" customHeight="1">
      <c r="A26" s="23" t="n"/>
      <c r="B26" s="24" t="n"/>
      <c r="C26" s="25" t="n"/>
      <c r="D26" s="539" t="n"/>
      <c r="E26" s="539" t="n"/>
      <c r="F26" s="539" t="n"/>
      <c r="G26" s="539" t="n"/>
      <c r="H26" s="27" t="n"/>
    </row>
    <row r="27" ht="15.5" customHeight="1">
      <c r="A27" s="23" t="inlineStr">
        <is>
          <t>合                          计</t>
        </is>
      </c>
      <c r="B27" s="28" t="n"/>
      <c r="C27" s="25" t="n"/>
      <c r="D27" s="539">
        <f>SUM(D6:D26)</f>
      </c>
      <c r="E27" s="539" t="n"/>
      <c r="F27" s="539">
        <f>SUM(F6:F26)</f>
      </c>
      <c r="G27" s="539">
        <f>SUM(G6:G26)</f>
      </c>
      <c r="H27" s="27" t="n"/>
    </row>
    <row r="28" ht="15.5" customHeight="1">
      <c r="A28" s="29">
        <f>封面!D11&amp;封面!G11</f>
      </c>
      <c r="F28" s="536">
        <f>"评估人员："&amp;封面!G38</f>
      </c>
    </row>
    <row r="29" ht="15.5" customHeight="1">
      <c r="A29" s="29">
        <f>CONCATENATE(封面!D13,封面!F13,封面!G13,封面!H13,封面!I13,封面!J13,封面!K13)</f>
      </c>
    </row>
  </sheetData>
  <mergeCells count="3">
    <mergeCell ref="A27:B27"/>
    <mergeCell ref="A3:H3"/>
    <mergeCell ref="A2:H2"/>
  </mergeCells>
  <hyperlinks>
    <hyperlink ref="A1" location="索引目录!I11" display="返回索引页"/>
    <hyperlink ref="B1" location="流动负债汇总!B11" display="返回"/>
  </hyperlinks>
  <printOptions horizontalCentered="1"/>
  <pageMargins left="0.354330708661417" right="0.354330708661417" top="0.78740157480315" bottom="0.78740157480315" header="0.99" footer="0.511811023622047"/>
  <pageSetup orientation="landscape" paperSize="9" fitToHeight="0"/>
  <headerFooter alignWithMargins="0">
    <oddHeader>&amp;R&amp;"宋体,常规"共&amp;"Times New Roman,常规"&amp;N&amp;"宋体,常规"页第&amp;"Times New Roman,常规"&amp;P&amp;"宋体,常规"5-6_x000a_页</oddHeader>
    <oddFooter/>
    <evenHeader/>
    <evenFooter/>
    <firstHeader/>
    <firstFooter/>
  </headerFooter>
  <legacyDrawing xmlns:r="http://schemas.openxmlformats.org/officeDocument/2006/relationships" r:id="anysvml"/>
</worksheet>
</file>

<file path=xl/worksheets/sheet80.xml><?xml version="1.0" encoding="utf-8"?>
<worksheet xmlns="http://schemas.openxmlformats.org/spreadsheetml/2006/main">
  <sheetPr codeName="Sheet80">
    <outlinePr summaryBelow="1" summaryRight="1"/>
    <pageSetUpPr fitToPage="1"/>
  </sheetPr>
  <dimension ref="A1:I29"/>
  <sheetViews>
    <sheetView view="pageBreakPreview" zoomScale="85" zoomScaleNormal="100" workbookViewId="0">
      <selection activeCell="G451" sqref="G451"/>
    </sheetView>
  </sheetViews>
  <sheetFormatPr baseColWidth="8" defaultColWidth="9" defaultRowHeight="15.75" customHeight="1"/>
  <cols>
    <col width="7" customWidth="1" style="13" min="1" max="1"/>
    <col width="39.3333333333333" customWidth="1" style="13" min="2" max="2"/>
    <col width="10.6666666666667" customWidth="1" style="13" min="3" max="3"/>
    <col width="13.9166666666667" customWidth="1" style="13" min="4" max="4"/>
    <col hidden="1" outlineLevel="1" width="16.8333333333333" customWidth="1" style="13" min="5" max="6"/>
    <col collapsed="1" width="21.3333333333333" customWidth="1" style="13" min="7" max="7"/>
    <col width="21.3333333333333" customWidth="1" style="13" min="8" max="8"/>
    <col width="16.25" customWidth="1" style="13" min="9" max="9"/>
    <col width="9" customWidth="1" style="13" min="10" max="16384"/>
  </cols>
  <sheetData>
    <row r="1" ht="15.5" customHeight="1">
      <c r="A1" s="529" t="inlineStr">
        <is>
          <t>返回索引页</t>
        </is>
      </c>
      <c r="B1" s="52" t="inlineStr">
        <is>
          <t>返回</t>
        </is>
      </c>
      <c r="C1" s="16" t="n"/>
      <c r="D1" s="16" t="n"/>
      <c r="E1" s="16" t="n"/>
      <c r="F1" s="16" t="n"/>
      <c r="G1" s="16" t="n"/>
      <c r="H1" s="16" t="n"/>
      <c r="I1" s="16" t="n"/>
    </row>
    <row r="2" ht="30" customFormat="1" customHeight="1" s="11">
      <c r="A2" s="53" t="inlineStr">
        <is>
          <t>应交税费评估明细表</t>
        </is>
      </c>
    </row>
    <row r="3" ht="14.15" customHeight="1">
      <c r="A3" s="535">
        <f>CONCATENATE(封面!D9,封面!F9,封面!G9,封面!H9,封面!I9,封面!J9,封面!K9)</f>
      </c>
    </row>
    <row r="4" ht="15.5" customHeight="1">
      <c r="A4" s="536">
        <f>封面!D7&amp;封面!F7</f>
      </c>
      <c r="I4" s="54" t="inlineStr">
        <is>
          <t>金额单位：人民币元</t>
        </is>
      </c>
    </row>
    <row r="5" ht="13" customFormat="1" customHeight="1" s="12">
      <c r="A5" s="23" t="inlineStr">
        <is>
          <t>序号</t>
        </is>
      </c>
      <c r="B5" s="23" t="inlineStr">
        <is>
          <t>征税机关</t>
        </is>
      </c>
      <c r="C5" s="23" t="inlineStr">
        <is>
          <t>发生日期</t>
        </is>
      </c>
      <c r="D5" s="23" t="inlineStr">
        <is>
          <t>税费种类</t>
        </is>
      </c>
      <c r="E5" s="55" t="inlineStr">
        <is>
          <t>审计前账面值</t>
        </is>
      </c>
      <c r="F5" s="55" t="inlineStr">
        <is>
          <t>审计调整</t>
        </is>
      </c>
      <c r="G5" s="23" t="inlineStr">
        <is>
          <t>账面价值</t>
        </is>
      </c>
      <c r="H5" s="23" t="inlineStr">
        <is>
          <t>评估价值</t>
        </is>
      </c>
      <c r="I5" s="23" t="inlineStr">
        <is>
          <t>备注</t>
        </is>
      </c>
    </row>
    <row r="6" ht="15.5" customHeight="1">
      <c r="A6" s="23" t="n">
        <v>1</v>
      </c>
      <c r="B6" s="62"/>
      <c r="C6" s="25"/>
      <c r="D6" s="58"/>
      <c r="E6" s="539"/>
      <c r="F6" s="539" t="n"/>
      <c r="G6" s="539"/>
      <c r="H6" s="539">
        <f>G6</f>
      </c>
      <c r="I6" s="27" t="n"/>
    </row>
    <row r="7" ht="15.5" customHeight="1">
      <c r="A7" s="23" t="n">
        <v>2</v>
      </c>
      <c r="B7" s="62"/>
      <c r="C7" s="25"/>
      <c r="D7" s="58"/>
      <c r="E7" s="539"/>
      <c r="F7" s="539" t="n"/>
      <c r="G7" s="539"/>
      <c r="H7" s="539">
        <f>G7</f>
      </c>
      <c r="I7" s="27" t="n"/>
    </row>
    <row r="8" ht="15.5" customHeight="1">
      <c r="A8" s="23" t="n">
        <v>3</v>
      </c>
      <c r="B8" s="62"/>
      <c r="C8" s="25"/>
      <c r="D8" s="63"/>
      <c r="E8" s="539"/>
      <c r="F8" s="539" t="n"/>
      <c r="G8" s="539"/>
      <c r="H8" s="539">
        <f>G8</f>
      </c>
      <c r="I8" s="27" t="n"/>
    </row>
    <row r="9" ht="15.5" customHeight="1">
      <c r="A9" s="23" t="n">
        <v>4</v>
      </c>
      <c r="B9" s="62"/>
      <c r="C9" s="25"/>
      <c r="D9" s="63"/>
      <c r="E9" s="539"/>
      <c r="F9" s="539" t="n"/>
      <c r="G9" s="539"/>
      <c r="H9" s="539">
        <f>G9</f>
      </c>
      <c r="I9" s="27" t="n"/>
    </row>
    <row r="10" ht="15.5" customHeight="1">
      <c r="A10" s="23" t="n">
        <v>5</v>
      </c>
      <c r="B10" s="62"/>
      <c r="C10" s="25"/>
      <c r="D10" s="23"/>
      <c r="E10" s="539"/>
      <c r="F10" s="539" t="n"/>
      <c r="G10" s="539"/>
      <c r="H10" s="539">
        <f>G10</f>
      </c>
      <c r="I10" s="27" t="n"/>
    </row>
    <row r="11" ht="15.5" customHeight="1">
      <c r="A11" s="23" t="n">
        <v>6</v>
      </c>
      <c r="B11" s="62"/>
      <c r="C11" s="25"/>
      <c r="D11" s="23"/>
      <c r="E11" s="539"/>
      <c r="F11" s="539" t="n"/>
      <c r="G11" s="539"/>
      <c r="H11" s="539">
        <f>G11</f>
      </c>
      <c r="I11" s="27" t="n"/>
    </row>
    <row r="12" ht="15.5" customHeight="1">
      <c r="A12" s="23" t="n">
        <v>7</v>
      </c>
      <c r="B12" s="62"/>
      <c r="C12" s="25"/>
      <c r="D12" s="23"/>
      <c r="E12" s="539"/>
      <c r="F12" s="539" t="n"/>
      <c r="G12" s="539"/>
      <c r="H12" s="539">
        <f>G12</f>
      </c>
      <c r="I12" s="27" t="n"/>
    </row>
    <row r="13" ht="15.5" customHeight="1">
      <c r="A13" s="23" t="n"/>
      <c r="B13" s="24" t="n"/>
      <c r="C13" s="25" t="n"/>
      <c r="D13" s="23" t="n"/>
      <c r="E13" s="539" t="n"/>
      <c r="F13" s="539" t="n"/>
      <c r="G13" s="539" t="n"/>
      <c r="H13" s="539" t="n"/>
      <c r="I13" s="27" t="n"/>
    </row>
    <row r="14" ht="15.5" customHeight="1">
      <c r="A14" s="23" t="n"/>
      <c r="B14" s="24" t="n"/>
      <c r="C14" s="25" t="n"/>
      <c r="D14" s="23" t="n"/>
      <c r="E14" s="539" t="n"/>
      <c r="F14" s="539" t="n"/>
      <c r="G14" s="539" t="n"/>
      <c r="H14" s="539" t="n"/>
      <c r="I14" s="27" t="n"/>
    </row>
    <row r="15" ht="15.5" customHeight="1">
      <c r="A15" s="23" t="n"/>
      <c r="B15" s="24" t="n"/>
      <c r="C15" s="25" t="n"/>
      <c r="D15" s="23" t="n"/>
      <c r="E15" s="539" t="n"/>
      <c r="F15" s="539" t="n"/>
      <c r="G15" s="539" t="n"/>
      <c r="H15" s="539" t="n"/>
      <c r="I15" s="27" t="n"/>
    </row>
    <row r="16" ht="15.5" customHeight="1">
      <c r="A16" s="23" t="n"/>
      <c r="B16" s="24" t="n"/>
      <c r="C16" s="25" t="n"/>
      <c r="D16" s="23" t="n"/>
      <c r="E16" s="539" t="n"/>
      <c r="F16" s="539" t="n"/>
      <c r="G16" s="539" t="n"/>
      <c r="H16" s="539" t="n"/>
      <c r="I16" s="27" t="n"/>
    </row>
    <row r="17" ht="15.5" customHeight="1">
      <c r="A17" s="23" t="n"/>
      <c r="B17" s="24" t="n"/>
      <c r="C17" s="25" t="n"/>
      <c r="D17" s="23" t="n"/>
      <c r="E17" s="539" t="n"/>
      <c r="F17" s="539" t="n"/>
      <c r="G17" s="539" t="n"/>
      <c r="H17" s="539" t="n"/>
      <c r="I17" s="27" t="n"/>
    </row>
    <row r="18" ht="15.5" customHeight="1">
      <c r="A18" s="23" t="n"/>
      <c r="B18" s="24" t="n"/>
      <c r="C18" s="25" t="n"/>
      <c r="D18" s="23" t="n"/>
      <c r="E18" s="539" t="n"/>
      <c r="F18" s="539" t="n"/>
      <c r="G18" s="539" t="n"/>
      <c r="H18" s="539" t="n"/>
      <c r="I18" s="27" t="n"/>
    </row>
    <row r="19" ht="15.5" customHeight="1">
      <c r="A19" s="23" t="n"/>
      <c r="B19" s="24" t="n"/>
      <c r="C19" s="25" t="n"/>
      <c r="D19" s="23" t="n"/>
      <c r="E19" s="539" t="n"/>
      <c r="F19" s="539" t="n"/>
      <c r="G19" s="539" t="n"/>
      <c r="H19" s="539" t="n"/>
      <c r="I19" s="27" t="n"/>
    </row>
    <row r="20" ht="15.5" customHeight="1">
      <c r="A20" s="23" t="n"/>
      <c r="B20" s="24" t="n"/>
      <c r="C20" s="25" t="n"/>
      <c r="D20" s="23" t="n"/>
      <c r="E20" s="539" t="n"/>
      <c r="F20" s="539" t="n"/>
      <c r="G20" s="539" t="n"/>
      <c r="H20" s="539" t="n"/>
      <c r="I20" s="27" t="n"/>
    </row>
    <row r="21" ht="15.5" customHeight="1">
      <c r="A21" s="23" t="n"/>
      <c r="B21" s="24" t="n"/>
      <c r="C21" s="25" t="n"/>
      <c r="D21" s="23" t="n"/>
      <c r="E21" s="539" t="n"/>
      <c r="F21" s="539" t="n"/>
      <c r="G21" s="539" t="n"/>
      <c r="H21" s="539" t="n"/>
      <c r="I21" s="27" t="n"/>
    </row>
    <row r="22" ht="15.5" customHeight="1">
      <c r="A22" s="23" t="n"/>
      <c r="B22" s="24" t="n"/>
      <c r="C22" s="25" t="n"/>
      <c r="D22" s="23" t="n"/>
      <c r="E22" s="539" t="n"/>
      <c r="F22" s="539" t="n"/>
      <c r="G22" s="539" t="n"/>
      <c r="H22" s="539" t="n"/>
      <c r="I22" s="27" t="n"/>
    </row>
    <row r="23" ht="15.5" customHeight="1">
      <c r="A23" s="23" t="n"/>
      <c r="B23" s="24" t="n"/>
      <c r="C23" s="25" t="n"/>
      <c r="D23" s="23" t="n"/>
      <c r="E23" s="539" t="n"/>
      <c r="F23" s="539" t="n"/>
      <c r="G23" s="539" t="n"/>
      <c r="H23" s="539" t="n"/>
      <c r="I23" s="27" t="n"/>
    </row>
    <row r="24" ht="15.5" customHeight="1">
      <c r="A24" s="23" t="n"/>
      <c r="B24" s="24" t="n"/>
      <c r="C24" s="25" t="n"/>
      <c r="D24" s="23" t="n"/>
      <c r="E24" s="539" t="n"/>
      <c r="F24" s="539" t="n"/>
      <c r="G24" s="539" t="n"/>
      <c r="H24" s="539" t="n"/>
      <c r="I24" s="27" t="n"/>
    </row>
    <row r="25" ht="15.5" customHeight="1">
      <c r="A25" s="23" t="n"/>
      <c r="B25" s="24" t="n"/>
      <c r="C25" s="25" t="n"/>
      <c r="D25" s="23" t="n"/>
      <c r="E25" s="539" t="n"/>
      <c r="F25" s="539" t="n"/>
      <c r="G25" s="539" t="n"/>
      <c r="H25" s="539" t="n"/>
      <c r="I25" s="27" t="n"/>
    </row>
    <row r="26" ht="15.5" customHeight="1">
      <c r="A26" s="23" t="n"/>
      <c r="B26" s="24" t="n"/>
      <c r="C26" s="25" t="n"/>
      <c r="D26" s="23" t="n"/>
      <c r="E26" s="539" t="n"/>
      <c r="F26" s="539" t="n"/>
      <c r="G26" s="539" t="n"/>
      <c r="H26" s="539" t="n"/>
      <c r="I26" s="27" t="n"/>
    </row>
    <row r="27" ht="15.5" customHeight="1">
      <c r="A27" s="23" t="inlineStr">
        <is>
          <t>合                             计</t>
        </is>
      </c>
      <c r="B27" s="28" t="n"/>
      <c r="C27" s="25" t="n"/>
      <c r="D27" s="23" t="n"/>
      <c r="E27" s="539">
        <f>SUM(E6:E26)</f>
      </c>
      <c r="F27" s="539" t="n"/>
      <c r="G27" s="539">
        <f>SUM(G6:G26)</f>
      </c>
      <c r="H27" s="539">
        <f>SUM(H6:H26)</f>
      </c>
      <c r="I27" s="27" t="n"/>
    </row>
    <row r="28" ht="15.5" customHeight="1">
      <c r="A28" s="29">
        <f>封面!D11&amp;封面!G11</f>
      </c>
      <c r="G28" s="536">
        <f>"评估人员："&amp;封面!G38</f>
      </c>
    </row>
    <row r="29" ht="15.5" customHeight="1">
      <c r="A29" s="29">
        <f>CONCATENATE(封面!D13,封面!F13,封面!G13,封面!H13,封面!I13,封面!J13,封面!K13)</f>
      </c>
    </row>
  </sheetData>
  <mergeCells count="3">
    <mergeCell ref="A27:B27"/>
    <mergeCell ref="A2:I2"/>
    <mergeCell ref="A3:I3"/>
  </mergeCells>
  <hyperlinks>
    <hyperlink ref="A1" location="索引目录!I12" display="返回索引页"/>
    <hyperlink ref="B1" location="流动负债汇总!B12" display="返回"/>
  </hyperlinks>
  <printOptions horizontalCentered="1"/>
  <pageMargins left="0.354330708661417" right="0.354330708661417" top="0.78740157480315" bottom="0.78740157480315" header="1.01" footer="0.511811023622047"/>
  <pageSetup orientation="landscape" paperSize="9" fitToHeight="0"/>
  <headerFooter alignWithMargins="0">
    <oddHeader>&amp;R&amp;"宋体,常规"共&amp;"Times New Roman,常规"&amp;N&amp;"宋体,常规"页第&amp;"Times New Roman,常规"&amp;P&amp;"宋体,常规"5-7_x000a_页</oddHeader>
    <oddFooter/>
    <evenHeader/>
    <evenFooter/>
    <firstHeader/>
    <firstFooter/>
  </headerFooter>
  <legacyDrawing xmlns:r="http://schemas.openxmlformats.org/officeDocument/2006/relationships" r:id="anysvml"/>
</worksheet>
</file>

<file path=xl/worksheets/sheet81.xml><?xml version="1.0" encoding="utf-8"?>
<worksheet xmlns="http://schemas.openxmlformats.org/spreadsheetml/2006/main">
  <sheetPr codeName="Sheet81">
    <outlinePr summaryBelow="1" summaryRight="1"/>
    <pageSetUpPr fitToPage="1"/>
  </sheetPr>
  <dimension ref="A1:L29"/>
  <sheetViews>
    <sheetView view="pageBreakPreview" zoomScale="60" zoomScaleNormal="100" workbookViewId="0">
      <selection activeCell="G451" sqref="G451"/>
    </sheetView>
  </sheetViews>
  <sheetFormatPr baseColWidth="8" defaultColWidth="9" defaultRowHeight="15.75" customHeight="1"/>
  <cols>
    <col width="5" customWidth="1" style="13" min="1" max="1"/>
    <col width="23" customWidth="1" style="13" min="2" max="2"/>
    <col width="9" customWidth="1" style="13" min="3" max="3"/>
    <col width="11" customWidth="1" style="13" min="4" max="4"/>
    <col width="15.25" customWidth="1" style="13" min="5" max="5"/>
    <col width="8" customWidth="1" style="13" min="6" max="6"/>
    <col hidden="1" outlineLevel="1" width="14.5" customWidth="1" style="13" min="7" max="8"/>
    <col collapsed="1" width="14.5" customWidth="1" style="13" min="9" max="9"/>
    <col width="14.5" customWidth="1" style="13" min="10" max="10"/>
    <col width="12.5833333333333" customWidth="1" style="13" min="11" max="11"/>
    <col width="9" customWidth="1" style="13" min="12" max="16384"/>
  </cols>
  <sheetData>
    <row r="1" ht="15.5" customHeight="1">
      <c r="A1" s="559" t="inlineStr">
        <is>
          <t>返回索引页</t>
        </is>
      </c>
      <c r="B1" s="15" t="inlineStr">
        <is>
          <t>返回</t>
        </is>
      </c>
      <c r="C1" s="16" t="n"/>
      <c r="D1" s="16" t="n"/>
      <c r="E1" s="16" t="n"/>
      <c r="F1" s="16" t="n"/>
      <c r="G1" s="16" t="n"/>
      <c r="H1" s="16" t="n"/>
      <c r="I1" s="16" t="n"/>
      <c r="J1" s="16" t="n"/>
      <c r="K1" s="16" t="n"/>
      <c r="L1" s="16" t="n"/>
    </row>
    <row r="2" ht="30" customFormat="1" customHeight="1" s="11">
      <c r="A2" s="17" t="inlineStr">
        <is>
          <t>应付利息评估明细表</t>
        </is>
      </c>
    </row>
    <row r="3" ht="14.15" customHeight="1">
      <c r="A3" s="535">
        <f>CONCATENATE(封面!D9,封面!F9,封面!G9,封面!H9,封面!I9,封面!J9,封面!K9)</f>
      </c>
    </row>
    <row r="4" ht="15.5" customHeight="1">
      <c r="A4" s="536">
        <f>封面!D7&amp;封面!F7</f>
      </c>
      <c r="L4" s="20" t="inlineStr">
        <is>
          <t>金额单位：人民币元</t>
        </is>
      </c>
    </row>
    <row r="5" ht="13" customFormat="1" customHeight="1" s="12">
      <c r="A5" s="21" t="inlineStr">
        <is>
          <t>序号</t>
        </is>
      </c>
      <c r="B5" s="21" t="inlineStr">
        <is>
          <t>户名（结算对象）</t>
        </is>
      </c>
      <c r="C5" s="21" t="inlineStr">
        <is>
          <t>发生日期</t>
        </is>
      </c>
      <c r="D5" s="21" t="inlineStr">
        <is>
          <t>本金</t>
        </is>
      </c>
      <c r="E5" s="21" t="inlineStr">
        <is>
          <t>利息所属期间</t>
        </is>
      </c>
      <c r="F5" s="21" t="inlineStr">
        <is>
          <t>利息率%</t>
        </is>
      </c>
      <c r="G5" s="21" t="inlineStr">
        <is>
          <t>审计前账面值</t>
        </is>
      </c>
      <c r="H5" s="21" t="inlineStr">
        <is>
          <t>审计调整</t>
        </is>
      </c>
      <c r="I5" s="21" t="inlineStr">
        <is>
          <t>账面价值</t>
        </is>
      </c>
      <c r="J5" s="21" t="inlineStr">
        <is>
          <t>评估价值</t>
        </is>
      </c>
      <c r="K5" s="21" t="inlineStr">
        <is>
          <t>增值率%</t>
        </is>
      </c>
      <c r="L5" s="21" t="inlineStr">
        <is>
          <t>备注</t>
        </is>
      </c>
    </row>
    <row r="6" ht="15.5" customHeight="1">
      <c r="A6" s="23" t="n"/>
      <c r="B6" s="24" t="n"/>
      <c r="C6" s="25" t="n"/>
      <c r="D6" s="539" t="n"/>
      <c r="E6" s="23" t="n"/>
      <c r="F6" s="23" t="n"/>
      <c r="G6" s="539" t="n"/>
      <c r="H6" s="539" t="n"/>
      <c r="I6" s="539" t="n"/>
      <c r="J6" s="539" t="n"/>
      <c r="K6" s="539">
        <f>IF(I6=0,"",(J6-I6)/I6*100)</f>
      </c>
      <c r="L6" s="27" t="n"/>
    </row>
    <row r="7" ht="15.5" customHeight="1">
      <c r="A7" s="23" t="n"/>
      <c r="B7" s="24" t="n"/>
      <c r="C7" s="25" t="n"/>
      <c r="D7" s="539" t="n"/>
      <c r="E7" s="23" t="n"/>
      <c r="F7" s="23" t="n"/>
      <c r="G7" s="539" t="n"/>
      <c r="H7" s="539" t="n"/>
      <c r="I7" s="539" t="n"/>
      <c r="J7" s="539" t="n"/>
      <c r="K7" s="539">
        <f>IF(I7=0,"",(J7-I7)/I7*100)</f>
      </c>
      <c r="L7" s="27" t="n"/>
    </row>
    <row r="8" ht="15.5" customHeight="1">
      <c r="A8" s="23" t="n"/>
      <c r="B8" s="24" t="n"/>
      <c r="C8" s="25" t="n"/>
      <c r="D8" s="539" t="n"/>
      <c r="E8" s="23" t="n"/>
      <c r="F8" s="23" t="n"/>
      <c r="G8" s="539" t="n"/>
      <c r="H8" s="539" t="n"/>
      <c r="I8" s="539" t="n"/>
      <c r="J8" s="539" t="n"/>
      <c r="K8" s="539">
        <f>IF(I8=0,"",(J8-I8)/I8*100)</f>
      </c>
      <c r="L8" s="27" t="n"/>
    </row>
    <row r="9" ht="15.5" customHeight="1">
      <c r="A9" s="23" t="n"/>
      <c r="B9" s="24" t="n"/>
      <c r="C9" s="25" t="n"/>
      <c r="D9" s="539" t="n"/>
      <c r="E9" s="23" t="n"/>
      <c r="F9" s="23" t="n"/>
      <c r="G9" s="539" t="n"/>
      <c r="H9" s="539" t="n"/>
      <c r="I9" s="539" t="n"/>
      <c r="J9" s="539" t="n"/>
      <c r="K9" s="539">
        <f>IF(I9=0,"",(J9-I9)/I9*100)</f>
      </c>
      <c r="L9" s="27" t="n"/>
    </row>
    <row r="10" ht="15.5" customHeight="1">
      <c r="A10" s="23" t="n"/>
      <c r="B10" s="24" t="n"/>
      <c r="C10" s="25" t="n"/>
      <c r="D10" s="539" t="n"/>
      <c r="E10" s="23" t="n"/>
      <c r="F10" s="23" t="n"/>
      <c r="G10" s="539" t="n"/>
      <c r="H10" s="539" t="n"/>
      <c r="I10" s="539" t="n"/>
      <c r="J10" s="539" t="n"/>
      <c r="K10" s="539">
        <f>IF(I10=0,"",(J10-I10)/I10*100)</f>
      </c>
      <c r="L10" s="27" t="n"/>
    </row>
    <row r="11" ht="15.5" customHeight="1">
      <c r="A11" s="23" t="n"/>
      <c r="B11" s="24" t="n"/>
      <c r="C11" s="25" t="n"/>
      <c r="D11" s="539" t="n"/>
      <c r="E11" s="23" t="n"/>
      <c r="F11" s="23" t="n"/>
      <c r="G11" s="539" t="n"/>
      <c r="H11" s="539" t="n"/>
      <c r="I11" s="539" t="n"/>
      <c r="J11" s="539" t="n"/>
      <c r="K11" s="539">
        <f>IF(I11=0,"",(J11-I11)/I11*100)</f>
      </c>
      <c r="L11" s="27" t="n"/>
    </row>
    <row r="12" ht="15.5" customHeight="1">
      <c r="A12" s="23" t="n"/>
      <c r="B12" s="24" t="n"/>
      <c r="C12" s="25" t="n"/>
      <c r="D12" s="539" t="n"/>
      <c r="E12" s="23" t="n"/>
      <c r="F12" s="23" t="n"/>
      <c r="G12" s="539" t="n"/>
      <c r="H12" s="539" t="n"/>
      <c r="I12" s="539" t="n"/>
      <c r="J12" s="539" t="n"/>
      <c r="K12" s="539">
        <f>IF(I12=0,"",(J12-I12)/I12*100)</f>
      </c>
      <c r="L12" s="27" t="n"/>
    </row>
    <row r="13" ht="15.5" customHeight="1">
      <c r="A13" s="23" t="n"/>
      <c r="B13" s="24" t="n"/>
      <c r="C13" s="25" t="n"/>
      <c r="D13" s="539" t="n"/>
      <c r="E13" s="23" t="n"/>
      <c r="F13" s="23" t="n"/>
      <c r="G13" s="539" t="n"/>
      <c r="H13" s="539" t="n"/>
      <c r="I13" s="539" t="n"/>
      <c r="J13" s="539" t="n"/>
      <c r="K13" s="539">
        <f>IF(I13=0,"",(J13-I13)/I13*100)</f>
      </c>
      <c r="L13" s="27" t="n"/>
    </row>
    <row r="14" ht="15.5" customHeight="1">
      <c r="A14" s="23" t="n"/>
      <c r="B14" s="24" t="n"/>
      <c r="C14" s="25" t="n"/>
      <c r="D14" s="539" t="n"/>
      <c r="E14" s="23" t="n"/>
      <c r="F14" s="23" t="n"/>
      <c r="G14" s="539" t="n"/>
      <c r="H14" s="539" t="n"/>
      <c r="I14" s="539" t="n"/>
      <c r="J14" s="539" t="n"/>
      <c r="K14" s="539">
        <f>IF(I14=0,"",(J14-I14)/I14*100)</f>
      </c>
      <c r="L14" s="27" t="n"/>
    </row>
    <row r="15" ht="15.5" customHeight="1">
      <c r="A15" s="23" t="n"/>
      <c r="B15" s="24" t="n"/>
      <c r="C15" s="25" t="n"/>
      <c r="D15" s="539" t="n"/>
      <c r="E15" s="23" t="n"/>
      <c r="F15" s="23" t="n"/>
      <c r="G15" s="539" t="n"/>
      <c r="H15" s="539" t="n"/>
      <c r="I15" s="539" t="n"/>
      <c r="J15" s="539" t="n"/>
      <c r="K15" s="539">
        <f>IF(I15=0,"",(J15-I15)/I15*100)</f>
      </c>
      <c r="L15" s="27" t="n"/>
    </row>
    <row r="16" ht="15.5" customHeight="1">
      <c r="A16" s="23" t="n"/>
      <c r="B16" s="24" t="n"/>
      <c r="C16" s="25" t="n"/>
      <c r="D16" s="539" t="n"/>
      <c r="E16" s="23" t="n"/>
      <c r="F16" s="23" t="n"/>
      <c r="G16" s="539" t="n"/>
      <c r="H16" s="539" t="n"/>
      <c r="I16" s="539" t="n"/>
      <c r="J16" s="539" t="n"/>
      <c r="K16" s="539">
        <f>IF(I16=0,"",(J16-I16)/I16*100)</f>
      </c>
      <c r="L16" s="27" t="n"/>
    </row>
    <row r="17" ht="15.5" customHeight="1">
      <c r="A17" s="23" t="n"/>
      <c r="B17" s="24" t="n"/>
      <c r="C17" s="25" t="n"/>
      <c r="D17" s="539" t="n"/>
      <c r="E17" s="23" t="n"/>
      <c r="F17" s="23" t="n"/>
      <c r="G17" s="539" t="n"/>
      <c r="H17" s="539" t="n"/>
      <c r="I17" s="539" t="n"/>
      <c r="J17" s="539" t="n"/>
      <c r="K17" s="539">
        <f>IF(I17=0,"",(J17-I17)/I17*100)</f>
      </c>
      <c r="L17" s="27" t="n"/>
    </row>
    <row r="18" ht="15.5" customHeight="1">
      <c r="A18" s="23" t="n"/>
      <c r="B18" s="24" t="n"/>
      <c r="C18" s="25" t="n"/>
      <c r="D18" s="539" t="n"/>
      <c r="E18" s="23" t="n"/>
      <c r="F18" s="23" t="n"/>
      <c r="G18" s="539" t="n"/>
      <c r="H18" s="539" t="n"/>
      <c r="I18" s="539" t="n"/>
      <c r="J18" s="539" t="n"/>
      <c r="K18" s="539">
        <f>IF(I18=0,"",(J18-I18)/I18*100)</f>
      </c>
      <c r="L18" s="27" t="n"/>
    </row>
    <row r="19" ht="15.5" customHeight="1">
      <c r="A19" s="23" t="n"/>
      <c r="B19" s="24" t="n"/>
      <c r="C19" s="25" t="n"/>
      <c r="D19" s="539" t="n"/>
      <c r="E19" s="23" t="n"/>
      <c r="F19" s="23" t="n"/>
      <c r="G19" s="539" t="n"/>
      <c r="H19" s="539" t="n"/>
      <c r="I19" s="539" t="n"/>
      <c r="J19" s="539" t="n"/>
      <c r="K19" s="539">
        <f>IF(I19=0,"",(J19-I19)/I19*100)</f>
      </c>
      <c r="L19" s="27" t="n"/>
    </row>
    <row r="20" ht="15.5" customHeight="1">
      <c r="A20" s="23" t="n"/>
      <c r="B20" s="24" t="n"/>
      <c r="C20" s="25" t="n"/>
      <c r="D20" s="539" t="n"/>
      <c r="E20" s="23" t="n"/>
      <c r="F20" s="23" t="n"/>
      <c r="G20" s="539" t="n"/>
      <c r="H20" s="539" t="n"/>
      <c r="I20" s="539" t="n"/>
      <c r="J20" s="539" t="n"/>
      <c r="K20" s="539">
        <f>IF(I20=0,"",(J20-I20)/I20*100)</f>
      </c>
      <c r="L20" s="27" t="n"/>
    </row>
    <row r="21" ht="15.5" customHeight="1">
      <c r="A21" s="23" t="n"/>
      <c r="B21" s="24" t="n"/>
      <c r="C21" s="25" t="n"/>
      <c r="D21" s="539" t="n"/>
      <c r="E21" s="23" t="n"/>
      <c r="F21" s="23" t="n"/>
      <c r="G21" s="539" t="n"/>
      <c r="H21" s="539" t="n"/>
      <c r="I21" s="539" t="n"/>
      <c r="J21" s="539" t="n"/>
      <c r="K21" s="539">
        <f>IF(I21=0,"",(J21-I21)/I21*100)</f>
      </c>
      <c r="L21" s="27" t="n"/>
    </row>
    <row r="22" ht="15.5" customHeight="1">
      <c r="A22" s="23" t="n"/>
      <c r="B22" s="24" t="n"/>
      <c r="C22" s="25" t="n"/>
      <c r="D22" s="539" t="n"/>
      <c r="E22" s="23" t="n"/>
      <c r="F22" s="23" t="n"/>
      <c r="G22" s="539" t="n"/>
      <c r="H22" s="539" t="n"/>
      <c r="I22" s="539" t="n"/>
      <c r="J22" s="539" t="n"/>
      <c r="K22" s="539">
        <f>IF(I22=0,"",(J22-I22)/I22*100)</f>
      </c>
      <c r="L22" s="27" t="n"/>
    </row>
    <row r="23" ht="15.5" customHeight="1">
      <c r="A23" s="23" t="n"/>
      <c r="B23" s="24" t="n"/>
      <c r="C23" s="25" t="n"/>
      <c r="D23" s="539" t="n"/>
      <c r="E23" s="23" t="n"/>
      <c r="F23" s="23" t="n"/>
      <c r="G23" s="539" t="n"/>
      <c r="H23" s="539" t="n"/>
      <c r="I23" s="539" t="n"/>
      <c r="J23" s="539" t="n"/>
      <c r="K23" s="539">
        <f>IF(I23=0,"",(J23-I23)/I23*100)</f>
      </c>
      <c r="L23" s="27" t="n"/>
    </row>
    <row r="24" ht="15.5" customHeight="1">
      <c r="A24" s="23" t="n"/>
      <c r="B24" s="24" t="n"/>
      <c r="C24" s="25" t="n"/>
      <c r="D24" s="539" t="n"/>
      <c r="E24" s="23" t="n"/>
      <c r="F24" s="23" t="n"/>
      <c r="G24" s="539" t="n"/>
      <c r="H24" s="539" t="n"/>
      <c r="I24" s="539" t="n"/>
      <c r="J24" s="539" t="n"/>
      <c r="K24" s="539">
        <f>IF(I24=0,"",(J24-I24)/I24*100)</f>
      </c>
      <c r="L24" s="27" t="n"/>
    </row>
    <row r="25" ht="15.5" customHeight="1">
      <c r="A25" s="23" t="n"/>
      <c r="B25" s="24" t="n"/>
      <c r="C25" s="25" t="n"/>
      <c r="D25" s="539" t="n"/>
      <c r="E25" s="23" t="n"/>
      <c r="F25" s="23" t="n"/>
      <c r="G25" s="539" t="n"/>
      <c r="H25" s="539" t="n"/>
      <c r="I25" s="539" t="n"/>
      <c r="J25" s="539" t="n"/>
      <c r="K25" s="539">
        <f>IF(I25=0,"",(J25-I25)/I25*100)</f>
      </c>
      <c r="L25" s="27" t="n"/>
    </row>
    <row r="26" ht="15.5" customHeight="1">
      <c r="A26" s="23" t="n"/>
      <c r="B26" s="24" t="n"/>
      <c r="C26" s="25" t="n"/>
      <c r="D26" s="539" t="n"/>
      <c r="E26" s="23" t="n"/>
      <c r="F26" s="23" t="n"/>
      <c r="G26" s="539" t="n"/>
      <c r="H26" s="539" t="n"/>
      <c r="I26" s="539" t="n"/>
      <c r="J26" s="539" t="n"/>
      <c r="K26" s="539" t="n"/>
      <c r="L26" s="27" t="n"/>
    </row>
    <row r="27" ht="15.5" customHeight="1">
      <c r="A27" s="21" t="inlineStr">
        <is>
          <t>合            计</t>
        </is>
      </c>
      <c r="B27" s="28" t="n"/>
      <c r="C27" s="27" t="n"/>
      <c r="D27" s="539">
        <f>SUM(D6:D26)</f>
      </c>
      <c r="E27" s="27" t="n"/>
      <c r="F27" s="27" t="n"/>
      <c r="G27" s="539">
        <f>SUM(G6:G26)</f>
      </c>
      <c r="H27" s="539" t="n"/>
      <c r="I27" s="539">
        <f>SUM(I6:I26)</f>
      </c>
      <c r="J27" s="539">
        <f>SUM(J6:J26)</f>
      </c>
      <c r="K27" s="539">
        <f>IF(I27=0,"",(J27-I27)/I27*100)</f>
      </c>
      <c r="L27" s="27" t="n"/>
    </row>
    <row r="28" ht="15.5" customHeight="1">
      <c r="A28" s="29">
        <f>封面!D11&amp;封面!G11</f>
      </c>
      <c r="I28" s="536">
        <f>"评估人员："&amp;封面!G20</f>
      </c>
    </row>
    <row r="29" ht="15.5" customHeight="1">
      <c r="A29" s="29">
        <f>CONCATENATE(封面!D13,封面!F13,封面!G13,封面!H13,封面!I13,封面!J13,封面!K13)</f>
      </c>
    </row>
  </sheetData>
  <mergeCells count="3">
    <mergeCell ref="A3:L3"/>
    <mergeCell ref="A2:L2"/>
    <mergeCell ref="A27:B27"/>
  </mergeCells>
  <hyperlinks>
    <hyperlink ref="A1" location="索引目录!I13" display="返回索引页"/>
    <hyperlink ref="B1" location="流动负债汇总!B13"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Roman,常规"&amp;P&amp;"宋体,常规"5-8_x000a_页</oddHeader>
    <oddFooter/>
    <evenHeader/>
    <evenFooter/>
    <firstHeader/>
    <firstFooter/>
  </headerFooter>
  <legacyDrawing xmlns:r="http://schemas.openxmlformats.org/officeDocument/2006/relationships" r:id="anysvml"/>
</worksheet>
</file>

<file path=xl/worksheets/sheet82.xml><?xml version="1.0" encoding="utf-8"?>
<worksheet xmlns="http://schemas.openxmlformats.org/spreadsheetml/2006/main">
  <sheetPr codeName="Sheet82">
    <outlinePr summaryBelow="1" summaryRight="1"/>
    <pageSetUpPr fitToPage="1"/>
  </sheetPr>
  <dimension ref="A1:I29"/>
  <sheetViews>
    <sheetView view="pageBreakPreview" zoomScale="130" zoomScaleNormal="100" workbookViewId="0">
      <selection activeCell="G451" sqref="G451"/>
    </sheetView>
  </sheetViews>
  <sheetFormatPr baseColWidth="8" defaultColWidth="9" defaultRowHeight="15.75" customHeight="1"/>
  <cols>
    <col width="6" customWidth="1" style="13" min="1" max="1"/>
    <col width="26" customWidth="1" style="13" min="2" max="2"/>
    <col width="12.5" customWidth="1" style="13" min="3" max="3"/>
    <col width="16.8333333333333" customWidth="1" style="13" min="4" max="4"/>
    <col hidden="1" outlineLevel="1" width="16.8333333333333" customWidth="1" style="13" min="5" max="6"/>
    <col collapsed="1" width="21.3333333333333" customWidth="1" style="13" min="7" max="7"/>
    <col width="21.3333333333333" customWidth="1" style="13" min="8" max="8"/>
    <col width="16.75" customWidth="1" style="13" min="9" max="9"/>
    <col width="9" customWidth="1" style="13" min="10" max="16384"/>
  </cols>
  <sheetData>
    <row r="1" ht="15.5" customHeight="1">
      <c r="A1" s="559" t="inlineStr">
        <is>
          <t>返回索引页</t>
        </is>
      </c>
      <c r="B1" s="15" t="inlineStr">
        <is>
          <t>返回</t>
        </is>
      </c>
      <c r="C1" s="16" t="n"/>
      <c r="D1" s="16" t="n"/>
      <c r="E1" s="16" t="n"/>
      <c r="F1" s="16" t="n"/>
      <c r="G1" s="16" t="n"/>
      <c r="H1" s="16" t="n"/>
      <c r="I1" s="16" t="n"/>
    </row>
    <row r="2" ht="30" customFormat="1" customHeight="1" s="11">
      <c r="A2" s="17" t="inlineStr">
        <is>
          <t>应付股利（应付利润）评估明细表</t>
        </is>
      </c>
    </row>
    <row r="3" ht="14.15" customHeight="1">
      <c r="A3" s="535">
        <f>CONCATENATE(封面!D9,封面!F9,封面!G9,封面!H9,封面!I9,封面!J9,封面!K9)</f>
      </c>
    </row>
    <row r="4" ht="15.5" customHeight="1">
      <c r="A4" s="536">
        <f>封面!D7&amp;封面!F7</f>
      </c>
      <c r="I4" s="20" t="inlineStr">
        <is>
          <t>金额单位：人民币元</t>
        </is>
      </c>
    </row>
    <row r="5" ht="13" customFormat="1" customHeight="1" s="12">
      <c r="A5" s="21" t="inlineStr">
        <is>
          <t>序号</t>
        </is>
      </c>
      <c r="B5" s="21" t="inlineStr">
        <is>
          <t>投资单位名称（股东）</t>
        </is>
      </c>
      <c r="C5" s="21" t="inlineStr">
        <is>
          <t>发生日期</t>
        </is>
      </c>
      <c r="D5" s="21" t="inlineStr">
        <is>
          <t>利润所属期间</t>
        </is>
      </c>
      <c r="E5" s="22" t="inlineStr">
        <is>
          <t>审计前账面值</t>
        </is>
      </c>
      <c r="F5" s="22" t="inlineStr">
        <is>
          <t>审计调整</t>
        </is>
      </c>
      <c r="G5" s="21" t="inlineStr">
        <is>
          <t>账面价值</t>
        </is>
      </c>
      <c r="H5" s="21" t="inlineStr">
        <is>
          <t>评估价值</t>
        </is>
      </c>
      <c r="I5" s="21" t="inlineStr">
        <is>
          <t>备注</t>
        </is>
      </c>
    </row>
    <row r="6" ht="15.5" customHeight="1">
      <c r="A6" s="23" t="n"/>
      <c r="B6" s="24" t="n"/>
      <c r="C6" s="60" t="n"/>
      <c r="D6" s="61" t="n"/>
      <c r="E6" s="539" t="n"/>
      <c r="F6" s="539" t="n"/>
      <c r="G6" s="539" t="n"/>
      <c r="H6" s="539" t="n"/>
      <c r="I6" s="27" t="n"/>
    </row>
    <row r="7" ht="15.5" customHeight="1">
      <c r="A7" s="23" t="n"/>
      <c r="B7" s="24" t="n"/>
      <c r="C7" s="25" t="n"/>
      <c r="D7" s="23" t="n"/>
      <c r="E7" s="539" t="n"/>
      <c r="F7" s="539" t="n"/>
      <c r="G7" s="539" t="n"/>
      <c r="H7" s="539" t="n"/>
      <c r="I7" s="27" t="n"/>
    </row>
    <row r="8" ht="15.5" customHeight="1">
      <c r="A8" s="23" t="n"/>
      <c r="B8" s="24" t="n"/>
      <c r="C8" s="25" t="n"/>
      <c r="D8" s="23" t="n"/>
      <c r="E8" s="539" t="n"/>
      <c r="F8" s="539" t="n"/>
      <c r="G8" s="539" t="n"/>
      <c r="H8" s="539" t="n"/>
      <c r="I8" s="27" t="n"/>
    </row>
    <row r="9" ht="15.5" customHeight="1">
      <c r="A9" s="23" t="n"/>
      <c r="B9" s="24" t="n"/>
      <c r="C9" s="25" t="n"/>
      <c r="D9" s="23" t="n"/>
      <c r="E9" s="539" t="n"/>
      <c r="F9" s="539" t="n"/>
      <c r="G9" s="539" t="n"/>
      <c r="H9" s="539" t="n"/>
      <c r="I9" s="27" t="n"/>
    </row>
    <row r="10" ht="15.5" customHeight="1">
      <c r="A10" s="23" t="n"/>
      <c r="B10" s="24" t="n"/>
      <c r="C10" s="25" t="n"/>
      <c r="D10" s="23" t="n"/>
      <c r="E10" s="539" t="n"/>
      <c r="F10" s="539" t="n"/>
      <c r="G10" s="539" t="n"/>
      <c r="H10" s="539" t="n"/>
      <c r="I10" s="27" t="n"/>
    </row>
    <row r="11" ht="15.5" customHeight="1">
      <c r="A11" s="23" t="n"/>
      <c r="B11" s="24" t="n"/>
      <c r="C11" s="25" t="n"/>
      <c r="D11" s="23" t="n"/>
      <c r="E11" s="539" t="n"/>
      <c r="F11" s="539" t="n"/>
      <c r="G11" s="539" t="n"/>
      <c r="H11" s="539" t="n"/>
      <c r="I11" s="27" t="n"/>
    </row>
    <row r="12" ht="15.5" customHeight="1">
      <c r="A12" s="23" t="n"/>
      <c r="B12" s="24" t="n"/>
      <c r="C12" s="25" t="n"/>
      <c r="D12" s="23" t="n"/>
      <c r="E12" s="539" t="n"/>
      <c r="F12" s="539" t="n"/>
      <c r="G12" s="539" t="n"/>
      <c r="H12" s="539" t="n"/>
      <c r="I12" s="27" t="n"/>
    </row>
    <row r="13" ht="15.5" customHeight="1">
      <c r="A13" s="23" t="n"/>
      <c r="B13" s="24" t="n"/>
      <c r="C13" s="25" t="n"/>
      <c r="D13" s="23" t="n"/>
      <c r="E13" s="539" t="n"/>
      <c r="F13" s="539" t="n"/>
      <c r="G13" s="539" t="n"/>
      <c r="H13" s="539" t="n"/>
      <c r="I13" s="27" t="n"/>
    </row>
    <row r="14" ht="15.5" customHeight="1">
      <c r="A14" s="23" t="n"/>
      <c r="B14" s="24" t="n"/>
      <c r="C14" s="25" t="n"/>
      <c r="D14" s="23" t="n"/>
      <c r="E14" s="539" t="n"/>
      <c r="F14" s="539" t="n"/>
      <c r="G14" s="539" t="n"/>
      <c r="H14" s="539" t="n"/>
      <c r="I14" s="27" t="n"/>
    </row>
    <row r="15" ht="15.5" customHeight="1">
      <c r="A15" s="23" t="n"/>
      <c r="B15" s="24" t="n"/>
      <c r="C15" s="25" t="n"/>
      <c r="D15" s="23" t="n"/>
      <c r="E15" s="539" t="n"/>
      <c r="F15" s="539" t="n"/>
      <c r="G15" s="539" t="n"/>
      <c r="H15" s="539" t="n"/>
      <c r="I15" s="27" t="n"/>
    </row>
    <row r="16" ht="15.5" customHeight="1">
      <c r="A16" s="23" t="n"/>
      <c r="B16" s="24" t="n"/>
      <c r="C16" s="25" t="n"/>
      <c r="D16" s="23" t="n"/>
      <c r="E16" s="539" t="n"/>
      <c r="F16" s="539" t="n"/>
      <c r="G16" s="539" t="n"/>
      <c r="H16" s="539" t="n"/>
      <c r="I16" s="27" t="n"/>
    </row>
    <row r="17" ht="15.5" customHeight="1">
      <c r="A17" s="23" t="n"/>
      <c r="B17" s="24" t="n"/>
      <c r="C17" s="25" t="n"/>
      <c r="D17" s="23" t="n"/>
      <c r="E17" s="539" t="n"/>
      <c r="F17" s="539" t="n"/>
      <c r="G17" s="539" t="n"/>
      <c r="H17" s="539" t="n"/>
      <c r="I17" s="27" t="n"/>
    </row>
    <row r="18" ht="15.5" customHeight="1">
      <c r="A18" s="23" t="n"/>
      <c r="B18" s="24" t="n"/>
      <c r="C18" s="25" t="n"/>
      <c r="D18" s="23" t="n"/>
      <c r="E18" s="539" t="n"/>
      <c r="F18" s="539" t="n"/>
      <c r="G18" s="539" t="n"/>
      <c r="H18" s="539" t="n"/>
      <c r="I18" s="27" t="n"/>
    </row>
    <row r="19" ht="15.5" customHeight="1">
      <c r="A19" s="23" t="n"/>
      <c r="B19" s="24" t="n"/>
      <c r="C19" s="25" t="n"/>
      <c r="D19" s="23" t="n"/>
      <c r="E19" s="539" t="n"/>
      <c r="F19" s="539" t="n"/>
      <c r="G19" s="539" t="n"/>
      <c r="H19" s="539" t="n"/>
      <c r="I19" s="27" t="n"/>
    </row>
    <row r="20" ht="15.5" customHeight="1">
      <c r="A20" s="23" t="n"/>
      <c r="B20" s="24" t="n"/>
      <c r="C20" s="25" t="n"/>
      <c r="D20" s="23" t="n"/>
      <c r="E20" s="539" t="n"/>
      <c r="F20" s="539" t="n"/>
      <c r="G20" s="539" t="n"/>
      <c r="H20" s="539" t="n"/>
      <c r="I20" s="27" t="n"/>
    </row>
    <row r="21" ht="15.5" customHeight="1">
      <c r="A21" s="23" t="n"/>
      <c r="B21" s="24" t="n"/>
      <c r="C21" s="25" t="n"/>
      <c r="D21" s="23" t="n"/>
      <c r="E21" s="539" t="n"/>
      <c r="F21" s="539" t="n"/>
      <c r="G21" s="539" t="n"/>
      <c r="H21" s="539" t="n"/>
      <c r="I21" s="27" t="n"/>
    </row>
    <row r="22" ht="15.5" customHeight="1">
      <c r="A22" s="23" t="n"/>
      <c r="B22" s="24" t="n"/>
      <c r="C22" s="25" t="n"/>
      <c r="D22" s="23" t="n"/>
      <c r="E22" s="539" t="n"/>
      <c r="F22" s="539" t="n"/>
      <c r="G22" s="539" t="n"/>
      <c r="H22" s="539" t="n"/>
      <c r="I22" s="27" t="n"/>
    </row>
    <row r="23" ht="15.5" customHeight="1">
      <c r="A23" s="23" t="n"/>
      <c r="B23" s="24" t="n"/>
      <c r="C23" s="25" t="n"/>
      <c r="D23" s="23" t="n"/>
      <c r="E23" s="539" t="n"/>
      <c r="F23" s="539" t="n"/>
      <c r="G23" s="539" t="n"/>
      <c r="H23" s="539" t="n"/>
      <c r="I23" s="27" t="n"/>
    </row>
    <row r="24" ht="15.5" customHeight="1">
      <c r="A24" s="23" t="n"/>
      <c r="B24" s="24" t="n"/>
      <c r="C24" s="25" t="n"/>
      <c r="D24" s="23" t="n"/>
      <c r="E24" s="539" t="n"/>
      <c r="F24" s="539" t="n"/>
      <c r="G24" s="539" t="n"/>
      <c r="H24" s="539" t="n"/>
      <c r="I24" s="27" t="n"/>
    </row>
    <row r="25" ht="15.5" customHeight="1">
      <c r="A25" s="23" t="n"/>
      <c r="B25" s="24" t="n"/>
      <c r="C25" s="25" t="n"/>
      <c r="D25" s="23" t="n"/>
      <c r="E25" s="539" t="n"/>
      <c r="F25" s="539" t="n"/>
      <c r="G25" s="539" t="n"/>
      <c r="H25" s="539" t="n"/>
      <c r="I25" s="27" t="n"/>
    </row>
    <row r="26" ht="15.5" customHeight="1">
      <c r="A26" s="23" t="n"/>
      <c r="B26" s="24" t="n"/>
      <c r="C26" s="25" t="n"/>
      <c r="D26" s="23" t="n"/>
      <c r="E26" s="539" t="n"/>
      <c r="F26" s="539" t="n"/>
      <c r="G26" s="539" t="n"/>
      <c r="H26" s="539" t="n"/>
      <c r="I26" s="27" t="n"/>
    </row>
    <row r="27" ht="15.5" customHeight="1">
      <c r="A27" s="21" t="inlineStr">
        <is>
          <t>合                             计</t>
        </is>
      </c>
      <c r="B27" s="28" t="n"/>
      <c r="C27" s="25" t="n"/>
      <c r="D27" s="23" t="n"/>
      <c r="E27" s="539">
        <f>SUM(E6:E26)</f>
      </c>
      <c r="F27" s="539" t="n"/>
      <c r="G27" s="539">
        <f>SUM(G6:G26)</f>
      </c>
      <c r="H27" s="539">
        <f>SUM(H6:H26)</f>
      </c>
      <c r="I27" s="27" t="n"/>
    </row>
    <row r="28" ht="15.5" customHeight="1">
      <c r="A28" s="29">
        <f>封面!D11&amp;封面!G11</f>
      </c>
      <c r="G28" s="536">
        <f>"评估人员："&amp;封面!G38</f>
      </c>
    </row>
    <row r="29" ht="15.5" customHeight="1">
      <c r="A29" s="29">
        <f>CONCATENATE(封面!D13,封面!F13,封面!G13,封面!H13,封面!I13,封面!J13,封面!K13)</f>
      </c>
    </row>
  </sheetData>
  <mergeCells count="3">
    <mergeCell ref="A27:B27"/>
    <mergeCell ref="A2:I2"/>
    <mergeCell ref="A3:I3"/>
  </mergeCells>
  <hyperlinks>
    <hyperlink ref="A1" location="索引目录!I14" display="返回索引页"/>
    <hyperlink ref="B1" location="流动负债汇总!B14" display="返回"/>
  </hyperlinks>
  <printOptions horizontalCentered="1"/>
  <pageMargins left="0.354330708661417" right="0.354330708661417" top="0.78740157480315" bottom="0.78740157480315" header="1.06" footer="0.511811023622047"/>
  <pageSetup orientation="landscape" paperSize="9" fitToHeight="0"/>
  <headerFooter alignWithMargins="0">
    <oddHeader>&amp;R&amp;"宋体,常规"共&amp;"Times New Roman,常规"&amp;N&amp;"宋体,常规"页第&amp;"Times New Roman,常规"&amp;P&amp;"宋体,常规"5-9_x000a_页</oddHeader>
    <oddFooter/>
    <evenHeader/>
    <evenFooter/>
    <firstHeader/>
    <firstFooter/>
  </headerFooter>
  <legacyDrawing xmlns:r="http://schemas.openxmlformats.org/officeDocument/2006/relationships" r:id="anysvml"/>
</worksheet>
</file>

<file path=xl/worksheets/sheet83.xml><?xml version="1.0" encoding="utf-8"?>
<worksheet xmlns="http://schemas.openxmlformats.org/spreadsheetml/2006/main">
  <sheetPr codeName="Sheet83">
    <outlinePr summaryBelow="1" summaryRight="1"/>
    <pageSetUpPr fitToPage="1"/>
  </sheetPr>
  <dimension ref="A1:I53"/>
  <sheetViews>
    <sheetView view="pageBreakPreview" topLeftCell="A33" zoomScale="115" zoomScaleNormal="100" workbookViewId="0">
      <selection activeCell="G451" sqref="G451"/>
    </sheetView>
  </sheetViews>
  <sheetFormatPr baseColWidth="8" defaultColWidth="9" defaultRowHeight="15.75" customHeight="1"/>
  <cols>
    <col width="4.25" customWidth="1" style="13" min="1" max="1"/>
    <col width="28.9166666666667" customWidth="1" style="13" min="2" max="2"/>
    <col width="14" customWidth="1" style="13" min="3" max="3"/>
    <col width="20.25" customWidth="1" style="13" min="4" max="4"/>
    <col hidden="1" outlineLevel="1" width="16.5" customWidth="1" style="13" min="5" max="6"/>
    <col collapsed="1" width="20" customWidth="1" style="13" min="7" max="7"/>
    <col width="20" customWidth="1" style="13" min="8" max="8"/>
    <col width="14.8333333333333" customWidth="1" style="13" min="9" max="9"/>
    <col width="9" customWidth="1" style="13" min="10" max="16384"/>
  </cols>
  <sheetData>
    <row r="1" ht="15.5" customHeight="1">
      <c r="A1" s="529" t="inlineStr">
        <is>
          <t>返回索引页</t>
        </is>
      </c>
      <c r="B1" s="52" t="inlineStr">
        <is>
          <t>返回</t>
        </is>
      </c>
      <c r="C1" s="16" t="n"/>
      <c r="D1" s="16" t="n"/>
      <c r="E1" s="16" t="n"/>
      <c r="F1" s="16" t="n"/>
      <c r="G1" s="16" t="n"/>
      <c r="H1" s="16" t="n"/>
      <c r="I1" s="16" t="n"/>
    </row>
    <row r="2" ht="30" customFormat="1" customHeight="1" s="11">
      <c r="A2" s="53" t="inlineStr">
        <is>
          <t>其他应付款评估明细表</t>
        </is>
      </c>
    </row>
    <row r="3" ht="14.15" customHeight="1">
      <c r="A3" s="535">
        <f>CONCATENATE(封面!D9,封面!F9,封面!G9,封面!H9,封面!I9,封面!J9,封面!K9)</f>
      </c>
    </row>
    <row r="4" ht="15.5" customHeight="1">
      <c r="A4" s="536">
        <f>封面!D7&amp;封面!F7</f>
      </c>
      <c r="I4" s="54" t="inlineStr">
        <is>
          <t>金额单位：人民币元</t>
        </is>
      </c>
    </row>
    <row r="5" ht="13" customFormat="1" customHeight="1" s="12">
      <c r="A5" s="23" t="inlineStr">
        <is>
          <t>序号</t>
        </is>
      </c>
      <c r="B5" s="23" t="inlineStr">
        <is>
          <t>户名（结算对象）</t>
        </is>
      </c>
      <c r="C5" s="23" t="inlineStr">
        <is>
          <t>发生日期</t>
        </is>
      </c>
      <c r="D5" s="23" t="inlineStr">
        <is>
          <t>业务内容</t>
        </is>
      </c>
      <c r="E5" s="55" t="inlineStr">
        <is>
          <t>审计前账面值</t>
        </is>
      </c>
      <c r="F5" s="55" t="inlineStr">
        <is>
          <t>审计调整</t>
        </is>
      </c>
      <c r="G5" s="23" t="inlineStr">
        <is>
          <t>账面价值</t>
        </is>
      </c>
      <c r="H5" s="23" t="inlineStr">
        <is>
          <t>评估价值</t>
        </is>
      </c>
      <c r="I5" s="23" t="inlineStr">
        <is>
          <t>备注</t>
        </is>
      </c>
    </row>
    <row r="6" ht="15.5" customHeight="1">
      <c r="A6" s="23" t="n">
        <v>1</v>
      </c>
      <c r="B6" s="56"/>
      <c r="C6" s="613"/>
      <c r="D6" s="58"/>
      <c r="E6" s="539" t="n"/>
      <c r="F6" s="539" t="n"/>
      <c r="G6" s="539"/>
      <c r="H6" s="539">
        <f>G6</f>
      </c>
      <c r="I6" s="27" t="n"/>
    </row>
    <row r="7" ht="15.5" customHeight="1">
      <c r="A7" s="23" t="n">
        <v>2</v>
      </c>
      <c r="B7" s="56"/>
      <c r="C7" s="613"/>
      <c r="D7" s="58"/>
      <c r="E7" s="539" t="n"/>
      <c r="F7" s="539" t="n"/>
      <c r="G7" s="539"/>
      <c r="H7" s="539">
        <f>G7</f>
      </c>
      <c r="I7" s="27" t="n"/>
    </row>
    <row r="8" ht="15.5" customHeight="1">
      <c r="A8" s="23" t="n">
        <v>3</v>
      </c>
      <c r="B8" s="56"/>
      <c r="C8" s="613"/>
      <c r="D8" s="58"/>
      <c r="E8" s="539" t="n"/>
      <c r="F8" s="539" t="n"/>
      <c r="G8" s="539"/>
      <c r="H8" s="539">
        <f>G8</f>
      </c>
      <c r="I8" s="27" t="n"/>
    </row>
    <row r="9" ht="15.5" customHeight="1">
      <c r="A9" s="23" t="n">
        <v>4</v>
      </c>
      <c r="B9" s="56"/>
      <c r="C9" s="613"/>
      <c r="D9" s="58"/>
      <c r="E9" s="539" t="n"/>
      <c r="F9" s="539" t="n"/>
      <c r="G9" s="539"/>
      <c r="H9" s="539">
        <f>G9</f>
      </c>
      <c r="I9" s="27" t="n"/>
    </row>
    <row r="10" ht="15.5" customHeight="1">
      <c r="A10" s="23" t="n">
        <v>5</v>
      </c>
      <c r="B10" s="56"/>
      <c r="C10" s="613"/>
      <c r="D10" s="58"/>
      <c r="E10" s="539" t="n"/>
      <c r="F10" s="539" t="n"/>
      <c r="G10" s="539"/>
      <c r="H10" s="539">
        <f>G10</f>
      </c>
      <c r="I10" s="27" t="n"/>
    </row>
    <row r="11" ht="15.5" customHeight="1">
      <c r="A11" s="23" t="n">
        <v>6</v>
      </c>
      <c r="B11" s="56"/>
      <c r="C11" s="613"/>
      <c r="D11" s="58"/>
      <c r="E11" s="539" t="n"/>
      <c r="F11" s="539" t="n"/>
      <c r="G11" s="539"/>
      <c r="H11" s="539">
        <f>G11</f>
      </c>
      <c r="I11" s="27" t="n"/>
    </row>
    <row r="12" ht="15.5" customHeight="1">
      <c r="A12" s="23" t="n">
        <v>7</v>
      </c>
      <c r="B12" s="56"/>
      <c r="C12" s="613"/>
      <c r="D12" s="58"/>
      <c r="E12" s="539" t="n"/>
      <c r="F12" s="539" t="n"/>
      <c r="G12" s="539"/>
      <c r="H12" s="539">
        <f>G12</f>
      </c>
      <c r="I12" s="27" t="n"/>
    </row>
    <row r="13" ht="15.5" customHeight="1">
      <c r="A13" s="23" t="n">
        <v>8</v>
      </c>
      <c r="B13" s="56"/>
      <c r="C13" s="613"/>
      <c r="D13" s="58"/>
      <c r="E13" s="539" t="n"/>
      <c r="F13" s="539" t="n"/>
      <c r="G13" s="539"/>
      <c r="H13" s="539">
        <f>G13</f>
      </c>
      <c r="I13" s="27" t="n"/>
    </row>
    <row r="14" ht="15.5" customHeight="1">
      <c r="A14" s="23" t="n">
        <v>9</v>
      </c>
      <c r="B14" s="56"/>
      <c r="C14" s="613"/>
      <c r="D14" s="58"/>
      <c r="E14" s="539" t="n"/>
      <c r="F14" s="539" t="n"/>
      <c r="G14" s="539"/>
      <c r="H14" s="539">
        <f>G14</f>
      </c>
      <c r="I14" s="27" t="n"/>
    </row>
    <row r="15" ht="15.5" customHeight="1">
      <c r="A15" s="23" t="n">
        <v>10</v>
      </c>
      <c r="B15" s="56"/>
      <c r="C15" s="613"/>
      <c r="D15" s="58"/>
      <c r="E15" s="539" t="n"/>
      <c r="F15" s="539" t="n"/>
      <c r="G15" s="539"/>
      <c r="H15" s="539">
        <f>G15</f>
      </c>
      <c r="I15" s="27" t="n"/>
    </row>
    <row r="16" ht="15.5" customHeight="1">
      <c r="A16" s="23" t="n">
        <v>11</v>
      </c>
      <c r="B16" s="56"/>
      <c r="C16" s="613"/>
      <c r="D16" s="58"/>
      <c r="E16" s="539" t="n"/>
      <c r="F16" s="539" t="n"/>
      <c r="G16" s="539"/>
      <c r="H16" s="539">
        <f>G16</f>
      </c>
      <c r="I16" s="27" t="n"/>
    </row>
    <row r="17" ht="15.5" customHeight="1">
      <c r="A17" s="23" t="n">
        <v>12</v>
      </c>
      <c r="B17" s="56"/>
      <c r="C17" s="613"/>
      <c r="D17" s="58"/>
      <c r="E17" s="539" t="n"/>
      <c r="F17" s="539" t="n"/>
      <c r="G17" s="539"/>
      <c r="H17" s="539">
        <f>G17</f>
      </c>
      <c r="I17" s="27" t="n"/>
    </row>
    <row r="18" ht="15.5" customHeight="1">
      <c r="A18" s="23" t="n">
        <v>13</v>
      </c>
      <c r="B18" s="59"/>
      <c r="C18" s="613"/>
      <c r="D18" s="58"/>
      <c r="E18" s="539" t="n"/>
      <c r="F18" s="539" t="n"/>
      <c r="G18" s="539"/>
      <c r="H18" s="539">
        <f>G18</f>
      </c>
      <c r="I18" s="27" t="n"/>
    </row>
    <row r="19" ht="15.5" customHeight="1">
      <c r="A19" s="23" t="n">
        <v>14</v>
      </c>
      <c r="B19" s="56"/>
      <c r="C19" s="613"/>
      <c r="D19" s="58"/>
      <c r="E19" s="539" t="n"/>
      <c r="F19" s="539" t="n"/>
      <c r="G19" s="539"/>
      <c r="H19" s="539">
        <f>G19</f>
      </c>
      <c r="I19" s="27" t="n"/>
    </row>
    <row r="20" ht="15.5" customHeight="1">
      <c r="A20" s="23" t="n">
        <v>15</v>
      </c>
      <c r="B20" s="56"/>
      <c r="C20" s="613"/>
      <c r="D20" s="58"/>
      <c r="E20" s="539" t="n"/>
      <c r="F20" s="539" t="n"/>
      <c r="G20" s="539"/>
      <c r="H20" s="539">
        <f>G20</f>
      </c>
      <c r="I20" s="27" t="n"/>
    </row>
    <row r="21" ht="15.5" customHeight="1">
      <c r="A21" s="23" t="n">
        <v>16</v>
      </c>
      <c r="B21" s="56"/>
      <c r="C21" s="613"/>
      <c r="D21" s="58"/>
      <c r="E21" s="539" t="n"/>
      <c r="F21" s="539" t="n"/>
      <c r="G21" s="539"/>
      <c r="H21" s="539">
        <f>G21</f>
      </c>
      <c r="I21" s="27" t="n"/>
    </row>
    <row r="22" ht="15.5" customHeight="1">
      <c r="A22" s="23" t="n">
        <v>17</v>
      </c>
      <c r="B22" s="56"/>
      <c r="C22" s="613"/>
      <c r="D22" s="58"/>
      <c r="E22" s="539" t="n"/>
      <c r="F22" s="539" t="n"/>
      <c r="G22" s="539"/>
      <c r="H22" s="539">
        <f>G22</f>
      </c>
      <c r="I22" s="27" t="n"/>
    </row>
    <row r="23" ht="15.5" customHeight="1">
      <c r="A23" s="23" t="n">
        <v>18</v>
      </c>
      <c r="B23" s="56"/>
      <c r="C23" s="613"/>
      <c r="D23" s="58"/>
      <c r="E23" s="539" t="n"/>
      <c r="F23" s="539" t="n"/>
      <c r="G23" s="539"/>
      <c r="H23" s="539">
        <f>G23</f>
      </c>
      <c r="I23" s="27" t="n"/>
    </row>
    <row r="24" ht="15.5" customHeight="1">
      <c r="A24" s="23" t="n">
        <v>19</v>
      </c>
      <c r="B24" s="56"/>
      <c r="C24" s="613"/>
      <c r="D24" s="58"/>
      <c r="E24" s="539" t="n"/>
      <c r="F24" s="539" t="n"/>
      <c r="G24" s="539"/>
      <c r="H24" s="539">
        <f>G24</f>
      </c>
      <c r="I24" s="27" t="n"/>
    </row>
    <row r="25" ht="15.5" customHeight="1">
      <c r="A25" s="23" t="n">
        <v>20</v>
      </c>
      <c r="B25" s="56"/>
      <c r="C25" s="613"/>
      <c r="D25" s="58"/>
      <c r="E25" s="539" t="n"/>
      <c r="F25" s="539" t="n"/>
      <c r="G25" s="539"/>
      <c r="H25" s="539">
        <f>G25</f>
      </c>
      <c r="I25" s="27" t="n"/>
    </row>
    <row r="26" ht="15.5" customHeight="1">
      <c r="A26" s="23" t="n">
        <v>21</v>
      </c>
      <c r="B26" s="56"/>
      <c r="C26" s="613"/>
      <c r="D26" s="58"/>
      <c r="E26" s="539" t="n"/>
      <c r="F26" s="539" t="n"/>
      <c r="G26" s="539"/>
      <c r="H26" s="539">
        <f>G26</f>
      </c>
      <c r="I26" s="27" t="n"/>
    </row>
    <row r="27" ht="15.5" customHeight="1">
      <c r="A27" s="23" t="n">
        <v>22</v>
      </c>
      <c r="B27" s="56"/>
      <c r="C27" s="613"/>
      <c r="D27" s="58"/>
      <c r="E27" s="539" t="n"/>
      <c r="F27" s="539" t="n"/>
      <c r="G27" s="539"/>
      <c r="H27" s="539">
        <f>G27</f>
      </c>
      <c r="I27" s="27" t="n"/>
    </row>
    <row r="28" ht="15.5" customHeight="1">
      <c r="A28" s="23" t="n">
        <v>23</v>
      </c>
      <c r="B28" s="56"/>
      <c r="C28" s="613"/>
      <c r="D28" s="58"/>
      <c r="E28" s="539" t="n"/>
      <c r="F28" s="539" t="n"/>
      <c r="G28" s="539"/>
      <c r="H28" s="539">
        <f>G28</f>
      </c>
      <c r="I28" s="27" t="n"/>
    </row>
    <row r="29" ht="15.5" customHeight="1">
      <c r="A29" s="23" t="n">
        <v>24</v>
      </c>
      <c r="B29" s="56"/>
      <c r="C29" s="613"/>
      <c r="D29" s="58"/>
      <c r="E29" s="539" t="n"/>
      <c r="F29" s="539" t="n"/>
      <c r="G29" s="539"/>
      <c r="H29" s="539">
        <f>G29</f>
      </c>
      <c r="I29" s="27" t="n"/>
    </row>
    <row r="30" ht="15.5" customHeight="1">
      <c r="A30" s="23" t="n">
        <v>25</v>
      </c>
      <c r="B30" s="56"/>
      <c r="C30" s="613"/>
      <c r="D30" s="58"/>
      <c r="E30" s="539" t="n"/>
      <c r="F30" s="539" t="n"/>
      <c r="G30" s="539"/>
      <c r="H30" s="539">
        <f>G30</f>
      </c>
      <c r="I30" s="27" t="n"/>
    </row>
    <row r="31" ht="15.5" customHeight="1">
      <c r="A31" s="23" t="n">
        <v>26</v>
      </c>
      <c r="B31" s="56"/>
      <c r="C31" s="613"/>
      <c r="D31" s="58"/>
      <c r="E31" s="539" t="n"/>
      <c r="F31" s="539" t="n"/>
      <c r="G31" s="539"/>
      <c r="H31" s="539">
        <f>G31</f>
      </c>
      <c r="I31" s="27" t="n"/>
    </row>
    <row r="32" ht="15.5" customHeight="1">
      <c r="A32" s="23" t="n">
        <v>27</v>
      </c>
      <c r="B32" s="56"/>
      <c r="C32" s="613"/>
      <c r="D32" s="58"/>
      <c r="E32" s="539" t="n"/>
      <c r="F32" s="539" t="n"/>
      <c r="G32" s="539"/>
      <c r="H32" s="539">
        <f>G32</f>
      </c>
      <c r="I32" s="27" t="n"/>
    </row>
    <row r="33" ht="15.5" customHeight="1">
      <c r="A33" s="23" t="n">
        <v>28</v>
      </c>
      <c r="B33" s="56"/>
      <c r="C33" s="613"/>
      <c r="D33" s="58"/>
      <c r="E33" s="539" t="n"/>
      <c r="F33" s="539" t="n"/>
      <c r="G33" s="539"/>
      <c r="H33" s="539">
        <f>G33</f>
      </c>
      <c r="I33" s="27" t="n"/>
    </row>
    <row r="34" ht="15.5" customHeight="1">
      <c r="A34" s="23" t="n">
        <v>29</v>
      </c>
      <c r="B34" s="56"/>
      <c r="C34" s="613"/>
      <c r="D34" s="58"/>
      <c r="E34" s="539" t="n"/>
      <c r="F34" s="539" t="n"/>
      <c r="G34" s="539"/>
      <c r="H34" s="539">
        <f>G34</f>
      </c>
      <c r="I34" s="27" t="n"/>
    </row>
    <row r="35" ht="15.5" customHeight="1">
      <c r="A35" s="23" t="n">
        <v>30</v>
      </c>
      <c r="B35" s="56"/>
      <c r="C35" s="613"/>
      <c r="D35" s="58"/>
      <c r="E35" s="539" t="n"/>
      <c r="F35" s="539" t="n"/>
      <c r="G35" s="539"/>
      <c r="H35" s="539">
        <f>G35</f>
      </c>
      <c r="I35" s="27" t="n"/>
    </row>
    <row r="36" ht="15.5" customHeight="1">
      <c r="A36" s="23" t="n">
        <v>31</v>
      </c>
      <c r="B36" s="56"/>
      <c r="C36" s="613"/>
      <c r="D36" s="58"/>
      <c r="E36" s="539" t="n"/>
      <c r="F36" s="539" t="n"/>
      <c r="G36" s="539"/>
      <c r="H36" s="539">
        <f>G36</f>
      </c>
      <c r="I36" s="27" t="n"/>
    </row>
    <row r="37" ht="15.5" customHeight="1">
      <c r="A37" s="23" t="n">
        <v>32</v>
      </c>
      <c r="B37" s="56"/>
      <c r="C37" s="613"/>
      <c r="D37" s="58"/>
      <c r="E37" s="539" t="n"/>
      <c r="F37" s="539" t="n"/>
      <c r="G37" s="539"/>
      <c r="H37" s="539">
        <f>G37</f>
      </c>
      <c r="I37" s="27" t="n"/>
    </row>
    <row r="38" ht="15.5" customHeight="1">
      <c r="A38" s="23" t="n">
        <v>33</v>
      </c>
      <c r="B38" s="56"/>
      <c r="C38" s="613"/>
      <c r="D38" s="58"/>
      <c r="E38" s="539" t="n"/>
      <c r="F38" s="539" t="n"/>
      <c r="G38" s="539"/>
      <c r="H38" s="539">
        <f>G38</f>
      </c>
      <c r="I38" s="27" t="n"/>
    </row>
    <row r="39" ht="15.5" customHeight="1">
      <c r="A39" s="23" t="n">
        <v>34</v>
      </c>
      <c r="B39" s="56"/>
      <c r="C39" s="613"/>
      <c r="D39" s="58"/>
      <c r="E39" s="539" t="n"/>
      <c r="F39" s="539" t="n"/>
      <c r="G39" s="539"/>
      <c r="H39" s="539">
        <f>G39</f>
      </c>
      <c r="I39" s="27" t="n"/>
    </row>
    <row r="40" ht="15.5" customHeight="1">
      <c r="A40" s="23" t="n">
        <v>35</v>
      </c>
      <c r="B40" s="56"/>
      <c r="C40" s="613"/>
      <c r="D40" s="58"/>
      <c r="E40" s="539" t="n"/>
      <c r="F40" s="539" t="n"/>
      <c r="G40" s="539"/>
      <c r="H40" s="539">
        <f>G40</f>
      </c>
      <c r="I40" s="27" t="n"/>
    </row>
    <row r="41" ht="15.5" customHeight="1">
      <c r="A41" s="23" t="n">
        <v>36</v>
      </c>
      <c r="B41" s="56"/>
      <c r="C41" s="613"/>
      <c r="D41" s="58"/>
      <c r="E41" s="539" t="n"/>
      <c r="F41" s="539" t="n"/>
      <c r="G41" s="539"/>
      <c r="H41" s="539">
        <f>G41</f>
      </c>
      <c r="I41" s="27" t="n"/>
    </row>
    <row r="42" ht="15.5" customHeight="1">
      <c r="A42" s="23" t="n">
        <v>37</v>
      </c>
      <c r="B42" s="56"/>
      <c r="C42" s="613"/>
      <c r="D42" s="58"/>
      <c r="E42" s="539" t="n"/>
      <c r="F42" s="539" t="n"/>
      <c r="G42" s="539"/>
      <c r="H42" s="539">
        <f>G42</f>
      </c>
      <c r="I42" s="27" t="n"/>
    </row>
    <row r="43" ht="15.5" customHeight="1">
      <c r="A43" s="23" t="n">
        <v>38</v>
      </c>
      <c r="B43" s="56"/>
      <c r="C43" s="613"/>
      <c r="D43" s="58"/>
      <c r="E43" s="539" t="n"/>
      <c r="F43" s="539" t="n"/>
      <c r="G43" s="539"/>
      <c r="H43" s="539">
        <f>G43</f>
      </c>
      <c r="I43" s="27" t="n"/>
    </row>
    <row r="44" ht="15.5" customHeight="1">
      <c r="A44" s="23" t="n">
        <v>39</v>
      </c>
      <c r="B44" s="56"/>
      <c r="C44" s="613"/>
      <c r="D44" s="58"/>
      <c r="E44" s="539" t="n"/>
      <c r="F44" s="539" t="n"/>
      <c r="G44" s="539"/>
      <c r="H44" s="539">
        <f>G44</f>
      </c>
      <c r="I44" s="27" t="n"/>
    </row>
    <row r="45" ht="15.5" customHeight="1">
      <c r="A45" s="23" t="n">
        <v>40</v>
      </c>
      <c r="B45" s="56"/>
      <c r="C45" s="613"/>
      <c r="D45" s="58"/>
      <c r="E45" s="539" t="n"/>
      <c r="F45" s="539" t="n"/>
      <c r="G45" s="539"/>
      <c r="H45" s="539">
        <f>G45</f>
      </c>
      <c r="I45" s="27" t="n"/>
    </row>
    <row r="46" ht="15.5" customHeight="1">
      <c r="A46" s="23" t="n">
        <v>41</v>
      </c>
      <c r="B46" s="56"/>
      <c r="C46" s="613"/>
      <c r="D46" s="58"/>
      <c r="E46" s="539" t="n"/>
      <c r="F46" s="539" t="n"/>
      <c r="G46" s="539"/>
      <c r="H46" s="539">
        <f>G46</f>
      </c>
      <c r="I46" s="27" t="n"/>
    </row>
    <row r="47" ht="15.5" customHeight="1">
      <c r="A47" s="23" t="n">
        <v>42</v>
      </c>
      <c r="B47" s="56"/>
      <c r="C47" s="613"/>
      <c r="D47" s="58"/>
      <c r="E47" s="539" t="n"/>
      <c r="F47" s="539" t="n"/>
      <c r="G47" s="539"/>
      <c r="H47" s="539">
        <f>G47</f>
      </c>
      <c r="I47" s="27" t="n"/>
    </row>
    <row r="48" ht="15.5" customHeight="1">
      <c r="A48" s="23" t="n">
        <v>43</v>
      </c>
      <c r="B48" s="56"/>
      <c r="C48" s="613"/>
      <c r="D48" s="58"/>
      <c r="E48" s="539" t="n"/>
      <c r="F48" s="539" t="n"/>
      <c r="G48" s="539"/>
      <c r="H48" s="539">
        <f>G48</f>
      </c>
      <c r="I48" s="27" t="n"/>
    </row>
    <row r="49" ht="15.5" customHeight="1">
      <c r="A49" s="23" t="n">
        <v>44</v>
      </c>
      <c r="B49" s="56"/>
      <c r="C49" s="613"/>
      <c r="D49" s="58"/>
      <c r="E49" s="539" t="n"/>
      <c r="F49" s="539" t="n"/>
      <c r="G49" s="539"/>
      <c r="H49" s="539">
        <f>G49</f>
      </c>
      <c r="I49" s="27" t="n"/>
    </row>
    <row r="50" ht="15.5" customHeight="1">
      <c r="A50" s="23" t="n">
        <v>45</v>
      </c>
      <c r="B50" s="56"/>
      <c r="C50" s="613"/>
      <c r="D50" s="58"/>
      <c r="E50" s="539" t="n"/>
      <c r="F50" s="539" t="n"/>
      <c r="G50" s="539"/>
      <c r="H50" s="539">
        <f>G50</f>
      </c>
      <c r="I50" s="27" t="n"/>
    </row>
    <row r="51" ht="15.5" customHeight="1">
      <c r="A51" s="23" t="inlineStr">
        <is>
          <t>合                                    计</t>
        </is>
      </c>
      <c r="B51" s="28" t="n"/>
      <c r="C51" s="25" t="n"/>
      <c r="D51" s="23" t="n"/>
      <c r="E51" s="539">
        <f>SUM(E6:E50)</f>
      </c>
      <c r="F51" s="539" t="n"/>
      <c r="G51" s="539">
        <f>SUM(G6:G50)</f>
      </c>
      <c r="H51" s="539">
        <f>SUM(H6:H50)</f>
      </c>
      <c r="I51" s="27" t="n"/>
    </row>
    <row r="52" ht="15.5" customHeight="1">
      <c r="A52" s="29">
        <f>封面!D11&amp;封面!G11</f>
      </c>
      <c r="G52" s="536">
        <f>"评估人员："&amp;封面!G38</f>
      </c>
    </row>
    <row r="53" ht="15.5" customHeight="1">
      <c r="A53" s="29">
        <f>CONCATENATE(封面!D13,封面!F13,封面!G13,封面!H13,封面!I13,封面!J13,封面!K13)</f>
      </c>
    </row>
  </sheetData>
  <mergeCells count="3">
    <mergeCell ref="A2:I2"/>
    <mergeCell ref="A51:B51"/>
    <mergeCell ref="A3:I3"/>
  </mergeCells>
  <hyperlinks>
    <hyperlink ref="A1" location="索引目录!I15" display="返回索引页"/>
    <hyperlink ref="B1" location="流动负债汇总!B15" display="返回"/>
  </hyperlinks>
  <printOptions horizontalCentered="1"/>
  <pageMargins left="0.354330708661417" right="0.354330708661417" top="0.78740157480315" bottom="0.78740157480315" header="0.98" footer="0.511811023622047"/>
  <pageSetup orientation="landscape" paperSize="9" fitToHeight="0"/>
  <headerFooter alignWithMargins="0">
    <oddHeader>&amp;R&amp;"宋体,常规"共&amp;"Times New Roman,常规"&amp;N&amp;"宋体,常规"页第&amp;"Times New Roman,常规"&amp;P&amp;"宋体,常规"5-10_x000a_页</oddHeader>
    <oddFooter/>
    <evenHeader/>
    <evenFooter/>
    <firstHeader/>
    <firstFooter/>
  </headerFooter>
  <legacyDrawing xmlns:r="http://schemas.openxmlformats.org/officeDocument/2006/relationships" r:id="anysvml"/>
</worksheet>
</file>

<file path=xl/worksheets/sheet84.xml><?xml version="1.0" encoding="utf-8"?>
<worksheet xmlns="http://schemas.openxmlformats.org/spreadsheetml/2006/main">
  <sheetPr codeName="Sheet84">
    <outlinePr summaryBelow="1" summaryRight="1"/>
    <pageSetUpPr fitToPage="1"/>
  </sheetPr>
  <dimension ref="A1:J29"/>
  <sheetViews>
    <sheetView view="pageBreakPreview" zoomScale="60" zoomScaleNormal="100" workbookViewId="0">
      <selection activeCell="G451" sqref="G451"/>
    </sheetView>
  </sheetViews>
  <sheetFormatPr baseColWidth="8" defaultColWidth="9" defaultRowHeight="15.75" customHeight="1"/>
  <cols>
    <col width="7" customWidth="1" style="13" min="1" max="1"/>
    <col width="25.5" customWidth="1" style="13" min="2" max="2"/>
    <col width="11.25" customWidth="1" style="13" min="3" max="3"/>
    <col width="11.5833333333333" customWidth="1" style="13" min="4" max="4"/>
    <col width="11.5" customWidth="1" style="13" min="5" max="5"/>
    <col hidden="1" outlineLevel="1" width="15.0833333333333" customWidth="1" style="13" min="6" max="7"/>
    <col collapsed="1" width="20.0833333333333" customWidth="1" style="13" min="8" max="8"/>
    <col width="20.0833333333333" customWidth="1" style="13" min="9" max="9"/>
    <col width="14.5833333333333" customWidth="1" style="13" min="10" max="10"/>
    <col width="9" customWidth="1" style="13" min="11" max="16384"/>
  </cols>
  <sheetData>
    <row r="1" ht="15.5" customHeight="1">
      <c r="A1" s="559" t="inlineStr">
        <is>
          <t>返回索引页</t>
        </is>
      </c>
      <c r="B1" s="15" t="inlineStr">
        <is>
          <t>返回</t>
        </is>
      </c>
      <c r="C1" s="16" t="n"/>
      <c r="D1" s="16" t="n"/>
      <c r="E1" s="16" t="n"/>
      <c r="F1" s="16" t="n"/>
      <c r="G1" s="16" t="n"/>
      <c r="H1" s="16" t="n"/>
      <c r="I1" s="16" t="n"/>
      <c r="J1" s="16" t="n"/>
    </row>
    <row r="2" ht="30" customFormat="1" customHeight="1" s="11">
      <c r="A2" s="17" t="inlineStr">
        <is>
          <t>一年内到期的非流动负债评估明细表</t>
        </is>
      </c>
    </row>
    <row r="3" ht="14.15" customHeight="1">
      <c r="A3" s="535">
        <f>CONCATENATE(封面!D9,封面!F9,封面!G9,封面!H9,封面!I9,封面!J9,封面!K9)</f>
      </c>
    </row>
    <row r="4" ht="15.5" customHeight="1">
      <c r="A4" s="536">
        <f>封面!D7&amp;封面!F7</f>
      </c>
      <c r="J4" s="20" t="inlineStr">
        <is>
          <t>金额单位：人民币元</t>
        </is>
      </c>
    </row>
    <row r="5" ht="13" customFormat="1" customHeight="1" s="12">
      <c r="A5" s="21" t="inlineStr">
        <is>
          <t>序号</t>
        </is>
      </c>
      <c r="B5" s="21" t="inlineStr">
        <is>
          <t>结算项目</t>
        </is>
      </c>
      <c r="C5" s="21" t="inlineStr">
        <is>
          <t>发生日期</t>
        </is>
      </c>
      <c r="D5" s="21" t="inlineStr">
        <is>
          <t>到期日</t>
        </is>
      </c>
      <c r="E5" s="21" t="inlineStr">
        <is>
          <t>票面月利率%</t>
        </is>
      </c>
      <c r="F5" s="22" t="inlineStr">
        <is>
          <t>审计前账面值</t>
        </is>
      </c>
      <c r="G5" s="22" t="inlineStr">
        <is>
          <t>审计调整</t>
        </is>
      </c>
      <c r="H5" s="21" t="inlineStr">
        <is>
          <t>账面价值</t>
        </is>
      </c>
      <c r="I5" s="21" t="inlineStr">
        <is>
          <t>评估价值</t>
        </is>
      </c>
      <c r="J5" s="21" t="inlineStr">
        <is>
          <t>备注</t>
        </is>
      </c>
    </row>
    <row r="6" ht="15.5" customHeight="1">
      <c r="A6" s="23" t="n"/>
      <c r="B6" s="24" t="n"/>
      <c r="C6" s="25" t="n"/>
      <c r="D6" s="25" t="n"/>
      <c r="E6" s="23" t="n"/>
      <c r="F6" s="539" t="n"/>
      <c r="G6" s="539" t="n"/>
      <c r="H6" s="539" t="n"/>
      <c r="I6" s="539" t="n"/>
      <c r="J6" s="27" t="n"/>
    </row>
    <row r="7" ht="15.5" customHeight="1">
      <c r="A7" s="23" t="n"/>
      <c r="B7" s="24" t="n"/>
      <c r="C7" s="25" t="n"/>
      <c r="D7" s="25" t="n"/>
      <c r="E7" s="23" t="n"/>
      <c r="F7" s="539" t="n"/>
      <c r="G7" s="539" t="n"/>
      <c r="H7" s="539" t="n"/>
      <c r="I7" s="539" t="n"/>
      <c r="J7" s="27" t="n"/>
    </row>
    <row r="8" ht="15.5" customHeight="1">
      <c r="A8" s="23" t="n"/>
      <c r="B8" s="24" t="n"/>
      <c r="C8" s="25" t="n"/>
      <c r="D8" s="25" t="n"/>
      <c r="E8" s="23" t="n"/>
      <c r="F8" s="539" t="n"/>
      <c r="G8" s="539" t="n"/>
      <c r="H8" s="539" t="n"/>
      <c r="I8" s="539" t="n"/>
      <c r="J8" s="27" t="n"/>
    </row>
    <row r="9" ht="15.5" customHeight="1">
      <c r="A9" s="23" t="n"/>
      <c r="B9" s="24" t="n"/>
      <c r="C9" s="25" t="n"/>
      <c r="D9" s="25" t="n"/>
      <c r="E9" s="23" t="n"/>
      <c r="F9" s="539" t="n"/>
      <c r="G9" s="539" t="n"/>
      <c r="H9" s="539" t="n"/>
      <c r="I9" s="539" t="n"/>
      <c r="J9" s="27" t="n"/>
    </row>
    <row r="10" ht="15.5" customHeight="1">
      <c r="A10" s="23" t="n"/>
      <c r="B10" s="24" t="n"/>
      <c r="C10" s="25" t="n"/>
      <c r="D10" s="25" t="n"/>
      <c r="E10" s="23" t="n"/>
      <c r="F10" s="539" t="n"/>
      <c r="G10" s="539" t="n"/>
      <c r="H10" s="539" t="n"/>
      <c r="I10" s="539" t="n"/>
      <c r="J10" s="27" t="n"/>
    </row>
    <row r="11" ht="15.5" customHeight="1">
      <c r="A11" s="23" t="n"/>
      <c r="B11" s="24" t="n"/>
      <c r="C11" s="25" t="n"/>
      <c r="D11" s="25" t="n"/>
      <c r="E11" s="23" t="n"/>
      <c r="F11" s="539" t="n"/>
      <c r="G11" s="539" t="n"/>
      <c r="H11" s="539" t="n"/>
      <c r="I11" s="539" t="n"/>
      <c r="J11" s="27" t="n"/>
    </row>
    <row r="12" ht="15.5" customHeight="1">
      <c r="A12" s="23" t="n"/>
      <c r="B12" s="24" t="n"/>
      <c r="C12" s="25" t="n"/>
      <c r="D12" s="25" t="n"/>
      <c r="E12" s="23" t="n"/>
      <c r="F12" s="539" t="n"/>
      <c r="G12" s="539" t="n"/>
      <c r="H12" s="539" t="n"/>
      <c r="I12" s="539" t="n"/>
      <c r="J12" s="27" t="n"/>
    </row>
    <row r="13" ht="15.5" customHeight="1">
      <c r="A13" s="23" t="n"/>
      <c r="B13" s="24" t="n"/>
      <c r="C13" s="25" t="n"/>
      <c r="D13" s="25" t="n"/>
      <c r="E13" s="23" t="n"/>
      <c r="F13" s="539" t="n"/>
      <c r="G13" s="539" t="n"/>
      <c r="H13" s="539" t="n"/>
      <c r="I13" s="539" t="n"/>
      <c r="J13" s="27" t="n"/>
    </row>
    <row r="14" ht="15.5" customHeight="1">
      <c r="A14" s="23" t="n"/>
      <c r="B14" s="24" t="n"/>
      <c r="C14" s="25" t="n"/>
      <c r="D14" s="25" t="n"/>
      <c r="E14" s="23" t="n"/>
      <c r="F14" s="539" t="n"/>
      <c r="G14" s="539" t="n"/>
      <c r="H14" s="539" t="n"/>
      <c r="I14" s="539" t="n"/>
      <c r="J14" s="27" t="n"/>
    </row>
    <row r="15" ht="15.5" customHeight="1">
      <c r="A15" s="23" t="n"/>
      <c r="B15" s="24" t="n"/>
      <c r="C15" s="25" t="n"/>
      <c r="D15" s="25" t="n"/>
      <c r="E15" s="23" t="n"/>
      <c r="F15" s="539" t="n"/>
      <c r="G15" s="539" t="n"/>
      <c r="H15" s="539" t="n"/>
      <c r="I15" s="539" t="n"/>
      <c r="J15" s="27" t="n"/>
    </row>
    <row r="16" ht="15.5" customHeight="1">
      <c r="A16" s="23" t="n"/>
      <c r="B16" s="24" t="n"/>
      <c r="C16" s="25" t="n"/>
      <c r="D16" s="25" t="n"/>
      <c r="E16" s="23" t="n"/>
      <c r="F16" s="539" t="n"/>
      <c r="G16" s="539" t="n"/>
      <c r="H16" s="539" t="n"/>
      <c r="I16" s="539" t="n"/>
      <c r="J16" s="27" t="n"/>
    </row>
    <row r="17" ht="15.5" customHeight="1">
      <c r="A17" s="23" t="n"/>
      <c r="B17" s="24" t="n"/>
      <c r="C17" s="25" t="n"/>
      <c r="D17" s="25" t="n"/>
      <c r="E17" s="23" t="n"/>
      <c r="F17" s="539" t="n"/>
      <c r="G17" s="539" t="n"/>
      <c r="H17" s="539" t="n"/>
      <c r="I17" s="539" t="n"/>
      <c r="J17" s="27" t="n"/>
    </row>
    <row r="18" ht="15.5" customHeight="1">
      <c r="A18" s="23" t="n"/>
      <c r="B18" s="24" t="n"/>
      <c r="C18" s="25" t="n"/>
      <c r="D18" s="25" t="n"/>
      <c r="E18" s="23" t="n"/>
      <c r="F18" s="539" t="n"/>
      <c r="G18" s="539" t="n"/>
      <c r="H18" s="539" t="n"/>
      <c r="I18" s="539" t="n"/>
      <c r="J18" s="27" t="n"/>
    </row>
    <row r="19" ht="15.5" customHeight="1">
      <c r="A19" s="23" t="n"/>
      <c r="B19" s="24" t="n"/>
      <c r="C19" s="25" t="n"/>
      <c r="D19" s="25" t="n"/>
      <c r="E19" s="23" t="n"/>
      <c r="F19" s="539" t="n"/>
      <c r="G19" s="539" t="n"/>
      <c r="H19" s="539" t="n"/>
      <c r="I19" s="539" t="n"/>
      <c r="J19" s="27" t="n"/>
    </row>
    <row r="20" ht="15.5" customHeight="1">
      <c r="A20" s="23" t="n"/>
      <c r="B20" s="24" t="n"/>
      <c r="C20" s="25" t="n"/>
      <c r="D20" s="25" t="n"/>
      <c r="E20" s="23" t="n"/>
      <c r="F20" s="539" t="n"/>
      <c r="G20" s="539" t="n"/>
      <c r="H20" s="539" t="n"/>
      <c r="I20" s="539" t="n"/>
      <c r="J20" s="27" t="n"/>
    </row>
    <row r="21" ht="15.5" customHeight="1">
      <c r="A21" s="23" t="n"/>
      <c r="B21" s="24" t="n"/>
      <c r="C21" s="25" t="n"/>
      <c r="D21" s="25" t="n"/>
      <c r="E21" s="23" t="n"/>
      <c r="F21" s="539" t="n"/>
      <c r="G21" s="539" t="n"/>
      <c r="H21" s="539" t="n"/>
      <c r="I21" s="539" t="n"/>
      <c r="J21" s="27" t="n"/>
    </row>
    <row r="22" ht="15.5" customHeight="1">
      <c r="A22" s="23" t="n"/>
      <c r="B22" s="24" t="n"/>
      <c r="C22" s="25" t="n"/>
      <c r="D22" s="25" t="n"/>
      <c r="E22" s="23" t="n"/>
      <c r="F22" s="539" t="n"/>
      <c r="G22" s="539" t="n"/>
      <c r="H22" s="539" t="n"/>
      <c r="I22" s="539" t="n"/>
      <c r="J22" s="27" t="n"/>
    </row>
    <row r="23" ht="15.5" customHeight="1">
      <c r="A23" s="23" t="n"/>
      <c r="B23" s="24" t="n"/>
      <c r="C23" s="25" t="n"/>
      <c r="D23" s="25" t="n"/>
      <c r="E23" s="23" t="n"/>
      <c r="F23" s="539" t="n"/>
      <c r="G23" s="539" t="n"/>
      <c r="H23" s="539" t="n"/>
      <c r="I23" s="539" t="n"/>
      <c r="J23" s="27" t="n"/>
    </row>
    <row r="24" ht="15.5" customHeight="1">
      <c r="A24" s="23" t="n"/>
      <c r="B24" s="24" t="n"/>
      <c r="C24" s="25" t="n"/>
      <c r="D24" s="25" t="n"/>
      <c r="E24" s="23" t="n"/>
      <c r="F24" s="539" t="n"/>
      <c r="G24" s="539" t="n"/>
      <c r="H24" s="539" t="n"/>
      <c r="I24" s="539" t="n"/>
      <c r="J24" s="27" t="n"/>
    </row>
    <row r="25" ht="15.5" customHeight="1">
      <c r="A25" s="23" t="n"/>
      <c r="B25" s="24" t="n"/>
      <c r="C25" s="25" t="n"/>
      <c r="D25" s="25" t="n"/>
      <c r="E25" s="23" t="n"/>
      <c r="F25" s="539" t="n"/>
      <c r="G25" s="539" t="n"/>
      <c r="H25" s="539" t="n"/>
      <c r="I25" s="539" t="n"/>
      <c r="J25" s="27" t="n"/>
    </row>
    <row r="26" ht="15.5" customHeight="1">
      <c r="A26" s="23" t="n"/>
      <c r="B26" s="24" t="n"/>
      <c r="C26" s="25" t="n"/>
      <c r="D26" s="25" t="n"/>
      <c r="E26" s="23" t="n"/>
      <c r="F26" s="539" t="n"/>
      <c r="G26" s="539" t="n"/>
      <c r="H26" s="539" t="n"/>
      <c r="I26" s="539" t="n"/>
      <c r="J26" s="27" t="n"/>
    </row>
    <row r="27" ht="15.5" customHeight="1">
      <c r="A27" s="21" t="inlineStr">
        <is>
          <t>合                    计</t>
        </is>
      </c>
      <c r="B27" s="28" t="n"/>
      <c r="C27" s="25" t="n"/>
      <c r="D27" s="25" t="n"/>
      <c r="E27" s="27" t="n"/>
      <c r="F27" s="539">
        <f>SUM(F6:F26)</f>
      </c>
      <c r="G27" s="539" t="n"/>
      <c r="H27" s="539">
        <f>SUM(H6:H26)</f>
      </c>
      <c r="I27" s="539">
        <f>SUM(I6:I26)</f>
      </c>
      <c r="J27" s="27" t="n"/>
    </row>
    <row r="28" ht="15.5" customHeight="1">
      <c r="A28" s="29">
        <f>封面!D11&amp;封面!G11</f>
      </c>
      <c r="H28" s="536">
        <f>"评估人员："&amp;封面!G38</f>
      </c>
    </row>
    <row r="29" ht="15.5" customHeight="1">
      <c r="A29" s="29">
        <f>CONCATENATE(封面!D13,封面!F13,封面!G13,封面!H13,封面!I13,封面!J13,封面!K13)</f>
      </c>
    </row>
  </sheetData>
  <mergeCells count="3">
    <mergeCell ref="A27:B27"/>
    <mergeCell ref="A3:J3"/>
    <mergeCell ref="A2:J2"/>
  </mergeCells>
  <hyperlinks>
    <hyperlink ref="A1" location="索引目录!I16" display="返回索引页"/>
    <hyperlink ref="B1" location="流动负债汇总!B16"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Roman,常规"&amp;P&amp;"宋体,常规"5-11_x000a_页</oddHeader>
    <oddFooter/>
    <evenHeader/>
    <evenFooter/>
    <firstHeader/>
    <firstFooter/>
  </headerFooter>
  <legacyDrawing xmlns:r="http://schemas.openxmlformats.org/officeDocument/2006/relationships" r:id="anysvml"/>
</worksheet>
</file>

<file path=xl/worksheets/sheet85.xml><?xml version="1.0" encoding="utf-8"?>
<worksheet xmlns="http://schemas.openxmlformats.org/spreadsheetml/2006/main">
  <sheetPr codeName="Sheet85">
    <outlinePr summaryBelow="1" summaryRight="1"/>
    <pageSetUpPr fitToPage="1"/>
  </sheetPr>
  <dimension ref="A1:I29"/>
  <sheetViews>
    <sheetView view="pageBreakPreview" zoomScale="60" zoomScaleNormal="100" workbookViewId="0">
      <selection activeCell="G451" sqref="G451"/>
    </sheetView>
  </sheetViews>
  <sheetFormatPr baseColWidth="8" defaultColWidth="9" defaultRowHeight="15.75" customHeight="1"/>
  <cols>
    <col width="6" customWidth="1" style="13" min="1" max="1"/>
    <col width="25" customWidth="1" style="13" min="2" max="2"/>
    <col width="12.75" customWidth="1" style="13" min="3" max="3"/>
    <col width="21.5" customWidth="1" style="13" min="4" max="4"/>
    <col hidden="1" outlineLevel="1" width="16.5" customWidth="1" style="13" min="5" max="6"/>
    <col collapsed="1" width="20" customWidth="1" style="13" min="7" max="7"/>
    <col width="20" customWidth="1" style="13" min="8" max="8"/>
    <col width="15.5" customWidth="1" style="13" min="9" max="9"/>
    <col width="9" customWidth="1" style="13" min="10" max="16384"/>
  </cols>
  <sheetData>
    <row r="1" ht="15.5" customHeight="1">
      <c r="A1" s="559" t="inlineStr">
        <is>
          <t>返回索引页</t>
        </is>
      </c>
      <c r="B1" s="15" t="inlineStr">
        <is>
          <t>返回</t>
        </is>
      </c>
      <c r="C1" s="16" t="n"/>
      <c r="D1" s="16" t="n"/>
      <c r="E1" s="16" t="n"/>
      <c r="F1" s="16" t="n"/>
      <c r="G1" s="16" t="n"/>
      <c r="H1" s="16" t="n"/>
      <c r="I1" s="16" t="n"/>
    </row>
    <row r="2" ht="30" customFormat="1" customHeight="1" s="11">
      <c r="A2" s="17" t="inlineStr">
        <is>
          <t>其他流动负债评估明细表</t>
        </is>
      </c>
    </row>
    <row r="3" ht="14.15" customHeight="1">
      <c r="A3" s="535">
        <f>CONCATENATE(封面!D9,封面!F9,封面!G9,封面!H9,封面!I9,封面!J9,封面!K9)</f>
      </c>
    </row>
    <row r="4" ht="15.5" customHeight="1">
      <c r="A4" s="536">
        <f>封面!D7&amp;封面!F7</f>
      </c>
      <c r="I4" s="20" t="inlineStr">
        <is>
          <t>金额单位：人民币元</t>
        </is>
      </c>
    </row>
    <row r="5" ht="13" customFormat="1" customHeight="1" s="12">
      <c r="A5" s="21" t="inlineStr">
        <is>
          <t>序号</t>
        </is>
      </c>
      <c r="B5" s="21" t="inlineStr">
        <is>
          <t>户名（结算对象）</t>
        </is>
      </c>
      <c r="C5" s="21" t="inlineStr">
        <is>
          <t>发生日期</t>
        </is>
      </c>
      <c r="D5" s="21" t="inlineStr">
        <is>
          <t>结算内容</t>
        </is>
      </c>
      <c r="E5" s="22" t="inlineStr">
        <is>
          <t>审计前账面值</t>
        </is>
      </c>
      <c r="F5" s="22" t="inlineStr">
        <is>
          <t>审计调整</t>
        </is>
      </c>
      <c r="G5" s="21" t="inlineStr">
        <is>
          <t>账面价值</t>
        </is>
      </c>
      <c r="H5" s="21" t="inlineStr">
        <is>
          <t>评估价值</t>
        </is>
      </c>
      <c r="I5" s="21" t="inlineStr">
        <is>
          <t>备注</t>
        </is>
      </c>
    </row>
    <row r="6" ht="15.5" customHeight="1">
      <c r="A6" s="23" t="n"/>
      <c r="B6" s="24" t="n"/>
      <c r="C6" s="25" t="n"/>
      <c r="D6" s="23" t="n"/>
      <c r="E6" s="539" t="n"/>
      <c r="F6" s="539" t="n"/>
      <c r="G6" s="539" t="n"/>
      <c r="H6" s="539" t="n"/>
      <c r="I6" s="27" t="n"/>
    </row>
    <row r="7" ht="15.5" customHeight="1">
      <c r="A7" s="23" t="n"/>
      <c r="B7" s="24" t="n"/>
      <c r="C7" s="25" t="n"/>
      <c r="D7" s="23" t="n"/>
      <c r="E7" s="539" t="n"/>
      <c r="F7" s="539" t="n"/>
      <c r="G7" s="539" t="n"/>
      <c r="H7" s="539" t="n"/>
      <c r="I7" s="27" t="n"/>
    </row>
    <row r="8" ht="15.5" customHeight="1">
      <c r="A8" s="23" t="n"/>
      <c r="B8" s="24" t="n"/>
      <c r="C8" s="25" t="n"/>
      <c r="D8" s="23" t="n"/>
      <c r="E8" s="539" t="n"/>
      <c r="F8" s="539" t="n"/>
      <c r="G8" s="539" t="n"/>
      <c r="H8" s="539" t="n"/>
      <c r="I8" s="27" t="n"/>
    </row>
    <row r="9" ht="15.5" customHeight="1">
      <c r="A9" s="23" t="n"/>
      <c r="B9" s="24" t="n"/>
      <c r="C9" s="25" t="n"/>
      <c r="D9" s="23" t="n"/>
      <c r="E9" s="539" t="n"/>
      <c r="F9" s="539" t="n"/>
      <c r="G9" s="539" t="n"/>
      <c r="H9" s="539" t="n"/>
      <c r="I9" s="27" t="n"/>
    </row>
    <row r="10" ht="15.5" customHeight="1">
      <c r="A10" s="23" t="n"/>
      <c r="B10" s="24" t="n"/>
      <c r="C10" s="25" t="n"/>
      <c r="D10" s="23" t="n"/>
      <c r="E10" s="539" t="n"/>
      <c r="F10" s="539" t="n"/>
      <c r="G10" s="539" t="n"/>
      <c r="H10" s="539" t="n"/>
      <c r="I10" s="27" t="n"/>
    </row>
    <row r="11" ht="15.5" customHeight="1">
      <c r="A11" s="23" t="n"/>
      <c r="B11" s="24" t="n"/>
      <c r="C11" s="25" t="n"/>
      <c r="D11" s="23" t="n"/>
      <c r="E11" s="539" t="n"/>
      <c r="F11" s="539" t="n"/>
      <c r="G11" s="539" t="n"/>
      <c r="H11" s="539" t="n"/>
      <c r="I11" s="27" t="n"/>
    </row>
    <row r="12" ht="15.5" customHeight="1">
      <c r="A12" s="23" t="n"/>
      <c r="B12" s="24" t="n"/>
      <c r="C12" s="25" t="n"/>
      <c r="D12" s="23" t="n"/>
      <c r="E12" s="539" t="n"/>
      <c r="F12" s="539" t="n"/>
      <c r="G12" s="539" t="n"/>
      <c r="H12" s="539" t="n"/>
      <c r="I12" s="27" t="n"/>
    </row>
    <row r="13" ht="15.5" customHeight="1">
      <c r="A13" s="23" t="n"/>
      <c r="B13" s="24" t="n"/>
      <c r="C13" s="25" t="n"/>
      <c r="D13" s="23" t="n"/>
      <c r="E13" s="539" t="n"/>
      <c r="F13" s="539" t="n"/>
      <c r="G13" s="539" t="n"/>
      <c r="H13" s="539" t="n"/>
      <c r="I13" s="27" t="n"/>
    </row>
    <row r="14" ht="15.5" customHeight="1">
      <c r="A14" s="23" t="n"/>
      <c r="B14" s="24" t="n"/>
      <c r="C14" s="25" t="n"/>
      <c r="D14" s="23" t="n"/>
      <c r="E14" s="539" t="n"/>
      <c r="F14" s="539" t="n"/>
      <c r="G14" s="539" t="n"/>
      <c r="H14" s="539" t="n"/>
      <c r="I14" s="27" t="n"/>
    </row>
    <row r="15" ht="15.5" customHeight="1">
      <c r="A15" s="23" t="n"/>
      <c r="B15" s="24" t="n"/>
      <c r="C15" s="25" t="n"/>
      <c r="D15" s="23" t="n"/>
      <c r="E15" s="539" t="n"/>
      <c r="F15" s="539" t="n"/>
      <c r="G15" s="539" t="n"/>
      <c r="H15" s="539" t="n"/>
      <c r="I15" s="27" t="n"/>
    </row>
    <row r="16" ht="15.5" customHeight="1">
      <c r="A16" s="23" t="n"/>
      <c r="B16" s="24" t="n"/>
      <c r="C16" s="25" t="n"/>
      <c r="D16" s="23" t="n"/>
      <c r="E16" s="539" t="n"/>
      <c r="F16" s="539" t="n"/>
      <c r="G16" s="539" t="n"/>
      <c r="H16" s="539" t="n"/>
      <c r="I16" s="27" t="n"/>
    </row>
    <row r="17" ht="15.5" customHeight="1">
      <c r="A17" s="23" t="n"/>
      <c r="B17" s="24" t="n"/>
      <c r="C17" s="25" t="n"/>
      <c r="D17" s="23" t="n"/>
      <c r="E17" s="539" t="n"/>
      <c r="F17" s="539" t="n"/>
      <c r="G17" s="539" t="n"/>
      <c r="H17" s="539" t="n"/>
      <c r="I17" s="27" t="n"/>
    </row>
    <row r="18" ht="15.5" customHeight="1">
      <c r="A18" s="23" t="n"/>
      <c r="B18" s="24" t="n"/>
      <c r="C18" s="25" t="n"/>
      <c r="D18" s="23" t="n"/>
      <c r="E18" s="539" t="n"/>
      <c r="F18" s="539" t="n"/>
      <c r="G18" s="539" t="n"/>
      <c r="H18" s="539" t="n"/>
      <c r="I18" s="27" t="n"/>
    </row>
    <row r="19" ht="15.5" customHeight="1">
      <c r="A19" s="23" t="n"/>
      <c r="B19" s="24" t="n"/>
      <c r="C19" s="25" t="n"/>
      <c r="D19" s="23" t="n"/>
      <c r="E19" s="539" t="n"/>
      <c r="F19" s="539" t="n"/>
      <c r="G19" s="539" t="n"/>
      <c r="H19" s="539" t="n"/>
      <c r="I19" s="27" t="n"/>
    </row>
    <row r="20" ht="15.5" customHeight="1">
      <c r="A20" s="23" t="n"/>
      <c r="B20" s="24" t="n"/>
      <c r="C20" s="25" t="n"/>
      <c r="D20" s="23" t="n"/>
      <c r="E20" s="539" t="n"/>
      <c r="F20" s="539" t="n"/>
      <c r="G20" s="539" t="n"/>
      <c r="H20" s="539" t="n"/>
      <c r="I20" s="27" t="n"/>
    </row>
    <row r="21" ht="15.5" customHeight="1">
      <c r="A21" s="23" t="n"/>
      <c r="B21" s="24" t="n"/>
      <c r="C21" s="25" t="n"/>
      <c r="D21" s="23" t="n"/>
      <c r="E21" s="539" t="n"/>
      <c r="F21" s="539" t="n"/>
      <c r="G21" s="539" t="n"/>
      <c r="H21" s="539" t="n"/>
      <c r="I21" s="27" t="n"/>
    </row>
    <row r="22" ht="15.5" customHeight="1">
      <c r="A22" s="23" t="n"/>
      <c r="B22" s="24" t="n"/>
      <c r="C22" s="25" t="n"/>
      <c r="D22" s="23" t="n"/>
      <c r="E22" s="539" t="n"/>
      <c r="F22" s="539" t="n"/>
      <c r="G22" s="539" t="n"/>
      <c r="H22" s="539" t="n"/>
      <c r="I22" s="27" t="n"/>
    </row>
    <row r="23" ht="15.5" customHeight="1">
      <c r="A23" s="23" t="n"/>
      <c r="B23" s="24" t="n"/>
      <c r="C23" s="25" t="n"/>
      <c r="D23" s="23" t="n"/>
      <c r="E23" s="539" t="n"/>
      <c r="F23" s="539" t="n"/>
      <c r="G23" s="539" t="n"/>
      <c r="H23" s="539" t="n"/>
      <c r="I23" s="27" t="n"/>
    </row>
    <row r="24" ht="15.5" customHeight="1">
      <c r="A24" s="23" t="n"/>
      <c r="B24" s="24" t="n"/>
      <c r="C24" s="25" t="n"/>
      <c r="D24" s="23" t="n"/>
      <c r="E24" s="539" t="n"/>
      <c r="F24" s="539" t="n"/>
      <c r="G24" s="539" t="n"/>
      <c r="H24" s="539" t="n"/>
      <c r="I24" s="27" t="n"/>
    </row>
    <row r="25" ht="15.5" customHeight="1">
      <c r="A25" s="23" t="n"/>
      <c r="B25" s="24" t="n"/>
      <c r="C25" s="25" t="n"/>
      <c r="D25" s="23" t="n"/>
      <c r="E25" s="539" t="n"/>
      <c r="F25" s="539" t="n"/>
      <c r="G25" s="539" t="n"/>
      <c r="H25" s="539" t="n"/>
      <c r="I25" s="27" t="n"/>
    </row>
    <row r="26" ht="15.5" customHeight="1">
      <c r="A26" s="23" t="n"/>
      <c r="B26" s="24" t="n"/>
      <c r="C26" s="25" t="n"/>
      <c r="D26" s="23" t="n"/>
      <c r="E26" s="539" t="n"/>
      <c r="F26" s="539" t="n"/>
      <c r="G26" s="539" t="n"/>
      <c r="H26" s="539" t="n"/>
      <c r="I26" s="27" t="n"/>
    </row>
    <row r="27" ht="15.5" customHeight="1">
      <c r="A27" s="21" t="inlineStr">
        <is>
          <t>合                    计</t>
        </is>
      </c>
      <c r="B27" s="28" t="n"/>
      <c r="C27" s="25" t="n"/>
      <c r="D27" s="23" t="n"/>
      <c r="E27" s="539">
        <f>SUM(E6:E26)</f>
      </c>
      <c r="F27" s="539" t="n"/>
      <c r="G27" s="539">
        <f>SUM(G6:G26)</f>
      </c>
      <c r="H27" s="539">
        <f>SUM(H6:H26)</f>
      </c>
      <c r="I27" s="27" t="n"/>
    </row>
    <row r="28" ht="15.5" customHeight="1">
      <c r="A28" s="29">
        <f>封面!D11&amp;封面!G11</f>
      </c>
      <c r="G28" s="536">
        <f>"评估人员："&amp;封面!G38</f>
      </c>
    </row>
    <row r="29" ht="15.5" customHeight="1">
      <c r="A29" s="29">
        <f>CONCATENATE(封面!D13,封面!F13,封面!G13,封面!H13,封面!I13,封面!J13,封面!K13)</f>
      </c>
    </row>
  </sheetData>
  <mergeCells count="3">
    <mergeCell ref="A27:B27"/>
    <mergeCell ref="A2:I2"/>
    <mergeCell ref="A3:I3"/>
  </mergeCells>
  <hyperlinks>
    <hyperlink ref="A1" location="索引目录!I17" display="返回索引页"/>
    <hyperlink ref="B1" location="流动负债汇总!B17"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Roman,常规"&amp;P&amp;"宋体,常规"5-12_x000a_页</oddHeader>
    <oddFooter/>
    <evenHeader/>
    <evenFooter/>
    <firstHeader/>
    <firstFooter/>
  </headerFooter>
</worksheet>
</file>

<file path=xl/worksheets/sheet86.xml><?xml version="1.0" encoding="utf-8"?>
<worksheet xmlns="http://schemas.openxmlformats.org/spreadsheetml/2006/main">
  <sheetPr codeName="Sheet86">
    <tabColor indexed="10"/>
    <outlinePr summaryBelow="1" summaryRight="1"/>
    <pageSetUpPr fitToPage="1"/>
  </sheetPr>
  <dimension ref="A1:G31"/>
  <sheetViews>
    <sheetView view="pageBreakPreview" zoomScale="60" zoomScaleNormal="85" workbookViewId="0">
      <selection activeCell="G451" sqref="G451"/>
    </sheetView>
  </sheetViews>
  <sheetFormatPr baseColWidth="8" defaultColWidth="9" defaultRowHeight="15.75" customHeight="1"/>
  <cols>
    <col width="8.08333333333333" customWidth="1" style="13" min="1" max="1"/>
    <col width="25.5" customWidth="1" style="13" min="2" max="2"/>
    <col hidden="1" outlineLevel="1" width="19.0833333333333" customWidth="1" style="13" min="3" max="3"/>
    <col collapsed="1" width="25" customWidth="1" style="13" min="4" max="4"/>
    <col width="25" customWidth="1" style="13" min="5" max="6"/>
    <col width="12.5833333333333" customWidth="1" style="13" min="7" max="7"/>
    <col width="9" customWidth="1" style="13" min="8" max="16384"/>
  </cols>
  <sheetData>
    <row r="1" ht="15.5" customHeight="1">
      <c r="A1" s="559" t="inlineStr">
        <is>
          <t>返回索引页</t>
        </is>
      </c>
      <c r="B1" s="15" t="inlineStr">
        <is>
          <t>返回</t>
        </is>
      </c>
      <c r="C1" s="16" t="n"/>
      <c r="D1" s="16" t="n"/>
      <c r="E1" s="16" t="n"/>
      <c r="F1" s="16" t="n"/>
      <c r="G1" s="16" t="n"/>
    </row>
    <row r="2" ht="30" customFormat="1" customHeight="1" s="11">
      <c r="A2" s="17" t="inlineStr">
        <is>
          <t>非流动负债评估汇总表</t>
        </is>
      </c>
    </row>
    <row r="3" ht="14.15" customHeight="1">
      <c r="A3" s="535">
        <f>CONCATENATE(封面!D9,封面!F9,封面!G9,封面!H9,封面!I9,封面!J9,封面!K9)</f>
      </c>
    </row>
    <row r="4" ht="15.5" customHeight="1">
      <c r="A4" s="536">
        <f>封面!D7&amp;封面!F7</f>
      </c>
      <c r="G4" s="44" t="inlineStr">
        <is>
          <t>金额单位：人民币元</t>
        </is>
      </c>
    </row>
    <row r="5" ht="13" customFormat="1" customHeight="1" s="43">
      <c r="A5" s="45" t="inlineStr">
        <is>
          <t>编号</t>
        </is>
      </c>
      <c r="B5" s="45" t="inlineStr">
        <is>
          <t>科目名称</t>
        </is>
      </c>
      <c r="C5" s="45" t="inlineStr">
        <is>
          <t>审计前账面值</t>
        </is>
      </c>
      <c r="D5" s="45" t="inlineStr">
        <is>
          <t>账面价值</t>
        </is>
      </c>
      <c r="E5" s="45" t="inlineStr">
        <is>
          <t>评估价值</t>
        </is>
      </c>
      <c r="F5" s="46" t="inlineStr">
        <is>
          <t>增值额</t>
        </is>
      </c>
      <c r="G5" s="45" t="inlineStr">
        <is>
          <t>增值率%</t>
        </is>
      </c>
    </row>
    <row r="6" ht="15.5" customHeight="1">
      <c r="A6" s="45" t="inlineStr">
        <is>
          <t>6-1</t>
        </is>
      </c>
      <c r="B6" s="47" t="inlineStr">
        <is>
          <t>长期借款</t>
        </is>
      </c>
      <c r="C6" s="539">
        <f>长期借款!H27</f>
      </c>
      <c r="D6" s="539">
        <f>长期借款!J27</f>
      </c>
      <c r="E6" s="539">
        <f>长期借款!L27</f>
      </c>
      <c r="F6" s="539">
        <f>E6-D6</f>
      </c>
      <c r="G6" s="546">
        <f>IF(D6=0,"",F6/D6*100)</f>
      </c>
    </row>
    <row r="7" ht="15.5" customHeight="1">
      <c r="A7" s="45" t="inlineStr">
        <is>
          <t>6-2</t>
        </is>
      </c>
      <c r="B7" s="47" t="inlineStr">
        <is>
          <t>应付债券</t>
        </is>
      </c>
      <c r="C7" s="539">
        <f>应付债券!G27</f>
      </c>
      <c r="D7" s="539">
        <f>应付债券!I27</f>
      </c>
      <c r="E7" s="539">
        <f>应付债券!J27</f>
      </c>
      <c r="F7" s="539">
        <f>E7-D7</f>
      </c>
      <c r="G7" s="546">
        <f>IF(D7=0,"",F7/D7*100)</f>
      </c>
    </row>
    <row r="8" ht="15.5" customHeight="1">
      <c r="A8" s="45" t="inlineStr">
        <is>
          <t>6-3</t>
        </is>
      </c>
      <c r="B8" s="47" t="inlineStr">
        <is>
          <t>长期应付款</t>
        </is>
      </c>
      <c r="C8" s="539">
        <f>长期应付款!G27</f>
      </c>
      <c r="D8" s="539">
        <f>长期应付款!K27</f>
      </c>
      <c r="E8" s="539">
        <f>长期应付款!L27</f>
      </c>
      <c r="F8" s="539">
        <f>E8-D8</f>
      </c>
      <c r="G8" s="546">
        <f>IF(D8=0,"",F8/D8*100)</f>
      </c>
    </row>
    <row r="9" ht="15.5" customHeight="1">
      <c r="A9" s="45" t="inlineStr">
        <is>
          <t>6-4</t>
        </is>
      </c>
      <c r="B9" s="49" t="inlineStr">
        <is>
          <t>租赁负债</t>
        </is>
      </c>
      <c r="C9" s="539" t="n"/>
      <c r="D9" s="539">
        <f>租赁负债!G27</f>
      </c>
      <c r="E9" s="539">
        <f>租赁负债!H27</f>
      </c>
      <c r="F9" s="539">
        <f>E9-D9</f>
      </c>
      <c r="G9" s="546" t="n"/>
    </row>
    <row r="10" ht="15.5" customHeight="1">
      <c r="A10" s="45" t="inlineStr">
        <is>
          <t>6-5</t>
        </is>
      </c>
      <c r="B10" s="47" t="inlineStr">
        <is>
          <t>专项应付款</t>
        </is>
      </c>
      <c r="C10" s="539">
        <f>专项应付款!D27</f>
      </c>
      <c r="D10" s="539">
        <f>专项应付款!F27</f>
      </c>
      <c r="E10" s="539">
        <f>专项应付款!G27</f>
      </c>
      <c r="F10" s="539">
        <f>E10-D10</f>
      </c>
      <c r="G10" s="546">
        <f>IF(D10=0,"",F10/D10*100)</f>
      </c>
    </row>
    <row r="11" ht="15.5" customHeight="1">
      <c r="A11" s="45" t="inlineStr">
        <is>
          <t>6-6</t>
        </is>
      </c>
      <c r="B11" s="47" t="inlineStr">
        <is>
          <t>预计负债</t>
        </is>
      </c>
      <c r="C11" s="539">
        <f>预计负债!E27</f>
      </c>
      <c r="D11" s="539">
        <f>预计负债!G27</f>
      </c>
      <c r="E11" s="539">
        <f>预计负债!H27</f>
      </c>
      <c r="F11" s="539">
        <f>E11-D11</f>
      </c>
      <c r="G11" s="546">
        <f>IF(D11=0,"",F11/D11*100)</f>
      </c>
    </row>
    <row r="12" ht="15.5" customHeight="1">
      <c r="A12" s="45" t="inlineStr">
        <is>
          <t>6-7</t>
        </is>
      </c>
      <c r="B12" s="47" t="inlineStr">
        <is>
          <t>递延所得税负债</t>
        </is>
      </c>
      <c r="C12" s="539">
        <f>递延所得税负债!D27</f>
      </c>
      <c r="D12" s="539">
        <f>递延所得税负债!F27</f>
      </c>
      <c r="E12" s="539">
        <f>递延所得税负债!G27</f>
      </c>
      <c r="F12" s="539">
        <f>E12-D12</f>
      </c>
      <c r="G12" s="546">
        <f>IF(D12=0,"",F12/D12*100)</f>
      </c>
    </row>
    <row r="13" ht="15.5" customHeight="1">
      <c r="A13" s="45" t="inlineStr">
        <is>
          <t>6-8</t>
        </is>
      </c>
      <c r="B13" s="47" t="inlineStr">
        <is>
          <t>其他非流动负债</t>
        </is>
      </c>
      <c r="C13" s="539">
        <f>其他非流动负债!E27</f>
      </c>
      <c r="D13" s="539">
        <f>其他非流动负债!G27</f>
      </c>
      <c r="E13" s="539">
        <f>其他非流动负债!H27</f>
      </c>
      <c r="F13" s="539">
        <f>E13-D13</f>
      </c>
      <c r="G13" s="546">
        <f>IF(D13=0,"",F13/D13*100)</f>
      </c>
    </row>
    <row r="14" ht="15.5" customHeight="1">
      <c r="A14" s="23" t="n"/>
      <c r="B14" s="27" t="n"/>
      <c r="C14" s="539" t="n"/>
      <c r="D14" s="539" t="n"/>
      <c r="E14" s="539" t="n"/>
      <c r="F14" s="539" t="n"/>
      <c r="G14" s="546" t="n"/>
    </row>
    <row r="15" ht="15.5" customHeight="1">
      <c r="A15" s="23" t="n"/>
      <c r="B15" s="27" t="n"/>
      <c r="C15" s="539" t="n"/>
      <c r="D15" s="539" t="n"/>
      <c r="E15" s="539" t="n"/>
      <c r="F15" s="539" t="n"/>
      <c r="G15" s="546" t="n"/>
    </row>
    <row r="16" ht="15.5" customHeight="1">
      <c r="A16" s="23" t="n"/>
      <c r="B16" s="27" t="n"/>
      <c r="C16" s="539" t="n"/>
      <c r="D16" s="539" t="n"/>
      <c r="E16" s="539" t="n"/>
      <c r="F16" s="539" t="n"/>
      <c r="G16" s="546" t="n"/>
    </row>
    <row r="17" ht="15.5" customHeight="1">
      <c r="A17" s="23" t="n"/>
      <c r="B17" s="27" t="n"/>
      <c r="C17" s="539" t="n"/>
      <c r="D17" s="539" t="n"/>
      <c r="E17" s="539" t="n"/>
      <c r="F17" s="539" t="n"/>
      <c r="G17" s="546" t="n"/>
    </row>
    <row r="18" ht="15.5" customHeight="1">
      <c r="A18" s="23" t="n"/>
      <c r="B18" s="27" t="n"/>
      <c r="C18" s="539" t="n"/>
      <c r="D18" s="539" t="n"/>
      <c r="E18" s="539" t="n"/>
      <c r="F18" s="539" t="n"/>
      <c r="G18" s="546" t="n"/>
    </row>
    <row r="19" ht="15.5" customHeight="1">
      <c r="A19" s="23" t="n"/>
      <c r="B19" s="27" t="n"/>
      <c r="C19" s="539" t="n"/>
      <c r="D19" s="539" t="n"/>
      <c r="E19" s="539" t="n"/>
      <c r="F19" s="539" t="n"/>
      <c r="G19" s="546" t="n"/>
    </row>
    <row r="20" ht="15.5" customHeight="1">
      <c r="A20" s="23" t="n"/>
      <c r="B20" s="27" t="n"/>
      <c r="C20" s="539" t="n"/>
      <c r="D20" s="539" t="n"/>
      <c r="E20" s="539" t="n"/>
      <c r="F20" s="539" t="n"/>
      <c r="G20" s="546" t="n"/>
    </row>
    <row r="21" ht="15.5" customHeight="1">
      <c r="A21" s="23" t="n"/>
      <c r="B21" s="27" t="n"/>
      <c r="C21" s="539" t="n"/>
      <c r="D21" s="539" t="n"/>
      <c r="E21" s="539" t="n"/>
      <c r="F21" s="539" t="n"/>
      <c r="G21" s="546" t="n"/>
    </row>
    <row r="22" ht="15.5" customHeight="1">
      <c r="A22" s="23" t="n"/>
      <c r="B22" s="27" t="n"/>
      <c r="C22" s="539" t="n"/>
      <c r="D22" s="539" t="n"/>
      <c r="E22" s="539" t="n"/>
      <c r="F22" s="539" t="n"/>
      <c r="G22" s="546" t="n"/>
    </row>
    <row r="23" ht="15.5" customHeight="1">
      <c r="A23" s="23" t="n"/>
      <c r="B23" s="27" t="n"/>
      <c r="C23" s="539" t="n"/>
      <c r="D23" s="539" t="n"/>
      <c r="E23" s="539" t="n"/>
      <c r="F23" s="539" t="n"/>
      <c r="G23" s="546" t="n"/>
    </row>
    <row r="24" ht="15.5" customHeight="1">
      <c r="A24" s="23" t="n"/>
      <c r="B24" s="27" t="n"/>
      <c r="C24" s="539" t="n"/>
      <c r="D24" s="539" t="n"/>
      <c r="E24" s="539" t="n"/>
      <c r="F24" s="539" t="n"/>
      <c r="G24" s="546" t="n"/>
    </row>
    <row r="25" ht="15.5" customHeight="1">
      <c r="A25" s="23" t="n"/>
      <c r="B25" s="27" t="n"/>
      <c r="C25" s="539" t="n"/>
      <c r="D25" s="539" t="n"/>
      <c r="E25" s="539" t="n"/>
      <c r="F25" s="539" t="n"/>
      <c r="G25" s="546" t="n"/>
    </row>
    <row r="26" ht="15.5" customHeight="1">
      <c r="A26" s="23" t="n"/>
      <c r="B26" s="27" t="n"/>
      <c r="C26" s="539" t="n"/>
      <c r="D26" s="539" t="n"/>
      <c r="E26" s="539" t="n"/>
      <c r="F26" s="539" t="n"/>
      <c r="G26" s="546" t="n"/>
    </row>
    <row r="27" ht="15.5" customHeight="1">
      <c r="A27" s="45" t="n"/>
      <c r="B27" s="50" t="n"/>
      <c r="C27" s="539" t="n"/>
      <c r="D27" s="539" t="n"/>
      <c r="E27" s="539" t="n"/>
      <c r="F27" s="539" t="n"/>
      <c r="G27" s="546" t="n"/>
    </row>
    <row r="28" ht="15.5" customHeight="1">
      <c r="A28" s="45" t="n"/>
      <c r="B28" s="50" t="n"/>
      <c r="C28" s="539" t="n"/>
      <c r="D28" s="539" t="n"/>
      <c r="E28" s="539" t="n"/>
      <c r="F28" s="539" t="n"/>
      <c r="G28" s="546" t="n"/>
    </row>
    <row r="29" ht="15.5" customHeight="1">
      <c r="A29" s="45" t="inlineStr">
        <is>
          <t>10</t>
        </is>
      </c>
      <c r="B29" s="23" t="inlineStr">
        <is>
          <t>非流动负债合计</t>
        </is>
      </c>
      <c r="C29" s="539">
        <f>SUM(C6:C28)</f>
      </c>
      <c r="D29" s="539">
        <f>SUM(D6:D28)</f>
      </c>
      <c r="E29" s="539">
        <f>SUM(E6:E28)</f>
      </c>
      <c r="F29" s="539">
        <f>SUM(F6:F28)</f>
      </c>
      <c r="G29" s="546">
        <f>IF(D29=0,"",F29/D29*100)</f>
      </c>
    </row>
    <row r="30" ht="15.5" customHeight="1">
      <c r="A30" s="29">
        <f>封面!D11&amp;封面!G11</f>
      </c>
      <c r="E30" s="13">
        <f>"评估人员："&amp;封面!G38</f>
      </c>
    </row>
    <row r="31" ht="15.5" customHeight="1">
      <c r="A31" s="29">
        <f>CONCATENATE(封面!D13,封面!F13,封面!G13,封面!H13,封面!I13,封面!J13,封面!K13)</f>
      </c>
    </row>
  </sheetData>
  <mergeCells count="2">
    <mergeCell ref="A3:G3"/>
    <mergeCell ref="A2:G2"/>
  </mergeCells>
  <hyperlinks>
    <hyperlink ref="A1" location="索引目录!G20" display="返回索引页"/>
    <hyperlink ref="B1" location="分类汇总!B53" display="返回"/>
    <hyperlink ref="B6" location="长期借款!B1" display="长期借款"/>
    <hyperlink ref="B7" location="应付债券!B1" display="应付债券"/>
    <hyperlink ref="B8" location="长期应付款!B1" display="长期应付款"/>
    <hyperlink ref="B10" location="专项应付款!B1" display="专项应付款"/>
    <hyperlink ref="B11" location="预计负债!B1" display="预计负债"/>
    <hyperlink ref="B12" location="递延所得税负债!B1" display="递延所得税负债"/>
    <hyperlink ref="B13" location="其他非流动负债!B1" display="其他非流动负债"/>
  </hyperlinks>
  <printOptions horizontalCentered="1"/>
  <pageMargins left="0.354330708661417" right="0.354330708661417" top="0.78740157480315" bottom="0.78740157480315" header="1.03" footer="0.511811023622047"/>
  <pageSetup orientation="landscape" paperSize="9" fitToHeight="0"/>
  <headerFooter alignWithMargins="0">
    <oddHeader>&amp;R&amp;"宋体,常规"共&amp;"Times New Roman,常规"&amp;N&amp;"宋体,常规"页第&amp;"Times New Roman,常规"&amp;P&amp;"宋体,常规"6_x000a_页</oddHeader>
    <oddFooter/>
    <evenHeader/>
    <evenFooter/>
    <firstHeader/>
    <firstFooter/>
  </headerFooter>
</worksheet>
</file>

<file path=xl/worksheets/sheet87.xml><?xml version="1.0" encoding="utf-8"?>
<worksheet xmlns="http://schemas.openxmlformats.org/spreadsheetml/2006/main">
  <sheetPr codeName="Sheet87">
    <outlinePr summaryBelow="1" summaryRight="1"/>
    <pageSetUpPr fitToPage="1"/>
  </sheetPr>
  <dimension ref="A1:M29"/>
  <sheetViews>
    <sheetView view="pageBreakPreview" zoomScale="60" zoomScaleNormal="100" workbookViewId="0">
      <selection activeCell="G451" sqref="G451"/>
    </sheetView>
  </sheetViews>
  <sheetFormatPr baseColWidth="8" defaultColWidth="9" defaultRowHeight="15.75" customHeight="1"/>
  <cols>
    <col width="5.5" customWidth="1" style="13" min="1" max="1"/>
    <col width="22.8333333333333" customWidth="1" style="13" min="2" max="2"/>
    <col width="8.75" customWidth="1" style="13" min="3" max="4"/>
    <col width="8.33333333333333" customWidth="1" style="13" min="5" max="5"/>
    <col width="6.08333333333333" customWidth="1" style="13" min="6" max="6"/>
    <col width="10" customWidth="1" style="13" min="7" max="7"/>
    <col hidden="1" outlineLevel="1" width="13.0833333333333" customWidth="1" style="13" min="8" max="9"/>
    <col collapsed="1" width="14.3333333333333" customWidth="1" style="13" min="10" max="10"/>
    <col width="11.8333333333333" customWidth="1" style="13" min="11" max="11"/>
    <col width="14.3333333333333" customWidth="1" style="13" min="12" max="12"/>
    <col width="10.5833333333333" customWidth="1" style="13" min="13" max="13"/>
    <col width="9" customWidth="1" style="13" min="14"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row>
    <row r="2" ht="30" customFormat="1" customHeight="1" s="11">
      <c r="A2" s="17" t="inlineStr">
        <is>
          <t>长期借款评估明细表</t>
        </is>
      </c>
    </row>
    <row r="3" ht="14.15" customHeight="1">
      <c r="A3" s="535">
        <f>CONCATENATE(封面!D9,封面!F9,封面!G9,封面!H9,封面!I9,封面!J9,封面!K9)</f>
      </c>
    </row>
    <row r="4" ht="15.5" customHeight="1">
      <c r="A4" s="536">
        <f>封面!D7&amp;封面!F7</f>
      </c>
      <c r="M4" s="20" t="inlineStr">
        <is>
          <t>金额单位：人民币元</t>
        </is>
      </c>
    </row>
    <row r="5" ht="13" customFormat="1" customHeight="1" s="12">
      <c r="A5" s="21" t="inlineStr">
        <is>
          <t>序号</t>
        </is>
      </c>
      <c r="B5" s="21" t="inlineStr">
        <is>
          <t>放款银行或机构名称</t>
        </is>
      </c>
      <c r="C5" s="21" t="inlineStr">
        <is>
          <t>发生日期</t>
        </is>
      </c>
      <c r="D5" s="21" t="inlineStr">
        <is>
          <t>到期日</t>
        </is>
      </c>
      <c r="E5" s="21" t="inlineStr">
        <is>
          <t>月利率%</t>
        </is>
      </c>
      <c r="F5" s="21" t="inlineStr">
        <is>
          <t>币种</t>
        </is>
      </c>
      <c r="G5" s="21" t="inlineStr">
        <is>
          <t>外币金额</t>
        </is>
      </c>
      <c r="H5" s="22" t="inlineStr">
        <is>
          <t>审计前账面值</t>
        </is>
      </c>
      <c r="I5" s="22" t="inlineStr">
        <is>
          <t>审计调整</t>
        </is>
      </c>
      <c r="J5" s="21" t="inlineStr">
        <is>
          <t>账面价值</t>
        </is>
      </c>
      <c r="K5" s="21" t="inlineStr">
        <is>
          <t>外币基准日汇率</t>
        </is>
      </c>
      <c r="L5" s="21" t="inlineStr">
        <is>
          <t>评估价值</t>
        </is>
      </c>
      <c r="M5" s="21" t="inlineStr">
        <is>
          <t>备注</t>
        </is>
      </c>
    </row>
    <row r="6" ht="15.5" customHeight="1">
      <c r="A6" s="23" t="n"/>
      <c r="B6" s="24" t="n"/>
      <c r="C6" s="25" t="n"/>
      <c r="D6" s="25" t="n"/>
      <c r="E6" s="25" t="n"/>
      <c r="F6" s="23" t="n"/>
      <c r="G6" s="539" t="n"/>
      <c r="H6" s="539" t="n"/>
      <c r="I6" s="539" t="n"/>
      <c r="J6" s="539" t="n"/>
      <c r="K6" s="38" t="n"/>
      <c r="L6" s="539" t="n"/>
      <c r="M6" s="27" t="n"/>
    </row>
    <row r="7" ht="15.5" customHeight="1">
      <c r="A7" s="23" t="n"/>
      <c r="B7" s="24" t="n"/>
      <c r="C7" s="25" t="n"/>
      <c r="D7" s="25" t="n"/>
      <c r="E7" s="23" t="n"/>
      <c r="F7" s="23" t="n"/>
      <c r="G7" s="539" t="n"/>
      <c r="H7" s="539" t="n"/>
      <c r="I7" s="539" t="n"/>
      <c r="J7" s="539" t="n"/>
      <c r="K7" s="38" t="n"/>
      <c r="L7" s="539" t="n"/>
      <c r="M7" s="27" t="n"/>
    </row>
    <row r="8" ht="15.5" customHeight="1">
      <c r="A8" s="23" t="n"/>
      <c r="B8" s="24" t="n"/>
      <c r="C8" s="25" t="n"/>
      <c r="D8" s="25" t="n"/>
      <c r="E8" s="23" t="n"/>
      <c r="F8" s="23" t="n"/>
      <c r="G8" s="539" t="n"/>
      <c r="H8" s="539" t="n"/>
      <c r="I8" s="539" t="n"/>
      <c r="J8" s="539" t="n"/>
      <c r="K8" s="38" t="n"/>
      <c r="L8" s="539" t="n"/>
      <c r="M8" s="27" t="n"/>
    </row>
    <row r="9" ht="15.5" customHeight="1">
      <c r="A9" s="23" t="n"/>
      <c r="B9" s="24" t="n"/>
      <c r="C9" s="25" t="n"/>
      <c r="D9" s="25" t="n"/>
      <c r="E9" s="23" t="n"/>
      <c r="F9" s="23" t="n"/>
      <c r="G9" s="539" t="n"/>
      <c r="H9" s="539" t="n"/>
      <c r="I9" s="539" t="n"/>
      <c r="J9" s="539" t="n"/>
      <c r="K9" s="38" t="n"/>
      <c r="L9" s="539" t="n"/>
      <c r="M9" s="27" t="n"/>
    </row>
    <row r="10" ht="15.5" customHeight="1">
      <c r="A10" s="23" t="n"/>
      <c r="B10" s="24" t="n"/>
      <c r="C10" s="25" t="n"/>
      <c r="D10" s="25" t="n"/>
      <c r="E10" s="23" t="n"/>
      <c r="F10" s="23" t="n"/>
      <c r="G10" s="539" t="n"/>
      <c r="H10" s="539" t="n"/>
      <c r="I10" s="539" t="n"/>
      <c r="J10" s="539" t="n"/>
      <c r="K10" s="38" t="n"/>
      <c r="L10" s="539" t="n"/>
      <c r="M10" s="27" t="n"/>
    </row>
    <row r="11" ht="15.5" customHeight="1">
      <c r="A11" s="23" t="n"/>
      <c r="B11" s="24" t="n"/>
      <c r="C11" s="25" t="n"/>
      <c r="D11" s="25" t="n"/>
      <c r="E11" s="23" t="n"/>
      <c r="F11" s="23" t="n"/>
      <c r="G11" s="539" t="n"/>
      <c r="H11" s="539" t="n"/>
      <c r="I11" s="539" t="n"/>
      <c r="J11" s="539" t="n"/>
      <c r="K11" s="38" t="n"/>
      <c r="L11" s="539" t="n"/>
      <c r="M11" s="27" t="n"/>
    </row>
    <row r="12" ht="15.5" customHeight="1">
      <c r="A12" s="23" t="n"/>
      <c r="B12" s="24" t="n"/>
      <c r="C12" s="25" t="n"/>
      <c r="D12" s="25" t="n"/>
      <c r="E12" s="23" t="n"/>
      <c r="F12" s="23" t="n"/>
      <c r="G12" s="539" t="n"/>
      <c r="H12" s="539" t="n"/>
      <c r="I12" s="539" t="n"/>
      <c r="J12" s="539" t="n"/>
      <c r="K12" s="38" t="n"/>
      <c r="L12" s="539" t="n"/>
      <c r="M12" s="27" t="n"/>
    </row>
    <row r="13" ht="15.5" customHeight="1">
      <c r="A13" s="23" t="n"/>
      <c r="B13" s="24" t="n"/>
      <c r="C13" s="25" t="n"/>
      <c r="D13" s="25" t="n"/>
      <c r="E13" s="23" t="n"/>
      <c r="F13" s="23" t="n"/>
      <c r="G13" s="539" t="n"/>
      <c r="H13" s="539" t="n"/>
      <c r="I13" s="539" t="n"/>
      <c r="J13" s="539" t="n"/>
      <c r="K13" s="38" t="n"/>
      <c r="L13" s="539" t="n"/>
      <c r="M13" s="27" t="n"/>
    </row>
    <row r="14" ht="15.5" customHeight="1">
      <c r="A14" s="23" t="n"/>
      <c r="B14" s="24" t="n"/>
      <c r="C14" s="25" t="n"/>
      <c r="D14" s="25" t="n"/>
      <c r="E14" s="23" t="n"/>
      <c r="F14" s="23" t="n"/>
      <c r="G14" s="539" t="n"/>
      <c r="H14" s="539" t="n"/>
      <c r="I14" s="539" t="n"/>
      <c r="J14" s="539" t="n"/>
      <c r="K14" s="38" t="n"/>
      <c r="L14" s="539" t="n"/>
      <c r="M14" s="27" t="n"/>
    </row>
    <row r="15" ht="15.5" customHeight="1">
      <c r="A15" s="23" t="n"/>
      <c r="B15" s="24" t="n"/>
      <c r="C15" s="25" t="n"/>
      <c r="D15" s="25" t="n"/>
      <c r="E15" s="23" t="n"/>
      <c r="F15" s="23" t="n"/>
      <c r="G15" s="539" t="n"/>
      <c r="H15" s="539" t="n"/>
      <c r="I15" s="539" t="n"/>
      <c r="J15" s="539" t="n"/>
      <c r="K15" s="38" t="n"/>
      <c r="L15" s="539" t="n"/>
      <c r="M15" s="27" t="n"/>
    </row>
    <row r="16" ht="15.5" customHeight="1">
      <c r="A16" s="23" t="n"/>
      <c r="B16" s="24" t="n"/>
      <c r="C16" s="25" t="n"/>
      <c r="D16" s="25" t="n"/>
      <c r="E16" s="23" t="n"/>
      <c r="F16" s="23" t="n"/>
      <c r="G16" s="539" t="n"/>
      <c r="H16" s="539" t="n"/>
      <c r="I16" s="539" t="n"/>
      <c r="J16" s="539" t="n"/>
      <c r="K16" s="38" t="n"/>
      <c r="L16" s="539" t="n"/>
      <c r="M16" s="27" t="n"/>
    </row>
    <row r="17" ht="15.5" customHeight="1">
      <c r="A17" s="23" t="n"/>
      <c r="B17" s="24" t="n"/>
      <c r="C17" s="25" t="n"/>
      <c r="D17" s="25" t="n"/>
      <c r="E17" s="23" t="n"/>
      <c r="F17" s="23" t="n"/>
      <c r="G17" s="539" t="n"/>
      <c r="H17" s="539" t="n"/>
      <c r="I17" s="539" t="n"/>
      <c r="J17" s="539" t="n"/>
      <c r="K17" s="38" t="n"/>
      <c r="L17" s="539" t="n"/>
      <c r="M17" s="27" t="n"/>
    </row>
    <row r="18" ht="15.5" customHeight="1">
      <c r="A18" s="23" t="n"/>
      <c r="B18" s="24" t="n"/>
      <c r="C18" s="25" t="n"/>
      <c r="D18" s="25" t="n"/>
      <c r="E18" s="23" t="n"/>
      <c r="F18" s="23" t="n"/>
      <c r="G18" s="539" t="n"/>
      <c r="H18" s="539" t="n"/>
      <c r="I18" s="539" t="n"/>
      <c r="J18" s="539" t="n"/>
      <c r="K18" s="38" t="n"/>
      <c r="L18" s="539" t="n"/>
      <c r="M18" s="27" t="n"/>
    </row>
    <row r="19" ht="15.5" customHeight="1">
      <c r="A19" s="23" t="n"/>
      <c r="B19" s="24" t="n"/>
      <c r="C19" s="25" t="n"/>
      <c r="D19" s="25" t="n"/>
      <c r="E19" s="23" t="n"/>
      <c r="F19" s="23" t="n"/>
      <c r="G19" s="539" t="n"/>
      <c r="H19" s="539" t="n"/>
      <c r="I19" s="539" t="n"/>
      <c r="J19" s="539" t="n"/>
      <c r="K19" s="38" t="n"/>
      <c r="L19" s="539" t="n"/>
      <c r="M19" s="27" t="n"/>
    </row>
    <row r="20" ht="15.5" customHeight="1">
      <c r="A20" s="23" t="n"/>
      <c r="B20" s="24" t="n"/>
      <c r="C20" s="25" t="n"/>
      <c r="D20" s="25" t="n"/>
      <c r="E20" s="23" t="n"/>
      <c r="F20" s="23" t="n"/>
      <c r="G20" s="539" t="n"/>
      <c r="H20" s="539" t="n"/>
      <c r="I20" s="539" t="n"/>
      <c r="J20" s="539" t="n"/>
      <c r="K20" s="38" t="n"/>
      <c r="L20" s="539" t="n"/>
      <c r="M20" s="27" t="n"/>
    </row>
    <row r="21" ht="15.5" customHeight="1">
      <c r="A21" s="23" t="n"/>
      <c r="B21" s="24" t="n"/>
      <c r="C21" s="25" t="n"/>
      <c r="D21" s="25" t="n"/>
      <c r="E21" s="23" t="n"/>
      <c r="F21" s="23" t="n"/>
      <c r="G21" s="539" t="n"/>
      <c r="H21" s="539" t="n"/>
      <c r="I21" s="539" t="n"/>
      <c r="J21" s="539" t="n"/>
      <c r="K21" s="38" t="n"/>
      <c r="L21" s="539" t="n"/>
      <c r="M21" s="27" t="n"/>
    </row>
    <row r="22" ht="15.5" customHeight="1">
      <c r="A22" s="23" t="n"/>
      <c r="B22" s="24" t="n"/>
      <c r="C22" s="25" t="n"/>
      <c r="D22" s="25" t="n"/>
      <c r="E22" s="23" t="n"/>
      <c r="F22" s="23" t="n"/>
      <c r="G22" s="539" t="n"/>
      <c r="H22" s="539" t="n"/>
      <c r="I22" s="539" t="n"/>
      <c r="J22" s="539" t="n"/>
      <c r="K22" s="38" t="n"/>
      <c r="L22" s="539" t="n"/>
      <c r="M22" s="27" t="n"/>
    </row>
    <row r="23" ht="15.5" customHeight="1">
      <c r="A23" s="23" t="n"/>
      <c r="B23" s="24" t="n"/>
      <c r="C23" s="25" t="n"/>
      <c r="D23" s="25" t="n"/>
      <c r="E23" s="23" t="n"/>
      <c r="F23" s="23" t="n"/>
      <c r="G23" s="539" t="n"/>
      <c r="H23" s="539" t="n"/>
      <c r="I23" s="539" t="n"/>
      <c r="J23" s="539" t="n"/>
      <c r="K23" s="38" t="n"/>
      <c r="L23" s="539" t="n"/>
      <c r="M23" s="27" t="n"/>
    </row>
    <row r="24" ht="15.5" customHeight="1">
      <c r="A24" s="23" t="n"/>
      <c r="B24" s="24" t="n"/>
      <c r="C24" s="25" t="n"/>
      <c r="D24" s="25" t="n"/>
      <c r="E24" s="23" t="n"/>
      <c r="F24" s="23" t="n"/>
      <c r="G24" s="539" t="n"/>
      <c r="H24" s="539" t="n"/>
      <c r="I24" s="539" t="n"/>
      <c r="J24" s="539" t="n"/>
      <c r="K24" s="38" t="n"/>
      <c r="L24" s="539" t="n"/>
      <c r="M24" s="27" t="n"/>
    </row>
    <row r="25" ht="15.5" customHeight="1">
      <c r="A25" s="23" t="n"/>
      <c r="B25" s="24" t="n"/>
      <c r="C25" s="25" t="n"/>
      <c r="D25" s="25" t="n"/>
      <c r="E25" s="23" t="n"/>
      <c r="F25" s="23" t="n"/>
      <c r="G25" s="539" t="n"/>
      <c r="H25" s="539" t="n"/>
      <c r="I25" s="539" t="n"/>
      <c r="J25" s="539" t="n"/>
      <c r="K25" s="38" t="n"/>
      <c r="L25" s="539" t="n"/>
      <c r="M25" s="27" t="n"/>
    </row>
    <row r="26" ht="15.5" customHeight="1">
      <c r="A26" s="23" t="n"/>
      <c r="B26" s="24" t="n"/>
      <c r="C26" s="25" t="n"/>
      <c r="D26" s="25" t="n"/>
      <c r="E26" s="23" t="n"/>
      <c r="F26" s="23" t="n"/>
      <c r="G26" s="539" t="n"/>
      <c r="H26" s="539" t="n"/>
      <c r="I26" s="539" t="n"/>
      <c r="J26" s="539" t="n"/>
      <c r="K26" s="38" t="n"/>
      <c r="L26" s="539" t="n"/>
      <c r="M26" s="27" t="n"/>
    </row>
    <row r="27" ht="15.5" customHeight="1">
      <c r="A27" s="21" t="inlineStr">
        <is>
          <t>合                    计</t>
        </is>
      </c>
      <c r="B27" s="28" t="n"/>
      <c r="C27" s="25" t="n"/>
      <c r="D27" s="25" t="n"/>
      <c r="E27" s="23" t="n"/>
      <c r="F27" s="23" t="n"/>
      <c r="G27" s="539" t="n"/>
      <c r="H27" s="539">
        <f>SUM(H6:H26)</f>
      </c>
      <c r="I27" s="539" t="n"/>
      <c r="J27" s="539">
        <f>SUM(J6:J26)</f>
      </c>
      <c r="K27" s="38" t="n"/>
      <c r="L27" s="539">
        <f>SUM(L6:L26)</f>
      </c>
      <c r="M27" s="27" t="n"/>
    </row>
    <row r="28" ht="15.5" customHeight="1">
      <c r="A28" s="29">
        <f>封面!D11&amp;封面!G11</f>
      </c>
      <c r="J28" s="13">
        <f>"评估人员："&amp;封面!G38</f>
      </c>
    </row>
    <row r="29" ht="15.5" customHeight="1">
      <c r="A29" s="29">
        <f>CONCATENATE(封面!D13,封面!F13,封面!G13,封面!H13,封面!I13,封面!J13,封面!K13)</f>
      </c>
    </row>
  </sheetData>
  <mergeCells count="3">
    <mergeCell ref="A27:B27"/>
    <mergeCell ref="A3:M3"/>
    <mergeCell ref="A2:M2"/>
  </mergeCells>
  <hyperlinks>
    <hyperlink ref="A1" location="索引目录!I20" display="返回索引页"/>
    <hyperlink ref="B1" location="'非流动负债汇总 '!B6"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Roman,常规"&amp;P&amp;"宋体,常规"6-1_x000a_页</oddHeader>
    <oddFooter/>
    <evenHeader/>
    <evenFooter/>
    <firstHeader/>
    <firstFooter/>
  </headerFooter>
  <legacyDrawing xmlns:r="http://schemas.openxmlformats.org/officeDocument/2006/relationships" r:id="anysvml"/>
</worksheet>
</file>

<file path=xl/worksheets/sheet88.xml><?xml version="1.0" encoding="utf-8"?>
<worksheet xmlns="http://schemas.openxmlformats.org/spreadsheetml/2006/main">
  <sheetPr codeName="Sheet88">
    <outlinePr summaryBelow="1" summaryRight="1"/>
    <pageSetUpPr fitToPage="1"/>
  </sheetPr>
  <dimension ref="A1:U29"/>
  <sheetViews>
    <sheetView showGridLines="0" view="pageBreakPreview" zoomScale="60" zoomScaleNormal="100" workbookViewId="0">
      <selection activeCell="G451" sqref="G451"/>
    </sheetView>
  </sheetViews>
  <sheetFormatPr baseColWidth="8" defaultColWidth="8.75" defaultRowHeight="13"/>
  <cols>
    <col width="4.5" customWidth="1" style="13" min="1" max="1"/>
    <col width="23.0833333333333" customWidth="1" style="13" min="2" max="2"/>
    <col width="9.33333333333333" customWidth="1" style="13" min="3" max="3"/>
    <col width="11.5833333333333" customWidth="1" style="13" min="4" max="5"/>
    <col width="11.25" customWidth="1" style="13" min="6" max="6"/>
    <col hidden="1" outlineLevel="1" width="17.25" customWidth="1" style="13" min="7" max="8"/>
    <col collapsed="1" width="17.25" customWidth="1" style="13" min="9" max="9"/>
    <col width="17.25" customWidth="1" style="13" min="10" max="10"/>
    <col width="15.3333333333333" customWidth="1" style="13" min="11" max="11"/>
    <col width="8.75" customWidth="1" style="13" min="12" max="16384"/>
  </cols>
  <sheetData>
    <row r="1" ht="15" customHeight="1">
      <c r="A1" s="559" t="inlineStr">
        <is>
          <t>返回索引页</t>
        </is>
      </c>
      <c r="B1" s="15" t="inlineStr">
        <is>
          <t>返回</t>
        </is>
      </c>
      <c r="C1" s="16" t="n"/>
      <c r="D1" s="16" t="n"/>
      <c r="E1" s="16" t="n"/>
      <c r="F1" s="16" t="n"/>
      <c r="G1" s="16" t="n"/>
      <c r="H1" s="16" t="n"/>
      <c r="I1" s="16" t="n"/>
      <c r="J1" s="16" t="n"/>
      <c r="K1" s="16" t="n"/>
    </row>
    <row r="2" ht="21" customFormat="1" customHeight="1" s="11">
      <c r="A2" s="40" t="inlineStr">
        <is>
          <t>应付债券评估明细表</t>
        </is>
      </c>
    </row>
    <row r="3" ht="14.15" customHeight="1">
      <c r="A3" s="535">
        <f>CONCATENATE(封面!D9,封面!F9,封面!G9,封面!H9,封面!I9,封面!J9,封面!K9)</f>
      </c>
    </row>
    <row r="4" ht="15.75" customHeight="1">
      <c r="A4" s="536">
        <f>封面!D7&amp;封面!F7</f>
      </c>
      <c r="K4" s="20" t="inlineStr">
        <is>
          <t>金额单位：人民币元</t>
        </is>
      </c>
    </row>
    <row r="5" ht="15.75" customHeight="1">
      <c r="A5" s="21" t="inlineStr">
        <is>
          <t>序号</t>
        </is>
      </c>
      <c r="B5" s="21" t="inlineStr">
        <is>
          <t>债券发行单位</t>
        </is>
      </c>
      <c r="C5" s="21" t="inlineStr">
        <is>
          <t>债券种类</t>
        </is>
      </c>
      <c r="D5" s="21" t="inlineStr">
        <is>
          <t>发生日期</t>
        </is>
      </c>
      <c r="E5" s="21" t="inlineStr">
        <is>
          <t>到期日</t>
        </is>
      </c>
      <c r="F5" s="21" t="inlineStr">
        <is>
          <t>票面利率%</t>
        </is>
      </c>
      <c r="G5" s="22" t="inlineStr">
        <is>
          <t>审计前账面值</t>
        </is>
      </c>
      <c r="H5" s="22" t="inlineStr">
        <is>
          <t>审计调整</t>
        </is>
      </c>
      <c r="I5" s="21" t="inlineStr">
        <is>
          <t>账面价值</t>
        </is>
      </c>
      <c r="J5" s="21" t="inlineStr">
        <is>
          <t>评估价值</t>
        </is>
      </c>
      <c r="K5" s="23" t="inlineStr">
        <is>
          <t xml:space="preserve"> 备 注</t>
        </is>
      </c>
    </row>
    <row r="6" ht="15.75" customHeight="1">
      <c r="A6" s="23" t="n"/>
      <c r="B6" s="24" t="n"/>
      <c r="C6" s="23" t="n"/>
      <c r="D6" s="23" t="n"/>
      <c r="E6" s="23" t="n"/>
      <c r="F6" s="23" t="n"/>
      <c r="G6" s="539" t="n"/>
      <c r="H6" s="539" t="n"/>
      <c r="I6" s="539" t="n"/>
      <c r="J6" s="539" t="n"/>
      <c r="K6" s="27" t="n"/>
    </row>
    <row r="7" ht="15.75" customHeight="1">
      <c r="A7" s="23" t="n"/>
      <c r="B7" s="24" t="n"/>
      <c r="C7" s="23" t="n"/>
      <c r="D7" s="23" t="n"/>
      <c r="E7" s="23" t="n"/>
      <c r="F7" s="23" t="n"/>
      <c r="G7" s="539" t="n"/>
      <c r="H7" s="539" t="n"/>
      <c r="I7" s="539" t="n"/>
      <c r="J7" s="539" t="n"/>
      <c r="K7" s="27" t="n"/>
    </row>
    <row r="8" ht="15.75" customHeight="1">
      <c r="A8" s="23" t="n"/>
      <c r="B8" s="24" t="n"/>
      <c r="C8" s="23" t="n"/>
      <c r="D8" s="23" t="n"/>
      <c r="E8" s="23" t="n"/>
      <c r="F8" s="23" t="n"/>
      <c r="G8" s="539" t="n"/>
      <c r="H8" s="539" t="n"/>
      <c r="I8" s="539" t="n"/>
      <c r="J8" s="539" t="n"/>
      <c r="K8" s="27" t="n"/>
    </row>
    <row r="9" ht="15.75" customHeight="1">
      <c r="A9" s="23" t="n"/>
      <c r="B9" s="24" t="n"/>
      <c r="C9" s="23" t="n"/>
      <c r="D9" s="23" t="n"/>
      <c r="E9" s="23" t="n"/>
      <c r="F9" s="23" t="n"/>
      <c r="G9" s="539" t="n"/>
      <c r="H9" s="539" t="n"/>
      <c r="I9" s="539" t="n"/>
      <c r="J9" s="539" t="n"/>
      <c r="K9" s="27" t="n"/>
    </row>
    <row r="10" ht="15.75" customHeight="1">
      <c r="A10" s="23" t="n"/>
      <c r="B10" s="24" t="n"/>
      <c r="C10" s="23" t="n"/>
      <c r="D10" s="23" t="n"/>
      <c r="E10" s="23" t="n"/>
      <c r="F10" s="23" t="n"/>
      <c r="G10" s="539" t="n"/>
      <c r="H10" s="539" t="n"/>
      <c r="I10" s="539" t="n"/>
      <c r="J10" s="539" t="n"/>
      <c r="K10" s="27" t="n"/>
    </row>
    <row r="11" ht="15.75" customHeight="1">
      <c r="A11" s="23" t="n"/>
      <c r="B11" s="24" t="n"/>
      <c r="C11" s="23" t="n"/>
      <c r="D11" s="23" t="n"/>
      <c r="E11" s="23" t="n"/>
      <c r="F11" s="23" t="n"/>
      <c r="G11" s="539" t="n"/>
      <c r="H11" s="539" t="n"/>
      <c r="I11" s="539" t="n"/>
      <c r="J11" s="539" t="n"/>
      <c r="K11" s="27" t="n"/>
    </row>
    <row r="12" ht="15.75" customHeight="1">
      <c r="A12" s="23" t="n"/>
      <c r="B12" s="24" t="n"/>
      <c r="C12" s="23" t="n"/>
      <c r="D12" s="23" t="n"/>
      <c r="E12" s="23" t="n"/>
      <c r="F12" s="23" t="n"/>
      <c r="G12" s="539" t="n"/>
      <c r="H12" s="539" t="n"/>
      <c r="I12" s="539" t="n"/>
      <c r="J12" s="539" t="n"/>
      <c r="K12" s="27" t="n"/>
    </row>
    <row r="13" ht="15.75" customHeight="1">
      <c r="A13" s="23" t="n"/>
      <c r="B13" s="24" t="n"/>
      <c r="C13" s="23" t="n"/>
      <c r="D13" s="23" t="n"/>
      <c r="E13" s="23" t="n"/>
      <c r="F13" s="23" t="n"/>
      <c r="G13" s="539" t="n"/>
      <c r="H13" s="539" t="n"/>
      <c r="I13" s="539" t="n"/>
      <c r="J13" s="539" t="n"/>
      <c r="K13" s="27" t="n"/>
    </row>
    <row r="14" ht="15.75" customHeight="1">
      <c r="A14" s="23" t="n"/>
      <c r="B14" s="24" t="n"/>
      <c r="C14" s="23" t="n"/>
      <c r="D14" s="23" t="n"/>
      <c r="E14" s="23" t="n"/>
      <c r="F14" s="23" t="n"/>
      <c r="G14" s="539" t="n"/>
      <c r="H14" s="539" t="n"/>
      <c r="I14" s="539" t="n"/>
      <c r="J14" s="539" t="n"/>
      <c r="K14" s="27" t="n"/>
    </row>
    <row r="15" ht="15.75" customHeight="1">
      <c r="A15" s="23" t="n"/>
      <c r="B15" s="24" t="n"/>
      <c r="C15" s="23" t="n"/>
      <c r="D15" s="23" t="n"/>
      <c r="E15" s="23" t="n"/>
      <c r="F15" s="23" t="n"/>
      <c r="G15" s="539" t="n"/>
      <c r="H15" s="539" t="n"/>
      <c r="I15" s="539" t="n"/>
      <c r="J15" s="539" t="n"/>
      <c r="K15" s="27" t="n"/>
    </row>
    <row r="16" ht="15.75" customHeight="1">
      <c r="A16" s="23" t="n"/>
      <c r="B16" s="24" t="n"/>
      <c r="C16" s="23" t="n"/>
      <c r="D16" s="23" t="n"/>
      <c r="E16" s="23" t="n"/>
      <c r="F16" s="23" t="n"/>
      <c r="G16" s="539" t="n"/>
      <c r="H16" s="539" t="n"/>
      <c r="I16" s="539" t="n"/>
      <c r="J16" s="539" t="n"/>
      <c r="K16" s="27" t="n"/>
    </row>
    <row r="17" ht="15.75" customHeight="1">
      <c r="A17" s="23" t="n"/>
      <c r="B17" s="24" t="n"/>
      <c r="C17" s="23" t="n"/>
      <c r="D17" s="23" t="n"/>
      <c r="E17" s="23" t="n"/>
      <c r="F17" s="23" t="n"/>
      <c r="G17" s="539" t="n"/>
      <c r="H17" s="539" t="n"/>
      <c r="I17" s="539" t="n"/>
      <c r="J17" s="539" t="n"/>
      <c r="K17" s="27" t="n"/>
    </row>
    <row r="18" ht="15.75" customHeight="1">
      <c r="A18" s="23" t="n"/>
      <c r="B18" s="24" t="n"/>
      <c r="C18" s="23" t="n"/>
      <c r="D18" s="23" t="n"/>
      <c r="E18" s="23" t="n"/>
      <c r="F18" s="23" t="n"/>
      <c r="G18" s="539" t="n"/>
      <c r="H18" s="539" t="n"/>
      <c r="I18" s="539" t="n"/>
      <c r="J18" s="539" t="n"/>
      <c r="K18" s="27" t="n"/>
    </row>
    <row r="19" ht="15.75" customHeight="1">
      <c r="A19" s="23" t="n"/>
      <c r="B19" s="24" t="n"/>
      <c r="C19" s="23" t="n"/>
      <c r="D19" s="23" t="n"/>
      <c r="E19" s="23" t="n"/>
      <c r="F19" s="23" t="n"/>
      <c r="G19" s="539" t="n"/>
      <c r="H19" s="539" t="n"/>
      <c r="I19" s="539" t="n"/>
      <c r="J19" s="539" t="n"/>
      <c r="K19" s="27" t="n"/>
    </row>
    <row r="20" ht="15.75" customHeight="1">
      <c r="A20" s="23" t="n"/>
      <c r="B20" s="24" t="n"/>
      <c r="C20" s="23" t="n"/>
      <c r="D20" s="23" t="n"/>
      <c r="E20" s="23" t="n"/>
      <c r="F20" s="23" t="n"/>
      <c r="G20" s="539" t="n"/>
      <c r="H20" s="539" t="n"/>
      <c r="I20" s="539" t="n"/>
      <c r="J20" s="539" t="n"/>
      <c r="K20" s="27" t="n"/>
    </row>
    <row r="21" ht="15.75" customHeight="1">
      <c r="A21" s="23" t="n"/>
      <c r="B21" s="24" t="n"/>
      <c r="C21" s="23" t="n"/>
      <c r="D21" s="23" t="n"/>
      <c r="E21" s="23" t="n"/>
      <c r="F21" s="23" t="n"/>
      <c r="G21" s="539" t="n"/>
      <c r="H21" s="539" t="n"/>
      <c r="I21" s="539" t="n"/>
      <c r="J21" s="539" t="n"/>
      <c r="K21" s="27" t="n"/>
    </row>
    <row r="22" ht="15.75" customHeight="1">
      <c r="A22" s="23" t="n"/>
      <c r="B22" s="24" t="n"/>
      <c r="C22" s="23" t="n"/>
      <c r="D22" s="23" t="n"/>
      <c r="E22" s="23" t="n"/>
      <c r="F22" s="23" t="n"/>
      <c r="G22" s="539" t="n"/>
      <c r="H22" s="539" t="n"/>
      <c r="I22" s="539" t="n"/>
      <c r="J22" s="539" t="n"/>
      <c r="K22" s="27" t="n"/>
    </row>
    <row r="23" ht="15.75" customHeight="1">
      <c r="A23" s="23" t="n"/>
      <c r="B23" s="24" t="n"/>
      <c r="C23" s="23" t="n"/>
      <c r="D23" s="23" t="n"/>
      <c r="E23" s="23" t="n"/>
      <c r="F23" s="23" t="n"/>
      <c r="G23" s="539" t="n"/>
      <c r="H23" s="539" t="n"/>
      <c r="I23" s="539" t="n"/>
      <c r="J23" s="539" t="n"/>
      <c r="K23" s="27" t="n"/>
    </row>
    <row r="24" ht="15.75" customHeight="1">
      <c r="A24" s="23" t="n"/>
      <c r="B24" s="24" t="n"/>
      <c r="C24" s="23" t="n"/>
      <c r="D24" s="23" t="n"/>
      <c r="E24" s="23" t="n"/>
      <c r="F24" s="23" t="n"/>
      <c r="G24" s="539" t="n"/>
      <c r="H24" s="539" t="n"/>
      <c r="I24" s="539" t="n"/>
      <c r="J24" s="539" t="n"/>
      <c r="K24" s="27" t="n"/>
    </row>
    <row r="25" ht="15.75" customHeight="1">
      <c r="A25" s="23" t="n"/>
      <c r="B25" s="24" t="n"/>
      <c r="C25" s="23" t="n"/>
      <c r="D25" s="23" t="n"/>
      <c r="E25" s="23" t="n"/>
      <c r="F25" s="23" t="n"/>
      <c r="G25" s="539" t="n"/>
      <c r="H25" s="539" t="n"/>
      <c r="I25" s="539" t="n"/>
      <c r="J25" s="539" t="n"/>
      <c r="K25" s="27" t="n"/>
    </row>
    <row r="26" ht="15.75" customHeight="1">
      <c r="A26" s="23" t="n"/>
      <c r="B26" s="24" t="n"/>
      <c r="C26" s="23" t="n"/>
      <c r="D26" s="23" t="n"/>
      <c r="E26" s="23" t="n"/>
      <c r="F26" s="23" t="n"/>
      <c r="G26" s="539" t="n"/>
      <c r="H26" s="539" t="n"/>
      <c r="I26" s="539" t="n"/>
      <c r="J26" s="539" t="n"/>
      <c r="K26" s="27" t="n"/>
    </row>
    <row r="27" ht="15.75" customHeight="1">
      <c r="A27" s="21" t="inlineStr">
        <is>
          <t>合                    计</t>
        </is>
      </c>
      <c r="B27" s="28" t="n"/>
      <c r="C27" s="23" t="n"/>
      <c r="D27" s="23" t="n"/>
      <c r="E27" s="23" t="n"/>
      <c r="F27" s="23" t="n"/>
      <c r="G27" s="539">
        <f>SUM(G6:G26)</f>
      </c>
      <c r="H27" s="539" t="n"/>
      <c r="I27" s="539">
        <f>SUM(I6:I26)</f>
      </c>
      <c r="J27" s="539">
        <f>SUM(J6:J26)</f>
      </c>
      <c r="K27" s="41" t="n"/>
      <c r="L27" s="42" t="n"/>
      <c r="M27" s="42" t="n"/>
      <c r="N27" s="42" t="n"/>
      <c r="O27" s="42" t="n"/>
      <c r="P27" s="42" t="n"/>
      <c r="Q27" s="42" t="n"/>
      <c r="R27" s="42" t="n"/>
      <c r="S27" s="42" t="n"/>
      <c r="T27" s="42" t="n"/>
      <c r="U27" s="42" t="n"/>
    </row>
    <row r="28" ht="15.75" customHeight="1">
      <c r="A28" s="29">
        <f>封面!D11&amp;封面!G11</f>
      </c>
      <c r="G28" s="536" t="n"/>
      <c r="H28" s="536" t="n"/>
      <c r="I28" s="536">
        <f>"评估人员："&amp;封面!G38</f>
      </c>
    </row>
    <row r="29" ht="15.75" customHeight="1">
      <c r="A29" s="29">
        <f>CONCATENATE(封面!D13,封面!F13,封面!G13,封面!H13,封面!I13,封面!J13,封面!K13)</f>
      </c>
    </row>
  </sheetData>
  <mergeCells count="3">
    <mergeCell ref="A2:K2"/>
    <mergeCell ref="A27:B27"/>
    <mergeCell ref="A3:K3"/>
  </mergeCells>
  <hyperlinks>
    <hyperlink ref="A1" location="索引目录!I21" display="返回索引页"/>
    <hyperlink ref="B1" location="'非流动负债汇总 '!B7" display="返回"/>
  </hyperlinks>
  <printOptions horizontalCentered="1"/>
  <pageMargins left="0.354330708661417" right="0.354330708661417" top="0.78740157480315" bottom="0.78740157480315" header="0.92" footer="0.511811023622047"/>
  <pageSetup orientation="landscape" paperSize="9" fitToHeight="0" horizontalDpi="300" verticalDpi="300"/>
  <headerFooter alignWithMargins="0">
    <oddHeader>&amp;R&amp;"宋体,常规"共&amp;"Times New Roman,常规"&amp;N&amp;"宋体,常规"页第&amp;"Times New Roman,常规"&amp;P&amp;"宋体,常规"6-2_x000a_页</oddHeader>
    <oddFooter/>
    <evenHeader/>
    <evenFooter/>
    <firstHeader/>
    <firstFooter/>
  </headerFooter>
</worksheet>
</file>

<file path=xl/worksheets/sheet89.xml><?xml version="1.0" encoding="utf-8"?>
<worksheet xmlns="http://schemas.openxmlformats.org/spreadsheetml/2006/main">
  <sheetPr codeName="Sheet89">
    <outlinePr summaryBelow="1" summaryRight="1"/>
    <pageSetUpPr fitToPage="1"/>
  </sheetPr>
  <dimension ref="A1:M29"/>
  <sheetViews>
    <sheetView view="pageBreakPreview" zoomScale="60" zoomScaleNormal="100" workbookViewId="0">
      <selection activeCell="G451" sqref="G451"/>
    </sheetView>
  </sheetViews>
  <sheetFormatPr baseColWidth="8" defaultColWidth="9" defaultRowHeight="15.75" customHeight="1"/>
  <cols>
    <col width="4.33333333333333" customWidth="1" style="13" min="1" max="1"/>
    <col width="22.8333333333333" customWidth="1" style="13" min="2" max="2"/>
    <col width="10.5" customWidth="1" style="13" min="3" max="3"/>
    <col width="15.5" customWidth="1" style="13" min="4" max="4"/>
    <col hidden="1" outlineLevel="1" width="13.3333333333333" customWidth="1" style="13" min="5" max="5"/>
    <col hidden="1" outlineLevel="1" width="14.3333333333333" customWidth="1" style="13" min="6" max="6"/>
    <col hidden="1" outlineLevel="1" width="13.0833333333333" customWidth="1" style="13" min="7" max="7"/>
    <col hidden="1" outlineLevel="1" width="3" customWidth="1" style="13" min="8" max="8"/>
    <col collapsed="1" width="14.25" customWidth="1" style="13" min="9" max="9"/>
    <col width="14.25" customWidth="1" style="13" min="10" max="11"/>
    <col width="14.3333333333333" customWidth="1" style="13" min="12" max="12"/>
    <col width="10.25" customWidth="1" style="13" min="13" max="13"/>
    <col width="9" customWidth="1" style="13" min="14" max="16384"/>
  </cols>
  <sheetData>
    <row r="1" ht="15.5" customHeight="1">
      <c r="A1" s="559" t="inlineStr">
        <is>
          <t>返回索引页</t>
        </is>
      </c>
      <c r="B1" s="15" t="inlineStr">
        <is>
          <t>返回</t>
        </is>
      </c>
      <c r="C1" s="16" t="n"/>
      <c r="D1" s="16" t="n"/>
      <c r="E1" s="16" t="n"/>
      <c r="F1" s="16" t="n"/>
      <c r="G1" s="16" t="n"/>
      <c r="H1" s="16" t="n"/>
      <c r="I1" s="16" t="n"/>
      <c r="J1" s="16" t="n"/>
      <c r="K1" s="16" t="n"/>
      <c r="L1" s="16" t="n"/>
      <c r="M1" s="16" t="n"/>
    </row>
    <row r="2" ht="30" customFormat="1" customHeight="1" s="11">
      <c r="A2" s="17" t="inlineStr">
        <is>
          <t>长期应付款评估明细表</t>
        </is>
      </c>
    </row>
    <row r="3" ht="14.15" customHeight="1">
      <c r="A3" s="535">
        <f>CONCATENATE(封面!D9,封面!F9,封面!G9,封面!H9,封面!I9,封面!J9,封面!K9)</f>
      </c>
    </row>
    <row r="4" ht="15.5" customHeight="1">
      <c r="A4" s="536">
        <f>封面!D7&amp;封面!F7</f>
      </c>
      <c r="M4" s="20" t="inlineStr">
        <is>
          <t>金额单位：人民币元</t>
        </is>
      </c>
    </row>
    <row r="5" ht="13" customFormat="1" customHeight="1" s="12">
      <c r="A5" s="21" t="inlineStr">
        <is>
          <t>序号</t>
        </is>
      </c>
      <c r="B5" s="21" t="inlineStr">
        <is>
          <t>户名（结算对象）</t>
        </is>
      </c>
      <c r="C5" s="21" t="inlineStr">
        <is>
          <t>发生日期</t>
        </is>
      </c>
      <c r="D5" s="21" t="inlineStr">
        <is>
          <t>业务内容</t>
        </is>
      </c>
      <c r="E5" s="21" t="inlineStr">
        <is>
          <t>审计前账面值</t>
        </is>
      </c>
      <c r="F5" s="138" t="n"/>
      <c r="G5" s="28" t="n"/>
      <c r="H5" s="21" t="inlineStr">
        <is>
          <t>审计调整</t>
        </is>
      </c>
      <c r="I5" s="33" t="inlineStr">
        <is>
          <t>账面价值</t>
        </is>
      </c>
      <c r="J5" s="34" t="n"/>
      <c r="K5" s="35" t="n"/>
      <c r="L5" s="21" t="inlineStr">
        <is>
          <t>评估价值</t>
        </is>
      </c>
      <c r="M5" s="21" t="inlineStr">
        <is>
          <t>备注</t>
        </is>
      </c>
    </row>
    <row r="6" ht="13" customFormat="1" customHeight="1" s="12">
      <c r="A6" s="36" t="n"/>
      <c r="B6" s="36" t="n"/>
      <c r="C6" s="36" t="n"/>
      <c r="D6" s="36" t="n"/>
      <c r="E6" s="21"/>
      <c r="F6" s="21"/>
      <c r="G6" s="21"/>
      <c r="H6" s="36" t="n"/>
      <c r="I6" s="21"/>
      <c r="J6" s="21"/>
      <c r="K6" s="21"/>
      <c r="L6" s="36" t="n"/>
      <c r="M6" s="36" t="n"/>
    </row>
    <row r="7" ht="15.5" customHeight="1">
      <c r="A7" s="23" t="n"/>
      <c r="B7" s="24" t="n"/>
      <c r="C7" s="37" t="n"/>
      <c r="D7" s="38" t="n"/>
      <c r="E7" s="539" t="n"/>
      <c r="F7" s="539" t="n"/>
      <c r="G7" s="539" t="n"/>
      <c r="H7" s="539" t="n"/>
      <c r="I7" s="539" t="n"/>
      <c r="J7" s="539" t="n"/>
      <c r="K7" s="539" t="n"/>
      <c r="L7" s="539">
        <f>K7</f>
      </c>
      <c r="M7" s="27" t="n"/>
    </row>
    <row r="8" ht="15.5" customHeight="1">
      <c r="A8" s="23" t="n"/>
      <c r="B8" s="24" t="n"/>
      <c r="C8" s="37" t="n"/>
      <c r="D8" s="38" t="n"/>
      <c r="E8" s="539" t="n"/>
      <c r="F8" s="539" t="n"/>
      <c r="G8" s="539" t="n"/>
      <c r="H8" s="539" t="n"/>
      <c r="I8" s="539" t="n"/>
      <c r="J8" s="539" t="n"/>
      <c r="K8" s="539" t="n"/>
      <c r="L8" s="539" t="n"/>
      <c r="M8" s="27" t="n"/>
    </row>
    <row r="9" ht="15.5" customHeight="1">
      <c r="A9" s="23" t="n"/>
      <c r="B9" s="24" t="n"/>
      <c r="C9" s="37" t="n"/>
      <c r="D9" s="38" t="n"/>
      <c r="E9" s="539" t="n"/>
      <c r="F9" s="539" t="n"/>
      <c r="G9" s="539" t="n"/>
      <c r="H9" s="539" t="n"/>
      <c r="I9" s="539" t="n"/>
      <c r="J9" s="539" t="n"/>
      <c r="K9" s="539" t="n"/>
      <c r="L9" s="539" t="n"/>
      <c r="M9" s="27" t="n"/>
    </row>
    <row r="10" ht="15.5" customHeight="1">
      <c r="A10" s="23" t="n"/>
      <c r="B10" s="24" t="n"/>
      <c r="C10" s="37" t="n"/>
      <c r="D10" s="38" t="n"/>
      <c r="E10" s="539" t="n"/>
      <c r="F10" s="539" t="n"/>
      <c r="G10" s="539" t="n"/>
      <c r="H10" s="539" t="n"/>
      <c r="I10" s="539" t="n"/>
      <c r="J10" s="539" t="n"/>
      <c r="K10" s="539" t="n"/>
      <c r="L10" s="539" t="n"/>
      <c r="M10" s="27" t="n"/>
    </row>
    <row r="11" ht="15.5" customHeight="1">
      <c r="A11" s="23" t="n"/>
      <c r="B11" s="24" t="n"/>
      <c r="C11" s="37" t="n"/>
      <c r="D11" s="38" t="n"/>
      <c r="E11" s="539" t="n"/>
      <c r="F11" s="539" t="n"/>
      <c r="G11" s="539" t="n"/>
      <c r="H11" s="539" t="n"/>
      <c r="I11" s="539" t="n"/>
      <c r="J11" s="539" t="n"/>
      <c r="K11" s="539" t="n"/>
      <c r="L11" s="539" t="n"/>
      <c r="M11" s="27" t="n"/>
    </row>
    <row r="12" ht="15.5" customHeight="1">
      <c r="A12" s="23" t="n"/>
      <c r="B12" s="24" t="n"/>
      <c r="C12" s="37" t="n"/>
      <c r="D12" s="38" t="n"/>
      <c r="E12" s="539" t="n"/>
      <c r="F12" s="539" t="n"/>
      <c r="G12" s="539" t="n"/>
      <c r="H12" s="539" t="n"/>
      <c r="I12" s="539" t="n"/>
      <c r="J12" s="539" t="n"/>
      <c r="K12" s="539" t="n"/>
      <c r="L12" s="539" t="n"/>
      <c r="M12" s="27" t="n"/>
    </row>
    <row r="13" ht="15.5" customHeight="1">
      <c r="A13" s="23" t="n"/>
      <c r="B13" s="24" t="n"/>
      <c r="C13" s="37" t="n"/>
      <c r="D13" s="38" t="n"/>
      <c r="E13" s="539" t="n"/>
      <c r="F13" s="539" t="n"/>
      <c r="G13" s="539" t="n"/>
      <c r="H13" s="539" t="n"/>
      <c r="I13" s="539" t="n"/>
      <c r="J13" s="539" t="n"/>
      <c r="K13" s="539" t="n"/>
      <c r="L13" s="539" t="n"/>
      <c r="M13" s="27" t="n"/>
    </row>
    <row r="14" ht="15.5" customHeight="1">
      <c r="A14" s="23" t="n"/>
      <c r="B14" s="24" t="n"/>
      <c r="C14" s="37" t="n"/>
      <c r="D14" s="38" t="n"/>
      <c r="E14" s="539" t="n"/>
      <c r="F14" s="539" t="n"/>
      <c r="G14" s="539" t="n"/>
      <c r="H14" s="539" t="n"/>
      <c r="I14" s="539" t="n"/>
      <c r="J14" s="539" t="n"/>
      <c r="K14" s="539" t="n"/>
      <c r="L14" s="539" t="n"/>
      <c r="M14" s="27" t="n"/>
    </row>
    <row r="15" ht="15.5" customHeight="1">
      <c r="A15" s="23" t="n"/>
      <c r="B15" s="24" t="n"/>
      <c r="C15" s="37" t="n"/>
      <c r="D15" s="38" t="n"/>
      <c r="E15" s="539" t="n"/>
      <c r="F15" s="539" t="n"/>
      <c r="G15" s="539" t="n"/>
      <c r="H15" s="539" t="n"/>
      <c r="I15" s="539" t="n"/>
      <c r="J15" s="539" t="n"/>
      <c r="K15" s="539" t="n"/>
      <c r="L15" s="539" t="n"/>
      <c r="M15" s="27" t="n"/>
    </row>
    <row r="16" ht="15.5" customHeight="1">
      <c r="A16" s="23" t="n"/>
      <c r="B16" s="24" t="n"/>
      <c r="C16" s="37" t="n"/>
      <c r="D16" s="38" t="n"/>
      <c r="E16" s="539" t="n"/>
      <c r="F16" s="539" t="n"/>
      <c r="G16" s="539" t="n"/>
      <c r="H16" s="539" t="n"/>
      <c r="I16" s="539" t="n"/>
      <c r="J16" s="539" t="n"/>
      <c r="K16" s="539" t="n"/>
      <c r="L16" s="539" t="n"/>
      <c r="M16" s="27" t="n"/>
    </row>
    <row r="17" ht="15.5" customHeight="1">
      <c r="A17" s="23" t="n"/>
      <c r="B17" s="24" t="n"/>
      <c r="C17" s="37" t="n"/>
      <c r="D17" s="38" t="n"/>
      <c r="E17" s="539" t="n"/>
      <c r="F17" s="539" t="n"/>
      <c r="G17" s="539" t="n"/>
      <c r="H17" s="539" t="n"/>
      <c r="I17" s="539" t="n"/>
      <c r="J17" s="539" t="n"/>
      <c r="K17" s="539" t="n"/>
      <c r="L17" s="539" t="n"/>
      <c r="M17" s="27" t="n"/>
    </row>
    <row r="18" ht="15.5" customHeight="1">
      <c r="A18" s="23" t="n"/>
      <c r="B18" s="24" t="n"/>
      <c r="C18" s="37" t="n"/>
      <c r="D18" s="38" t="n"/>
      <c r="E18" s="539" t="n"/>
      <c r="F18" s="539" t="n"/>
      <c r="G18" s="539" t="n"/>
      <c r="H18" s="539" t="n"/>
      <c r="I18" s="539" t="n"/>
      <c r="J18" s="539" t="n"/>
      <c r="K18" s="539" t="n"/>
      <c r="L18" s="539" t="n"/>
      <c r="M18" s="27" t="n"/>
    </row>
    <row r="19" ht="15.5" customHeight="1">
      <c r="A19" s="23" t="n"/>
      <c r="B19" s="24" t="n"/>
      <c r="C19" s="37" t="n"/>
      <c r="D19" s="38" t="n"/>
      <c r="E19" s="539" t="n"/>
      <c r="F19" s="539" t="n"/>
      <c r="G19" s="539" t="n"/>
      <c r="H19" s="539" t="n"/>
      <c r="I19" s="539" t="n"/>
      <c r="J19" s="539" t="n"/>
      <c r="K19" s="539" t="n"/>
      <c r="L19" s="539" t="n"/>
      <c r="M19" s="27" t="n"/>
    </row>
    <row r="20" ht="15.5" customHeight="1">
      <c r="A20" s="23" t="n"/>
      <c r="B20" s="24" t="n"/>
      <c r="C20" s="37" t="n"/>
      <c r="D20" s="38" t="n"/>
      <c r="E20" s="539" t="n"/>
      <c r="F20" s="539" t="n"/>
      <c r="G20" s="539" t="n"/>
      <c r="H20" s="539" t="n"/>
      <c r="I20" s="539" t="n"/>
      <c r="J20" s="539" t="n"/>
      <c r="K20" s="539" t="n"/>
      <c r="L20" s="539" t="n"/>
      <c r="M20" s="27" t="n"/>
    </row>
    <row r="21" ht="15.5" customHeight="1">
      <c r="A21" s="23" t="n"/>
      <c r="B21" s="24" t="n"/>
      <c r="C21" s="37" t="n"/>
      <c r="D21" s="38" t="n"/>
      <c r="E21" s="539" t="n"/>
      <c r="F21" s="539" t="n"/>
      <c r="G21" s="539" t="n"/>
      <c r="H21" s="539" t="n"/>
      <c r="I21" s="539" t="n"/>
      <c r="J21" s="539" t="n"/>
      <c r="K21" s="539" t="n"/>
      <c r="L21" s="539" t="n"/>
      <c r="M21" s="27" t="n"/>
    </row>
    <row r="22" ht="15.5" customHeight="1">
      <c r="A22" s="23" t="n"/>
      <c r="B22" s="24" t="n"/>
      <c r="C22" s="37" t="n"/>
      <c r="D22" s="38" t="n"/>
      <c r="E22" s="539" t="n"/>
      <c r="F22" s="539" t="n"/>
      <c r="G22" s="539" t="n"/>
      <c r="H22" s="539" t="n"/>
      <c r="I22" s="539" t="n"/>
      <c r="J22" s="539" t="n"/>
      <c r="K22" s="539" t="n"/>
      <c r="L22" s="539" t="n"/>
      <c r="M22" s="27" t="n"/>
    </row>
    <row r="23" ht="15.5" customHeight="1">
      <c r="A23" s="23" t="n"/>
      <c r="B23" s="24" t="n"/>
      <c r="C23" s="37" t="n"/>
      <c r="D23" s="38" t="n"/>
      <c r="E23" s="539" t="n"/>
      <c r="F23" s="539" t="n"/>
      <c r="G23" s="539" t="n"/>
      <c r="H23" s="539" t="n"/>
      <c r="I23" s="539" t="n"/>
      <c r="J23" s="539" t="n"/>
      <c r="K23" s="539" t="n"/>
      <c r="L23" s="539" t="n"/>
      <c r="M23" s="27" t="n"/>
    </row>
    <row r="24" ht="15.5" customHeight="1">
      <c r="A24" s="23" t="n"/>
      <c r="B24" s="24" t="n"/>
      <c r="C24" s="37" t="n"/>
      <c r="D24" s="38" t="n"/>
      <c r="E24" s="539" t="n"/>
      <c r="F24" s="539" t="n"/>
      <c r="G24" s="539" t="n"/>
      <c r="H24" s="539" t="n"/>
      <c r="I24" s="539" t="n"/>
      <c r="J24" s="539" t="n"/>
      <c r="K24" s="539" t="n"/>
      <c r="L24" s="539" t="n"/>
      <c r="M24" s="27" t="n"/>
    </row>
    <row r="25" ht="15.5" customHeight="1">
      <c r="A25" s="23" t="n"/>
      <c r="B25" s="24" t="n"/>
      <c r="C25" s="37" t="n"/>
      <c r="D25" s="38" t="n"/>
      <c r="E25" s="539" t="n"/>
      <c r="F25" s="539" t="n"/>
      <c r="G25" s="539" t="n"/>
      <c r="H25" s="539" t="n"/>
      <c r="I25" s="539" t="n"/>
      <c r="J25" s="539" t="n"/>
      <c r="K25" s="539" t="n"/>
      <c r="L25" s="539" t="n"/>
      <c r="M25" s="27" t="n"/>
    </row>
    <row r="26" ht="15.5" customHeight="1">
      <c r="A26" s="23" t="n"/>
      <c r="B26" s="24" t="n"/>
      <c r="C26" s="37" t="n"/>
      <c r="D26" s="38" t="n"/>
      <c r="E26" s="539" t="n"/>
      <c r="F26" s="539" t="n"/>
      <c r="G26" s="539" t="n"/>
      <c r="H26" s="539" t="n"/>
      <c r="I26" s="539" t="n"/>
      <c r="J26" s="539" t="n"/>
      <c r="K26" s="539" t="n"/>
      <c r="L26" s="539" t="n"/>
      <c r="M26" s="27" t="n"/>
    </row>
    <row r="27" ht="15.5" customHeight="1">
      <c r="A27" s="21" t="inlineStr">
        <is>
          <t>合                          计</t>
        </is>
      </c>
      <c r="B27" s="28" t="n"/>
      <c r="C27" s="37" t="n"/>
      <c r="D27" s="39" t="n"/>
      <c r="E27" s="539" t="n"/>
      <c r="F27" s="539" t="n"/>
      <c r="G27" s="539">
        <f>SUM(G7:G26)</f>
      </c>
      <c r="H27" s="539" t="n"/>
      <c r="I27" s="539" t="n"/>
      <c r="J27" s="539" t="n"/>
      <c r="K27" s="539">
        <f>SUM(K7:K26)</f>
      </c>
      <c r="L27" s="539">
        <f>SUM(L7:L26)</f>
      </c>
      <c r="M27" s="27" t="n"/>
    </row>
    <row r="28" ht="15.5" customHeight="1">
      <c r="A28" s="29">
        <f>封面!D11&amp;封面!G11</f>
      </c>
      <c r="E28" s="536" t="n"/>
      <c r="F28" s="536" t="n"/>
      <c r="K28" s="536">
        <f>"评估人员："&amp;封面!G38</f>
      </c>
    </row>
    <row r="29" ht="15.5" customHeight="1">
      <c r="A29" s="29">
        <f>CONCATENATE(封面!D13,封面!F13,封面!G13,封面!H13,封面!I13,封面!J13,封面!K13)</f>
      </c>
    </row>
  </sheetData>
  <mergeCells count="12">
    <mergeCell ref="A5:A6"/>
    <mergeCell ref="H5:H6"/>
    <mergeCell ref="E5:G5"/>
    <mergeCell ref="I5:K5"/>
    <mergeCell ref="A3:M3"/>
    <mergeCell ref="M5:M6"/>
    <mergeCell ref="C5:C6"/>
    <mergeCell ref="A27:B27"/>
    <mergeCell ref="D5:D6"/>
    <mergeCell ref="A2:M2"/>
    <mergeCell ref="B5:B6"/>
    <mergeCell ref="L5:L6"/>
  </mergeCells>
  <hyperlinks>
    <hyperlink ref="A1" location="索引目录!I22" display="返回索引页"/>
    <hyperlink ref="B1" location="'非流动负债汇总 '!B8"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Roman,常规"&amp;P&amp;"宋体,常规"6-3_x000a_页</oddHeader>
    <oddFooter/>
    <evenHeader/>
    <evenFooter/>
    <firstHeader/>
    <firstFooter/>
  </headerFooter>
  <legacyDrawing xmlns:r="http://schemas.openxmlformats.org/officeDocument/2006/relationships" r:id="anysvml"/>
</worksheet>
</file>

<file path=xl/worksheets/sheet90.xml><?xml version="1.0" encoding="utf-8"?>
<worksheet xmlns="http://schemas.openxmlformats.org/spreadsheetml/2006/main">
  <sheetPr codeName="Sheet90">
    <outlinePr summaryBelow="1" summaryRight="1"/>
    <pageSetUpPr fitToPage="1"/>
  </sheetPr>
  <dimension ref="A1:H29"/>
  <sheetViews>
    <sheetView showGridLines="0" view="pageBreakPreview" zoomScale="60" zoomScaleNormal="100" workbookViewId="0">
      <selection activeCell="G451" sqref="G451"/>
    </sheetView>
  </sheetViews>
  <sheetFormatPr baseColWidth="8" defaultColWidth="9" defaultRowHeight="15.75" customHeight="1"/>
  <cols>
    <col width="6.75" customWidth="1" style="13" min="1" max="1"/>
    <col width="29.3333333333333" customWidth="1" style="13" min="2" max="2"/>
    <col width="17.5833333333333" customWidth="1" style="13" min="3" max="3"/>
    <col hidden="1" outlineLevel="1" width="16.8333333333333" customWidth="1" style="13" min="4" max="5"/>
    <col collapsed="1" width="22.5" customWidth="1" style="13" min="6" max="6"/>
    <col width="22.5" customWidth="1" style="13" min="7" max="7"/>
    <col width="22.25" customWidth="1" style="13" min="8" max="8"/>
    <col width="9" customWidth="1" style="13" min="9" max="16384"/>
  </cols>
  <sheetData>
    <row r="1" ht="15.5" customHeight="1">
      <c r="A1" s="559" t="inlineStr">
        <is>
          <t>返回索引页</t>
        </is>
      </c>
      <c r="B1" s="15" t="inlineStr">
        <is>
          <t>返回</t>
        </is>
      </c>
      <c r="C1" s="16" t="n"/>
      <c r="D1" s="16" t="n"/>
      <c r="E1" s="16" t="n"/>
      <c r="F1" s="16" t="n"/>
      <c r="G1" s="16" t="n"/>
      <c r="H1" s="16" t="n"/>
    </row>
    <row r="2" ht="30" customFormat="1" customHeight="1" s="11">
      <c r="A2" s="17" t="inlineStr">
        <is>
          <t>专项应付款评估明细表</t>
        </is>
      </c>
    </row>
    <row r="3" ht="14.15" customHeight="1">
      <c r="A3" s="535">
        <f>CONCATENATE(封面!D9,封面!F9,封面!G9,封面!H9,封面!I9,封面!J9,封面!K9)</f>
      </c>
    </row>
    <row r="4" ht="15.5" customHeight="1">
      <c r="A4" s="536">
        <f>封面!D7&amp;封面!F7</f>
      </c>
      <c r="H4" s="20" t="inlineStr">
        <is>
          <t>金额单位：人民币元</t>
        </is>
      </c>
    </row>
    <row r="5" ht="13" customFormat="1" customHeight="1" s="12">
      <c r="A5" s="21" t="inlineStr">
        <is>
          <t>序号</t>
        </is>
      </c>
      <c r="B5" s="21" t="inlineStr">
        <is>
          <t>户名（或结算对象）</t>
        </is>
      </c>
      <c r="C5" s="21" t="inlineStr">
        <is>
          <t>发生日期</t>
        </is>
      </c>
      <c r="D5" s="22" t="inlineStr">
        <is>
          <t>审计前账面值</t>
        </is>
      </c>
      <c r="E5" s="22" t="inlineStr">
        <is>
          <t>审计调整</t>
        </is>
      </c>
      <c r="F5" s="21" t="inlineStr">
        <is>
          <t>账面价值</t>
        </is>
      </c>
      <c r="G5" s="21" t="inlineStr">
        <is>
          <t>评估价值</t>
        </is>
      </c>
      <c r="H5" s="21" t="inlineStr">
        <is>
          <t xml:space="preserve"> 备 注</t>
        </is>
      </c>
    </row>
    <row r="6" ht="15.5" customHeight="1">
      <c r="A6" s="23" t="n"/>
      <c r="B6" s="24" t="n"/>
      <c r="C6" s="25" t="n"/>
      <c r="D6" s="539" t="n"/>
      <c r="E6" s="539" t="n"/>
      <c r="F6" s="539" t="n"/>
      <c r="G6" s="539" t="n"/>
      <c r="H6" s="27" t="n"/>
    </row>
    <row r="7" ht="15.5" customHeight="1">
      <c r="A7" s="23" t="n"/>
      <c r="B7" s="24" t="n"/>
      <c r="C7" s="25" t="n"/>
      <c r="D7" s="539" t="n"/>
      <c r="E7" s="539" t="n"/>
      <c r="F7" s="539" t="n"/>
      <c r="G7" s="539" t="n"/>
      <c r="H7" s="27" t="n"/>
    </row>
    <row r="8" ht="15.5" customHeight="1">
      <c r="A8" s="23" t="n"/>
      <c r="B8" s="24" t="n"/>
      <c r="C8" s="25" t="n"/>
      <c r="D8" s="539" t="n"/>
      <c r="E8" s="539" t="n"/>
      <c r="F8" s="539" t="n"/>
      <c r="G8" s="539" t="n"/>
      <c r="H8" s="27" t="n"/>
    </row>
    <row r="9" ht="15.5" customHeight="1">
      <c r="A9" s="23" t="n"/>
      <c r="B9" s="24" t="n"/>
      <c r="C9" s="25" t="n"/>
      <c r="D9" s="539" t="n"/>
      <c r="E9" s="539" t="n"/>
      <c r="F9" s="539" t="n"/>
      <c r="G9" s="539" t="n"/>
      <c r="H9" s="27" t="n"/>
    </row>
    <row r="10" ht="15.5" customHeight="1">
      <c r="A10" s="23" t="n"/>
      <c r="B10" s="24" t="n"/>
      <c r="C10" s="25" t="n"/>
      <c r="D10" s="539" t="n"/>
      <c r="E10" s="539" t="n"/>
      <c r="F10" s="539" t="n"/>
      <c r="G10" s="539" t="n"/>
      <c r="H10" s="27" t="n"/>
    </row>
    <row r="11" ht="15.5" customHeight="1">
      <c r="A11" s="23" t="n"/>
      <c r="B11" s="24" t="n"/>
      <c r="C11" s="25" t="n"/>
      <c r="D11" s="539" t="n"/>
      <c r="E11" s="539" t="n"/>
      <c r="F11" s="539" t="n"/>
      <c r="G11" s="539" t="n"/>
      <c r="H11" s="27" t="n"/>
    </row>
    <row r="12" ht="15.5" customHeight="1">
      <c r="A12" s="23" t="n"/>
      <c r="B12" s="24" t="n"/>
      <c r="C12" s="25" t="n"/>
      <c r="D12" s="539" t="n"/>
      <c r="E12" s="539" t="n"/>
      <c r="F12" s="539" t="n"/>
      <c r="G12" s="539" t="n"/>
      <c r="H12" s="27" t="n"/>
    </row>
    <row r="13" ht="15.5" customHeight="1">
      <c r="A13" s="23" t="n"/>
      <c r="B13" s="24" t="n"/>
      <c r="C13" s="25" t="n"/>
      <c r="D13" s="539" t="n"/>
      <c r="E13" s="539" t="n"/>
      <c r="F13" s="539" t="n"/>
      <c r="G13" s="539" t="n"/>
      <c r="H13" s="27" t="n"/>
    </row>
    <row r="14" ht="15.5" customHeight="1">
      <c r="A14" s="23" t="n"/>
      <c r="B14" s="24" t="n"/>
      <c r="C14" s="25" t="n"/>
      <c r="D14" s="539" t="n"/>
      <c r="E14" s="539" t="n"/>
      <c r="F14" s="539" t="n"/>
      <c r="G14" s="539" t="n"/>
      <c r="H14" s="27" t="n"/>
    </row>
    <row r="15" ht="15.5" customHeight="1">
      <c r="A15" s="23" t="n"/>
      <c r="B15" s="24" t="n"/>
      <c r="C15" s="25" t="n"/>
      <c r="D15" s="539" t="n"/>
      <c r="E15" s="539" t="n"/>
      <c r="F15" s="539" t="n"/>
      <c r="G15" s="539" t="n"/>
      <c r="H15" s="27" t="n"/>
    </row>
    <row r="16" ht="15.5" customHeight="1">
      <c r="A16" s="23" t="n"/>
      <c r="B16" s="24" t="n"/>
      <c r="C16" s="25" t="n"/>
      <c r="D16" s="539" t="n"/>
      <c r="E16" s="539" t="n"/>
      <c r="F16" s="539" t="n"/>
      <c r="G16" s="539" t="n"/>
      <c r="H16" s="27" t="n"/>
    </row>
    <row r="17" ht="15.5" customHeight="1">
      <c r="A17" s="23" t="n"/>
      <c r="B17" s="24" t="n"/>
      <c r="C17" s="25" t="n"/>
      <c r="D17" s="539" t="n"/>
      <c r="E17" s="539" t="n"/>
      <c r="F17" s="539" t="n"/>
      <c r="G17" s="539" t="n"/>
      <c r="H17" s="27" t="n"/>
    </row>
    <row r="18" ht="15.5" customHeight="1">
      <c r="A18" s="23" t="n"/>
      <c r="B18" s="24" t="n"/>
      <c r="C18" s="25" t="n"/>
      <c r="D18" s="539" t="n"/>
      <c r="E18" s="539" t="n"/>
      <c r="F18" s="539" t="n"/>
      <c r="G18" s="539" t="n"/>
      <c r="H18" s="27" t="n"/>
    </row>
    <row r="19" ht="15.5" customHeight="1">
      <c r="A19" s="23" t="n"/>
      <c r="B19" s="24" t="n"/>
      <c r="C19" s="25" t="n"/>
      <c r="D19" s="539" t="n"/>
      <c r="E19" s="539" t="n"/>
      <c r="F19" s="539" t="n"/>
      <c r="G19" s="539" t="n"/>
      <c r="H19" s="27" t="n"/>
    </row>
    <row r="20" ht="15.5" customHeight="1">
      <c r="A20" s="23" t="n"/>
      <c r="B20" s="24" t="n"/>
      <c r="C20" s="25" t="n"/>
      <c r="D20" s="539" t="n"/>
      <c r="E20" s="539" t="n"/>
      <c r="F20" s="539" t="n"/>
      <c r="G20" s="539" t="n"/>
      <c r="H20" s="27" t="n"/>
    </row>
    <row r="21" ht="15.5" customHeight="1">
      <c r="A21" s="23" t="n"/>
      <c r="B21" s="24" t="n"/>
      <c r="C21" s="25" t="n"/>
      <c r="D21" s="539" t="n"/>
      <c r="E21" s="539" t="n"/>
      <c r="F21" s="539" t="n"/>
      <c r="G21" s="539" t="n"/>
      <c r="H21" s="27" t="n"/>
    </row>
    <row r="22" ht="15.5" customHeight="1">
      <c r="A22" s="23" t="n"/>
      <c r="B22" s="24" t="n"/>
      <c r="C22" s="25" t="n"/>
      <c r="D22" s="539" t="n"/>
      <c r="E22" s="539" t="n"/>
      <c r="F22" s="539" t="n"/>
      <c r="G22" s="539" t="n"/>
      <c r="H22" s="27" t="n"/>
    </row>
    <row r="23" ht="15.5" customHeight="1">
      <c r="A23" s="23" t="n"/>
      <c r="B23" s="24" t="n"/>
      <c r="C23" s="25" t="n"/>
      <c r="D23" s="539" t="n"/>
      <c r="E23" s="539" t="n"/>
      <c r="F23" s="539" t="n"/>
      <c r="G23" s="539" t="n"/>
      <c r="H23" s="27" t="n"/>
    </row>
    <row r="24" ht="15.5" customHeight="1">
      <c r="A24" s="23" t="n"/>
      <c r="B24" s="24" t="n"/>
      <c r="C24" s="25" t="n"/>
      <c r="D24" s="539" t="n"/>
      <c r="E24" s="539" t="n"/>
      <c r="F24" s="539" t="n"/>
      <c r="G24" s="539" t="n"/>
      <c r="H24" s="27" t="n"/>
    </row>
    <row r="25" ht="15.5" customHeight="1">
      <c r="A25" s="23" t="n"/>
      <c r="B25" s="24" t="n"/>
      <c r="C25" s="25" t="n"/>
      <c r="D25" s="539" t="n"/>
      <c r="E25" s="539" t="n"/>
      <c r="F25" s="539" t="n"/>
      <c r="G25" s="539" t="n"/>
      <c r="H25" s="27" t="n"/>
    </row>
    <row r="26" ht="15.5" customHeight="1">
      <c r="A26" s="23" t="n"/>
      <c r="B26" s="24" t="n"/>
      <c r="C26" s="25" t="n"/>
      <c r="D26" s="539" t="n"/>
      <c r="E26" s="539" t="n"/>
      <c r="F26" s="539" t="n"/>
      <c r="G26" s="539" t="n"/>
      <c r="H26" s="27" t="n"/>
    </row>
    <row r="27" ht="15.5" customHeight="1">
      <c r="A27" s="21" t="inlineStr">
        <is>
          <t>合                          计</t>
        </is>
      </c>
      <c r="B27" s="28" t="n"/>
      <c r="C27" s="25" t="n"/>
      <c r="D27" s="539">
        <f>SUM(D6:D26)</f>
      </c>
      <c r="E27" s="539" t="n"/>
      <c r="F27" s="539">
        <f>SUM(F6:F26)</f>
      </c>
      <c r="G27" s="539">
        <f>SUM(G6:G26)</f>
      </c>
      <c r="H27" s="27" t="n"/>
    </row>
    <row r="28" ht="15.5" customHeight="1">
      <c r="A28" s="29">
        <f>封面!D11&amp;封面!G11</f>
      </c>
      <c r="F28" s="13">
        <f>"评估人员："&amp;封面!G38</f>
      </c>
    </row>
    <row r="29" ht="15.5" customHeight="1">
      <c r="A29" s="29">
        <f>CONCATENATE(封面!D13,封面!F13,封面!G13,封面!H13,封面!I13,封面!J13,封面!K13)</f>
      </c>
    </row>
  </sheetData>
  <mergeCells count="3">
    <mergeCell ref="A27:B27"/>
    <mergeCell ref="A3:H3"/>
    <mergeCell ref="A2:H2"/>
  </mergeCells>
  <hyperlinks>
    <hyperlink ref="A1" location="索引目录!I23" display="返回索引页"/>
    <hyperlink ref="B1" location="'非流动负债汇总 '!B9" display="返回"/>
  </hyperlinks>
  <printOptions horizontalCentered="1"/>
  <pageMargins left="0.354330708661417" right="0.354330708661417" top="0.78740157480315" bottom="0.78740157480315" header="1.05" footer="0.511811023622047"/>
  <pageSetup orientation="landscape" paperSize="9" fitToHeight="0" horizontalDpi="300" verticalDpi="300"/>
  <headerFooter alignWithMargins="0">
    <oddHeader>&amp;R&amp;"宋体,常规"共&amp;"Times New Roman,常规"&amp;N&amp;"宋体,常规"页第&amp;"Times New Roman,常规"&amp;P&amp;"宋体,常规"6-4_x000a_页</oddHeader>
    <oddFooter/>
    <evenHeader/>
    <evenFooter/>
    <firstHeader/>
    <firstFooter/>
  </headerFooter>
</worksheet>
</file>

<file path=xl/worksheets/sheet91.xml><?xml version="1.0" encoding="utf-8"?>
<worksheet xmlns="http://schemas.openxmlformats.org/spreadsheetml/2006/main">
  <sheetPr codeName="Sheet91">
    <outlinePr summaryBelow="1" summaryRight="1"/>
    <pageSetUpPr fitToPage="1"/>
  </sheetPr>
  <dimension ref="A1:I29"/>
  <sheetViews>
    <sheetView view="pageBreakPreview" zoomScale="60" zoomScaleNormal="100" workbookViewId="0">
      <selection activeCell="G451" sqref="G451"/>
    </sheetView>
  </sheetViews>
  <sheetFormatPr baseColWidth="8" defaultColWidth="9" defaultRowHeight="15.75" customHeight="1"/>
  <cols>
    <col width="5.75" customWidth="1" style="13" min="1" max="1"/>
    <col width="26.5" customWidth="1" style="13" min="2" max="2"/>
    <col width="12.0833333333333" customWidth="1" style="13" min="3" max="3"/>
    <col width="20.75" customWidth="1" style="13" min="4" max="4"/>
    <col hidden="1" outlineLevel="1" width="17.25" customWidth="1" style="13" min="5" max="6"/>
    <col collapsed="1" width="20.0833333333333" customWidth="1" style="13" min="7" max="7"/>
    <col width="20.0833333333333" customWidth="1" style="13" min="8" max="8"/>
    <col width="15.5" customWidth="1" style="13" min="9" max="9"/>
    <col width="9" customWidth="1" style="13" min="10" max="16384"/>
  </cols>
  <sheetData>
    <row r="1" ht="15.5" customHeight="1">
      <c r="A1" s="559" t="inlineStr">
        <is>
          <t>返回索引页</t>
        </is>
      </c>
      <c r="B1" s="15" t="inlineStr">
        <is>
          <t>返回</t>
        </is>
      </c>
      <c r="C1" s="16" t="n"/>
      <c r="D1" s="16" t="n"/>
      <c r="E1" s="16" t="n"/>
      <c r="F1" s="16" t="n"/>
      <c r="G1" s="16" t="n"/>
      <c r="H1" s="16" t="n"/>
      <c r="I1" s="16" t="n"/>
    </row>
    <row r="2" ht="30" customFormat="1" customHeight="1" s="11">
      <c r="A2" s="17" t="inlineStr">
        <is>
          <t>预计负债评估明细表</t>
        </is>
      </c>
    </row>
    <row r="3" ht="14.15" customHeight="1">
      <c r="A3" s="535">
        <f>CONCATENATE(封面!D9,封面!F9,封面!G9,封面!H9,封面!I9,封面!J9,封面!K9)</f>
      </c>
    </row>
    <row r="4" ht="15.5" customHeight="1">
      <c r="A4" s="536">
        <f>封面!D7&amp;封面!F7</f>
      </c>
      <c r="I4" s="20" t="inlineStr">
        <is>
          <t>金额单位：人民币元</t>
        </is>
      </c>
    </row>
    <row r="5" ht="13" customFormat="1" customHeight="1" s="12">
      <c r="A5" s="21" t="inlineStr">
        <is>
          <t>序号</t>
        </is>
      </c>
      <c r="B5" s="21" t="inlineStr">
        <is>
          <t>户名（结算对象）</t>
        </is>
      </c>
      <c r="C5" s="21" t="inlineStr">
        <is>
          <t>发生日期</t>
        </is>
      </c>
      <c r="D5" s="21" t="inlineStr">
        <is>
          <t>结算内容</t>
        </is>
      </c>
      <c r="E5" s="22" t="inlineStr">
        <is>
          <t>审计前账面值</t>
        </is>
      </c>
      <c r="F5" s="22" t="inlineStr">
        <is>
          <t>审计调整</t>
        </is>
      </c>
      <c r="G5" s="21" t="inlineStr">
        <is>
          <t>账面价值</t>
        </is>
      </c>
      <c r="H5" s="21" t="inlineStr">
        <is>
          <t>评估价值</t>
        </is>
      </c>
      <c r="I5" s="21" t="inlineStr">
        <is>
          <t>备注</t>
        </is>
      </c>
    </row>
    <row r="6" ht="15.5" customHeight="1">
      <c r="A6" s="23" t="n"/>
      <c r="B6" s="24" t="n"/>
      <c r="C6" s="25" t="n"/>
      <c r="D6" s="23" t="n"/>
      <c r="E6" s="539" t="n"/>
      <c r="F6" s="539" t="n"/>
      <c r="G6" s="539" t="n"/>
      <c r="H6" s="539" t="n"/>
      <c r="I6" s="27" t="n"/>
    </row>
    <row r="7" ht="15.5" customHeight="1">
      <c r="A7" s="23" t="n"/>
      <c r="B7" s="24" t="n"/>
      <c r="C7" s="25" t="n"/>
      <c r="D7" s="23" t="n"/>
      <c r="E7" s="539" t="n"/>
      <c r="F7" s="539" t="n"/>
      <c r="G7" s="539" t="n"/>
      <c r="H7" s="539" t="n"/>
      <c r="I7" s="27" t="n"/>
    </row>
    <row r="8" ht="15.5" customHeight="1">
      <c r="A8" s="23" t="n"/>
      <c r="B8" s="24" t="n"/>
      <c r="C8" s="25" t="n"/>
      <c r="D8" s="23" t="n"/>
      <c r="E8" s="539" t="n"/>
      <c r="F8" s="539" t="n"/>
      <c r="G8" s="539" t="n"/>
      <c r="H8" s="539" t="n"/>
      <c r="I8" s="27" t="n"/>
    </row>
    <row r="9" ht="15.5" customHeight="1">
      <c r="A9" s="23" t="n"/>
      <c r="B9" s="24" t="n"/>
      <c r="C9" s="25" t="n"/>
      <c r="D9" s="23" t="n"/>
      <c r="E9" s="539" t="n"/>
      <c r="F9" s="539" t="n"/>
      <c r="G9" s="539" t="n"/>
      <c r="H9" s="539" t="n"/>
      <c r="I9" s="27" t="n"/>
    </row>
    <row r="10" ht="15.5" customHeight="1">
      <c r="A10" s="23" t="n"/>
      <c r="B10" s="24" t="n"/>
      <c r="C10" s="25" t="n"/>
      <c r="D10" s="23" t="n"/>
      <c r="E10" s="539" t="n"/>
      <c r="F10" s="539" t="n"/>
      <c r="G10" s="539" t="n"/>
      <c r="H10" s="539" t="n"/>
      <c r="I10" s="27" t="n"/>
    </row>
    <row r="11" ht="15.5" customHeight="1">
      <c r="A11" s="23" t="n"/>
      <c r="B11" s="24" t="n"/>
      <c r="C11" s="25" t="n"/>
      <c r="D11" s="23" t="n"/>
      <c r="E11" s="539" t="n"/>
      <c r="F11" s="539" t="n"/>
      <c r="G11" s="539" t="n"/>
      <c r="H11" s="539" t="n"/>
      <c r="I11" s="27" t="n"/>
    </row>
    <row r="12" ht="15.5" customHeight="1">
      <c r="A12" s="23" t="n"/>
      <c r="B12" s="24" t="n"/>
      <c r="C12" s="25" t="n"/>
      <c r="D12" s="23" t="n"/>
      <c r="E12" s="539" t="n"/>
      <c r="F12" s="539" t="n"/>
      <c r="G12" s="539" t="n"/>
      <c r="H12" s="539" t="n"/>
      <c r="I12" s="27" t="n"/>
    </row>
    <row r="13" ht="15.5" customHeight="1">
      <c r="A13" s="23" t="n"/>
      <c r="B13" s="24" t="n"/>
      <c r="C13" s="25" t="n"/>
      <c r="D13" s="23" t="n"/>
      <c r="E13" s="539" t="n"/>
      <c r="F13" s="539" t="n"/>
      <c r="G13" s="539" t="n"/>
      <c r="H13" s="539" t="n"/>
      <c r="I13" s="27" t="n"/>
    </row>
    <row r="14" ht="15.5" customHeight="1">
      <c r="A14" s="23" t="n"/>
      <c r="B14" s="24" t="n"/>
      <c r="C14" s="25" t="n"/>
      <c r="D14" s="23" t="n"/>
      <c r="E14" s="539" t="n"/>
      <c r="F14" s="539" t="n"/>
      <c r="G14" s="539" t="n"/>
      <c r="H14" s="539" t="n"/>
      <c r="I14" s="27" t="n"/>
    </row>
    <row r="15" ht="15.5" customHeight="1">
      <c r="A15" s="23" t="n"/>
      <c r="B15" s="24" t="n"/>
      <c r="C15" s="25" t="n"/>
      <c r="D15" s="23" t="n"/>
      <c r="E15" s="539" t="n"/>
      <c r="F15" s="539" t="n"/>
      <c r="G15" s="539" t="n"/>
      <c r="H15" s="539" t="n"/>
      <c r="I15" s="27" t="n"/>
    </row>
    <row r="16" ht="15.5" customHeight="1">
      <c r="A16" s="23" t="n"/>
      <c r="B16" s="24" t="n"/>
      <c r="C16" s="25" t="n"/>
      <c r="D16" s="23" t="n"/>
      <c r="E16" s="539" t="n"/>
      <c r="F16" s="539" t="n"/>
      <c r="G16" s="539" t="n"/>
      <c r="H16" s="539" t="n"/>
      <c r="I16" s="27" t="n"/>
    </row>
    <row r="17" ht="15.5" customHeight="1">
      <c r="A17" s="23" t="n"/>
      <c r="B17" s="24" t="n"/>
      <c r="C17" s="25" t="n"/>
      <c r="D17" s="23" t="n"/>
      <c r="E17" s="539" t="n"/>
      <c r="F17" s="539" t="n"/>
      <c r="G17" s="539" t="n"/>
      <c r="H17" s="539" t="n"/>
      <c r="I17" s="27" t="n"/>
    </row>
    <row r="18" ht="15.5" customHeight="1">
      <c r="A18" s="23" t="n"/>
      <c r="B18" s="24" t="n"/>
      <c r="C18" s="25" t="n"/>
      <c r="D18" s="23" t="n"/>
      <c r="E18" s="539" t="n"/>
      <c r="F18" s="539" t="n"/>
      <c r="G18" s="539" t="n"/>
      <c r="H18" s="539" t="n"/>
      <c r="I18" s="27" t="n"/>
    </row>
    <row r="19" ht="15.5" customHeight="1">
      <c r="A19" s="23" t="n"/>
      <c r="B19" s="24" t="n"/>
      <c r="C19" s="25" t="n"/>
      <c r="D19" s="23" t="n"/>
      <c r="E19" s="539" t="n"/>
      <c r="F19" s="539" t="n"/>
      <c r="G19" s="539" t="n"/>
      <c r="H19" s="539" t="n"/>
      <c r="I19" s="27" t="n"/>
    </row>
    <row r="20" ht="15.5" customHeight="1">
      <c r="A20" s="23" t="n"/>
      <c r="B20" s="24" t="n"/>
      <c r="C20" s="25" t="n"/>
      <c r="D20" s="23" t="n"/>
      <c r="E20" s="539" t="n"/>
      <c r="F20" s="539" t="n"/>
      <c r="G20" s="539" t="n"/>
      <c r="H20" s="539" t="n"/>
      <c r="I20" s="27" t="n"/>
    </row>
    <row r="21" ht="15.5" customHeight="1">
      <c r="A21" s="23" t="n"/>
      <c r="B21" s="24" t="n"/>
      <c r="C21" s="25" t="n"/>
      <c r="D21" s="23" t="n"/>
      <c r="E21" s="539" t="n"/>
      <c r="F21" s="539" t="n"/>
      <c r="G21" s="539" t="n"/>
      <c r="H21" s="539" t="n"/>
      <c r="I21" s="27" t="n"/>
    </row>
    <row r="22" ht="15.5" customHeight="1">
      <c r="A22" s="23" t="n"/>
      <c r="B22" s="24" t="n"/>
      <c r="C22" s="25" t="n"/>
      <c r="D22" s="23" t="n"/>
      <c r="E22" s="539" t="n"/>
      <c r="F22" s="539" t="n"/>
      <c r="G22" s="539" t="n"/>
      <c r="H22" s="539" t="n"/>
      <c r="I22" s="27" t="n"/>
    </row>
    <row r="23" ht="15.5" customHeight="1">
      <c r="A23" s="23" t="n"/>
      <c r="B23" s="24" t="n"/>
      <c r="C23" s="25" t="n"/>
      <c r="D23" s="23" t="n"/>
      <c r="E23" s="539" t="n"/>
      <c r="F23" s="539" t="n"/>
      <c r="G23" s="539" t="n"/>
      <c r="H23" s="539" t="n"/>
      <c r="I23" s="27" t="n"/>
    </row>
    <row r="24" ht="15.5" customHeight="1">
      <c r="A24" s="23" t="n"/>
      <c r="B24" s="24" t="n"/>
      <c r="C24" s="25" t="n"/>
      <c r="D24" s="23" t="n"/>
      <c r="E24" s="539" t="n"/>
      <c r="F24" s="539" t="n"/>
      <c r="G24" s="539" t="n"/>
      <c r="H24" s="539" t="n"/>
      <c r="I24" s="27" t="n"/>
    </row>
    <row r="25" ht="15.5" customHeight="1">
      <c r="A25" s="23" t="n"/>
      <c r="B25" s="24" t="n"/>
      <c r="C25" s="25" t="n"/>
      <c r="D25" s="23" t="n"/>
      <c r="E25" s="539" t="n"/>
      <c r="F25" s="539" t="n"/>
      <c r="G25" s="539" t="n"/>
      <c r="H25" s="539" t="n"/>
      <c r="I25" s="27" t="n"/>
    </row>
    <row r="26" ht="15.5" customHeight="1">
      <c r="A26" s="23" t="n"/>
      <c r="B26" s="24" t="n"/>
      <c r="C26" s="25" t="n"/>
      <c r="D26" s="23" t="n"/>
      <c r="E26" s="539" t="n"/>
      <c r="F26" s="539" t="n"/>
      <c r="G26" s="539" t="n"/>
      <c r="H26" s="539" t="n"/>
      <c r="I26" s="27" t="n"/>
    </row>
    <row r="27" ht="15.5" customHeight="1">
      <c r="A27" s="21" t="inlineStr">
        <is>
          <t>合                          计</t>
        </is>
      </c>
      <c r="B27" s="28" t="n"/>
      <c r="C27" s="25" t="n"/>
      <c r="D27" s="23" t="n"/>
      <c r="E27" s="539">
        <f>SUM(E6:E26)</f>
      </c>
      <c r="F27" s="539" t="n"/>
      <c r="G27" s="539">
        <f>SUM(G6:G26)</f>
      </c>
      <c r="H27" s="539">
        <f>SUM(H6:H26)</f>
      </c>
      <c r="I27" s="27" t="n"/>
    </row>
    <row r="28" ht="15.5" customHeight="1">
      <c r="A28" s="29">
        <f>封面!D11&amp;封面!G11</f>
      </c>
      <c r="G28" s="536">
        <f>"评估人员："&amp;封面!G38</f>
      </c>
    </row>
    <row r="29" ht="15.5" customHeight="1">
      <c r="A29" s="29">
        <f>CONCATENATE(封面!D13,封面!F13,封面!G13,封面!H13,封面!I13,封面!J13,封面!K13)</f>
      </c>
    </row>
  </sheetData>
  <mergeCells count="3">
    <mergeCell ref="A27:B27"/>
    <mergeCell ref="A2:I2"/>
    <mergeCell ref="A3:I3"/>
  </mergeCells>
  <hyperlinks>
    <hyperlink ref="A1" location="索引目录!I24" display="返回索引页"/>
    <hyperlink ref="B1" location="'非流动负债汇总 '!B10"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Roman,常规"&amp;P&amp;"宋体,常规"6-5_x000a_页</oddHeader>
    <oddFooter/>
    <evenHeader/>
    <evenFooter/>
    <firstHeader/>
    <firstFooter/>
  </headerFooter>
</worksheet>
</file>

<file path=xl/worksheets/sheet92.xml><?xml version="1.0" encoding="utf-8"?>
<worksheet xmlns="http://schemas.openxmlformats.org/spreadsheetml/2006/main">
  <sheetPr codeName="Sheet92">
    <outlinePr summaryBelow="1" summaryRight="1"/>
    <pageSetUpPr fitToPage="1"/>
  </sheetPr>
  <dimension ref="A1:I29"/>
  <sheetViews>
    <sheetView view="pageBreakPreview" zoomScale="60" zoomScaleNormal="100" workbookViewId="0">
      <selection activeCell="G451" sqref="G451"/>
    </sheetView>
  </sheetViews>
  <sheetFormatPr baseColWidth="8" defaultColWidth="9" defaultRowHeight="15.75" customHeight="1"/>
  <cols>
    <col width="5.75" customWidth="1" style="13" min="1" max="1"/>
    <col width="26.5" customWidth="1" style="13" min="2" max="2"/>
    <col width="12.0833333333333" customWidth="1" style="13" min="3" max="3"/>
    <col width="20.75" customWidth="1" style="13" min="4" max="4"/>
    <col hidden="1" outlineLevel="1" width="17.25" customWidth="1" style="13" min="5" max="6"/>
    <col collapsed="1" width="20.0833333333333" customWidth="1" style="13" min="7" max="7"/>
    <col width="20.0833333333333" customWidth="1" style="13" min="8" max="8"/>
    <col width="15.5" customWidth="1" style="13" min="9" max="9"/>
    <col width="9" customWidth="1" style="13" min="10" max="16384"/>
  </cols>
  <sheetData>
    <row r="1" ht="15.5" customHeight="1">
      <c r="A1" s="559" t="inlineStr">
        <is>
          <t>返回索引页</t>
        </is>
      </c>
      <c r="B1" s="15" t="inlineStr">
        <is>
          <t>返回</t>
        </is>
      </c>
      <c r="C1" s="16" t="n"/>
      <c r="D1" s="16" t="n"/>
      <c r="E1" s="16" t="n"/>
      <c r="F1" s="16" t="n"/>
      <c r="G1" s="16" t="n"/>
      <c r="H1" s="16" t="n"/>
      <c r="I1" s="16" t="n"/>
    </row>
    <row r="2" ht="30" customFormat="1" customHeight="1" s="11">
      <c r="A2" s="17" t="inlineStr">
        <is>
          <t>租赁负债评估明细表</t>
        </is>
      </c>
    </row>
    <row r="3" ht="14.15" customHeight="1">
      <c r="A3" s="535">
        <f>CONCATENATE(封面!D9,封面!F9,封面!G9,封面!H9,封面!I9,封面!J9,封面!K9)</f>
      </c>
    </row>
    <row r="4" ht="15.5" customHeight="1">
      <c r="A4" s="536">
        <f>封面!D7&amp;封面!F7</f>
      </c>
      <c r="I4" s="20" t="inlineStr">
        <is>
          <t>金额单位：人民币元</t>
        </is>
      </c>
    </row>
    <row r="5" ht="13" customFormat="1" customHeight="1" s="12">
      <c r="A5" s="21" t="inlineStr">
        <is>
          <t>序号</t>
        </is>
      </c>
      <c r="B5" s="21" t="inlineStr">
        <is>
          <t>户名（结算对象）</t>
        </is>
      </c>
      <c r="C5" s="21" t="inlineStr">
        <is>
          <t>发生日期</t>
        </is>
      </c>
      <c r="D5" s="21" t="inlineStr">
        <is>
          <t>结算内容</t>
        </is>
      </c>
      <c r="E5" s="22" t="inlineStr">
        <is>
          <t>审计前账面值</t>
        </is>
      </c>
      <c r="F5" s="22" t="inlineStr">
        <is>
          <t>审计调整</t>
        </is>
      </c>
      <c r="G5" s="21" t="inlineStr">
        <is>
          <t>账面价值</t>
        </is>
      </c>
      <c r="H5" s="21" t="inlineStr">
        <is>
          <t>评估价值</t>
        </is>
      </c>
      <c r="I5" s="21" t="inlineStr">
        <is>
          <t>备注</t>
        </is>
      </c>
    </row>
    <row r="6" ht="15.5" customHeight="1">
      <c r="A6" s="23" t="n"/>
      <c r="B6" s="24" t="n"/>
      <c r="C6" s="25" t="n"/>
      <c r="D6" s="23" t="n"/>
      <c r="E6" s="539" t="n"/>
      <c r="F6" s="539" t="n"/>
      <c r="G6" s="539" t="n"/>
      <c r="H6" s="539" t="n"/>
      <c r="I6" s="27" t="n"/>
    </row>
    <row r="7" ht="15.5" customHeight="1">
      <c r="A7" s="23" t="n"/>
      <c r="B7" s="24" t="n"/>
      <c r="C7" s="25" t="n"/>
      <c r="D7" s="23" t="n"/>
      <c r="E7" s="539" t="n"/>
      <c r="F7" s="539" t="n"/>
      <c r="G7" s="539" t="n"/>
      <c r="H7" s="539" t="n"/>
      <c r="I7" s="27" t="n"/>
    </row>
    <row r="8" ht="15.5" customHeight="1">
      <c r="A8" s="23" t="n"/>
      <c r="B8" s="24" t="n"/>
      <c r="C8" s="25" t="n"/>
      <c r="D8" s="23" t="n"/>
      <c r="E8" s="539" t="n"/>
      <c r="F8" s="539" t="n"/>
      <c r="G8" s="539" t="n"/>
      <c r="H8" s="539" t="n"/>
      <c r="I8" s="27" t="n"/>
    </row>
    <row r="9" ht="15.5" customHeight="1">
      <c r="A9" s="23" t="n"/>
      <c r="B9" s="24" t="n"/>
      <c r="C9" s="25" t="n"/>
      <c r="D9" s="23" t="n"/>
      <c r="E9" s="539" t="n"/>
      <c r="F9" s="539" t="n"/>
      <c r="G9" s="539" t="n"/>
      <c r="H9" s="539" t="n"/>
      <c r="I9" s="27" t="n"/>
    </row>
    <row r="10" ht="15.5" customHeight="1">
      <c r="A10" s="23" t="n"/>
      <c r="B10" s="24" t="n"/>
      <c r="C10" s="25" t="n"/>
      <c r="D10" s="23" t="n"/>
      <c r="E10" s="539" t="n"/>
      <c r="F10" s="539" t="n"/>
      <c r="G10" s="539" t="n"/>
      <c r="H10" s="539" t="n"/>
      <c r="I10" s="27" t="n"/>
    </row>
    <row r="11" ht="15.5" customHeight="1">
      <c r="A11" s="23" t="n"/>
      <c r="B11" s="24" t="n"/>
      <c r="C11" s="25" t="n"/>
      <c r="D11" s="23" t="n"/>
      <c r="E11" s="539" t="n"/>
      <c r="F11" s="539" t="n"/>
      <c r="G11" s="539" t="n"/>
      <c r="H11" s="539" t="n"/>
      <c r="I11" s="27" t="n"/>
    </row>
    <row r="12" ht="15.5" customHeight="1">
      <c r="A12" s="23" t="n"/>
      <c r="B12" s="24" t="n"/>
      <c r="C12" s="25" t="n"/>
      <c r="D12" s="23" t="n"/>
      <c r="E12" s="539" t="n"/>
      <c r="F12" s="539" t="n"/>
      <c r="G12" s="539" t="n"/>
      <c r="H12" s="539" t="n"/>
      <c r="I12" s="27" t="n"/>
    </row>
    <row r="13" ht="15.5" customHeight="1">
      <c r="A13" s="23" t="n"/>
      <c r="B13" s="24" t="n"/>
      <c r="C13" s="25" t="n"/>
      <c r="D13" s="23" t="n"/>
      <c r="E13" s="539" t="n"/>
      <c r="F13" s="539" t="n"/>
      <c r="G13" s="539" t="n"/>
      <c r="H13" s="539" t="n"/>
      <c r="I13" s="27" t="n"/>
    </row>
    <row r="14" ht="15.5" customHeight="1">
      <c r="A14" s="23" t="n"/>
      <c r="B14" s="24" t="n"/>
      <c r="C14" s="25" t="n"/>
      <c r="D14" s="23" t="n"/>
      <c r="E14" s="539" t="n"/>
      <c r="F14" s="539" t="n"/>
      <c r="G14" s="539" t="n"/>
      <c r="H14" s="539" t="n"/>
      <c r="I14" s="27" t="n"/>
    </row>
    <row r="15" ht="15.5" customHeight="1">
      <c r="A15" s="23" t="n"/>
      <c r="B15" s="24" t="n"/>
      <c r="C15" s="25" t="n"/>
      <c r="D15" s="23" t="n"/>
      <c r="E15" s="539" t="n"/>
      <c r="F15" s="539" t="n"/>
      <c r="G15" s="539" t="n"/>
      <c r="H15" s="539" t="n"/>
      <c r="I15" s="27" t="n"/>
    </row>
    <row r="16" ht="15.5" customHeight="1">
      <c r="A16" s="23" t="n"/>
      <c r="B16" s="24" t="n"/>
      <c r="C16" s="25" t="n"/>
      <c r="D16" s="23" t="n"/>
      <c r="E16" s="539" t="n"/>
      <c r="F16" s="539" t="n"/>
      <c r="G16" s="539" t="n"/>
      <c r="H16" s="539" t="n"/>
      <c r="I16" s="27" t="n"/>
    </row>
    <row r="17" ht="15.5" customHeight="1">
      <c r="A17" s="23" t="n"/>
      <c r="B17" s="24" t="n"/>
      <c r="C17" s="25" t="n"/>
      <c r="D17" s="23" t="n"/>
      <c r="E17" s="539" t="n"/>
      <c r="F17" s="539" t="n"/>
      <c r="G17" s="539" t="n"/>
      <c r="H17" s="539" t="n"/>
      <c r="I17" s="27" t="n"/>
    </row>
    <row r="18" ht="15.5" customHeight="1">
      <c r="A18" s="23" t="n"/>
      <c r="B18" s="24" t="n"/>
      <c r="C18" s="25" t="n"/>
      <c r="D18" s="23" t="n"/>
      <c r="E18" s="539" t="n"/>
      <c r="F18" s="539" t="n"/>
      <c r="G18" s="539" t="n"/>
      <c r="H18" s="539" t="n"/>
      <c r="I18" s="27" t="n"/>
    </row>
    <row r="19" ht="15.5" customHeight="1">
      <c r="A19" s="23" t="n"/>
      <c r="B19" s="24" t="n"/>
      <c r="C19" s="25" t="n"/>
      <c r="D19" s="23" t="n"/>
      <c r="E19" s="539" t="n"/>
      <c r="F19" s="539" t="n"/>
      <c r="G19" s="539" t="n"/>
      <c r="H19" s="539" t="n"/>
      <c r="I19" s="27" t="n"/>
    </row>
    <row r="20" ht="15.5" customHeight="1">
      <c r="A20" s="23" t="n"/>
      <c r="B20" s="24" t="n"/>
      <c r="C20" s="25" t="n"/>
      <c r="D20" s="23" t="n"/>
      <c r="E20" s="539" t="n"/>
      <c r="F20" s="539" t="n"/>
      <c r="G20" s="539" t="n"/>
      <c r="H20" s="539" t="n"/>
      <c r="I20" s="27" t="n"/>
    </row>
    <row r="21" ht="15.5" customHeight="1">
      <c r="A21" s="23" t="n"/>
      <c r="B21" s="24" t="n"/>
      <c r="C21" s="25" t="n"/>
      <c r="D21" s="23" t="n"/>
      <c r="E21" s="539" t="n"/>
      <c r="F21" s="539" t="n"/>
      <c r="G21" s="539" t="n"/>
      <c r="H21" s="539" t="n"/>
      <c r="I21" s="27" t="n"/>
    </row>
    <row r="22" ht="15.5" customHeight="1">
      <c r="A22" s="23" t="n"/>
      <c r="B22" s="24" t="n"/>
      <c r="C22" s="25" t="n"/>
      <c r="D22" s="23" t="n"/>
      <c r="E22" s="539" t="n"/>
      <c r="F22" s="539" t="n"/>
      <c r="G22" s="539" t="n"/>
      <c r="H22" s="539" t="n"/>
      <c r="I22" s="27" t="n"/>
    </row>
    <row r="23" ht="15.5" customHeight="1">
      <c r="A23" s="23" t="n"/>
      <c r="B23" s="24" t="n"/>
      <c r="C23" s="25" t="n"/>
      <c r="D23" s="23" t="n"/>
      <c r="E23" s="539" t="n"/>
      <c r="F23" s="539" t="n"/>
      <c r="G23" s="539" t="n"/>
      <c r="H23" s="539" t="n"/>
      <c r="I23" s="27" t="n"/>
    </row>
    <row r="24" ht="15.5" customHeight="1">
      <c r="A24" s="23" t="n"/>
      <c r="B24" s="24" t="n"/>
      <c r="C24" s="25" t="n"/>
      <c r="D24" s="23" t="n"/>
      <c r="E24" s="539" t="n"/>
      <c r="F24" s="539" t="n"/>
      <c r="G24" s="539" t="n"/>
      <c r="H24" s="539" t="n"/>
      <c r="I24" s="27" t="n"/>
    </row>
    <row r="25" ht="15.5" customHeight="1">
      <c r="A25" s="23" t="n"/>
      <c r="B25" s="24" t="n"/>
      <c r="C25" s="25" t="n"/>
      <c r="D25" s="23" t="n"/>
      <c r="E25" s="539" t="n"/>
      <c r="F25" s="539" t="n"/>
      <c r="G25" s="539" t="n"/>
      <c r="H25" s="539" t="n"/>
      <c r="I25" s="27" t="n"/>
    </row>
    <row r="26" ht="15.5" customHeight="1">
      <c r="A26" s="23" t="n"/>
      <c r="B26" s="24" t="n"/>
      <c r="C26" s="25" t="n"/>
      <c r="D26" s="23" t="n"/>
      <c r="E26" s="539" t="n"/>
      <c r="F26" s="539" t="n"/>
      <c r="G26" s="539" t="n"/>
      <c r="H26" s="539" t="n"/>
      <c r="I26" s="27" t="n"/>
    </row>
    <row r="27" ht="15.5" customHeight="1">
      <c r="A27" s="21" t="inlineStr">
        <is>
          <t>合                          计</t>
        </is>
      </c>
      <c r="B27" s="28" t="n"/>
      <c r="C27" s="25" t="n"/>
      <c r="D27" s="23" t="n"/>
      <c r="E27" s="539">
        <f>SUM(E6:E26)</f>
      </c>
      <c r="F27" s="539" t="n"/>
      <c r="G27" s="539">
        <f>SUM(G6:G26)</f>
      </c>
      <c r="H27" s="539">
        <f>SUM(H6:H26)</f>
      </c>
      <c r="I27" s="27" t="n"/>
    </row>
    <row r="28" ht="15.5" customHeight="1">
      <c r="A28" s="29">
        <f>封面!D11&amp;封面!G11</f>
      </c>
      <c r="G28" s="536">
        <f>"评估人员："&amp;封面!G38</f>
      </c>
    </row>
    <row r="29" ht="15.5" customHeight="1">
      <c r="A29" s="29">
        <f>CONCATENATE(封面!D13,封面!F13,封面!G13,封面!H13,封面!I13,封面!J13,封面!K13)</f>
      </c>
    </row>
  </sheetData>
  <mergeCells count="3">
    <mergeCell ref="A27:B27"/>
    <mergeCell ref="A2:I2"/>
    <mergeCell ref="A3:I3"/>
  </mergeCells>
  <hyperlinks>
    <hyperlink ref="A1" location="索引目录!I24" display="返回索引页"/>
    <hyperlink ref="B1" location="'非流动负债汇总 '!B10"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Roman,常规"&amp;P&amp;"宋体,常规"6-5_x000a_页</oddHeader>
    <oddFooter/>
    <evenHeader/>
    <evenFooter/>
    <firstHeader/>
    <firstFooter/>
  </headerFooter>
</worksheet>
</file>

<file path=xl/worksheets/sheet93.xml><?xml version="1.0" encoding="utf-8"?>
<worksheet xmlns="http://schemas.openxmlformats.org/spreadsheetml/2006/main">
  <sheetPr codeName="Sheet93">
    <outlinePr summaryBelow="1" summaryRight="1"/>
    <pageSetUpPr fitToPage="1"/>
  </sheetPr>
  <dimension ref="A1:H29"/>
  <sheetViews>
    <sheetView view="pageBreakPreview" zoomScale="60" zoomScaleNormal="100" workbookViewId="0">
      <selection activeCell="G451" sqref="G451"/>
    </sheetView>
  </sheetViews>
  <sheetFormatPr baseColWidth="8" defaultColWidth="9" defaultRowHeight="15.75" customHeight="1"/>
  <cols>
    <col width="8.08333333333333" customWidth="1" style="13" min="1" max="1"/>
    <col width="31.8333333333333" customWidth="1" style="13" min="2" max="2"/>
    <col width="15.8333333333333" customWidth="1" style="13" min="3" max="3"/>
    <col hidden="1" outlineLevel="1" width="17.3333333333333" customWidth="1" style="13" min="4" max="5"/>
    <col collapsed="1" width="22.25" customWidth="1" style="13" min="6" max="6"/>
    <col width="22.25" customWidth="1" style="13" min="7" max="7"/>
    <col width="20.0833333333333" customWidth="1" style="13" min="8" max="8"/>
    <col width="9" customWidth="1" style="13" min="9" max="16384"/>
  </cols>
  <sheetData>
    <row r="1" ht="15.5" customHeight="1">
      <c r="A1" s="559" t="inlineStr">
        <is>
          <t>返回索引页</t>
        </is>
      </c>
      <c r="B1" s="30" t="inlineStr">
        <is>
          <t>返回</t>
        </is>
      </c>
      <c r="C1" s="12" t="n"/>
      <c r="D1" s="12" t="n"/>
      <c r="E1" s="12" t="n"/>
      <c r="F1" s="12" t="n"/>
      <c r="G1" s="12" t="n"/>
      <c r="H1" s="12" t="n"/>
    </row>
    <row r="2" ht="30" customFormat="1" customHeight="1" s="11">
      <c r="A2" s="17" t="inlineStr">
        <is>
          <t>递延所得税负债评估明细表</t>
        </is>
      </c>
    </row>
    <row r="3" ht="14.15" customHeight="1">
      <c r="A3" s="535">
        <f>CONCATENATE(封面!D9,封面!F9,封面!G9,封面!H9,封面!I9,封面!J9,封面!K9)</f>
      </c>
    </row>
    <row r="4" ht="15.5" customHeight="1">
      <c r="A4" s="536">
        <f>封面!D7&amp;封面!F7</f>
      </c>
      <c r="H4" s="20" t="inlineStr">
        <is>
          <t>金额单位：人民币元</t>
        </is>
      </c>
    </row>
    <row r="5" ht="13" customFormat="1" customHeight="1" s="12">
      <c r="A5" s="21" t="inlineStr">
        <is>
          <t>序号</t>
        </is>
      </c>
      <c r="B5" s="21" t="inlineStr">
        <is>
          <t>内容</t>
        </is>
      </c>
      <c r="C5" s="21" t="inlineStr">
        <is>
          <t>发生日期</t>
        </is>
      </c>
      <c r="D5" s="22" t="inlineStr">
        <is>
          <t>审计前账面值</t>
        </is>
      </c>
      <c r="E5" s="22" t="inlineStr">
        <is>
          <t>审计调整</t>
        </is>
      </c>
      <c r="F5" s="21" t="inlineStr">
        <is>
          <t>账面价值</t>
        </is>
      </c>
      <c r="G5" s="21" t="inlineStr">
        <is>
          <t>评估价值</t>
        </is>
      </c>
      <c r="H5" s="21" t="inlineStr">
        <is>
          <t>备注</t>
        </is>
      </c>
    </row>
    <row r="6" ht="15.5" customHeight="1">
      <c r="A6" s="23" t="n"/>
      <c r="B6" s="24" t="n"/>
      <c r="C6" s="25" t="n"/>
      <c r="D6" s="604" t="n"/>
      <c r="E6" s="604" t="n"/>
      <c r="F6" s="604" t="n"/>
      <c r="G6" s="604" t="n"/>
      <c r="H6" s="27" t="n"/>
    </row>
    <row r="7" ht="15.5" customHeight="1">
      <c r="A7" s="23" t="n"/>
      <c r="B7" s="24" t="n"/>
      <c r="C7" s="25" t="n"/>
      <c r="D7" s="604" t="n"/>
      <c r="E7" s="604" t="n"/>
      <c r="F7" s="604" t="n"/>
      <c r="G7" s="604" t="n"/>
      <c r="H7" s="27" t="n"/>
    </row>
    <row r="8" ht="15.5" customHeight="1">
      <c r="A8" s="23" t="n"/>
      <c r="B8" s="24" t="n"/>
      <c r="C8" s="25" t="n"/>
      <c r="D8" s="604" t="n"/>
      <c r="E8" s="604" t="n"/>
      <c r="F8" s="604" t="n"/>
      <c r="G8" s="604" t="n"/>
      <c r="H8" s="27" t="n"/>
    </row>
    <row r="9" ht="15.5" customHeight="1">
      <c r="A9" s="23" t="n"/>
      <c r="B9" s="24" t="n"/>
      <c r="C9" s="25" t="n"/>
      <c r="D9" s="604" t="n"/>
      <c r="E9" s="604" t="n"/>
      <c r="F9" s="604" t="n"/>
      <c r="G9" s="604" t="n"/>
      <c r="H9" s="27" t="n"/>
    </row>
    <row r="10" ht="15.5" customHeight="1">
      <c r="A10" s="23" t="n"/>
      <c r="B10" s="24" t="n"/>
      <c r="C10" s="25" t="n"/>
      <c r="D10" s="604" t="n"/>
      <c r="E10" s="604" t="n"/>
      <c r="F10" s="604" t="n"/>
      <c r="G10" s="604" t="n"/>
      <c r="H10" s="27" t="n"/>
    </row>
    <row r="11" ht="15.5" customHeight="1">
      <c r="A11" s="23" t="n"/>
      <c r="B11" s="24" t="n"/>
      <c r="C11" s="25" t="n"/>
      <c r="D11" s="604" t="n"/>
      <c r="E11" s="604" t="n"/>
      <c r="F11" s="604" t="n"/>
      <c r="G11" s="604" t="n"/>
      <c r="H11" s="27" t="n"/>
    </row>
    <row r="12" ht="15.5" customHeight="1">
      <c r="A12" s="23" t="n"/>
      <c r="B12" s="24" t="n"/>
      <c r="C12" s="25" t="n"/>
      <c r="D12" s="604" t="n"/>
      <c r="E12" s="604" t="n"/>
      <c r="F12" s="604" t="n"/>
      <c r="G12" s="604" t="n"/>
      <c r="H12" s="27" t="n"/>
    </row>
    <row r="13" ht="15.5" customHeight="1">
      <c r="A13" s="23" t="n"/>
      <c r="B13" s="24" t="n"/>
      <c r="C13" s="25" t="n"/>
      <c r="D13" s="604" t="n"/>
      <c r="E13" s="604" t="n"/>
      <c r="F13" s="604" t="n"/>
      <c r="G13" s="604" t="n"/>
      <c r="H13" s="27" t="n"/>
    </row>
    <row r="14" ht="15.5" customHeight="1">
      <c r="A14" s="23" t="n"/>
      <c r="B14" s="24" t="n"/>
      <c r="C14" s="25" t="n"/>
      <c r="D14" s="604" t="n"/>
      <c r="E14" s="604" t="n"/>
      <c r="F14" s="604" t="n"/>
      <c r="G14" s="604" t="n"/>
      <c r="H14" s="27" t="n"/>
    </row>
    <row r="15" ht="15.5" customHeight="1">
      <c r="A15" s="23" t="n"/>
      <c r="B15" s="24" t="n"/>
      <c r="C15" s="25" t="n"/>
      <c r="D15" s="604" t="n"/>
      <c r="E15" s="604" t="n"/>
      <c r="F15" s="604" t="n"/>
      <c r="G15" s="604" t="n"/>
      <c r="H15" s="27" t="n"/>
    </row>
    <row r="16" ht="15.5" customHeight="1">
      <c r="A16" s="23" t="n"/>
      <c r="B16" s="24" t="n"/>
      <c r="C16" s="25" t="n"/>
      <c r="D16" s="604" t="n"/>
      <c r="E16" s="604" t="n"/>
      <c r="F16" s="604" t="n"/>
      <c r="G16" s="604" t="n"/>
      <c r="H16" s="27" t="n"/>
    </row>
    <row r="17" ht="15.5" customHeight="1">
      <c r="A17" s="23" t="n"/>
      <c r="B17" s="24" t="n"/>
      <c r="C17" s="25" t="n"/>
      <c r="D17" s="604" t="n"/>
      <c r="E17" s="604" t="n"/>
      <c r="F17" s="604" t="n"/>
      <c r="G17" s="604" t="n"/>
      <c r="H17" s="27" t="n"/>
    </row>
    <row r="18" ht="15.5" customHeight="1">
      <c r="A18" s="23" t="n"/>
      <c r="B18" s="24" t="n"/>
      <c r="C18" s="25" t="n"/>
      <c r="D18" s="604" t="n"/>
      <c r="E18" s="604" t="n"/>
      <c r="F18" s="604" t="n"/>
      <c r="G18" s="604" t="n"/>
      <c r="H18" s="27" t="n"/>
    </row>
    <row r="19" ht="15.5" customHeight="1">
      <c r="A19" s="23" t="n"/>
      <c r="B19" s="24" t="n"/>
      <c r="C19" s="25" t="n"/>
      <c r="D19" s="604" t="n"/>
      <c r="E19" s="604" t="n"/>
      <c r="F19" s="604" t="n"/>
      <c r="G19" s="604" t="n"/>
      <c r="H19" s="27" t="n"/>
    </row>
    <row r="20" ht="15.5" customHeight="1">
      <c r="A20" s="23" t="n"/>
      <c r="B20" s="24" t="n"/>
      <c r="C20" s="25" t="n"/>
      <c r="D20" s="604" t="n"/>
      <c r="E20" s="604" t="n"/>
      <c r="F20" s="604" t="n"/>
      <c r="G20" s="604" t="n"/>
      <c r="H20" s="27" t="n"/>
    </row>
    <row r="21" ht="15.5" customHeight="1">
      <c r="A21" s="23" t="n"/>
      <c r="B21" s="24" t="n"/>
      <c r="C21" s="25" t="n"/>
      <c r="D21" s="604" t="n"/>
      <c r="E21" s="604" t="n"/>
      <c r="F21" s="604" t="n"/>
      <c r="G21" s="604" t="n"/>
      <c r="H21" s="27" t="n"/>
    </row>
    <row r="22" ht="15.5" customHeight="1">
      <c r="A22" s="23" t="n"/>
      <c r="B22" s="24" t="n"/>
      <c r="C22" s="25" t="n"/>
      <c r="D22" s="604" t="n"/>
      <c r="E22" s="604" t="n"/>
      <c r="F22" s="604" t="n"/>
      <c r="G22" s="604" t="n"/>
      <c r="H22" s="27" t="n"/>
    </row>
    <row r="23" ht="15.5" customHeight="1">
      <c r="A23" s="23" t="n"/>
      <c r="B23" s="24" t="n"/>
      <c r="C23" s="25" t="n"/>
      <c r="D23" s="604" t="n"/>
      <c r="E23" s="604" t="n"/>
      <c r="F23" s="604" t="n"/>
      <c r="G23" s="604" t="n"/>
      <c r="H23" s="27" t="n"/>
    </row>
    <row r="24" ht="15.5" customHeight="1">
      <c r="A24" s="23" t="n"/>
      <c r="B24" s="24" t="n"/>
      <c r="C24" s="25" t="n"/>
      <c r="D24" s="604" t="n"/>
      <c r="E24" s="604" t="n"/>
      <c r="F24" s="604" t="n"/>
      <c r="G24" s="604" t="n"/>
      <c r="H24" s="27" t="n"/>
    </row>
    <row r="25" ht="15.5" customHeight="1">
      <c r="A25" s="23" t="n"/>
      <c r="B25" s="24" t="n"/>
      <c r="C25" s="25" t="n"/>
      <c r="D25" s="604" t="n"/>
      <c r="E25" s="604" t="n"/>
      <c r="F25" s="604" t="n"/>
      <c r="G25" s="604" t="n"/>
      <c r="H25" s="27" t="n"/>
    </row>
    <row r="26" ht="15.5" customHeight="1">
      <c r="A26" s="23" t="n"/>
      <c r="B26" s="24" t="n"/>
      <c r="C26" s="25" t="n"/>
      <c r="D26" s="604" t="n"/>
      <c r="E26" s="604" t="n"/>
      <c r="F26" s="604" t="n"/>
      <c r="G26" s="604" t="n"/>
      <c r="H26" s="27" t="n"/>
    </row>
    <row r="27" ht="15.5" customHeight="1">
      <c r="A27" s="21" t="inlineStr">
        <is>
          <t>合                          计</t>
        </is>
      </c>
      <c r="B27" s="28" t="n"/>
      <c r="C27" s="25" t="n"/>
      <c r="D27" s="604">
        <f>SUM(D6:D26)</f>
      </c>
      <c r="E27" s="604" t="n"/>
      <c r="F27" s="604">
        <f>SUM(F6:F26)</f>
      </c>
      <c r="G27" s="604">
        <f>SUM(G6:G26)</f>
      </c>
      <c r="H27" s="27" t="n"/>
    </row>
    <row r="28" ht="15.5" customHeight="1">
      <c r="A28" s="29">
        <f>封面!D11&amp;封面!G11</f>
      </c>
      <c r="F28" s="13">
        <f>"评估人员："&amp;封面!G38</f>
      </c>
    </row>
    <row r="29" ht="15.5" customHeight="1">
      <c r="A29" s="29">
        <f>CONCATENATE(封面!D13,封面!F13,封面!G13,封面!H13,封面!I13,封面!J13,封面!K13)</f>
      </c>
    </row>
  </sheetData>
  <mergeCells count="3">
    <mergeCell ref="A27:B27"/>
    <mergeCell ref="A3:H3"/>
    <mergeCell ref="A2:H2"/>
  </mergeCells>
  <hyperlinks>
    <hyperlink ref="A1" location="索引目录!I25" display="返回索引页"/>
    <hyperlink ref="B1" location="'非流动负债汇总 '!B11" display="返回"/>
  </hyperlinks>
  <printOptions horizontalCentered="1"/>
  <pageMargins left="0.354330708661417" right="0.354330708661417" top="0.78740157480315" bottom="0.78740157480315" header="1.02" footer="0.511811023622047"/>
  <pageSetup orientation="landscape" paperSize="9" fitToHeight="0"/>
  <headerFooter alignWithMargins="0">
    <oddHeader>&amp;R&amp;"宋体,常规"共&amp;"Times New Roman,常规"&amp;N&amp;"宋体,常规"页第&amp;"Times New Roman,常规"&amp;P&amp;"宋体,常规"6-6_x000a_页</oddHeader>
    <oddFooter/>
    <evenHeader/>
    <evenFooter/>
    <firstHeader/>
    <firstFooter/>
  </headerFooter>
</worksheet>
</file>

<file path=xl/worksheets/sheet94.xml><?xml version="1.0" encoding="utf-8"?>
<worksheet xmlns="http://schemas.openxmlformats.org/spreadsheetml/2006/main">
  <sheetPr codeName="Sheet94">
    <outlinePr summaryBelow="1" summaryRight="1"/>
    <pageSetUpPr fitToPage="1"/>
  </sheetPr>
  <dimension ref="A1:I29"/>
  <sheetViews>
    <sheetView view="pageBreakPreview" zoomScale="60" zoomScaleNormal="100" workbookViewId="0">
      <selection activeCell="G451" sqref="G451"/>
    </sheetView>
  </sheetViews>
  <sheetFormatPr baseColWidth="8" defaultColWidth="9" defaultRowHeight="15.75" customHeight="1"/>
  <cols>
    <col width="6.33333333333333" customWidth="1" style="13" min="1" max="1"/>
    <col width="27.75" customWidth="1" style="13" min="2" max="2"/>
    <col width="14.25" customWidth="1" style="13" min="3" max="3"/>
    <col width="19.5" customWidth="1" style="13" min="4" max="4"/>
    <col hidden="1" outlineLevel="1" width="16.5" customWidth="1" style="13" min="5" max="6"/>
    <col collapsed="1" width="18.8333333333333" customWidth="1" style="13" min="7" max="7"/>
    <col width="18.8333333333333" customWidth="1" style="13" min="8" max="8"/>
    <col width="15.5" customWidth="1" style="13" min="9" max="9"/>
    <col width="9" customWidth="1" style="13" min="10" max="16384"/>
  </cols>
  <sheetData>
    <row r="1" ht="15.5" customHeight="1">
      <c r="A1" s="559" t="inlineStr">
        <is>
          <t>返回索引页</t>
        </is>
      </c>
      <c r="B1" s="15" t="inlineStr">
        <is>
          <t>返回</t>
        </is>
      </c>
      <c r="C1" s="16" t="n"/>
      <c r="D1" s="16" t="n"/>
      <c r="E1" s="16" t="n"/>
      <c r="F1" s="16" t="n"/>
      <c r="G1" s="16" t="n"/>
      <c r="H1" s="16" t="n"/>
      <c r="I1" s="16" t="n"/>
    </row>
    <row r="2" ht="30" customFormat="1" customHeight="1" s="11">
      <c r="A2" s="17" t="inlineStr">
        <is>
          <t>其他非流动负债评估明细表</t>
        </is>
      </c>
    </row>
    <row r="3" ht="14.15" customHeight="1">
      <c r="A3" s="535">
        <f>CONCATENATE(封面!D9,封面!F9,封面!G9,封面!H9,封面!I9,封面!J9,封面!K9)</f>
      </c>
    </row>
    <row r="4" ht="15.5" customHeight="1">
      <c r="A4" s="536">
        <f>封面!D7&amp;封面!F7</f>
      </c>
      <c r="I4" s="20" t="inlineStr">
        <is>
          <t>金额单位：人民币元</t>
        </is>
      </c>
    </row>
    <row r="5" ht="13" customFormat="1" customHeight="1" s="12">
      <c r="A5" s="21" t="inlineStr">
        <is>
          <t>序号</t>
        </is>
      </c>
      <c r="B5" s="21" t="inlineStr">
        <is>
          <t>户名（结算对象）</t>
        </is>
      </c>
      <c r="C5" s="21" t="inlineStr">
        <is>
          <t>发生日期</t>
        </is>
      </c>
      <c r="D5" s="21" t="inlineStr">
        <is>
          <t>结算内容</t>
        </is>
      </c>
      <c r="E5" s="22" t="inlineStr">
        <is>
          <t>审计前账面值</t>
        </is>
      </c>
      <c r="F5" s="22" t="inlineStr">
        <is>
          <t>审计调整</t>
        </is>
      </c>
      <c r="G5" s="21" t="inlineStr">
        <is>
          <t>账面价值</t>
        </is>
      </c>
      <c r="H5" s="21" t="inlineStr">
        <is>
          <t>评估价值</t>
        </is>
      </c>
      <c r="I5" s="21" t="inlineStr">
        <is>
          <t>备注</t>
        </is>
      </c>
    </row>
    <row r="6" ht="15.5" customHeight="1">
      <c r="A6" s="23" t="n"/>
      <c r="B6" s="24" t="n"/>
      <c r="C6" s="25" t="n"/>
      <c r="D6" s="23" t="n"/>
      <c r="E6" s="539" t="n"/>
      <c r="F6" s="539" t="n"/>
      <c r="G6" s="539" t="n"/>
      <c r="H6" s="539" t="n"/>
      <c r="I6" s="27" t="n"/>
    </row>
    <row r="7" ht="15.5" customHeight="1">
      <c r="A7" s="23" t="n"/>
      <c r="B7" s="24" t="n"/>
      <c r="C7" s="25" t="n"/>
      <c r="D7" s="23" t="n"/>
      <c r="E7" s="539" t="n"/>
      <c r="F7" s="539" t="n"/>
      <c r="G7" s="539" t="n"/>
      <c r="H7" s="539" t="n"/>
      <c r="I7" s="27" t="n"/>
    </row>
    <row r="8" ht="15.5" customHeight="1">
      <c r="A8" s="23" t="n"/>
      <c r="B8" s="24" t="n"/>
      <c r="C8" s="25" t="n"/>
      <c r="D8" s="23" t="n"/>
      <c r="E8" s="539" t="n"/>
      <c r="F8" s="539" t="n"/>
      <c r="G8" s="539" t="n"/>
      <c r="H8" s="539" t="n"/>
      <c r="I8" s="27" t="n"/>
    </row>
    <row r="9" ht="15.5" customHeight="1">
      <c r="A9" s="23" t="n"/>
      <c r="B9" s="24" t="n"/>
      <c r="C9" s="25" t="n"/>
      <c r="D9" s="23" t="n"/>
      <c r="E9" s="539" t="n"/>
      <c r="F9" s="539" t="n"/>
      <c r="G9" s="539" t="n"/>
      <c r="H9" s="539" t="n"/>
      <c r="I9" s="27" t="n"/>
    </row>
    <row r="10" ht="15.5" customHeight="1">
      <c r="A10" s="23" t="n"/>
      <c r="B10" s="24" t="n"/>
      <c r="C10" s="25" t="n"/>
      <c r="D10" s="23" t="n"/>
      <c r="E10" s="539" t="n"/>
      <c r="F10" s="539" t="n"/>
      <c r="G10" s="539" t="n"/>
      <c r="H10" s="539" t="n"/>
      <c r="I10" s="27" t="n"/>
    </row>
    <row r="11" ht="15.5" customHeight="1">
      <c r="A11" s="23" t="n"/>
      <c r="B11" s="24" t="n"/>
      <c r="C11" s="25" t="n"/>
      <c r="D11" s="23" t="n"/>
      <c r="E11" s="539" t="n"/>
      <c r="F11" s="539" t="n"/>
      <c r="G11" s="539" t="n"/>
      <c r="H11" s="539" t="n"/>
      <c r="I11" s="27" t="n"/>
    </row>
    <row r="12" ht="15.5" customHeight="1">
      <c r="A12" s="23" t="n"/>
      <c r="B12" s="24" t="n"/>
      <c r="C12" s="25" t="n"/>
      <c r="D12" s="23" t="n"/>
      <c r="E12" s="539" t="n"/>
      <c r="F12" s="539" t="n"/>
      <c r="G12" s="539" t="n"/>
      <c r="H12" s="539" t="n"/>
      <c r="I12" s="27" t="n"/>
    </row>
    <row r="13" ht="15.5" customHeight="1">
      <c r="A13" s="23" t="n"/>
      <c r="B13" s="24" t="n"/>
      <c r="C13" s="25" t="n"/>
      <c r="D13" s="23" t="n"/>
      <c r="E13" s="539" t="n"/>
      <c r="F13" s="539" t="n"/>
      <c r="G13" s="539" t="n"/>
      <c r="H13" s="539" t="n"/>
      <c r="I13" s="27" t="n"/>
    </row>
    <row r="14" ht="15.5" customHeight="1">
      <c r="A14" s="23" t="n"/>
      <c r="B14" s="24" t="n"/>
      <c r="C14" s="25" t="n"/>
      <c r="D14" s="23" t="n"/>
      <c r="E14" s="539" t="n"/>
      <c r="F14" s="539" t="n"/>
      <c r="G14" s="539" t="n"/>
      <c r="H14" s="539" t="n"/>
      <c r="I14" s="27" t="n"/>
    </row>
    <row r="15" ht="15.5" customHeight="1">
      <c r="A15" s="23" t="n"/>
      <c r="B15" s="24" t="n"/>
      <c r="C15" s="25" t="n"/>
      <c r="D15" s="23" t="n"/>
      <c r="E15" s="539" t="n"/>
      <c r="F15" s="539" t="n"/>
      <c r="G15" s="539" t="n"/>
      <c r="H15" s="539" t="n"/>
      <c r="I15" s="27" t="n"/>
    </row>
    <row r="16" ht="15.5" customHeight="1">
      <c r="A16" s="23" t="n"/>
      <c r="B16" s="24" t="n"/>
      <c r="C16" s="25" t="n"/>
      <c r="D16" s="23" t="n"/>
      <c r="E16" s="539" t="n"/>
      <c r="F16" s="539" t="n"/>
      <c r="G16" s="539" t="n"/>
      <c r="H16" s="539" t="n"/>
      <c r="I16" s="27" t="n"/>
    </row>
    <row r="17" ht="15.5" customHeight="1">
      <c r="A17" s="23" t="n"/>
      <c r="B17" s="24" t="n"/>
      <c r="C17" s="25" t="n"/>
      <c r="D17" s="23" t="n"/>
      <c r="E17" s="539" t="n"/>
      <c r="F17" s="539" t="n"/>
      <c r="G17" s="539" t="n"/>
      <c r="H17" s="539" t="n"/>
      <c r="I17" s="27" t="n"/>
    </row>
    <row r="18" ht="15.5" customHeight="1">
      <c r="A18" s="23" t="n"/>
      <c r="B18" s="24" t="n"/>
      <c r="C18" s="25" t="n"/>
      <c r="D18" s="23" t="n"/>
      <c r="E18" s="539" t="n"/>
      <c r="F18" s="539" t="n"/>
      <c r="G18" s="539" t="n"/>
      <c r="H18" s="539" t="n"/>
      <c r="I18" s="27" t="n"/>
    </row>
    <row r="19" ht="15.5" customHeight="1">
      <c r="A19" s="23" t="n"/>
      <c r="B19" s="24" t="n"/>
      <c r="C19" s="25" t="n"/>
      <c r="D19" s="23" t="n"/>
      <c r="E19" s="539" t="n"/>
      <c r="F19" s="539" t="n"/>
      <c r="G19" s="539" t="n"/>
      <c r="H19" s="539" t="n"/>
      <c r="I19" s="27" t="n"/>
    </row>
    <row r="20" ht="15.5" customHeight="1">
      <c r="A20" s="23" t="n"/>
      <c r="B20" s="24" t="n"/>
      <c r="C20" s="25" t="n"/>
      <c r="D20" s="23" t="n"/>
      <c r="E20" s="539" t="n"/>
      <c r="F20" s="539" t="n"/>
      <c r="G20" s="539" t="n"/>
      <c r="H20" s="539" t="n"/>
      <c r="I20" s="27" t="n"/>
    </row>
    <row r="21" ht="15.5" customHeight="1">
      <c r="A21" s="23" t="n"/>
      <c r="B21" s="24" t="n"/>
      <c r="C21" s="25" t="n"/>
      <c r="D21" s="23" t="n"/>
      <c r="E21" s="539" t="n"/>
      <c r="F21" s="539" t="n"/>
      <c r="G21" s="539" t="n"/>
      <c r="H21" s="539" t="n"/>
      <c r="I21" s="27" t="n"/>
    </row>
    <row r="22" ht="15.5" customHeight="1">
      <c r="A22" s="23" t="n"/>
      <c r="B22" s="24" t="n"/>
      <c r="C22" s="25" t="n"/>
      <c r="D22" s="23" t="n"/>
      <c r="E22" s="539" t="n"/>
      <c r="F22" s="539" t="n"/>
      <c r="G22" s="539" t="n"/>
      <c r="H22" s="539" t="n"/>
      <c r="I22" s="27" t="n"/>
    </row>
    <row r="23" ht="15.5" customHeight="1">
      <c r="A23" s="23" t="n"/>
      <c r="B23" s="24" t="n"/>
      <c r="C23" s="25" t="n"/>
      <c r="D23" s="23" t="n"/>
      <c r="E23" s="539" t="n"/>
      <c r="F23" s="539" t="n"/>
      <c r="G23" s="539" t="n"/>
      <c r="H23" s="539" t="n"/>
      <c r="I23" s="27" t="n"/>
    </row>
    <row r="24" ht="15.5" customHeight="1">
      <c r="A24" s="23" t="n"/>
      <c r="B24" s="24" t="n"/>
      <c r="C24" s="25" t="n"/>
      <c r="D24" s="23" t="n"/>
      <c r="E24" s="539" t="n"/>
      <c r="F24" s="539" t="n"/>
      <c r="G24" s="539" t="n"/>
      <c r="H24" s="539" t="n"/>
      <c r="I24" s="27" t="n"/>
    </row>
    <row r="25" ht="15.5" customHeight="1">
      <c r="A25" s="23" t="n"/>
      <c r="B25" s="24" t="n"/>
      <c r="C25" s="25" t="n"/>
      <c r="D25" s="23" t="n"/>
      <c r="E25" s="539" t="n"/>
      <c r="F25" s="539" t="n"/>
      <c r="G25" s="539" t="n"/>
      <c r="H25" s="539" t="n"/>
      <c r="I25" s="27" t="n"/>
    </row>
    <row r="26" ht="15.5" customHeight="1">
      <c r="A26" s="23" t="n"/>
      <c r="B26" s="24" t="n"/>
      <c r="C26" s="25" t="n"/>
      <c r="D26" s="23" t="n"/>
      <c r="E26" s="539" t="n"/>
      <c r="F26" s="539" t="n"/>
      <c r="G26" s="539" t="n"/>
      <c r="H26" s="539" t="n"/>
      <c r="I26" s="27" t="n"/>
    </row>
    <row r="27" ht="15.5" customHeight="1">
      <c r="A27" s="21" t="inlineStr">
        <is>
          <t>合                          计</t>
        </is>
      </c>
      <c r="B27" s="28" t="n"/>
      <c r="C27" s="25" t="n"/>
      <c r="D27" s="23" t="n"/>
      <c r="E27" s="539">
        <f>SUM(E6:E26)</f>
      </c>
      <c r="F27" s="539" t="n"/>
      <c r="G27" s="539">
        <f>SUM(G6:G26)</f>
      </c>
      <c r="H27" s="539">
        <f>SUM(H6:H26)</f>
      </c>
      <c r="I27" s="27" t="n"/>
    </row>
    <row r="28" ht="15.5" customHeight="1">
      <c r="A28" s="29">
        <f>封面!D11&amp;封面!G11</f>
      </c>
      <c r="G28" s="536">
        <f>"评估人员："&amp;封面!G38</f>
      </c>
    </row>
    <row r="29" ht="15.5" customHeight="1">
      <c r="A29" s="29">
        <f>CONCATENATE(封面!D13,封面!F13,封面!G13,封面!H13,封面!I13,封面!J13,封面!K13)</f>
      </c>
    </row>
  </sheetData>
  <mergeCells count="3">
    <mergeCell ref="A27:B27"/>
    <mergeCell ref="A2:I2"/>
    <mergeCell ref="A3:I3"/>
  </mergeCells>
  <hyperlinks>
    <hyperlink ref="A1" location="索引目录!I26" display="返回索引页"/>
    <hyperlink ref="B1" location="'非流动负债汇总 '!B12" display="返回"/>
  </hyperlinks>
  <printOptions horizontalCentered="1"/>
  <pageMargins left="0.354330708661417" right="0.354330708661417" top="0.78740157480315" bottom="0.78740157480315" header="1.05" footer="0.511811023622047"/>
  <pageSetup orientation="landscape" paperSize="9" fitToHeight="0"/>
  <headerFooter alignWithMargins="0">
    <oddHeader>&amp;R&amp;"宋体,常规"共&amp;"Times New Roman,常规"&amp;N&amp;"宋体,常规"页第&amp;"Times New Roman,常规"&amp;P&amp;"宋体,常规"6-7_x000a_页</oddHeader>
    <oddFooter/>
    <evenHeader/>
    <evenFooter/>
    <firstHeader/>
    <firstFooter/>
  </headerFooter>
</worksheet>
</file>

<file path=xl/worksheets/sheet95.xml><?xml version="1.0" encoding="utf-8"?>
<worksheet xmlns="http://schemas.openxmlformats.org/spreadsheetml/2006/main">
  <sheetPr codeName="Sheet95">
    <outlinePr summaryBelow="1" summaryRight="1"/>
    <pageSetUpPr/>
  </sheetPr>
  <dimension ref="A2:C26"/>
  <sheetViews>
    <sheetView showFormulas="1" workbookViewId="0">
      <selection activeCell="G451" sqref="G451"/>
    </sheetView>
  </sheetViews>
  <sheetFormatPr baseColWidth="8" defaultColWidth="8.25" defaultRowHeight="12.5"/>
  <cols>
    <col width="26.8333333333333" customWidth="1" style="1" min="1" max="1"/>
    <col width="1.25" customWidth="1" style="1" min="2" max="2"/>
    <col width="28.8333333333333" customWidth="1" style="1" min="3" max="3"/>
    <col width="8.25" customWidth="1" style="1" min="4" max="16384"/>
  </cols>
  <sheetData>
    <row r="1" ht="15.5" customHeight="1"/>
    <row r="2" ht="13.75" customHeight="1">
      <c r="A2" s="2"/>
    </row>
    <row r="3" ht="13.25" customHeight="1">
      <c r="A3" s="3"/>
      <c r="C3" s="4"/>
    </row>
    <row r="4">
      <c r="A4" s="3"/>
    </row>
    <row r="6" ht="13.25" customHeight="1"/>
    <row r="7" ht="13" customHeight="1">
      <c r="A7" s="5"/>
    </row>
    <row r="8" ht="13" customHeight="1">
      <c r="A8" s="6"/>
    </row>
    <row r="9" ht="13" customHeight="1">
      <c r="A9" s="7"/>
    </row>
    <row r="10" ht="13" customHeight="1">
      <c r="A10" s="6"/>
    </row>
    <row r="11" ht="13.75" customHeight="1">
      <c r="A11" s="8"/>
    </row>
    <row r="13" ht="13.25" customHeight="1"/>
    <row r="14" ht="13.25" customHeight="1">
      <c r="A14" s="4"/>
    </row>
    <row r="16" ht="13.25" customHeight="1"/>
    <row r="17" ht="13.25" customHeight="1">
      <c r="C17" s="4"/>
    </row>
    <row r="20">
      <c r="A20" s="9"/>
    </row>
    <row r="26" ht="13.25" customHeight="1">
      <c r="C26" s="10"/>
    </row>
  </sheetData>
  <sheetProtection selectLockedCells="0" selectUnlockedCells="0" sheet="1" objects="1" insertRows="1" insertHyperlinks="1" autoFilter="1" scenarios="0" formatColumns="1" deleteColumns="1" insertColumns="1" pivotTables="1" deleteRows="1" formatCells="1" formatRows="1" sort="1" password="8863"/>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Seaman</dc:creator>
  <dc:title xmlns:dc="http://purl.org/dc/elements/1.1/">新版通用申报表</dc:title>
  <dcterms:created xmlns:dcterms="http://purl.org/dc/terms/" xmlns:xsi="http://www.w3.org/2001/XMLSchema-instance" xsi:type="dcterms:W3CDTF">1999-04-07T08:44:00Z</dcterms:created>
  <dcterms:modified xmlns:dcterms="http://purl.org/dc/terms/" xmlns:xsi="http://www.w3.org/2001/XMLSchema-instance" xsi:type="dcterms:W3CDTF">2026-05-28T07:02:42Z</dcterms:modified>
  <cp:lastModifiedBy>JAMTX随便吧</cp:lastModifiedBy>
  <cp:lastPrinted>2020-04-28T03:08:00Z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2052-12.1.0.26375</vt:lpwstr>
  </property>
  <property name="ICV" fmtid="{D5CDD505-2E9C-101B-9397-08002B2CF9AE}" pid="3">
    <vt:lpwstr xmlns:vt="http://schemas.openxmlformats.org/officeDocument/2006/docPropsVTypes">1DFED94AA4A24E4A94AE9980958A18FB_13</vt:lpwstr>
  </property>
  <property name="KSOReadingLayout" fmtid="{D5CDD505-2E9C-101B-9397-08002B2CF9AE}" pid="4">
    <vt:bool xmlns:vt="http://schemas.openxmlformats.org/officeDocument/2006/docPropsVTypes">0</vt:bool>
  </property>
  <property name="CalculationRule" fmtid="{D5CDD505-2E9C-101B-9397-08002B2CF9AE}" pid="5">
    <vt:i4 xmlns:vt="http://schemas.openxmlformats.org/officeDocument/2006/docPropsVTypes">0</vt:i4>
  </property>
</Properties>
</file>