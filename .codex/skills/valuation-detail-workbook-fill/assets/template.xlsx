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1\1\ai-excel-agent\assets\builtin_templates\valuation-detail-workbook-fill\"/>
    </mc:Choice>
  </mc:AlternateContent>
  <bookViews>
    <workbookView windowWidth="24750" windowHeight="12080" tabRatio="929" firstSheet="5" activeTab="32"/>
  </bookViews>
  <sheets>
    <sheet name="PMMOQP" sheetId="1" state="hidden" r:id="rId1"/>
    <sheet name="封面" sheetId="2" r:id="rId2"/>
    <sheet name="索引目录" sheetId="3" state="hidden" r:id="rId3"/>
    <sheet name="填表说明" sheetId="4" state="hidden" r:id="rId4"/>
    <sheet name="资产负债表" sheetId="5" r:id="rId5"/>
    <sheet name="汇总表" sheetId="6" r:id="rId6"/>
    <sheet name="分类汇总" sheetId="7" r:id="rId7"/>
    <sheet name="流动汇总" sheetId="8" r:id="rId8"/>
    <sheet name="现金" sheetId="9" state="hidden" r:id="rId9"/>
    <sheet name="银行存款" sheetId="10" r:id="rId10"/>
    <sheet name="其他货币资金" sheetId="11" state="hidden" r:id="rId11"/>
    <sheet name="交易性金融资产汇总" sheetId="12" state="hidden" r:id="rId12"/>
    <sheet name="交易性-股票" sheetId="13" state="hidden" r:id="rId13"/>
    <sheet name="交易性-债券" sheetId="14" state="hidden" r:id="rId14"/>
    <sheet name="交易性-基金" sheetId="15" state="hidden" r:id="rId15"/>
    <sheet name="应收票据" sheetId="16" state="hidden" r:id="rId16"/>
    <sheet name="应收账款" sheetId="17" r:id="rId17"/>
    <sheet name="预付账款" sheetId="18" r:id="rId18"/>
    <sheet name="应收利息" sheetId="19" state="hidden" r:id="rId19"/>
    <sheet name="应收股利（利润）" sheetId="20" state="hidden" r:id="rId20"/>
    <sheet name="其他应收款" sheetId="21" r:id="rId21"/>
    <sheet name="存货汇总" sheetId="22" state="hidden" r:id="rId22"/>
    <sheet name="材料采购（在途物资）" sheetId="23" state="hidden" r:id="rId23"/>
    <sheet name="原材料" sheetId="24" state="hidden" r:id="rId24"/>
    <sheet name="在库周转材料" sheetId="25" state="hidden" r:id="rId25"/>
    <sheet name="委托加工物资" sheetId="26" state="hidden" r:id="rId26"/>
    <sheet name="产成品（库存商品）" sheetId="27" state="hidden" r:id="rId27"/>
    <sheet name="在产品（自制半成品）" sheetId="28" state="hidden" r:id="rId28"/>
    <sheet name="发出商品" sheetId="29" state="hidden" r:id="rId29"/>
    <sheet name="在用周转材料" sheetId="30" state="hidden" r:id="rId30"/>
    <sheet name="一年到期非流动资产" sheetId="31" state="hidden" r:id="rId31"/>
    <sheet name="其他流动资产" sheetId="32" state="hidden" r:id="rId32"/>
    <sheet name="非流动资产汇总" sheetId="33" r:id="rId33"/>
    <sheet name="可供出售金融资产汇总" sheetId="34" state="hidden" r:id="rId34"/>
    <sheet name="可出售-股票" sheetId="35" state="hidden" r:id="rId35"/>
    <sheet name="可出售-债券" sheetId="36" state="hidden" r:id="rId36"/>
    <sheet name="可出售-其他" sheetId="37" state="hidden" r:id="rId37"/>
    <sheet name="持有到期投资" sheetId="38" state="hidden" r:id="rId38"/>
    <sheet name="长期应收" sheetId="39" state="hidden" r:id="rId39"/>
    <sheet name="股权投资" sheetId="40" state="hidden" r:id="rId40"/>
    <sheet name="4-5-1投资性房地产" sheetId="41" state="hidden" r:id="rId41"/>
    <sheet name="4-5-2投资性房地产" sheetId="42" state="hidden" r:id="rId42"/>
    <sheet name="4-5-3投资性地产" sheetId="43" state="hidden" r:id="rId43"/>
    <sheet name="4-5-4投资性地产" sheetId="44" state="hidden" r:id="rId44"/>
    <sheet name="固定资产汇总" sheetId="45" r:id="rId45"/>
    <sheet name="房屋建筑物" sheetId="46" state="hidden" r:id="rId46"/>
    <sheet name="构筑物" sheetId="47" state="hidden" r:id="rId47"/>
    <sheet name="井巷" sheetId="48" state="hidden" r:id="rId48"/>
    <sheet name="Sheet1" sheetId="49" state="hidden" r:id="rId49"/>
    <sheet name="管道沟槽" sheetId="50" state="hidden" r:id="rId50"/>
    <sheet name="机器设备" sheetId="51" r:id="rId51"/>
    <sheet name="车辆" sheetId="52" state="hidden" r:id="rId52"/>
    <sheet name="电子设备" sheetId="53" r:id="rId53"/>
    <sheet name="土地" sheetId="54" state="hidden" r:id="rId54"/>
    <sheet name="在建工程汇总" sheetId="55" state="hidden" r:id="rId55"/>
    <sheet name="在建（土建）" sheetId="56" state="hidden" r:id="rId56"/>
    <sheet name="在建（设备）" sheetId="57" state="hidden" r:id="rId57"/>
    <sheet name="工程物资" sheetId="58" state="hidden" r:id="rId58"/>
    <sheet name="固定资产清理" sheetId="59" state="hidden" r:id="rId59"/>
    <sheet name="生产性生物资产" sheetId="60" state="hidden" r:id="rId60"/>
    <sheet name="油气资产" sheetId="61" state="hidden" r:id="rId61"/>
    <sheet name="使用权资产" sheetId="62" state="hidden" r:id="rId62"/>
    <sheet name="无形资产汇总" sheetId="63" state="hidden" r:id="rId63"/>
    <sheet name="无形-土地" sheetId="64" state="hidden" r:id="rId64"/>
    <sheet name="无形-矿业权" sheetId="65" state="hidden" r:id="rId65"/>
    <sheet name="无形-其他" sheetId="66" state="hidden" r:id="rId66"/>
    <sheet name="Sheet2" sheetId="67" state="hidden" r:id="rId67"/>
    <sheet name="开发支出" sheetId="68" state="hidden" r:id="rId68"/>
    <sheet name="商誉" sheetId="69" state="hidden" r:id="rId69"/>
    <sheet name="长期待摊费用" sheetId="70" state="hidden" r:id="rId70"/>
    <sheet name="递延所得税资产" sheetId="71" state="hidden" r:id="rId71"/>
    <sheet name="其他非流动资产" sheetId="72" state="hidden" r:id="rId72"/>
    <sheet name="流动负债汇总" sheetId="73" r:id="rId73"/>
    <sheet name="短期借款" sheetId="74" state="hidden" r:id="rId74"/>
    <sheet name="交易性金融负债" sheetId="75" state="hidden" r:id="rId75"/>
    <sheet name="应付票据" sheetId="76" state="hidden" r:id="rId76"/>
    <sheet name="应付账款" sheetId="77" r:id="rId77"/>
    <sheet name="预收账款" sheetId="78" state="hidden" r:id="rId78"/>
    <sheet name="职工薪酬" sheetId="79" r:id="rId79"/>
    <sheet name="应交税费" sheetId="80" r:id="rId80"/>
    <sheet name="应付利息" sheetId="81" state="hidden" r:id="rId81"/>
    <sheet name="应付股利（利润）" sheetId="82" state="hidden" r:id="rId82"/>
    <sheet name="其他应付款" sheetId="83" r:id="rId83"/>
    <sheet name="一年到期非流动负债" sheetId="84" state="hidden" r:id="rId84"/>
    <sheet name="其他流动负债" sheetId="85" state="hidden" r:id="rId85"/>
    <sheet name="非流动负债汇总 " sheetId="86" r:id="rId86"/>
    <sheet name="长期借款" sheetId="87" state="hidden" r:id="rId87"/>
    <sheet name="应付债券" sheetId="88" state="hidden" r:id="rId88"/>
    <sheet name="长期应付款" sheetId="89" state="hidden" r:id="rId89"/>
    <sheet name="专项应付款" sheetId="90" state="hidden" r:id="rId90"/>
    <sheet name="预计负债" sheetId="91" state="hidden" r:id="rId91"/>
    <sheet name="租赁负债" sheetId="92" state="hidden" r:id="rId92"/>
    <sheet name="递延所得税负债" sheetId="93" state="hidden" r:id="rId93"/>
    <sheet name="其他非流动负债" sheetId="94" state="hidden" r:id="rId94"/>
    <sheet name="00000000" sheetId="95" state="veryHidden" r:id="rId95"/>
  </sheets>
  <definedNames>
    <definedName name="_xlnm._FilterDatabase" localSheetId="52" hidden="1">电子设备!$A$6:$AJ$447</definedName>
    <definedName name="_xlnm._FilterDatabase" localSheetId="65" hidden="1">'无形-其他'!$A$5:$Q$25</definedName>
    <definedName name="_xlnm._FilterDatabase" localSheetId="66" hidden="1">Sheet2!$A$1:$F$14</definedName>
    <definedName name="_xlnm.Print_Area" localSheetId="1">封面!$B$2:$O$41</definedName>
    <definedName name="_xlnm.Print_Area" localSheetId="4">资产负债表!$A$2:$J$42</definedName>
    <definedName name="_xlnm.Print_Area" localSheetId="5">汇总表!$A$2:$G$35</definedName>
    <definedName name="_xlnm.Print_Titles" localSheetId="6">分类汇总!$2:$5</definedName>
    <definedName name="_xlnm.Print_Area" localSheetId="6">分类汇总!$A$2:$H$65</definedName>
    <definedName name="_xlnm.Print_Area" localSheetId="7">流动汇总!$A$2:$I$29</definedName>
    <definedName name="_xlnm.Print_Area" localSheetId="8">现金!$A$2:$J$29</definedName>
    <definedName name="_xlnm.Print_Area" localSheetId="9">银行存款!$A$2:$K$25</definedName>
    <definedName name="_xlnm.Print_Area" localSheetId="10">其他货币资金!$A$2:$L$22</definedName>
    <definedName name="_xlnm.Print_Area" localSheetId="11">交易性金融资产汇总!$A$2:$G$29</definedName>
    <definedName name="_xlnm.Print_Area" localSheetId="12">'交易性-股票'!$A$2:$L$29</definedName>
    <definedName name="_xlnm.Print_Area" localSheetId="13">'交易性-债券'!$A$2:$L$29</definedName>
    <definedName name="_xlnm.Print_Area" localSheetId="14">'交易性-基金'!$A$2:$M$29</definedName>
    <definedName name="_xlnm.Print_Area" localSheetId="15">应收票据!$A$2:$K$29</definedName>
    <definedName name="_xlnm.Print_Area" localSheetId="16">应收账款!$A$2:$S$29</definedName>
    <definedName name="_xlnm.Print_Area" localSheetId="17">预付账款!$A$2:$K$29</definedName>
    <definedName name="_xlnm.Print_Area" localSheetId="18">应收利息!$A$2:$L$29</definedName>
    <definedName name="_xlnm.Print_Area" localSheetId="19">'应收股利（利润）'!$A$2:$J$29</definedName>
    <definedName name="_xlnm.Print_Titles" localSheetId="20">其他应收款!$2:$5</definedName>
    <definedName name="_xlnm.Print_Area" localSheetId="20">其他应收款!$A$2:$S$47</definedName>
    <definedName name="_xlnm.Print_Area" localSheetId="21">存货汇总!$A$2:$G$29</definedName>
    <definedName name="_xlnm.Print_Area" localSheetId="22">'材料采购（在途物资）'!$A$2:$O$29</definedName>
    <definedName name="_xlnm.Print_Titles" localSheetId="23">原材料!$2:$6</definedName>
    <definedName name="_xlnm.Print_Area" localSheetId="23">原材料!$A$1:$O$279</definedName>
    <definedName name="_xlnm.Print_Area" localSheetId="24">在库周转材料!$A$2:$P$29</definedName>
    <definedName name="_xlnm.Print_Area" localSheetId="25">委托加工物资!$A$2:$P$29</definedName>
    <definedName name="_xlnm.Print_Area" localSheetId="26">'产成品（库存商品）'!$A$2:$P$29</definedName>
    <definedName name="_xlnm.Print_Area" localSheetId="27">'在产品（自制半成品）'!$A$2:$O$29</definedName>
    <definedName name="_xlnm.Print_Titles" localSheetId="28">发出商品!$2:$6</definedName>
    <definedName name="_xlnm.Print_Area" localSheetId="28">发出商品!$A$2:$P$39</definedName>
    <definedName name="_xlnm.Print_Area" localSheetId="29">在用周转材料!$A$2:$P$29</definedName>
    <definedName name="_xlnm.Print_Area" localSheetId="30">一年到期非流动资产!$A$2:$J$29</definedName>
    <definedName name="_xlnm.Print_Area" localSheetId="31">其他流动资产!$A$2:$J$29</definedName>
    <definedName name="_xlnm.Print_Area" localSheetId="32">非流动资产汇总!$A$2:$G$30</definedName>
    <definedName name="_xlnm.Print_Area" localSheetId="33">可供出售金融资产汇总!$A$2:$H$29</definedName>
    <definedName name="_xlnm.Print_Area" localSheetId="34">'可出售-股票'!$A$2:$N$29</definedName>
    <definedName name="_xlnm.Print_Area" localSheetId="35">'可出售-债券'!$A$2:$M$29</definedName>
    <definedName name="_xlnm.Print_Area" localSheetId="36">'可出售-其他'!$A$2:$M$29</definedName>
    <definedName name="_xlnm.Print_Area" localSheetId="37">持有到期投资!$A$2:$M$29</definedName>
    <definedName name="_xlnm.Print_Area" localSheetId="38">长期应收!$A$2:$J$34</definedName>
    <definedName name="_xlnm.Print_Area" localSheetId="39">股权投资!$A$2:$L$29</definedName>
    <definedName name="_xlnm.Print_Area" localSheetId="40">'4-5-1投资性房地产'!$A$2:$U$29</definedName>
    <definedName name="_xlnm.Print_Area" localSheetId="41">'4-5-2投资性房地产'!$A$2:$R$29</definedName>
    <definedName name="_xlnm.Print_Area" localSheetId="42">'4-5-3投资性地产'!$A$2:$S$29</definedName>
    <definedName name="_xlnm.Print_Area" localSheetId="43">'4-5-4投资性地产'!$A$2:$S$29</definedName>
    <definedName name="_xlnm.Print_Area" localSheetId="44">固定资产汇总!$A$2:$L$24</definedName>
    <definedName name="_xlnm.Print_Area" localSheetId="45">房屋建筑物!$A$2:$AF$37</definedName>
    <definedName name="_xlnm.Print_Area" localSheetId="46">构筑物!$A$2:$U$49</definedName>
    <definedName name="_xlnm.Print_Area" localSheetId="47">井巷!$A$2:$AS$28</definedName>
    <definedName name="_xlnm.Print_Area" localSheetId="49">管道沟槽!$A$2:$T$29</definedName>
    <definedName name="_xlnm.Print_Area" localSheetId="50">机器设备!$A$2:$U$236</definedName>
    <definedName name="_xlnm.Print_Area" localSheetId="51">车辆!$A$2:$U$29</definedName>
    <definedName name="_xlnm.Print_Area" localSheetId="52">电子设备!$A$2:$V$451</definedName>
    <definedName name="_xlnm.Print_Area" localSheetId="53">土地!$A$2:$S$30</definedName>
    <definedName name="_xlnm.Print_Area" localSheetId="54">在建工程汇总!$A$2:$G$29</definedName>
    <definedName name="_xlnm.Print_Area" localSheetId="55">'在建（土建）'!$A$2:$O$29</definedName>
    <definedName name="_xlnm.Print_Area" localSheetId="56">'在建（设备）'!$A$2:$W$29</definedName>
    <definedName name="_xlnm.Print_Area" localSheetId="57">工程物资!$A$2:$Q$29</definedName>
    <definedName name="_xlnm.Print_Area" localSheetId="58">固定资产清理!$A$2:$J$29</definedName>
    <definedName name="_xlnm.Print_Area" localSheetId="59">生产性生物资产!$A$2:$R$29</definedName>
    <definedName name="_xlnm.Print_Area" localSheetId="60">油气资产!$A$2:$S$29</definedName>
    <definedName name="_xlnm.Print_Area" localSheetId="61">使用权资产!$A$2:$M$29</definedName>
    <definedName name="_xlnm.Print_Area" localSheetId="62">无形资产汇总!$A$2:$G$29</definedName>
    <definedName name="_xlnm.Print_Area" localSheetId="63">'无形-土地'!$A$2:$Q$29</definedName>
    <definedName name="_xlnm.Print_Area" localSheetId="64">'无形-矿业权'!$A$2:$P$29</definedName>
    <definedName name="_xlnm.Print_Area" localSheetId="65">'无形-其他'!$A$2:$O$25</definedName>
    <definedName name="_xlnm.Print_Area" localSheetId="67">开发支出!$A$2:$J$29</definedName>
    <definedName name="_xlnm.Print_Area" localSheetId="68">商誉!$A$2:$J$29</definedName>
    <definedName name="_xlnm.Print_Area" localSheetId="69">长期待摊费用!$A$2:$M$29</definedName>
    <definedName name="_xlnm.Print_Area" localSheetId="70">递延所得税资产!$A$2:$H$29</definedName>
    <definedName name="_xlnm.Print_Area" localSheetId="71">其他非流动资产!$A$2:$I$29</definedName>
    <definedName name="_xlnm.Print_Area" localSheetId="72">流动负债汇总!$A$2:$G$29</definedName>
    <definedName name="_xlnm.Print_Area" localSheetId="73">短期借款!$A$2:$M$29</definedName>
    <definedName name="_xlnm.Print_Area" localSheetId="74">交易性金融负债!$A$2:$I$29</definedName>
    <definedName name="_xlnm.Print_Area" localSheetId="75">应付票据!$A$2:$J$29</definedName>
    <definedName name="_xlnm.Print_Area" localSheetId="76">应付账款!$A$2:$I$30</definedName>
    <definedName name="_xlnm.Print_Area" localSheetId="77">预收账款!$A$2:$I$29</definedName>
    <definedName name="_xlnm.Print_Area" localSheetId="78">职工薪酬!$A$2:$H$29</definedName>
    <definedName name="_xlnm.Print_Area" localSheetId="79">应交税费!$A$2:$I$29</definedName>
    <definedName name="_xlnm.Print_Area" localSheetId="80">应付利息!$A$2:$L$29</definedName>
    <definedName name="_xlnm.Print_Area" localSheetId="81">'应付股利（利润）'!$A$2:$I$29</definedName>
    <definedName name="_xlnm.Print_Area" localSheetId="82">其他应付款!$A$2:$I$53</definedName>
    <definedName name="_xlnm.Print_Area" localSheetId="83">一年到期非流动负债!$A$2:$J$29</definedName>
    <definedName name="_xlnm.Print_Area" localSheetId="84">其他流动负债!$A$2:$I$29</definedName>
    <definedName name="_xlnm.Print_Area" localSheetId="85">'非流动负债汇总 '!$A$2:$G$31</definedName>
    <definedName name="_xlnm.Print_Area" localSheetId="86">长期借款!$A$2:$M$29</definedName>
    <definedName name="_xlnm.Print_Area" localSheetId="87">应付债券!$A$2:$K$29</definedName>
    <definedName name="_xlnm.Print_Area" localSheetId="88">长期应付款!$A$2:$M$29</definedName>
    <definedName name="_xlnm.Print_Area" localSheetId="89">专项应付款!$A$2:$H$29</definedName>
    <definedName name="_xlnm.Print_Area" localSheetId="90">预计负债!$A$2:$I$29</definedName>
    <definedName name="_xlnm.Print_Area" localSheetId="91">租赁负债!$A$2:$I$29</definedName>
    <definedName name="_xlnm.Print_Area" localSheetId="92">递延所得税负债!$A$2:$H$29</definedName>
    <definedName name="_xlnm.Print_Area" localSheetId="93">其他非流动负债!$A$2:$I$29</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J9" authorId="0">
      <text>
        <r>
          <rPr>
            <sz val="10"/>
            <rFont val="宋体"/>
            <charset val="134"/>
          </rPr>
          <t xml:space="preserve">Administrator:
若评估基准日修改，请自行修改 日期
</t>
        </r>
      </text>
    </comment>
  </commentList>
</comments>
</file>

<file path=xl/comments2.xml><?xml version="1.0" encoding="utf-8"?>
<comments xmlns="http://schemas.openxmlformats.org/spreadsheetml/2006/main">
  <authors>
    <author>chenjie</author>
  </authors>
  <commentList>
    <comment ref="B6" authorId="0">
      <text>
        <r>
          <rPr>
            <sz val="10"/>
            <rFont val="宋体"/>
            <charset val="134"/>
          </rPr>
          <t xml:space="preserve">chenjie:
填写现金实物存放单位名称 </t>
        </r>
      </text>
    </comment>
    <comment ref="D6" authorId="0">
      <text>
        <r>
          <rPr>
            <sz val="10"/>
            <rFont val="宋体"/>
            <charset val="134"/>
          </rPr>
          <t xml:space="preserve">chenjie:
填写原币金额 </t>
        </r>
      </text>
    </comment>
    <comment ref="E6" authorId="0">
      <text>
        <r>
          <rPr>
            <sz val="10"/>
            <rFont val="宋体"/>
            <charset val="134"/>
          </rPr>
          <t>chenjie:
评估基准日汇率为中间价</t>
        </r>
      </text>
    </comment>
  </commentList>
</comments>
</file>

<file path=xl/comments3.xml><?xml version="1.0" encoding="utf-8"?>
<comments xmlns="http://schemas.openxmlformats.org/spreadsheetml/2006/main">
  <authors>
    <author>SEELE</author>
  </authors>
  <commentList>
    <comment ref="C6" authorId="0">
      <text>
        <r>
          <rPr>
            <sz val="10"/>
            <rFont val="宋体"/>
            <charset val="134"/>
          </rPr>
          <t>SEELE:
请填写完整银行账号</t>
        </r>
      </text>
    </comment>
  </commentList>
</comments>
</file>

<file path=xl/comments4.xml><?xml version="1.0" encoding="utf-8"?>
<comments xmlns="http://schemas.openxmlformats.org/spreadsheetml/2006/main">
  <authors>
    <author>chenjie</author>
  </authors>
  <commentList>
    <comment ref="B6" authorId="0">
      <text>
        <r>
          <rPr>
            <sz val="10"/>
            <rFont val="宋体"/>
            <charset val="134"/>
          </rPr>
          <t>chenjie:
填列全称</t>
        </r>
      </text>
    </comment>
    <comment ref="C6" authorId="0">
      <text>
        <r>
          <rPr>
            <sz val="10"/>
            <rFont val="宋体"/>
            <charset val="134"/>
          </rPr>
          <t>chenjie:
如：鞍山信托、民生银行等、天鸿宝业等</t>
        </r>
      </text>
    </comment>
    <comment ref="D6" authorId="0">
      <text>
        <r>
          <rPr>
            <sz val="10"/>
            <rFont val="宋体"/>
            <charset val="134"/>
          </rPr>
          <t>chenjie:
购买日</t>
        </r>
      </text>
    </comment>
  </commentList>
</comments>
</file>

<file path=xl/comments5.xml><?xml version="1.0" encoding="utf-8"?>
<comments xmlns="http://schemas.openxmlformats.org/spreadsheetml/2006/main">
  <authors>
    <author>chenjie</author>
  </authors>
  <commentList>
    <comment ref="B6" authorId="0">
      <text>
        <r>
          <rPr>
            <sz val="10"/>
            <rFont val="宋体"/>
            <charset val="134"/>
          </rPr>
          <t>chenjie:
填列全称</t>
        </r>
      </text>
    </comment>
    <comment ref="C6" authorId="0">
      <text>
        <r>
          <rPr>
            <sz val="10"/>
            <rFont val="宋体"/>
            <charset val="134"/>
          </rPr>
          <t>chenjie:
如：国库券、电力债券
    ＊＊公司债券</t>
        </r>
      </text>
    </comment>
  </commentList>
</comments>
</file>

<file path=xl/comments6.xml><?xml version="1.0" encoding="utf-8"?>
<comments xmlns="http://schemas.openxmlformats.org/spreadsheetml/2006/main">
  <authors>
    <author>chenjie</author>
  </authors>
  <commentList>
    <comment ref="B6" authorId="0">
      <text>
        <r>
          <rPr>
            <sz val="10"/>
            <rFont val="宋体"/>
            <charset val="134"/>
          </rPr>
          <t>chenjie:
填列全称</t>
        </r>
      </text>
    </comment>
    <comment ref="C6" authorId="0">
      <text>
        <r>
          <rPr>
            <sz val="10"/>
            <rFont val="宋体"/>
            <charset val="134"/>
          </rPr>
          <t>如：上投摩根内需动力</t>
        </r>
      </text>
    </comment>
    <comment ref="D6" authorId="0">
      <text>
        <r>
          <rPr>
            <sz val="10"/>
            <rFont val="宋体"/>
            <charset val="134"/>
          </rPr>
          <t>开放式、封闭式等</t>
        </r>
      </text>
    </comment>
    <comment ref="E6" authorId="0">
      <text>
        <r>
          <rPr>
            <sz val="10"/>
            <rFont val="宋体"/>
            <charset val="134"/>
          </rPr>
          <t>chenjie:
购买日</t>
        </r>
      </text>
    </comment>
  </commentList>
</comments>
</file>

<file path=xl/comments7.xml><?xml version="1.0" encoding="utf-8"?>
<comments xmlns="http://schemas.openxmlformats.org/spreadsheetml/2006/main">
  <authors>
    <author>chenjie</author>
    <author>seaman</author>
  </authors>
  <commentList>
    <comment ref="C6" authorId="0">
      <text>
        <r>
          <rPr>
            <sz val="10"/>
            <rFont val="宋体"/>
            <charset val="134"/>
          </rPr>
          <t>chenjie:
如：“售油款”等</t>
        </r>
      </text>
    </comment>
    <comment ref="E6" authorId="1">
      <text>
        <r>
          <rPr>
            <sz val="10"/>
            <rFont val="宋体"/>
            <charset val="134"/>
          </rPr>
          <t>1年以内
1~2年
2~3年
3~4年
4~5年
5年以上</t>
        </r>
      </text>
    </comment>
    <comment ref="S6" authorId="0">
      <text>
        <r>
          <rPr>
            <sz val="10"/>
            <rFont val="宋体"/>
            <charset val="134"/>
          </rPr>
          <t>chenjie:
1）欠款单位为关联方、总公司内部或本公司内部单位的，应在备注栏注明“关联方”、“总公司内部”“内部单位”；2） 涉诉款项应在备注中标明；3）评估基准日后已收回款项的，应注明日期如“2002年7月4日收回”；4）其他填表单位认为应说明的事项</t>
        </r>
      </text>
    </comment>
    <comment ref="C7" authorId="0">
      <text>
        <r>
          <rPr>
            <sz val="10"/>
            <rFont val="宋体"/>
            <charset val="134"/>
          </rPr>
          <t>chenjie:
如：“售油款”等</t>
        </r>
      </text>
    </comment>
    <comment ref="E7" authorId="1">
      <text>
        <r>
          <rPr>
            <sz val="10"/>
            <rFont val="宋体"/>
            <charset val="134"/>
          </rPr>
          <t>1年以内
1~2年
2~3年
3~4年
4~5年
5年以上</t>
        </r>
      </text>
    </comment>
    <comment ref="C8" authorId="0">
      <text>
        <r>
          <rPr>
            <sz val="10"/>
            <rFont val="宋体"/>
            <charset val="134"/>
          </rPr>
          <t>chenjie:
如：“售油款”等</t>
        </r>
      </text>
    </comment>
    <comment ref="E8" authorId="1">
      <text>
        <r>
          <rPr>
            <sz val="10"/>
            <rFont val="宋体"/>
            <charset val="134"/>
          </rPr>
          <t>1年以内
1~2年
2~3年
3~4年
4~5年
5年以上</t>
        </r>
      </text>
    </comment>
    <comment ref="E9" authorId="1">
      <text>
        <r>
          <rPr>
            <sz val="10"/>
            <rFont val="宋体"/>
            <charset val="134"/>
          </rPr>
          <t>1年以内
1~2年
2~3年
3~4年
4~5年
5年以上</t>
        </r>
      </text>
    </comment>
    <comment ref="E10" authorId="1">
      <text>
        <r>
          <rPr>
            <sz val="10"/>
            <rFont val="宋体"/>
            <charset val="134"/>
          </rPr>
          <t>1年以内
1~2年
2~3年
3~4年
4~5年
5年以上</t>
        </r>
      </text>
    </comment>
    <comment ref="E11" authorId="1">
      <text>
        <r>
          <rPr>
            <sz val="10"/>
            <rFont val="宋体"/>
            <charset val="134"/>
          </rPr>
          <t>1年以内
1~2年
2~3年
3~4年
4~5年
5年以上</t>
        </r>
      </text>
    </comment>
    <comment ref="E12" authorId="1">
      <text>
        <r>
          <rPr>
            <sz val="10"/>
            <rFont val="宋体"/>
            <charset val="134"/>
          </rPr>
          <t>1年以内
1~2年
2~3年
3~4年
4~5年
5年以上</t>
        </r>
      </text>
    </comment>
    <comment ref="C16" authorId="0">
      <text>
        <r>
          <rPr>
            <sz val="10"/>
            <rFont val="宋体"/>
            <charset val="134"/>
          </rPr>
          <t>chenjie:
如：“售油款”等</t>
        </r>
      </text>
    </comment>
  </commentList>
</comments>
</file>

<file path=xl/comments8.xml><?xml version="1.0" encoding="utf-8"?>
<comments xmlns="http://schemas.openxmlformats.org/spreadsheetml/2006/main">
  <authors>
    <author>chenjie</author>
    <author>seaman</author>
  </authors>
  <commentList>
    <comment ref="B6" authorId="0">
      <text>
        <r>
          <rPr>
            <sz val="10"/>
            <rFont val="宋体"/>
            <charset val="134"/>
          </rPr>
          <t>chenjie:
该栏应填列全称，不应以地名或不明确的简称或业务内容代替</t>
        </r>
      </text>
    </comment>
    <comment ref="C6" authorId="0">
      <text>
        <r>
          <rPr>
            <sz val="10"/>
            <rFont val="宋体"/>
            <charset val="134"/>
          </rPr>
          <t>chenjie:
如：“售油款”等</t>
        </r>
      </text>
    </comment>
    <comment ref="D6" authorId="0">
      <text>
        <r>
          <rPr>
            <sz val="10"/>
            <rFont val="宋体"/>
            <charset val="134"/>
          </rPr>
          <t>chenjie:
填列最后一笔借方发生额的日期；
日期填写形式(半角状态下)如：2002/6/30又如2001/11/30</t>
        </r>
      </text>
    </comment>
    <comment ref="E6" authorId="1">
      <text>
        <r>
          <rPr>
            <sz val="10"/>
            <rFont val="宋体"/>
            <charset val="134"/>
          </rPr>
          <t>1年以内
1~2年
2~3年
3~4年
4~5年
5年以上</t>
        </r>
      </text>
    </comment>
    <comment ref="K6" authorId="0">
      <text>
        <r>
          <rPr>
            <sz val="10"/>
            <rFont val="宋体"/>
            <charset val="134"/>
          </rPr>
          <t>chenjie:
1）欠款单位为关联方、总公司内部或内部单位的，应在备注栏注明“关联方”、“总公司内部”“内部单位”；2） 涉诉款项应在备注中标明；3）评估基准日后已收到货物或收回款项的，应注明日期及金额，如“2002.7.4日收回2000元”或2002.7.8日到货验收；4）其他填表单位认为应说明的事项</t>
        </r>
      </text>
    </comment>
  </commentList>
</comments>
</file>

<file path=xl/comments9.xml><?xml version="1.0" encoding="utf-8"?>
<comments xmlns="http://schemas.openxmlformats.org/spreadsheetml/2006/main">
  <authors>
    <author>chenjie</author>
  </authors>
  <commentList>
    <comment ref="B6" authorId="0">
      <text>
        <r>
          <rPr>
            <sz val="10"/>
            <rFont val="宋体"/>
            <charset val="134"/>
          </rPr>
          <t>chenjie:
填全称</t>
        </r>
      </text>
    </comment>
    <comment ref="C6" authorId="0">
      <text>
        <r>
          <rPr>
            <sz val="10"/>
            <rFont val="宋体"/>
            <charset val="134"/>
          </rPr>
          <t>chenjie:
发生日期指利息结算日，填列到日。</t>
        </r>
      </text>
    </comment>
    <comment ref="E6" authorId="0">
      <text>
        <r>
          <rPr>
            <sz val="10"/>
            <rFont val="宋体"/>
            <charset val="134"/>
          </rPr>
          <t>chenjie:
填列到“日”，如“2001.6.1—2001.12.30”。</t>
        </r>
      </text>
    </comment>
  </commentList>
</comments>
</file>

<file path=xl/comments10.xml><?xml version="1.0" encoding="utf-8"?>
<comments xmlns="http://schemas.openxmlformats.org/spreadsheetml/2006/main">
  <authors>
    <author>chenjie</author>
  </authors>
  <commentList>
    <comment ref="C6" authorId="0">
      <text>
        <r>
          <rPr>
            <sz val="10"/>
            <rFont val="宋体"/>
            <charset val="134"/>
          </rPr>
          <t>chenjie:
指的是利润或股利分配时间</t>
        </r>
      </text>
    </comment>
    <comment ref="D6" authorId="0">
      <text>
        <r>
          <rPr>
            <sz val="10"/>
            <rFont val="宋体"/>
            <charset val="134"/>
          </rPr>
          <t>chenjie:
指股利发生的期间，如2002年应收2001年的股利，则该栏目填写“2001年”。</t>
        </r>
      </text>
    </comment>
    <comment ref="J6" authorId="0">
      <text>
        <r>
          <rPr>
            <sz val="10"/>
            <rFont val="宋体"/>
            <charset val="134"/>
          </rPr>
          <t>chenjie:
注明实际的股权比例</t>
        </r>
      </text>
    </comment>
  </commentList>
</comments>
</file>

<file path=xl/comments11.xml><?xml version="1.0" encoding="utf-8"?>
<comments xmlns="http://schemas.openxmlformats.org/spreadsheetml/2006/main">
  <authors>
    <author>chenjie</author>
    <author>seaman</author>
  </authors>
  <commentList>
    <comment ref="B6" authorId="0">
      <text>
        <r>
          <rPr>
            <sz val="10"/>
            <rFont val="宋体"/>
            <charset val="134"/>
          </rPr>
          <t>chenjie:
债务单位名称应填列全称，不应以地名或不明确的简称或业务内容代替</t>
        </r>
      </text>
    </comment>
    <comment ref="C6" authorId="0">
      <text>
        <r>
          <rPr>
            <sz val="10"/>
            <rFont val="宋体"/>
            <charset val="134"/>
          </rPr>
          <t>chenjie:
如：“售油款”等</t>
        </r>
      </text>
    </comment>
    <comment ref="D6" authorId="0">
      <text>
        <r>
          <rPr>
            <sz val="10"/>
            <rFont val="宋体"/>
            <charset val="134"/>
          </rPr>
          <t>chenjie:
填列最后一笔借方发生额的日期；
日期填写形式(半角状态下)如：2002/6/30又如2001/11/30</t>
        </r>
      </text>
    </comment>
    <comment ref="E6" authorId="1">
      <text>
        <r>
          <rPr>
            <sz val="10"/>
            <rFont val="宋体"/>
            <charset val="134"/>
          </rPr>
          <t>1年以内
1~2年
2~3年
3~4年
4~5年
5年以上</t>
        </r>
      </text>
    </comment>
    <comment ref="S6" authorId="0">
      <text>
        <r>
          <rPr>
            <sz val="10"/>
            <rFont val="宋体"/>
            <charset val="134"/>
          </rPr>
          <t>chenjie:
1）欠款单位为关联方、总公司内部或本公司内部单位的，应在备注栏注明“关联方”、“总公司内部”“内部单位”；2） 涉诉款项应在备注中标明；3）评估基准日后已收回款项的，应注明日期如“2002年7月4日收回”；4）其他填表单位认为应说明的事项</t>
        </r>
      </text>
    </comment>
    <comment ref="E7" authorId="1">
      <text>
        <r>
          <rPr>
            <sz val="10"/>
            <rFont val="宋体"/>
            <charset val="134"/>
          </rPr>
          <t>1年以内
1~2年
2~3年
3~4年
4~5年
5年以上</t>
        </r>
      </text>
    </comment>
    <comment ref="E8" authorId="1">
      <text>
        <r>
          <rPr>
            <sz val="10"/>
            <rFont val="宋体"/>
            <charset val="134"/>
          </rPr>
          <t>1年以内
1~2年
2~3年
3~4年
4~5年
5年以上</t>
        </r>
      </text>
    </comment>
    <comment ref="E9" authorId="1">
      <text>
        <r>
          <rPr>
            <sz val="10"/>
            <rFont val="宋体"/>
            <charset val="134"/>
          </rPr>
          <t>1年以内
1~2年
2~3年
3~4年
4~5年
5年以上</t>
        </r>
      </text>
    </comment>
    <comment ref="E10" authorId="1">
      <text>
        <r>
          <rPr>
            <sz val="10"/>
            <rFont val="宋体"/>
            <charset val="134"/>
          </rPr>
          <t>1年以内
1~2年
2~3年
3~4年
4~5年
5年以上</t>
        </r>
      </text>
    </comment>
    <comment ref="E11" authorId="1">
      <text>
        <r>
          <rPr>
            <sz val="10"/>
            <rFont val="宋体"/>
            <charset val="134"/>
          </rPr>
          <t>1年以内
1~2年
2~3年
3~4年
4~5年
5年以上</t>
        </r>
      </text>
    </comment>
    <comment ref="E12" authorId="1">
      <text>
        <r>
          <rPr>
            <sz val="10"/>
            <rFont val="宋体"/>
            <charset val="134"/>
          </rPr>
          <t>1年以内
1~2年
2~3年
3~4年
4~5年
5年以上</t>
        </r>
      </text>
    </comment>
    <comment ref="E13" authorId="1">
      <text>
        <r>
          <rPr>
            <sz val="10"/>
            <rFont val="宋体"/>
            <charset val="134"/>
          </rPr>
          <t>1年以内
1~2年
2~3年
3~4年
4~5年
5年以上</t>
        </r>
      </text>
    </comment>
  </commentList>
</comments>
</file>

<file path=xl/comments12.xml><?xml version="1.0" encoding="utf-8"?>
<comments xmlns="http://schemas.openxmlformats.org/spreadsheetml/2006/main">
  <authors>
    <author>chenjie</author>
  </authors>
  <commentList>
    <comment ref="O7" authorId="0">
      <text>
        <r>
          <rPr>
            <sz val="10"/>
            <rFont val="宋体"/>
            <charset val="134"/>
          </rPr>
          <t>chenjie:
(1)注1；(2)负数余额产生的原因。</t>
        </r>
      </text>
    </comment>
  </commentList>
</comments>
</file>

<file path=xl/comments13.xml><?xml version="1.0" encoding="utf-8"?>
<comments xmlns="http://schemas.openxmlformats.org/spreadsheetml/2006/main">
  <authors>
    <author>chenjie</author>
  </authors>
  <commentList>
    <comment ref="O7" authorId="0">
      <text>
        <r>
          <rPr>
            <sz val="10"/>
            <rFont val="宋体"/>
            <charset val="134"/>
          </rPr>
          <t>chenjie:
(1)注1；(2)负数余额产生的原因。</t>
        </r>
      </text>
    </comment>
  </commentList>
</comments>
</file>

<file path=xl/comments14.xml><?xml version="1.0" encoding="utf-8"?>
<comments xmlns="http://schemas.openxmlformats.org/spreadsheetml/2006/main">
  <authors>
    <author>chenjie</author>
  </authors>
  <commentList>
    <comment ref="O7" authorId="0">
      <text>
        <r>
          <rPr>
            <sz val="10"/>
            <rFont val="宋体"/>
            <charset val="134"/>
          </rPr>
          <t>chenjie:
(1)注1；(2)负数余额产生的原因。</t>
        </r>
      </text>
    </comment>
  </commentList>
</comments>
</file>

<file path=xl/comments15.xml><?xml version="1.0" encoding="utf-8"?>
<comments xmlns="http://schemas.openxmlformats.org/spreadsheetml/2006/main">
  <authors>
    <author>chenjie</author>
  </authors>
  <commentList>
    <comment ref="B6" authorId="0">
      <text>
        <r>
          <rPr>
            <sz val="10"/>
            <rFont val="宋体"/>
            <charset val="134"/>
          </rPr>
          <t>chenjie:
填入债券名称如：“3年期国库券”、“5年期电力基金债券”等</t>
        </r>
      </text>
    </comment>
    <comment ref="C6" authorId="0">
      <text>
        <r>
          <rPr>
            <sz val="10"/>
            <rFont val="宋体"/>
            <charset val="134"/>
          </rPr>
          <t>chenjie:
购买日</t>
        </r>
      </text>
    </comment>
    <comment ref="J6" authorId="0">
      <text>
        <r>
          <rPr>
            <sz val="10"/>
            <rFont val="宋体"/>
            <charset val="134"/>
          </rPr>
          <t>chenjie:
设定抵押的债券应标明</t>
        </r>
      </text>
    </comment>
  </commentList>
</comments>
</file>

<file path=xl/comments16.xml><?xml version="1.0" encoding="utf-8"?>
<comments xmlns="http://schemas.openxmlformats.org/spreadsheetml/2006/main">
  <authors>
    <author>chenjie</author>
  </authors>
  <commentList>
    <comment ref="B6" authorId="0">
      <text>
        <r>
          <rPr>
            <sz val="10"/>
            <rFont val="宋体"/>
            <charset val="134"/>
          </rPr>
          <t>chenjie:
根据具体资产内容填写</t>
        </r>
      </text>
    </comment>
    <comment ref="J6" authorId="0">
      <text>
        <r>
          <rPr>
            <sz val="10"/>
            <rFont val="宋体"/>
            <charset val="134"/>
          </rPr>
          <t>chenjie:
因特殊原因转入的资产，应在备注栏简要说明原因，有可能发生损失的项目，应提供相关文件资料</t>
        </r>
      </text>
    </comment>
  </commentList>
</comments>
</file>

<file path=xl/comments17.xml><?xml version="1.0" encoding="utf-8"?>
<comments xmlns="http://schemas.openxmlformats.org/spreadsheetml/2006/main">
  <authors>
    <author>chenjie</author>
  </authors>
  <commentList>
    <comment ref="B6" authorId="0">
      <text>
        <r>
          <rPr>
            <sz val="10"/>
            <rFont val="宋体"/>
            <charset val="134"/>
          </rPr>
          <t>chenjie:
填列全称</t>
        </r>
      </text>
    </comment>
    <comment ref="C6" authorId="0">
      <text>
        <r>
          <rPr>
            <sz val="10"/>
            <rFont val="宋体"/>
            <charset val="134"/>
          </rPr>
          <t>chenjie:
指国家股、法人股、流通股等</t>
        </r>
      </text>
    </comment>
    <comment ref="D6" authorId="0">
      <text>
        <r>
          <rPr>
            <sz val="10"/>
            <rFont val="宋体"/>
            <charset val="134"/>
          </rPr>
          <t>chenjie:
指购买日或以其他方式（如非货币性交易换入、以债权换入等）取得股权的协议转让日</t>
        </r>
      </text>
    </comment>
    <comment ref="E6" authorId="0">
      <text>
        <r>
          <rPr>
            <sz val="10"/>
            <rFont val="宋体"/>
            <charset val="134"/>
          </rPr>
          <t>chenjie:
与股权证一致</t>
        </r>
      </text>
    </comment>
    <comment ref="F6" authorId="0">
      <text>
        <r>
          <rPr>
            <sz val="10"/>
            <rFont val="宋体"/>
            <charset val="134"/>
          </rPr>
          <t>chenjie:
与股权证一致</t>
        </r>
      </text>
    </comment>
    <comment ref="G6" authorId="0">
      <text>
        <r>
          <rPr>
            <sz val="10"/>
            <rFont val="宋体"/>
            <charset val="134"/>
          </rPr>
          <t>chenjie:
指基准日收盘价</t>
        </r>
      </text>
    </comment>
  </commentList>
</comments>
</file>

<file path=xl/comments18.xml><?xml version="1.0" encoding="utf-8"?>
<comments xmlns="http://schemas.openxmlformats.org/spreadsheetml/2006/main">
  <authors>
    <author>chenjie</author>
  </authors>
  <commentList>
    <comment ref="B6" authorId="0">
      <text>
        <r>
          <rPr>
            <sz val="10"/>
            <rFont val="宋体"/>
            <charset val="134"/>
          </rPr>
          <t>chenjie:
填列全称</t>
        </r>
      </text>
    </comment>
    <comment ref="C6" authorId="0">
      <text>
        <r>
          <rPr>
            <sz val="10"/>
            <rFont val="宋体"/>
            <charset val="134"/>
          </rPr>
          <t>如：XXXXX基金</t>
        </r>
      </text>
    </comment>
    <comment ref="D6" authorId="0">
      <text>
        <r>
          <rPr>
            <sz val="10"/>
            <rFont val="宋体"/>
            <charset val="134"/>
          </rPr>
          <t>chenjie:
指购买日或以其他方式（如非货币性交易换入、以债权换入等）取得股权的协议转让日</t>
        </r>
      </text>
    </comment>
    <comment ref="E6" authorId="0">
      <text>
        <r>
          <rPr>
            <sz val="10"/>
            <rFont val="宋体"/>
            <charset val="134"/>
          </rPr>
          <t>chenjie:
与股权证一致</t>
        </r>
      </text>
    </comment>
    <comment ref="F6" authorId="0">
      <text>
        <r>
          <rPr>
            <sz val="10"/>
            <rFont val="宋体"/>
            <charset val="134"/>
          </rPr>
          <t>chenjie:
指基准日收盘价</t>
        </r>
      </text>
    </comment>
  </commentList>
</comments>
</file>

<file path=xl/comments19.xml><?xml version="1.0" encoding="utf-8"?>
<comments xmlns="http://schemas.openxmlformats.org/spreadsheetml/2006/main">
  <authors>
    <author>chenjie</author>
  </authors>
  <commentList>
    <comment ref="B6" authorId="0">
      <text>
        <r>
          <rPr>
            <sz val="10"/>
            <rFont val="宋体"/>
            <charset val="134"/>
          </rPr>
          <t>chenjie:
债务单位名称应填列全称，不应以地名或不明确的简称或业务内容代替</t>
        </r>
      </text>
    </comment>
    <comment ref="C6" authorId="0">
      <text>
        <r>
          <rPr>
            <sz val="10"/>
            <rFont val="宋体"/>
            <charset val="134"/>
          </rPr>
          <t>chenjie:
如：“租赁XXXXXX”等</t>
        </r>
      </text>
    </comment>
    <comment ref="D6" authorId="0">
      <text>
        <r>
          <rPr>
            <sz val="10"/>
            <rFont val="宋体"/>
            <charset val="134"/>
          </rPr>
          <t>chenjie:
填列最后一笔借方发生额的日期；
日期填写形式(半角状态下)如：2002-6又如2001-11</t>
        </r>
      </text>
    </comment>
    <comment ref="J6" authorId="0">
      <text>
        <r>
          <rPr>
            <sz val="10"/>
            <rFont val="宋体"/>
            <charset val="134"/>
          </rPr>
          <t>chenjie:
1）欠款单位为关联方、总公司内部或本公司内部单位的，应在备注栏注明“关联方”、“总公司内部”“内部单位”；2） 涉诉款项应在备注中标明；3）评估基准日后已收回款项的，应注明日期如“2002年7月4日收回”；4）其他填表单位认为应说明的事项</t>
        </r>
      </text>
    </comment>
  </commentList>
</comments>
</file>

<file path=xl/comments20.xml><?xml version="1.0" encoding="utf-8"?>
<comments xmlns="http://schemas.openxmlformats.org/spreadsheetml/2006/main">
  <authors>
    <author>chenjie</author>
  </authors>
  <commentList>
    <comment ref="B8" authorId="0">
      <text>
        <r>
          <rPr>
            <sz val="10"/>
            <rFont val="宋体"/>
            <charset val="134"/>
          </rPr>
          <t>chenjie:
填写房产证编号,无证不填</t>
        </r>
      </text>
    </comment>
    <comment ref="E8" authorId="0">
      <text>
        <r>
          <rPr>
            <sz val="10"/>
            <rFont val="宋体"/>
            <charset val="134"/>
          </rPr>
          <t>chenjie:
如：“砖混、钢混、框架、砖木、简易”等，各类型结构的定义参见填表说明。</t>
        </r>
      </text>
    </comment>
    <comment ref="F8" authorId="0">
      <text>
        <r>
          <rPr>
            <sz val="10"/>
            <rFont val="宋体"/>
            <charset val="134"/>
          </rPr>
          <t>chenjie:
指竣工日期</t>
        </r>
      </text>
    </comment>
    <comment ref="G8" authorId="0">
      <text>
        <r>
          <rPr>
            <sz val="10"/>
            <rFont val="宋体"/>
            <charset val="134"/>
          </rPr>
          <t>chenjie:
m2或m3</t>
        </r>
      </text>
    </comment>
    <comment ref="H8" authorId="0">
      <text>
        <r>
          <rPr>
            <sz val="10"/>
            <rFont val="宋体"/>
            <charset val="134"/>
          </rPr>
          <t>chenjie:
(1)一般应填写房产证所填写的建筑面积值，如无房屋证，应填写工程概预算书上的面积值，否则就需要重新丈量；(2)对因改扩建已改变了原有建筑面积的，应以基准日实际建筑面积填报，但必须在备注中加以说明。注意：在增加面积的同时，应增加帐面原值及净值，如果增加面积的相应价值未入帐，应同时在备注中注明未入帐部分的建筑面积。</t>
        </r>
      </text>
    </comment>
    <comment ref="U8" authorId="0">
      <text>
        <r>
          <rPr>
            <sz val="10"/>
            <rFont val="宋体"/>
            <charset val="134"/>
          </rPr>
          <t>chenjie:
备注中须说明的事项：(1)对因改扩建已改变了原有建筑面积的；(2)在增加面积的同时，其相应价值未入帐的，注明未入帐部分的建筑面积。(3)盘盈资产及非正常状态下的房屋，如：“危房、已拆除、待报废”等(4)负数余额；(5)房屋管理部门确定为“违章建筑”的。</t>
        </r>
      </text>
    </comment>
  </commentList>
</comments>
</file>

<file path=xl/comments21.xml><?xml version="1.0" encoding="utf-8"?>
<comments xmlns="http://schemas.openxmlformats.org/spreadsheetml/2006/main">
  <authors>
    <author>chenjie</author>
  </authors>
  <commentList>
    <comment ref="B8" authorId="0">
      <text>
        <r>
          <rPr>
            <sz val="10"/>
            <rFont val="宋体"/>
            <charset val="134"/>
          </rPr>
          <t>chenjie:
填写房产证编号,无证不填</t>
        </r>
      </text>
    </comment>
    <comment ref="E8" authorId="0">
      <text>
        <r>
          <rPr>
            <sz val="10"/>
            <rFont val="宋体"/>
            <charset val="134"/>
          </rPr>
          <t>chenjie:
如：“砖混、钢混、框架、砖木、简易”等，各类型结构的定义参见填表说明。</t>
        </r>
      </text>
    </comment>
    <comment ref="F8" authorId="0">
      <text>
        <r>
          <rPr>
            <sz val="10"/>
            <rFont val="宋体"/>
            <charset val="134"/>
          </rPr>
          <t>chenjie:
指竣工日期</t>
        </r>
      </text>
    </comment>
    <comment ref="G8" authorId="0">
      <text>
        <r>
          <rPr>
            <sz val="10"/>
            <rFont val="宋体"/>
            <charset val="134"/>
          </rPr>
          <t>chenjie:
m2或m3</t>
        </r>
      </text>
    </comment>
    <comment ref="H8" authorId="0">
      <text>
        <r>
          <rPr>
            <sz val="10"/>
            <rFont val="宋体"/>
            <charset val="134"/>
          </rPr>
          <t>chenjie:
(1)一般应填写房产证所填写的建筑面积值，如无房屋证，应填写工程概预算书上的面积值，否则就需要重新丈量；(2)对因改扩建已改变了原有建筑面积的，应以基准日实际建筑面积填报，但必须在备注中加以说明。注意：在增加面积的同时，应增加帐面原值及净值，如果增加面积的相应价值未入帐，应同时在备注中注明未入帐部分的建筑面积。</t>
        </r>
      </text>
    </comment>
    <comment ref="R8" authorId="0">
      <text>
        <r>
          <rPr>
            <sz val="10"/>
            <rFont val="宋体"/>
            <charset val="134"/>
          </rPr>
          <t>chenjie:
备注中须说明的事项：(1)对因改扩建已改变了原有建筑面积的；(2)在增加面积的同时，其相应价值未入帐的，注明未入帐部分的建筑面积。(3)盘盈资产及非正常状态下的房屋，如：“危房、已拆除、待报废”等(4)负数余额；(5)房屋管理部门确定为“违章建筑”的。</t>
        </r>
      </text>
    </comment>
  </commentList>
</comments>
</file>

<file path=xl/comments22.xml><?xml version="1.0" encoding="utf-8"?>
<comments xmlns="http://schemas.openxmlformats.org/spreadsheetml/2006/main">
  <authors>
    <author>chenjie</author>
  </authors>
  <commentList>
    <comment ref="B7" authorId="0">
      <text>
        <r>
          <rPr>
            <sz val="10"/>
            <rFont val="宋体"/>
            <charset val="134"/>
          </rPr>
          <t>chenjie:
土地使用权证书的编号</t>
        </r>
      </text>
    </comment>
    <comment ref="E7" authorId="0">
      <text>
        <r>
          <rPr>
            <sz val="10"/>
            <rFont val="宋体"/>
            <charset val="134"/>
          </rPr>
          <t>chenjie:
所填内容应与土地证记录相符</t>
        </r>
      </text>
    </comment>
    <comment ref="F7" authorId="0">
      <text>
        <r>
          <rPr>
            <sz val="10"/>
            <rFont val="宋体"/>
            <charset val="134"/>
          </rPr>
          <t>chenjie:
所填内容应与土地证记录相符</t>
        </r>
      </text>
    </comment>
    <comment ref="G7" authorId="0">
      <text>
        <r>
          <rPr>
            <sz val="10"/>
            <rFont val="宋体"/>
            <charset val="134"/>
          </rPr>
          <t>chenjie:
所填内容应与土地证记录相符</t>
        </r>
      </text>
    </comment>
    <comment ref="I7" authorId="0">
      <text>
        <r>
          <rPr>
            <sz val="10"/>
            <rFont val="宋体"/>
            <charset val="134"/>
          </rPr>
          <t>chenjie:
所填内容应与土地证记录相符</t>
        </r>
      </text>
    </comment>
  </commentList>
</comments>
</file>

<file path=xl/comments23.xml><?xml version="1.0" encoding="utf-8"?>
<comments xmlns="http://schemas.openxmlformats.org/spreadsheetml/2006/main">
  <authors>
    <author>chenjie</author>
  </authors>
  <commentList>
    <comment ref="B7" authorId="0">
      <text>
        <r>
          <rPr>
            <sz val="10"/>
            <rFont val="宋体"/>
            <charset val="134"/>
          </rPr>
          <t>chenjie:
土地使用权证书的编号</t>
        </r>
      </text>
    </comment>
    <comment ref="E7" authorId="0">
      <text>
        <r>
          <rPr>
            <sz val="10"/>
            <rFont val="宋体"/>
            <charset val="134"/>
          </rPr>
          <t>chenjie:
所填内容应与土地证记录相符</t>
        </r>
      </text>
    </comment>
    <comment ref="F7" authorId="0">
      <text>
        <r>
          <rPr>
            <sz val="10"/>
            <rFont val="宋体"/>
            <charset val="134"/>
          </rPr>
          <t>chenjie:
所填内容应与土地证记录相符</t>
        </r>
      </text>
    </comment>
    <comment ref="G7" authorId="0">
      <text>
        <r>
          <rPr>
            <sz val="10"/>
            <rFont val="宋体"/>
            <charset val="134"/>
          </rPr>
          <t>chenjie:
所填内容应与土地证记录相符</t>
        </r>
      </text>
    </comment>
    <comment ref="I7" authorId="0">
      <text>
        <r>
          <rPr>
            <sz val="10"/>
            <rFont val="宋体"/>
            <charset val="134"/>
          </rPr>
          <t>chenjie:
所填内容应与土地证记录相符</t>
        </r>
      </text>
    </comment>
  </commentList>
</comments>
</file>

<file path=xl/comments24.xml><?xml version="1.0" encoding="utf-8"?>
<comments xmlns="http://schemas.openxmlformats.org/spreadsheetml/2006/main">
  <authors>
    <author>chenjie</author>
  </authors>
  <commentList>
    <comment ref="B7" authorId="0">
      <text>
        <r>
          <rPr>
            <sz val="10"/>
            <rFont val="宋体"/>
            <charset val="134"/>
          </rPr>
          <t>chenjie:
填写房产证编号,无证不填</t>
        </r>
      </text>
    </comment>
    <comment ref="F7" authorId="0">
      <text>
        <r>
          <rPr>
            <sz val="10"/>
            <rFont val="宋体"/>
            <charset val="134"/>
          </rPr>
          <t>chenjie:
如：“砖混、钢混、框架、砖木、简易”等，各类型结构的定义参见填表说明。</t>
        </r>
      </text>
    </comment>
    <comment ref="Q7" authorId="0">
      <text>
        <r>
          <rPr>
            <sz val="10"/>
            <rFont val="宋体"/>
            <charset val="134"/>
          </rPr>
          <t>chenjie:
指竣工日期</t>
        </r>
      </text>
    </comment>
    <comment ref="R7" authorId="0">
      <text>
        <r>
          <rPr>
            <sz val="10"/>
            <rFont val="宋体"/>
            <charset val="134"/>
          </rPr>
          <t>chenjie:
m2或m3</t>
        </r>
      </text>
    </comment>
    <comment ref="S7" authorId="0">
      <text>
        <r>
          <rPr>
            <sz val="10"/>
            <rFont val="宋体"/>
            <charset val="134"/>
          </rPr>
          <t>chenjie:
(1)一般应填写房产证所填写的建筑面积值，如无房屋证，应填写工程概预算书上的面积值，否则就需要重新丈量；(2)对因改扩建已改变了原有建筑面积的，应以基准日实际建筑面积填报，但必须在备注中加以说明。注意：在增加面积的同时，应增加帐面原值及净值，如果增加面积的相应价值未入帐，应同时在备注中注明未入帐部分的建筑面积。</t>
        </r>
      </text>
    </comment>
    <comment ref="AF7" authorId="0">
      <text>
        <r>
          <rPr>
            <sz val="10"/>
            <rFont val="宋体"/>
            <charset val="134"/>
          </rPr>
          <t>chenjie:
备注中须说明的事项：(1)对因改扩建已改变了原有建筑面积的；(2)在增加面积的同时，其相应价值未入帐的，注明未入帐部分的建筑面积。(3)盘盈资产及非正常状态下的房屋，如：“危房、已拆除、待报废”等(4)负数余额；(5)房屋管理部门确定为“违章建筑”的。</t>
        </r>
      </text>
    </comment>
  </commentList>
</comments>
</file>

<file path=xl/comments25.xml><?xml version="1.0" encoding="utf-8"?>
<comments xmlns="http://schemas.openxmlformats.org/spreadsheetml/2006/main">
  <authors>
    <author>chenjie</author>
  </authors>
  <commentList>
    <comment ref="B7" authorId="0">
      <text>
        <r>
          <rPr>
            <sz val="10"/>
            <rFont val="宋体"/>
            <charset val="134"/>
          </rPr>
          <t>chenjie:
填写构筑物或其他辅助设施的全称</t>
        </r>
      </text>
    </comment>
    <comment ref="C7" authorId="0">
      <text>
        <r>
          <rPr>
            <sz val="10"/>
            <rFont val="宋体"/>
            <charset val="134"/>
          </rPr>
          <t>chenjie:
如“砖、钢筋砼、钢结构、砖铁栏杆、砼面、沥青面、砖面”等，详见填表说明</t>
        </r>
      </text>
    </comment>
    <comment ref="E7" authorId="0">
      <text>
        <r>
          <rPr>
            <sz val="10"/>
            <rFont val="宋体"/>
            <charset val="134"/>
          </rPr>
          <t>chenjie:
指竣工验收日 请准确至月</t>
        </r>
      </text>
    </comment>
    <comment ref="F7" authorId="0">
      <text>
        <r>
          <rPr>
            <sz val="10"/>
            <rFont val="宋体"/>
            <charset val="134"/>
          </rPr>
          <t>chenjie:
座、口（井）、m、个等，详见填表说明</t>
        </r>
      </text>
    </comment>
    <comment ref="I7" authorId="0">
      <text>
        <r>
          <rPr>
            <sz val="10"/>
            <rFont val="宋体"/>
            <charset val="134"/>
          </rPr>
          <t>chenjie:
长度、宽度和建筑面积应按图纸准确填写</t>
        </r>
      </text>
    </comment>
    <comment ref="U7" authorId="0">
      <text>
        <r>
          <rPr>
            <sz val="10"/>
            <rFont val="宋体"/>
            <charset val="134"/>
          </rPr>
          <t>chenjie:
备注中须说明的事项：(1)对因改扩建已改变了原有建筑面积的；(2)改扩建增加的相应价值未入帐的，注明未入帐部分的建筑面积。(3)盘盈资产及非正常状态下的资产，如：“已拆除、待报废”等(5)负数余额</t>
        </r>
      </text>
    </comment>
  </commentList>
</comments>
</file>

<file path=xl/comments26.xml><?xml version="1.0" encoding="utf-8"?>
<comments xmlns="http://schemas.openxmlformats.org/spreadsheetml/2006/main">
  <authors>
    <author>微软用户</author>
  </authors>
  <commentList>
    <comment ref="D5" authorId="0">
      <text>
        <r>
          <rPr>
            <sz val="10"/>
            <rFont val="宋体"/>
            <charset val="134"/>
          </rPr>
          <t>微软用户:
请将二期工程分为主副井施工区（主副施）及风井施工区（风施）并重新核实一下一期中的各项目是否为井筒期的项目、重新核实一下三期（采区）各项目是否为该期项目</t>
        </r>
      </text>
    </comment>
    <comment ref="F5" authorId="0">
      <text>
        <r>
          <rPr>
            <sz val="10"/>
            <rFont val="宋体"/>
            <charset val="134"/>
          </rPr>
          <t>微软用户:
标高即是井筒、巷道、硐室的底距地面的斜长（米）即该等项目服务于那个煤层，请重新补充填写一下。</t>
        </r>
      </text>
    </comment>
    <comment ref="S5" authorId="0">
      <text>
        <r>
          <rPr>
            <sz val="10"/>
            <rFont val="宋体"/>
            <charset val="134"/>
          </rPr>
          <t>微软用户:
请重新核实井筒、硐室及巷道中涉及到铺轨的项目，并将铺轨的巷道重新补充。</t>
        </r>
      </text>
    </comment>
  </commentList>
</comments>
</file>

<file path=xl/comments27.xml><?xml version="1.0" encoding="utf-8"?>
<comments xmlns="http://schemas.openxmlformats.org/spreadsheetml/2006/main">
  <authors>
    <author>chenjie</author>
  </authors>
  <commentList>
    <comment ref="B7" authorId="0">
      <text>
        <r>
          <rPr>
            <sz val="10"/>
            <rFont val="宋体"/>
            <charset val="134"/>
          </rPr>
          <t>chenjie:
填写管道和沟槽的全称</t>
        </r>
      </text>
    </comment>
    <comment ref="F7" authorId="0">
      <text>
        <r>
          <rPr>
            <sz val="10"/>
            <rFont val="宋体"/>
            <charset val="134"/>
          </rPr>
          <t>chenjie:
长度、槽深、沟宽*沟厚管径*壁厚、材质、绝缘方式等应按图纸准确填写</t>
        </r>
      </text>
    </comment>
    <comment ref="G7" authorId="0">
      <text>
        <r>
          <rPr>
            <sz val="10"/>
            <rFont val="宋体"/>
            <charset val="134"/>
          </rPr>
          <t>chenjie:
如”砖、砼、钢管、砼管”等</t>
        </r>
      </text>
    </comment>
    <comment ref="T7" authorId="0">
      <text>
        <r>
          <rPr>
            <sz val="10"/>
            <rFont val="宋体"/>
            <charset val="134"/>
          </rPr>
          <t>chenjie:
备注中须说明的事项：(1)对因改扩建已改变了原有记录的；(2)改扩建增加的相应价值未入帐的，注明未入帐部分的尺寸规格等。(3)盘盈资产及非正常状态下的资产，如：“已拆除、待报废”等(5)负数余额</t>
        </r>
      </text>
    </comment>
  </commentList>
</comments>
</file>

<file path=xl/comments28.xml><?xml version="1.0" encoding="utf-8"?>
<comments xmlns="http://schemas.openxmlformats.org/spreadsheetml/2006/main">
  <authors>
    <author>sucheng</author>
    <author>chenjie</author>
  </authors>
  <commentList>
    <comment ref="B7" authorId="0">
      <text>
        <r>
          <rPr>
            <sz val="10"/>
            <rFont val="宋体"/>
            <charset val="134"/>
          </rPr>
          <t>sucheng:
企业资产管理所使用的编号</t>
        </r>
      </text>
    </comment>
    <comment ref="C7" authorId="1">
      <text>
        <r>
          <rPr>
            <sz val="10"/>
            <rFont val="宋体"/>
            <charset val="134"/>
          </rPr>
          <t>chenjie:
设备按单台（套）填列</t>
        </r>
      </text>
    </comment>
    <comment ref="F7" authorId="1">
      <text>
        <r>
          <rPr>
            <sz val="10"/>
            <rFont val="宋体"/>
            <charset val="134"/>
          </rPr>
          <t>chenjie:
按设备铭牌填写，不得以地名或经销商名称替代</t>
        </r>
      </text>
    </comment>
    <comment ref="G7" authorId="1">
      <text>
        <r>
          <rPr>
            <sz val="10"/>
            <rFont val="宋体"/>
            <charset val="134"/>
          </rPr>
          <t>chenjie:
台、件、套、个等</t>
        </r>
      </text>
    </comment>
    <comment ref="I7" authorId="1">
      <text>
        <r>
          <rPr>
            <sz val="10"/>
            <rFont val="宋体"/>
            <charset val="134"/>
          </rPr>
          <t>chenjie:
指购买设备日期，如为二手设备须填写原始购置日。日期填写形式(半角状态下)如：2002.6又如2001.11</t>
        </r>
      </text>
    </comment>
    <comment ref="J7" authorId="1">
      <text>
        <r>
          <rPr>
            <sz val="10"/>
            <rFont val="宋体"/>
            <charset val="134"/>
          </rPr>
          <t>chenjie:
设备投入使用的日期</t>
        </r>
      </text>
    </comment>
    <comment ref="U7" authorId="1">
      <text>
        <r>
          <rPr>
            <sz val="10"/>
            <rFont val="宋体"/>
            <charset val="134"/>
          </rPr>
          <t>chenjie:
应注明的事项：(1)盘盈(2)非正常资产，如“停用、不需用、待报废、淘汰、盘亏”等(3)仪器仪表、电梯、锅炉、压力容器等规定由有关部门定期鉴定的设备应注明“达标”或“未达标”(4)因折旧提超等原因造成负数余额的项目，应简述原因(5)其他</t>
        </r>
      </text>
    </comment>
  </commentList>
</comments>
</file>

<file path=xl/comments29.xml><?xml version="1.0" encoding="utf-8"?>
<comments xmlns="http://schemas.openxmlformats.org/spreadsheetml/2006/main">
  <authors>
    <author>chenjie</author>
  </authors>
  <commentList>
    <comment ref="U7" authorId="0">
      <text>
        <r>
          <rPr>
            <sz val="10"/>
            <rFont val="宋体"/>
            <charset val="134"/>
          </rPr>
          <t>chenjie:
(1)对待报废、盘亏、帐外等运输车辆应在备注栏标明；(2)因折旧提超等原因造成负数余额的项目，应简述原因（3）其他</t>
        </r>
      </text>
    </comment>
  </commentList>
</comments>
</file>

<file path=xl/comments30.xml><?xml version="1.0" encoding="utf-8"?>
<comments xmlns="http://schemas.openxmlformats.org/spreadsheetml/2006/main">
  <authors>
    <author>sucheng</author>
    <author>chenjie</author>
  </authors>
  <commentList>
    <comment ref="B7" authorId="0">
      <text>
        <r>
          <rPr>
            <sz val="10"/>
            <rFont val="宋体"/>
            <charset val="134"/>
          </rPr>
          <t>sucheng:
企业资产管理所使用的编号</t>
        </r>
      </text>
    </comment>
    <comment ref="D7" authorId="1">
      <text>
        <r>
          <rPr>
            <sz val="10"/>
            <rFont val="宋体"/>
            <charset val="134"/>
          </rPr>
          <t>chenjie:
设备按单台（套）填列</t>
        </r>
      </text>
    </comment>
    <comment ref="G7" authorId="1">
      <text>
        <r>
          <rPr>
            <sz val="10"/>
            <rFont val="宋体"/>
            <charset val="134"/>
          </rPr>
          <t>chenjie:
按设备铭牌填写，不得以地名或经销商名称替代</t>
        </r>
      </text>
    </comment>
    <comment ref="J7" authorId="1">
      <text>
        <r>
          <rPr>
            <sz val="10"/>
            <rFont val="宋体"/>
            <charset val="134"/>
          </rPr>
          <t>chenjie:
指购买设备日期，如为二手设备须填写原始购置日。日期填写形式(半角状态下)如：2002.6又如2001.11</t>
        </r>
      </text>
    </comment>
    <comment ref="K7" authorId="1">
      <text>
        <r>
          <rPr>
            <sz val="10"/>
            <rFont val="宋体"/>
            <charset val="134"/>
          </rPr>
          <t>chenjie:
设备投入使用的日期</t>
        </r>
      </text>
    </comment>
    <comment ref="V7" authorId="1">
      <text>
        <r>
          <rPr>
            <sz val="10"/>
            <rFont val="宋体"/>
            <charset val="134"/>
          </rPr>
          <t>chenjie:
应注明的事项：(1)盘盈(2)非正常资产，如“停用、不需用、待报废、淘汰、盘亏”等(3)仪器仪表、电梯、锅炉、压力容器等规定由有关部门定期鉴定的设备应注明“达标”或“未达标”(4)因折旧提超等原因造成负数余额的项目，应简述原因(5)其他</t>
        </r>
      </text>
    </comment>
    <comment ref="G8" authorId="1">
      <text>
        <r>
          <rPr>
            <sz val="10"/>
            <rFont val="宋体"/>
            <charset val="134"/>
          </rPr>
          <t>chenjie:
按设备铭牌填写，不得以地名或经销商名称替代</t>
        </r>
      </text>
    </comment>
    <comment ref="G9" authorId="1">
      <text>
        <r>
          <rPr>
            <sz val="10"/>
            <rFont val="宋体"/>
            <charset val="134"/>
          </rPr>
          <t>chenjie:
按设备铭牌填写，不得以地名或经销商名称替代</t>
        </r>
      </text>
    </comment>
  </commentList>
</comments>
</file>

<file path=xl/comments31.xml><?xml version="1.0" encoding="utf-8"?>
<comments xmlns="http://schemas.openxmlformats.org/spreadsheetml/2006/main">
  <authors>
    <author>chenjie</author>
  </authors>
  <commentList>
    <comment ref="B7" authorId="0">
      <text>
        <r>
          <rPr>
            <sz val="10"/>
            <rFont val="宋体"/>
            <charset val="134"/>
          </rPr>
          <t>chenjie:
土地使用权证书的编号</t>
        </r>
      </text>
    </comment>
    <comment ref="D7" authorId="0">
      <text>
        <r>
          <rPr>
            <sz val="10"/>
            <rFont val="宋体"/>
            <charset val="134"/>
          </rPr>
          <t>chenjie:
所填内容应与土地证记录相符</t>
        </r>
      </text>
    </comment>
    <comment ref="E7" authorId="0">
      <text>
        <r>
          <rPr>
            <sz val="10"/>
            <rFont val="宋体"/>
            <charset val="134"/>
          </rPr>
          <t>chenjie:
所填内容应与土地证记录相符</t>
        </r>
      </text>
    </comment>
    <comment ref="F7" authorId="0">
      <text>
        <r>
          <rPr>
            <sz val="10"/>
            <rFont val="宋体"/>
            <charset val="134"/>
          </rPr>
          <t>chenjie:
所填内容应与土地证记录相符</t>
        </r>
      </text>
    </comment>
    <comment ref="G7" authorId="0">
      <text>
        <r>
          <rPr>
            <sz val="10"/>
            <rFont val="宋体"/>
            <charset val="134"/>
          </rPr>
          <t>chenjie:
所填内容应与土地证记录相符</t>
        </r>
      </text>
    </comment>
  </commentList>
</comments>
</file>

<file path=xl/comments32.xml><?xml version="1.0" encoding="utf-8"?>
<comments xmlns="http://schemas.openxmlformats.org/spreadsheetml/2006/main">
  <authors>
    <author>chenjie</author>
  </authors>
  <commentList>
    <comment ref="G6" authorId="0">
      <text>
        <r>
          <rPr>
            <sz val="10"/>
            <rFont val="宋体"/>
            <charset val="134"/>
          </rPr>
          <t>chenjie:
形象进度可以按工程施工进度的四个阶段考虑。（做完前期工程为一个阶段；动工已有一定时间为第二阶段；完成主体工程为第三阶段；由此到竣工为第四阶段。）</t>
        </r>
      </text>
    </comment>
    <comment ref="H6" authorId="0">
      <text>
        <r>
          <rPr>
            <sz val="10"/>
            <rFont val="宋体"/>
            <charset val="134"/>
          </rPr>
          <t>chenjie:
指财务实际付款与合同总价款之比</t>
        </r>
      </text>
    </comment>
    <comment ref="O6" authorId="0">
      <text>
        <r>
          <rPr>
            <sz val="10"/>
            <rFont val="宋体"/>
            <charset val="134"/>
          </rPr>
          <t>chenjie:
处于非正常状态的在建工程项目应在备注栏标注在建工程的施工状况，如：“停建1年、季节性停建”等</t>
        </r>
      </text>
    </comment>
  </commentList>
</comments>
</file>

<file path=xl/comments33.xml><?xml version="1.0" encoding="utf-8"?>
<comments xmlns="http://schemas.openxmlformats.org/spreadsheetml/2006/main">
  <authors>
    <author>chenjie</author>
  </authors>
  <commentList>
    <comment ref="B7" authorId="0">
      <text>
        <r>
          <rPr>
            <sz val="10"/>
            <rFont val="宋体"/>
            <charset val="134"/>
          </rPr>
          <t>chenjie:
请按照工程项目整理填列本表，不应按照财务入账时间顺序填列。</t>
        </r>
      </text>
    </comment>
    <comment ref="W7" authorId="0">
      <text>
        <r>
          <rPr>
            <sz val="10"/>
            <rFont val="宋体"/>
            <charset val="134"/>
          </rPr>
          <t>chenjie:
处于非正常状态的在建工程项目应在备注栏标注在建工程的施工状况，如：“停建1年、季节性停建”等</t>
        </r>
      </text>
    </comment>
  </commentList>
</comments>
</file>

<file path=xl/comments34.xml><?xml version="1.0" encoding="utf-8"?>
<comments xmlns="http://schemas.openxmlformats.org/spreadsheetml/2006/main">
  <authors>
    <author>chenjie</author>
  </authors>
  <commentList>
    <comment ref="B6" authorId="0">
      <text>
        <r>
          <rPr>
            <sz val="10"/>
            <rFont val="宋体"/>
            <charset val="134"/>
          </rPr>
          <t>chenjie:
填列转入固定资产实物名称及规格型号，如“报废油罐汽车HQG5吨1辆”、“出售CA6140.2M普通车床1台”等</t>
        </r>
      </text>
    </comment>
    <comment ref="C6" authorId="0">
      <text>
        <r>
          <rPr>
            <sz val="10"/>
            <rFont val="宋体"/>
            <charset val="134"/>
          </rPr>
          <t>chenjie:
发生日期为转入时间</t>
        </r>
      </text>
    </comment>
  </commentList>
</comments>
</file>

<file path=xl/comments35.xml><?xml version="1.0" encoding="utf-8"?>
<comments xmlns="http://schemas.openxmlformats.org/spreadsheetml/2006/main">
  <authors>
    <author>chenjie</author>
  </authors>
  <commentList>
    <comment ref="R7" authorId="0">
      <text>
        <r>
          <rPr>
            <sz val="10"/>
            <rFont val="宋体"/>
            <charset val="134"/>
          </rPr>
          <t>chenjie:
应注明的事项：(1)盘盈(2)非正常资产，如“停用、不需用、待报废、淘汰、盘亏”等(3)仪器仪表、电梯、锅炉、压力容器等规定由有关部门定期鉴定的设备应注明“达标”或“未达标”(4)因折旧提超等原因造成负数余额的项目，应简述原因(5)其他</t>
        </r>
      </text>
    </comment>
  </commentList>
</comments>
</file>

<file path=xl/comments36.xml><?xml version="1.0" encoding="utf-8"?>
<comments xmlns="http://schemas.openxmlformats.org/spreadsheetml/2006/main">
  <authors>
    <author>chenjie</author>
  </authors>
  <commentList>
    <comment ref="S7" authorId="0">
      <text>
        <r>
          <rPr>
            <sz val="10"/>
            <rFont val="宋体"/>
            <charset val="134"/>
          </rPr>
          <t>chenjie:
应注明的事项：(1)盘盈(2)非正常资产，如“停用、不需用、待报废、淘汰、盘亏”等(3)仪器仪表、电梯、锅炉、压力容器等规定由有关部门定期鉴定的设备应注明“达标”或“未达标”(4)因折旧提超等原因造成负数余额的项目，应简述原因(5)其他</t>
        </r>
      </text>
    </comment>
  </commentList>
</comments>
</file>

<file path=xl/comments37.xml><?xml version="1.0" encoding="utf-8"?>
<comments xmlns="http://schemas.openxmlformats.org/spreadsheetml/2006/main">
  <authors>
    <author>chenjie</author>
  </authors>
  <commentList>
    <comment ref="B6" authorId="0">
      <text>
        <r>
          <rPr>
            <sz val="10"/>
            <rFont val="宋体"/>
            <charset val="134"/>
          </rPr>
          <t>chenjie:
指摊销期在1年以上的各种费用。如“××租入资产改良款”、“××资产大修费用“等。若填表单位开办费在本科目核算，则除按要求填写本表外，应参照开办费清查评估明细表的要求在备注栏注明费用包括的计提内容和相应金额，或附专项说明亦可。</t>
        </r>
      </text>
    </comment>
    <comment ref="D6" authorId="0">
      <text>
        <r>
          <rPr>
            <sz val="10"/>
            <rFont val="宋体"/>
            <charset val="134"/>
          </rPr>
          <t>chenjie:
指开始摊销前的金额。</t>
        </r>
      </text>
    </comment>
  </commentList>
</comments>
</file>

<file path=xl/comments38.xml><?xml version="1.0" encoding="utf-8"?>
<comments xmlns="http://schemas.openxmlformats.org/spreadsheetml/2006/main">
  <authors>
    <author>chenjie</author>
  </authors>
  <commentList>
    <comment ref="B6" authorId="0">
      <text>
        <r>
          <rPr>
            <sz val="10"/>
            <rFont val="宋体"/>
            <charset val="134"/>
          </rPr>
          <t>chenjie:
土地使用权证书的编号</t>
        </r>
      </text>
    </comment>
    <comment ref="D6" authorId="0">
      <text>
        <r>
          <rPr>
            <sz val="10"/>
            <rFont val="宋体"/>
            <charset val="134"/>
          </rPr>
          <t>chenjie:
所填内容应与土地证记录相符</t>
        </r>
      </text>
    </comment>
    <comment ref="E6" authorId="0">
      <text>
        <r>
          <rPr>
            <sz val="10"/>
            <rFont val="宋体"/>
            <charset val="134"/>
          </rPr>
          <t>chenjie:
所填内容应与土地证记录相符</t>
        </r>
      </text>
    </comment>
    <comment ref="F6" authorId="0">
      <text>
        <r>
          <rPr>
            <sz val="10"/>
            <rFont val="宋体"/>
            <charset val="134"/>
          </rPr>
          <t>chenjie:
所填内容应与土地证记录相符</t>
        </r>
      </text>
    </comment>
    <comment ref="G6" authorId="0">
      <text>
        <r>
          <rPr>
            <sz val="10"/>
            <rFont val="宋体"/>
            <charset val="134"/>
          </rPr>
          <t>chenjie:
所填内容应与土地证记录相符</t>
        </r>
      </text>
    </comment>
  </commentList>
</comments>
</file>

<file path=xl/comments39.xml><?xml version="1.0" encoding="utf-8"?>
<comments xmlns="http://schemas.openxmlformats.org/spreadsheetml/2006/main">
  <authors>
    <author>chenjie</author>
  </authors>
  <commentList>
    <comment ref="C6" authorId="0">
      <text>
        <r>
          <rPr>
            <sz val="10"/>
            <rFont val="宋体"/>
            <charset val="134"/>
          </rPr>
          <t>chenjie:
土地使用权证书的编号</t>
        </r>
      </text>
    </comment>
    <comment ref="E6" authorId="0">
      <text>
        <r>
          <rPr>
            <sz val="10"/>
            <rFont val="宋体"/>
            <charset val="134"/>
          </rPr>
          <t>chenjie:
所填内容应与土地证记录相符</t>
        </r>
      </text>
    </comment>
    <comment ref="F6" authorId="0">
      <text>
        <r>
          <rPr>
            <sz val="10"/>
            <rFont val="宋体"/>
            <charset val="134"/>
          </rPr>
          <t>chenjie:
所填内容应与土地证记录相符</t>
        </r>
      </text>
    </comment>
  </commentList>
</comments>
</file>

<file path=xl/comments40.xml><?xml version="1.0" encoding="utf-8"?>
<comments xmlns="http://schemas.openxmlformats.org/spreadsheetml/2006/main">
  <authors>
    <author>chenjie</author>
  </authors>
  <commentList>
    <comment ref="B6" authorId="0">
      <text>
        <r>
          <rPr>
            <sz val="10"/>
            <rFont val="宋体"/>
            <charset val="134"/>
          </rPr>
          <t>chenjie:
如：“××专利权”、“××软件”等</t>
        </r>
      </text>
    </comment>
    <comment ref="J6" authorId="0">
      <text>
        <r>
          <rPr>
            <sz val="10"/>
            <rFont val="宋体"/>
            <charset val="134"/>
          </rPr>
          <t>chenjie:
企业实际拥有但基准日未入帐的不应填入本表</t>
        </r>
      </text>
    </comment>
  </commentList>
</comments>
</file>

<file path=xl/comments41.xml><?xml version="1.0" encoding="utf-8"?>
<comments xmlns="http://schemas.openxmlformats.org/spreadsheetml/2006/main">
  <authors>
    <author>chenjie</author>
  </authors>
  <commentList>
    <comment ref="B6" authorId="0">
      <text>
        <r>
          <rPr>
            <sz val="10"/>
            <rFont val="宋体"/>
            <charset val="134"/>
          </rPr>
          <t>chenjie:
如：“××专利权”、“××软件”等</t>
        </r>
      </text>
    </comment>
    <comment ref="J6" authorId="0">
      <text>
        <r>
          <rPr>
            <sz val="10"/>
            <rFont val="宋体"/>
            <charset val="134"/>
          </rPr>
          <t>chenjie:
企业实际拥有但基准日未入帐的不应填入本表</t>
        </r>
      </text>
    </comment>
  </commentList>
</comments>
</file>

<file path=xl/comments42.xml><?xml version="1.0" encoding="utf-8"?>
<comments xmlns="http://schemas.openxmlformats.org/spreadsheetml/2006/main">
  <authors>
    <author>chenjie</author>
  </authors>
  <commentList>
    <comment ref="B6" authorId="0">
      <text>
        <r>
          <rPr>
            <sz val="10"/>
            <rFont val="宋体"/>
            <charset val="134"/>
          </rPr>
          <t>chenjie:
指摊销期在1年以上的各种费用。如“××租入资产改良款”、“××资产大修费用“等。若填表单位开办费在本科目核算，则除按要求填写本表外，应参照开办费清查评估明细表的要求在备注栏注明费用包括的计提内容和相应金额，或附专项说明亦可。</t>
        </r>
      </text>
    </comment>
    <comment ref="D6" authorId="0">
      <text>
        <r>
          <rPr>
            <sz val="10"/>
            <rFont val="宋体"/>
            <charset val="134"/>
          </rPr>
          <t>chenjie:
指开始摊销前的金额。</t>
        </r>
      </text>
    </comment>
  </commentList>
</comments>
</file>

<file path=xl/comments43.xml><?xml version="1.0" encoding="utf-8"?>
<comments xmlns="http://schemas.openxmlformats.org/spreadsheetml/2006/main">
  <authors>
    <author>chenjie</author>
  </authors>
  <commentList>
    <comment ref="I6" authorId="0">
      <text>
        <r>
          <rPr>
            <sz val="10"/>
            <rFont val="宋体"/>
            <charset val="134"/>
          </rPr>
          <t>chenjie:
金额较大的项目，在备注栏注明其内容或附说明该项资产的内容和价值构成的专项说明。</t>
        </r>
      </text>
    </comment>
  </commentList>
</comments>
</file>

<file path=xl/comments44.xml><?xml version="1.0" encoding="utf-8"?>
<comments xmlns="http://schemas.openxmlformats.org/spreadsheetml/2006/main">
  <authors>
    <author>chenjie</author>
  </authors>
  <commentList>
    <comment ref="B6" authorId="0">
      <text>
        <r>
          <rPr>
            <sz val="10"/>
            <rFont val="宋体"/>
            <charset val="134"/>
          </rPr>
          <t>chenjie:
填全称</t>
        </r>
      </text>
    </comment>
    <comment ref="C6" authorId="0">
      <text>
        <r>
          <rPr>
            <sz val="10"/>
            <rFont val="宋体"/>
            <charset val="134"/>
          </rPr>
          <t>chenjie:
指借款合同规定的借款启始日，填列到日</t>
        </r>
      </text>
    </comment>
    <comment ref="D6" authorId="0">
      <text>
        <r>
          <rPr>
            <sz val="10"/>
            <rFont val="宋体"/>
            <charset val="134"/>
          </rPr>
          <t>chenjie:
与借款合同规定到期日应一致</t>
        </r>
      </text>
    </comment>
    <comment ref="E6" authorId="0">
      <text>
        <r>
          <rPr>
            <sz val="10"/>
            <rFont val="宋体"/>
            <charset val="134"/>
          </rPr>
          <t>chenjie:
与借款合同规定利率应一致</t>
        </r>
      </text>
    </comment>
    <comment ref="M6" authorId="0">
      <text>
        <r>
          <rPr>
            <sz val="10"/>
            <rFont val="宋体"/>
            <charset val="134"/>
          </rPr>
          <t>chenjie:
标明（或附专项说明）借款的用途、担保条件（信用担保、资产抵押或质押等）、借款利息计提及支付情况（请准确说明利息计提、支付到哪一天）。</t>
        </r>
      </text>
    </comment>
  </commentList>
</comments>
</file>

<file path=xl/comments45.xml><?xml version="1.0" encoding="utf-8"?>
<comments xmlns="http://schemas.openxmlformats.org/spreadsheetml/2006/main">
  <authors>
    <author>chenjie</author>
  </authors>
  <commentList>
    <comment ref="B6" authorId="0">
      <text>
        <r>
          <rPr>
            <sz val="10"/>
            <rFont val="宋体"/>
            <charset val="134"/>
          </rPr>
          <t>chenjie:
债权单位名称应填列全称，不应以地名或不明确的简称或业务内容代替</t>
        </r>
      </text>
    </comment>
    <comment ref="C6" authorId="0">
      <text>
        <r>
          <rPr>
            <sz val="10"/>
            <rFont val="宋体"/>
            <charset val="134"/>
          </rPr>
          <t>chenjie:
填列最后一笔贷方发生额的日期；
日期填写形式(半角状态下)如：2002.6又如2001.11</t>
        </r>
      </text>
    </comment>
    <comment ref="D6" authorId="0">
      <text>
        <r>
          <rPr>
            <sz val="10"/>
            <rFont val="宋体"/>
            <charset val="134"/>
          </rPr>
          <t>chenjie:
如：“购油款”等</t>
        </r>
      </text>
    </comment>
    <comment ref="I6" authorId="0">
      <text>
        <r>
          <rPr>
            <sz val="10"/>
            <rFont val="宋体"/>
            <charset val="134"/>
          </rPr>
          <t>chenjie:
1）债权单位为关联方、总公司内部或本公司内部单位的，应在备注栏注明“关联方”、“总公司内部”“内部单位”；2） 涉诉款项应在备注中标明；3）评估基准日后已付款的项目，应注明日期。如“2002年7月4日付款”；4）其他填表单位认为应说明的事项</t>
        </r>
      </text>
    </comment>
  </commentList>
</comments>
</file>

<file path=xl/comments46.xml><?xml version="1.0" encoding="utf-8"?>
<comments xmlns="http://schemas.openxmlformats.org/spreadsheetml/2006/main">
  <authors>
    <author>chenjie</author>
  </authors>
  <commentList>
    <comment ref="B6" authorId="0">
      <text>
        <r>
          <rPr>
            <sz val="10"/>
            <rFont val="宋体"/>
            <charset val="134"/>
          </rPr>
          <t>chenjie:
债权单位名称应填列全称，不应以地名或不明确的简称或业务内容代替</t>
        </r>
      </text>
    </comment>
    <comment ref="C6" authorId="0">
      <text>
        <r>
          <rPr>
            <sz val="10"/>
            <rFont val="宋体"/>
            <charset val="134"/>
          </rPr>
          <t>chenjie:
填列票据的签发日期；
日期填写形式(半角状态下)如：2002.6又如2001.11</t>
        </r>
      </text>
    </comment>
    <comment ref="J6" authorId="0">
      <text>
        <r>
          <rPr>
            <sz val="10"/>
            <rFont val="宋体"/>
            <charset val="134"/>
          </rPr>
          <t>chenjie:
1）债权单位为关联方、总公司内部或本公司内部单位的，应在备注栏注明“关联方”、“总公司内部”“内部单位”；2） 涉诉款项应在备注中标明；3）评估基准日后已付款的项目，应注明日期。如“2002年7月4日付款”；4）已到期尚未支付的，需简要说明原因。</t>
        </r>
      </text>
    </comment>
  </commentList>
</comments>
</file>

<file path=xl/comments47.xml><?xml version="1.0" encoding="utf-8"?>
<comments xmlns="http://schemas.openxmlformats.org/spreadsheetml/2006/main">
  <authors>
    <author>chenjie</author>
  </authors>
  <commentList>
    <comment ref="B6" authorId="0">
      <text>
        <r>
          <rPr>
            <sz val="10"/>
            <rFont val="宋体"/>
            <charset val="134"/>
          </rPr>
          <t>chenjie:
债权单位名称应填列全称，不应以地名或不明确的简称或业务内容代替</t>
        </r>
      </text>
    </comment>
    <comment ref="C6" authorId="0">
      <text>
        <r>
          <rPr>
            <sz val="10"/>
            <rFont val="宋体"/>
            <charset val="134"/>
          </rPr>
          <t>chenjie:
填列最后一笔借方发生额的日期；
日期填写形式(半角状态下)如：2002/6/30又如2001/11/30</t>
        </r>
      </text>
    </comment>
    <comment ref="D6" authorId="0">
      <text>
        <r>
          <rPr>
            <sz val="10"/>
            <rFont val="宋体"/>
            <charset val="134"/>
          </rPr>
          <t>chenjie:
如：“购油款”等</t>
        </r>
      </text>
    </comment>
    <comment ref="I6" authorId="0">
      <text>
        <r>
          <rPr>
            <sz val="10"/>
            <rFont val="宋体"/>
            <charset val="134"/>
          </rPr>
          <t>chenjie:
1）债权单位为关联方、总公司内部或本公司内部单位的，应在备注栏注明“关联方”、“总公司内部”“内部单位”；2） 涉诉款项应在备注中标明；3）评估基准日后已付款的项目，应注明日期。如“2002年7月4日付款”；4）其他填表单位认为应说明的事项</t>
        </r>
      </text>
    </comment>
  </commentList>
</comments>
</file>

<file path=xl/comments48.xml><?xml version="1.0" encoding="utf-8"?>
<comments xmlns="http://schemas.openxmlformats.org/spreadsheetml/2006/main">
  <authors>
    <author>chenjie</author>
  </authors>
  <commentList>
    <comment ref="B6" authorId="0">
      <text>
        <r>
          <rPr>
            <sz val="10"/>
            <rFont val="宋体"/>
            <charset val="134"/>
          </rPr>
          <t>chenjie:
债权单位名称应填列全称，不应以地名或不明确的简称或业务内容代替</t>
        </r>
      </text>
    </comment>
    <comment ref="C6" authorId="0">
      <text>
        <r>
          <rPr>
            <sz val="10"/>
            <rFont val="宋体"/>
            <charset val="134"/>
          </rPr>
          <t>chenjie:
填列最后一笔贷方发生额的日期；
日期填写形式(半角状态下)如：2002/6/30又如2001/11/30</t>
        </r>
      </text>
    </comment>
    <comment ref="D6" authorId="0">
      <text>
        <r>
          <rPr>
            <sz val="10"/>
            <rFont val="宋体"/>
            <charset val="134"/>
          </rPr>
          <t>chenjie:
如：“售油款”等</t>
        </r>
      </text>
    </comment>
    <comment ref="I6" authorId="0">
      <text>
        <r>
          <rPr>
            <sz val="10"/>
            <rFont val="宋体"/>
            <charset val="134"/>
          </rPr>
          <t>chenjie:
1）债权单位为关联方、总公司内部或本公司内部单位的，应在备注栏注明“关联方”、“总公司内部”“内部单位”；2） 涉诉款项应在备注中标明；3）评估基准日后已付款的项目，应注明日期。如“2002年7月4日付款”；4）其他填表单位认为应说明的事项</t>
        </r>
      </text>
    </comment>
  </commentList>
</comments>
</file>

<file path=xl/comments49.xml><?xml version="1.0" encoding="utf-8"?>
<comments xmlns="http://schemas.openxmlformats.org/spreadsheetml/2006/main">
  <authors>
    <author>chenjie</author>
  </authors>
  <commentList>
    <comment ref="B6" authorId="0">
      <text>
        <r>
          <rPr>
            <sz val="10"/>
            <rFont val="宋体"/>
            <charset val="134"/>
          </rPr>
          <t>chenjie:
填写所计提的应付工资的具体组成内容，如“工资、住房补贴”等，根据填表单位财务部门的计提应付工资的方式和内容填写</t>
        </r>
      </text>
    </comment>
    <comment ref="C6" authorId="0">
      <text>
        <r>
          <rPr>
            <sz val="10"/>
            <rFont val="宋体"/>
            <charset val="134"/>
          </rPr>
          <t>chenjie:
填写贷方最后一笔发生额的日期</t>
        </r>
      </text>
    </comment>
    <comment ref="H6" authorId="0">
      <text>
        <r>
          <rPr>
            <sz val="10"/>
            <rFont val="宋体"/>
            <charset val="134"/>
          </rPr>
          <t>chenjie:
备注中应注明计提依据（如：工效挂钩批准额度×××万元／年）及基准日应付工资帐面余额的滚存期间。</t>
        </r>
      </text>
    </comment>
  </commentList>
</comments>
</file>

<file path=xl/comments50.xml><?xml version="1.0" encoding="utf-8"?>
<comments xmlns="http://schemas.openxmlformats.org/spreadsheetml/2006/main">
  <authors>
    <author>chenjie</author>
  </authors>
  <commentList>
    <comment ref="B6" authorId="0">
      <text>
        <r>
          <rPr>
            <sz val="10"/>
            <rFont val="宋体"/>
            <charset val="134"/>
          </rPr>
          <t>chenjie:
填表单位的专管税务机关，应填写全称</t>
        </r>
      </text>
    </comment>
    <comment ref="C6" authorId="0">
      <text>
        <r>
          <rPr>
            <sz val="10"/>
            <rFont val="宋体"/>
            <charset val="134"/>
          </rPr>
          <t>chenjie:
填写贷方最后一笔发生额的日期</t>
        </r>
      </text>
    </comment>
    <comment ref="D6" authorId="0">
      <text>
        <r>
          <rPr>
            <sz val="10"/>
            <rFont val="宋体"/>
            <charset val="134"/>
          </rPr>
          <t>chenjie:
指增值税、消费税、城建税、教育费附加等</t>
        </r>
      </text>
    </comment>
    <comment ref="I6" authorId="0">
      <text>
        <r>
          <rPr>
            <sz val="10"/>
            <rFont val="宋体"/>
            <charset val="134"/>
          </rPr>
          <t>chenjie:
备注中应注明税款所属期间。</t>
        </r>
      </text>
    </comment>
    <comment ref="C7" authorId="0">
      <text>
        <r>
          <rPr>
            <sz val="10"/>
            <rFont val="宋体"/>
            <charset val="134"/>
          </rPr>
          <t>chenjie:
填写贷方最后一笔发生额的日期</t>
        </r>
      </text>
    </comment>
    <comment ref="C8" authorId="0">
      <text>
        <r>
          <rPr>
            <sz val="10"/>
            <rFont val="宋体"/>
            <charset val="134"/>
          </rPr>
          <t>chenjie:
填写贷方最后一笔发生额的日期</t>
        </r>
      </text>
    </comment>
    <comment ref="C9" authorId="0">
      <text>
        <r>
          <rPr>
            <sz val="10"/>
            <rFont val="宋体"/>
            <charset val="134"/>
          </rPr>
          <t>chenjie:
填写贷方最后一笔发生额的日期</t>
        </r>
      </text>
    </comment>
  </commentList>
</comments>
</file>

<file path=xl/comments51.xml><?xml version="1.0" encoding="utf-8"?>
<comments xmlns="http://schemas.openxmlformats.org/spreadsheetml/2006/main">
  <authors>
    <author>chenjie</author>
  </authors>
  <commentList>
    <comment ref="B6" authorId="0">
      <text>
        <r>
          <rPr>
            <sz val="10"/>
            <rFont val="宋体"/>
            <charset val="134"/>
          </rPr>
          <t>chenjie:
填全称</t>
        </r>
      </text>
    </comment>
    <comment ref="C6" authorId="0">
      <text>
        <r>
          <rPr>
            <sz val="10"/>
            <rFont val="宋体"/>
            <charset val="134"/>
          </rPr>
          <t>chenjie:
发生日期指利息结算日，填列到日。</t>
        </r>
      </text>
    </comment>
    <comment ref="E6" authorId="0">
      <text>
        <r>
          <rPr>
            <sz val="10"/>
            <rFont val="宋体"/>
            <charset val="134"/>
          </rPr>
          <t>chenjie:
填列到“日”，如“2001.6.1—2001.12.30”。</t>
        </r>
      </text>
    </comment>
  </commentList>
</comments>
</file>

<file path=xl/comments52.xml><?xml version="1.0" encoding="utf-8"?>
<comments xmlns="http://schemas.openxmlformats.org/spreadsheetml/2006/main">
  <authors>
    <author>chenjie</author>
    <author>SEELE</author>
  </authors>
  <commentList>
    <comment ref="C6" authorId="0">
      <text>
        <r>
          <rPr>
            <sz val="10"/>
            <rFont val="宋体"/>
            <charset val="134"/>
          </rPr>
          <t>chenjie:
填写贷方最后一笔发生额的日期</t>
        </r>
      </text>
    </comment>
    <comment ref="D6" authorId="1">
      <text>
        <r>
          <rPr>
            <sz val="10"/>
            <rFont val="宋体"/>
            <charset val="134"/>
          </rPr>
          <t>SEELE:
请填写具体利润所属期间</t>
        </r>
      </text>
    </comment>
    <comment ref="I6" authorId="0">
      <text>
        <r>
          <rPr>
            <sz val="10"/>
            <rFont val="宋体"/>
            <charset val="134"/>
          </rPr>
          <t>chenjie:
对于长期未付的利润（股利），请在备注栏标明原因</t>
        </r>
      </text>
    </comment>
  </commentList>
</comments>
</file>

<file path=xl/comments53.xml><?xml version="1.0" encoding="utf-8"?>
<comments xmlns="http://schemas.openxmlformats.org/spreadsheetml/2006/main">
  <authors>
    <author>chenjie</author>
  </authors>
  <commentList>
    <comment ref="B6" authorId="0">
      <text>
        <r>
          <rPr>
            <sz val="10"/>
            <rFont val="宋体"/>
            <charset val="134"/>
          </rPr>
          <t>chenjie:
债权单位名称应填列全称，不应以地名或不明确的简称或业务内容代替</t>
        </r>
      </text>
    </comment>
    <comment ref="C6" authorId="0">
      <text>
        <r>
          <rPr>
            <sz val="10"/>
            <rFont val="宋体"/>
            <charset val="134"/>
          </rPr>
          <t>chenjie:
填列最后一笔借方发生额的日期；
日期填写形式(半角状态下)如：2002/6/30又如2001/11/30</t>
        </r>
      </text>
    </comment>
    <comment ref="D6" authorId="0">
      <text>
        <r>
          <rPr>
            <sz val="10"/>
            <rFont val="宋体"/>
            <charset val="134"/>
          </rPr>
          <t>chenjie:
如：“往来款、职工教育经费、工会经费”等</t>
        </r>
      </text>
    </comment>
    <comment ref="I6" authorId="0">
      <text>
        <r>
          <rPr>
            <sz val="10"/>
            <rFont val="宋体"/>
            <charset val="134"/>
          </rPr>
          <t>chenjie:
1）债权单位为关联方、总公司内部或本公司内部单位的，应在备注栏注明“关联方”、“总公司内部”“内部单位”；2） 涉诉款项应在备注中标明；3）评估基准日后已付款的项目，应注明日期。如“2002年7月4日付款”；4）其他填表单位认为应说明的事项</t>
        </r>
      </text>
    </comment>
  </commentList>
</comments>
</file>

<file path=xl/comments54.xml><?xml version="1.0" encoding="utf-8"?>
<comments xmlns="http://schemas.openxmlformats.org/spreadsheetml/2006/main">
  <authors>
    <author>chenjie</author>
  </authors>
  <commentList>
    <comment ref="B6" authorId="0">
      <text>
        <r>
          <rPr>
            <sz val="10"/>
            <rFont val="宋体"/>
            <charset val="134"/>
          </rPr>
          <t>chenjie:
参见长期借款表</t>
        </r>
      </text>
    </comment>
  </commentList>
</comments>
</file>

<file path=xl/comments55.xml><?xml version="1.0" encoding="utf-8"?>
<comments xmlns="http://schemas.openxmlformats.org/spreadsheetml/2006/main">
  <authors>
    <author>chenjie</author>
  </authors>
  <commentList>
    <comment ref="B6" authorId="0">
      <text>
        <r>
          <rPr>
            <sz val="10"/>
            <rFont val="宋体"/>
            <charset val="134"/>
          </rPr>
          <t>chenjie:
填全称</t>
        </r>
      </text>
    </comment>
    <comment ref="C6" authorId="0">
      <text>
        <r>
          <rPr>
            <sz val="10"/>
            <rFont val="宋体"/>
            <charset val="134"/>
          </rPr>
          <t>chenjie:
指借款合同规定的借款启始日，填列到日</t>
        </r>
      </text>
    </comment>
    <comment ref="D6" authorId="0">
      <text>
        <r>
          <rPr>
            <sz val="10"/>
            <rFont val="宋体"/>
            <charset val="134"/>
          </rPr>
          <t>chenjie:
与借款合同规定到期日应一致</t>
        </r>
      </text>
    </comment>
    <comment ref="E6" authorId="0">
      <text>
        <r>
          <rPr>
            <sz val="10"/>
            <rFont val="宋体"/>
            <charset val="134"/>
          </rPr>
          <t>chenjie:
与借款合同规定利率应一致</t>
        </r>
      </text>
    </comment>
    <comment ref="M6" authorId="0">
      <text>
        <r>
          <rPr>
            <sz val="10"/>
            <rFont val="宋体"/>
            <charset val="134"/>
          </rPr>
          <t>chenjie:
标明（或附专项说明）借款的用途、担保条件（信用担保、资产抵押或质押等）、借款利息计提及支付情况（请准确说明利息计提、支付到哪一天）。</t>
        </r>
      </text>
    </comment>
  </commentList>
</comments>
</file>

<file path=xl/comments56.xml><?xml version="1.0" encoding="utf-8"?>
<comments xmlns="http://schemas.openxmlformats.org/spreadsheetml/2006/main">
  <authors>
    <author>chenjie</author>
  </authors>
  <commentList>
    <comment ref="B7" authorId="0">
      <text>
        <r>
          <rPr>
            <sz val="10"/>
            <rFont val="宋体"/>
            <charset val="134"/>
          </rPr>
          <t>chenjie:
填列债权单位全称</t>
        </r>
      </text>
    </comment>
    <comment ref="C7" authorId="0">
      <text>
        <r>
          <rPr>
            <sz val="10"/>
            <rFont val="宋体"/>
            <charset val="134"/>
          </rPr>
          <t>chenjie:
按合同协议确定的开始计算应付款的日期，填列到日。</t>
        </r>
      </text>
    </comment>
    <comment ref="D7" authorId="0">
      <text>
        <r>
          <rPr>
            <sz val="10"/>
            <rFont val="宋体"/>
            <charset val="134"/>
          </rPr>
          <t>chenjie:
指应付款内容，如“引进××设备款或融资租赁××设备款”等；</t>
        </r>
      </text>
    </comment>
    <comment ref="M7" authorId="0">
      <text>
        <r>
          <rPr>
            <sz val="10"/>
            <rFont val="宋体"/>
            <charset val="134"/>
          </rPr>
          <t>chenjie:
请注明帐面初始额的构成。</t>
        </r>
      </text>
    </comment>
  </commentList>
</comments>
</file>

<file path=xl/sharedStrings.xml><?xml version="1.0" encoding="utf-8"?>
<sst xmlns="http://schemas.openxmlformats.org/spreadsheetml/2006/main" count="2291" uniqueCount="740">
  <si>
    <t>索引页</t>
  </si>
  <si>
    <t>资 产 评 估 申 报 表</t>
  </si>
  <si>
    <t>企业填写以下内容</t>
  </si>
  <si>
    <t>被评估单位：</t>
  </si>
  <si>
    <t>评估对象是企业整体资产时，为被评估企业，评估对象是单项资产时，为产权持有单位</t>
  </si>
  <si>
    <t>评估基准日：</t>
  </si>
  <si>
    <t>年</t>
  </si>
  <si>
    <t>月</t>
  </si>
  <si>
    <t>日</t>
  </si>
  <si>
    <t>被评估单位填表人：</t>
  </si>
  <si>
    <t>同第一行</t>
  </si>
  <si>
    <t>填表日期：</t>
  </si>
  <si>
    <t>评估机构填写以下内容</t>
  </si>
  <si>
    <t>项目负责人：</t>
  </si>
  <si>
    <t>签字注册资产评估师：</t>
  </si>
  <si>
    <t>流动资产评估人员：</t>
  </si>
  <si>
    <t>长期投资评估人员：</t>
  </si>
  <si>
    <t>房  屋  类评估人员：</t>
  </si>
  <si>
    <t>设  备  类评估人员：</t>
  </si>
  <si>
    <t>土        地评估人员：</t>
  </si>
  <si>
    <t>生物资产评估人员：</t>
  </si>
  <si>
    <t>油气资产评估人员：</t>
  </si>
  <si>
    <t>其他无形评估人员：</t>
  </si>
  <si>
    <t>其他资产评估人员：</t>
  </si>
  <si>
    <t>负    债类评估人员：</t>
  </si>
  <si>
    <t>资产评估申报表索引目录</t>
  </si>
  <si>
    <t>评估申报表封面</t>
  </si>
  <si>
    <t>评估申报表说明（填表前请先阅读）</t>
  </si>
  <si>
    <t>基本情况表</t>
  </si>
  <si>
    <t>资产负债表</t>
  </si>
  <si>
    <t>汇总表</t>
  </si>
  <si>
    <t>分类汇总表</t>
  </si>
  <si>
    <t>流动资产</t>
  </si>
  <si>
    <t>货币资金</t>
  </si>
  <si>
    <t>现金</t>
  </si>
  <si>
    <t>流动负债</t>
  </si>
  <si>
    <t>短期借款</t>
  </si>
  <si>
    <t>银行存款</t>
  </si>
  <si>
    <t>交易性金融负债</t>
  </si>
  <si>
    <t>其他货币资金</t>
  </si>
  <si>
    <t>应付票据</t>
  </si>
  <si>
    <t>交易性金融资产</t>
  </si>
  <si>
    <t>股票投资</t>
  </si>
  <si>
    <t>应付账款</t>
  </si>
  <si>
    <t>债券投资</t>
  </si>
  <si>
    <t>预收款项</t>
  </si>
  <si>
    <t>基金投资</t>
  </si>
  <si>
    <t>应付职工薪酬</t>
  </si>
  <si>
    <t>应收票据</t>
  </si>
  <si>
    <t>应交税费</t>
  </si>
  <si>
    <t>应收账款</t>
  </si>
  <si>
    <t>应付利息</t>
  </si>
  <si>
    <t>预付账款</t>
  </si>
  <si>
    <t>应付股利（应付利润）</t>
  </si>
  <si>
    <t>应收利息</t>
  </si>
  <si>
    <t>其他应付款</t>
  </si>
  <si>
    <t>应收股利</t>
  </si>
  <si>
    <t>一年内到期的非流动负债</t>
  </si>
  <si>
    <t>其他应收款</t>
  </si>
  <si>
    <t>其他流动负债</t>
  </si>
  <si>
    <t>存货</t>
  </si>
  <si>
    <t>材料采购（在途物资）</t>
  </si>
  <si>
    <t>原材料</t>
  </si>
  <si>
    <t>在库周转材料</t>
  </si>
  <si>
    <t>非流动负债</t>
  </si>
  <si>
    <t>长期借款</t>
  </si>
  <si>
    <t>委托加工物资</t>
  </si>
  <si>
    <t>应付债券</t>
  </si>
  <si>
    <t>产成品（库存商品）</t>
  </si>
  <si>
    <t>长期应付款</t>
  </si>
  <si>
    <t>在产品（自制半成品）</t>
  </si>
  <si>
    <t>专项应付款</t>
  </si>
  <si>
    <t>发出商品</t>
  </si>
  <si>
    <t>预计负债</t>
  </si>
  <si>
    <t>在用周转材料</t>
  </si>
  <si>
    <t>递延所得税负债</t>
  </si>
  <si>
    <t>一年到期非流动资产</t>
  </si>
  <si>
    <t>其他非流动负债</t>
  </si>
  <si>
    <t>其他流动资产</t>
  </si>
  <si>
    <t>长期投资</t>
  </si>
  <si>
    <t>可供出售金融资产</t>
  </si>
  <si>
    <t>其他投资</t>
  </si>
  <si>
    <t>持有至到期投资</t>
  </si>
  <si>
    <t>长期应收款</t>
  </si>
  <si>
    <t>长期股权投资</t>
  </si>
  <si>
    <t>投资性房地产</t>
  </si>
  <si>
    <t>固定资产</t>
  </si>
  <si>
    <t>房屋建筑物</t>
  </si>
  <si>
    <t>构筑物及其他辅助设施</t>
  </si>
  <si>
    <t>管道及沟槽</t>
  </si>
  <si>
    <t>机器设备</t>
  </si>
  <si>
    <t>车辆</t>
  </si>
  <si>
    <t>电子设备</t>
  </si>
  <si>
    <t>土地</t>
  </si>
  <si>
    <t>在建工程</t>
  </si>
  <si>
    <t>在建工程-土建工程</t>
  </si>
  <si>
    <t>在建工程-设备安装工程</t>
  </si>
  <si>
    <t>工程物资</t>
  </si>
  <si>
    <t>固定资产清理</t>
  </si>
  <si>
    <t>生产性生物资产</t>
  </si>
  <si>
    <t>油气资产</t>
  </si>
  <si>
    <t>无形资产</t>
  </si>
  <si>
    <t>土地使用权</t>
  </si>
  <si>
    <t>其他无形资产</t>
  </si>
  <si>
    <t>开发支出</t>
  </si>
  <si>
    <t>商誉</t>
  </si>
  <si>
    <t>其他资产</t>
  </si>
  <si>
    <t>长期待摊费用</t>
  </si>
  <si>
    <t>递延所得税资产</t>
  </si>
  <si>
    <t>其他非流动资产</t>
  </si>
  <si>
    <t>评估申报表填表说明</t>
  </si>
  <si>
    <t>返回索引页</t>
  </si>
  <si>
    <t>1、</t>
  </si>
  <si>
    <t>本工作簿用于资产评估委托方或资产占有方对评估基准日下的委估资产及负债的账面价值的申报；</t>
  </si>
  <si>
    <t>请贵单位填表人员按要求对工作表中账面价值及其以左各栏次或项目据实填写</t>
  </si>
  <si>
    <t>（此外，应收账款、其他应收款还需要填写账龄分析内容）；</t>
  </si>
  <si>
    <t>2、</t>
  </si>
  <si>
    <t>此表各科目明细的合计数，应与本次资产评估范围内的资产评估基准日的资产负债表的数据相符；</t>
  </si>
  <si>
    <t>3、</t>
  </si>
  <si>
    <t>如有债权、债务性资产的未达、坏账及实物性资产的毁损、报废等的项目应在其备注中说明；</t>
  </si>
  <si>
    <t>4、</t>
  </si>
  <si>
    <t>明细表中如有日期档，除各明细表中有具体要求外，其格式应为“XXXX-XX”；</t>
  </si>
  <si>
    <t xml:space="preserve">    例：“2000年09月10日”应填为“2000-09”</t>
  </si>
  <si>
    <t>如无法确定具体月份，请将月份填为01月；</t>
  </si>
  <si>
    <t xml:space="preserve">    例：“2000年”应填为“2000-01”</t>
  </si>
  <si>
    <t>如为累计发生的业务，请将发生日期填为最后一笔业务的发生日期；</t>
  </si>
  <si>
    <t>5、</t>
  </si>
  <si>
    <t>如明细表的行数不够时，请填表人员在“合计”的上两行进行插入行。</t>
  </si>
  <si>
    <t>6、</t>
  </si>
  <si>
    <t>填表人可通过“资产评估申报表索引目录”来选择要查看或修改的科目,通过“返回索引页”按纽可返回“选择目录”</t>
  </si>
  <si>
    <t>7、</t>
  </si>
  <si>
    <t>填表人可通过点击各汇总表中的“科目名称”进入各明细表，再通过点击各工作表左上角的“返回”来返回上一级汇总表。</t>
  </si>
  <si>
    <t>注：</t>
  </si>
  <si>
    <t>除以上要求企业填写的或按具体情况评估人员另作要求填写的栏目或项外，企业不应对此套表的其它部分</t>
  </si>
  <si>
    <t>作任何修改变动，谢谢合作！</t>
  </si>
  <si>
    <t>核心提示：不适用的工作表可以隐藏，但不可删除！</t>
  </si>
  <si>
    <t>工作表标签不能更改！</t>
  </si>
  <si>
    <t>如有疑问请与我公司项目组或我公司现场人员联系</t>
  </si>
  <si>
    <t>公司电话：010-68365066      传真：010-68365038</t>
  </si>
  <si>
    <t>金额单位：人民币元</t>
  </si>
  <si>
    <t>资产</t>
  </si>
  <si>
    <t>序号</t>
  </si>
  <si>
    <t>期初数</t>
  </si>
  <si>
    <t>期末数</t>
  </si>
  <si>
    <t>备注</t>
  </si>
  <si>
    <t>负债及所有者权益</t>
  </si>
  <si>
    <t>流动资产：</t>
  </si>
  <si>
    <t>流动负债：</t>
  </si>
  <si>
    <t>预付款项</t>
  </si>
  <si>
    <t>应付股利</t>
  </si>
  <si>
    <t>一年内到期的非流动资产</t>
  </si>
  <si>
    <t>流动资产合计</t>
  </si>
  <si>
    <t>非流动资产：</t>
  </si>
  <si>
    <t>流动负债合计</t>
  </si>
  <si>
    <t>非流动负债：</t>
  </si>
  <si>
    <t>非流动负债合计</t>
  </si>
  <si>
    <t>负债合计</t>
  </si>
  <si>
    <t>所有者权益：</t>
  </si>
  <si>
    <t>实收资本</t>
  </si>
  <si>
    <t>资本公积</t>
  </si>
  <si>
    <t>减：库存股</t>
  </si>
  <si>
    <t>盈余公积</t>
  </si>
  <si>
    <t>未分配利润</t>
  </si>
  <si>
    <t>所有者权益合计</t>
  </si>
  <si>
    <t>非流动资产合计</t>
  </si>
  <si>
    <t>资产总计</t>
  </si>
  <si>
    <t>负债及所有者权益合计</t>
  </si>
  <si>
    <t>与总资产相差</t>
  </si>
  <si>
    <t xml:space="preserve">填表人： </t>
  </si>
  <si>
    <t>财务主管：</t>
  </si>
  <si>
    <t/>
  </si>
  <si>
    <t>负责人：</t>
  </si>
  <si>
    <t>资  产  评  估  结 果  汇  总  表</t>
  </si>
  <si>
    <t>金额单位：人民币万元</t>
  </si>
  <si>
    <t>项            目</t>
  </si>
  <si>
    <t>审计前账面值</t>
  </si>
  <si>
    <t>账面价值</t>
  </si>
  <si>
    <t>评估价值</t>
  </si>
  <si>
    <t>增减值</t>
  </si>
  <si>
    <t>增值率％</t>
  </si>
  <si>
    <t>A</t>
  </si>
  <si>
    <t>B</t>
  </si>
  <si>
    <t>C</t>
  </si>
  <si>
    <t>D=C-B</t>
  </si>
  <si>
    <t>E=D/B×100%</t>
  </si>
  <si>
    <t>非流动资产</t>
  </si>
  <si>
    <t xml:space="preserve">      可供出售金融资产</t>
  </si>
  <si>
    <t xml:space="preserve">      持有至到期投资</t>
  </si>
  <si>
    <t>其中：长期应收款</t>
  </si>
  <si>
    <t xml:space="preserve">   长期股权投资</t>
  </si>
  <si>
    <t xml:space="preserve">      投资性房地产</t>
  </si>
  <si>
    <t xml:space="preserve">   固定资产</t>
  </si>
  <si>
    <t xml:space="preserve">      其中：建  筑  物</t>
  </si>
  <si>
    <t xml:space="preserve">               设        备</t>
  </si>
  <si>
    <t xml:space="preserve">               土        地</t>
  </si>
  <si>
    <t xml:space="preserve">      在建工程</t>
  </si>
  <si>
    <t xml:space="preserve">      工程物资</t>
  </si>
  <si>
    <t xml:space="preserve">      固定资产清理</t>
  </si>
  <si>
    <t xml:space="preserve">      生产性生物资产</t>
  </si>
  <si>
    <t xml:space="preserve">      油气资产</t>
  </si>
  <si>
    <t xml:space="preserve">      无形资产</t>
  </si>
  <si>
    <t xml:space="preserve">      其中：土地使用权</t>
  </si>
  <si>
    <t xml:space="preserve">      开发支出</t>
  </si>
  <si>
    <t xml:space="preserve">      商誉</t>
  </si>
  <si>
    <t xml:space="preserve">      长期待摊费用</t>
  </si>
  <si>
    <t xml:space="preserve">      递延所得税资产</t>
  </si>
  <si>
    <t xml:space="preserve">      其他非流动资产</t>
  </si>
  <si>
    <t>负债总计</t>
  </si>
  <si>
    <t>净 资 产（所有者权益）</t>
  </si>
  <si>
    <t>评估机构：中立国际房地产土地资产评估有限公司</t>
  </si>
  <si>
    <t>返回</t>
  </si>
  <si>
    <t>资产评估结果分类汇总表</t>
  </si>
  <si>
    <t>科目名称</t>
  </si>
  <si>
    <t>账面调整值</t>
  </si>
  <si>
    <t>增值额</t>
  </si>
  <si>
    <t>增值率%</t>
  </si>
  <si>
    <t>企业报表数</t>
  </si>
  <si>
    <t>差异</t>
  </si>
  <si>
    <t>一、流动资产合计</t>
  </si>
  <si>
    <t>二、非流动资产合计</t>
  </si>
  <si>
    <t>三、资产总计</t>
  </si>
  <si>
    <t>四、流动负债合计</t>
  </si>
  <si>
    <t>五、非流动负债合计</t>
  </si>
  <si>
    <t>六、负债总计</t>
  </si>
  <si>
    <t>七、净资产（所有者权益）</t>
  </si>
  <si>
    <t>实物资产（万元）</t>
  </si>
  <si>
    <t>比例（％）</t>
  </si>
  <si>
    <t>资产减值准备</t>
  </si>
  <si>
    <t>一</t>
  </si>
  <si>
    <t>坏账准备</t>
  </si>
  <si>
    <t>其中：应收账款</t>
  </si>
  <si>
    <t>二</t>
  </si>
  <si>
    <t>存货跌价准备</t>
  </si>
  <si>
    <t>三</t>
  </si>
  <si>
    <t>可供出售金融资产减值准备</t>
  </si>
  <si>
    <t>四</t>
  </si>
  <si>
    <t>持有至到期投资减值准备</t>
  </si>
  <si>
    <t>五</t>
  </si>
  <si>
    <t>长期股权投资减值准备</t>
  </si>
  <si>
    <t>六</t>
  </si>
  <si>
    <t>投资性房地产减值准备</t>
  </si>
  <si>
    <t>七</t>
  </si>
  <si>
    <t>固定资产减值准备</t>
  </si>
  <si>
    <t>八</t>
  </si>
  <si>
    <t>工程物资减值准备</t>
  </si>
  <si>
    <t>九</t>
  </si>
  <si>
    <t>在建工程减值准备</t>
  </si>
  <si>
    <t>十</t>
  </si>
  <si>
    <t>生产性生物资产减值准备</t>
  </si>
  <si>
    <t>其中：成熟生产性生物资产</t>
  </si>
  <si>
    <t>十一</t>
  </si>
  <si>
    <t>油气资产减值准备</t>
  </si>
  <si>
    <t>十二</t>
  </si>
  <si>
    <t>无形资产减值准备</t>
  </si>
  <si>
    <t>十三</t>
  </si>
  <si>
    <t>商誉减值准备</t>
  </si>
  <si>
    <t>十四</t>
  </si>
  <si>
    <t>其他</t>
  </si>
  <si>
    <t>合计</t>
  </si>
  <si>
    <t>流动资产评估汇总表</t>
  </si>
  <si>
    <t>编号</t>
  </si>
  <si>
    <t>3-1</t>
  </si>
  <si>
    <t>货币资金（现金</t>
  </si>
  <si>
    <t>存款</t>
  </si>
  <si>
    <t>他币）</t>
  </si>
  <si>
    <t>3-2</t>
  </si>
  <si>
    <t>3-3</t>
  </si>
  <si>
    <t>3-4</t>
  </si>
  <si>
    <t>3-5</t>
  </si>
  <si>
    <t>3-6</t>
  </si>
  <si>
    <t>3-7</t>
  </si>
  <si>
    <t>应收股利（应收利润）</t>
  </si>
  <si>
    <t>3-8</t>
  </si>
  <si>
    <t>3-9</t>
  </si>
  <si>
    <t>3-10</t>
  </si>
  <si>
    <t>3-11</t>
  </si>
  <si>
    <t>货币资金—现金评估明细表</t>
  </si>
  <si>
    <t>存放部门（单位）</t>
  </si>
  <si>
    <t>币种</t>
  </si>
  <si>
    <t>外币账面金额</t>
  </si>
  <si>
    <t>评估基准日汇率</t>
  </si>
  <si>
    <t>审计调整</t>
  </si>
  <si>
    <t>合         计</t>
  </si>
  <si>
    <t>货币资金—银行存款评估明细表</t>
  </si>
  <si>
    <t>开户银行</t>
  </si>
  <si>
    <t>账号</t>
  </si>
  <si>
    <t>货币资金—其他货币资金评估明细表</t>
  </si>
  <si>
    <t>名称及内容</t>
  </si>
  <si>
    <t>用途</t>
  </si>
  <si>
    <t>交易性金融资产评估汇总表</t>
  </si>
  <si>
    <t>3-2-1</t>
  </si>
  <si>
    <t>交易性金融资产-股票投资</t>
  </si>
  <si>
    <t>3-2-2</t>
  </si>
  <si>
    <t>交易性金融资产-债券投资</t>
  </si>
  <si>
    <t>3-2-3</t>
  </si>
  <si>
    <t>交易性金融资产-基金投资</t>
  </si>
  <si>
    <t>交易性金融资产合计</t>
  </si>
  <si>
    <t>交易性金融资产—股票投资评估明细表</t>
  </si>
  <si>
    <t>被投资单位名称</t>
  </si>
  <si>
    <t>股票名称</t>
  </si>
  <si>
    <t>投资日期</t>
  </si>
  <si>
    <t>持股数量</t>
  </si>
  <si>
    <t>成本</t>
  </si>
  <si>
    <t>基准日收盘价/股</t>
  </si>
  <si>
    <t>合          计</t>
  </si>
  <si>
    <t>交易性金融资产—债券投资评估明细表</t>
  </si>
  <si>
    <t>债券名称</t>
  </si>
  <si>
    <t>发行日期</t>
  </si>
  <si>
    <t>票面利率%</t>
  </si>
  <si>
    <t>交易性金融资产—基金投资评估明细表</t>
  </si>
  <si>
    <t>基金发行单位</t>
  </si>
  <si>
    <t>基金名称</t>
  </si>
  <si>
    <t>基金类型</t>
  </si>
  <si>
    <t>基金份额</t>
  </si>
  <si>
    <t>基准日净值/份</t>
  </si>
  <si>
    <t>应收票据评估明细表</t>
  </si>
  <si>
    <t>户名（结算对象）</t>
  </si>
  <si>
    <t>出票日期</t>
  </si>
  <si>
    <t>到期日期</t>
  </si>
  <si>
    <t>合            计</t>
  </si>
  <si>
    <t xml:space="preserve">返回 </t>
  </si>
  <si>
    <t>应收账款评估明细表</t>
  </si>
  <si>
    <t>账龄总数与审计前账面值差异(应等于0)</t>
  </si>
  <si>
    <t>预计不可收回金额(注1)</t>
  </si>
  <si>
    <t>欠款单位名称（结算对象）</t>
  </si>
  <si>
    <t>业务内容</t>
  </si>
  <si>
    <t>发生日期</t>
  </si>
  <si>
    <t>账龄</t>
  </si>
  <si>
    <t>1年以内金额</t>
  </si>
  <si>
    <t>1~2年金额</t>
  </si>
  <si>
    <t>2~3年金额</t>
  </si>
  <si>
    <t>3~4年金额</t>
  </si>
  <si>
    <t>4~5年金额</t>
  </si>
  <si>
    <t>5年以上金额</t>
  </si>
  <si>
    <t>减：坏账准备</t>
  </si>
  <si>
    <t>减：评估风险损失</t>
  </si>
  <si>
    <t>净            额</t>
  </si>
  <si>
    <t>注1：</t>
  </si>
  <si>
    <t>注明账齡在一年以上的账款的可收回性，若有部分可能不能收回，请估计不能收回的金額，以供评估时作參考。</t>
  </si>
  <si>
    <t>注2：“备注”栏填写方法：</t>
  </si>
  <si>
    <t>1）欠款单位为关联方、总公司内部或本公司内部单位的，应在备注栏注明“关联方”、“总公司内部”、“内部单位”；</t>
  </si>
  <si>
    <t>2） 涉诉款项应在备注中标明“涉诉”；</t>
  </si>
  <si>
    <t>3）评估基准日后已部分或全部收回款项的，应注明日期及金额，如“2003年2月4日收回8,530.00元”；</t>
  </si>
  <si>
    <t>4）填表单位认为其他应说明的事项</t>
  </si>
  <si>
    <t>预付账款评估明细表</t>
  </si>
  <si>
    <t>收款单位名称（结算对象）</t>
  </si>
  <si>
    <t>应收利息评估明细表</t>
  </si>
  <si>
    <t>本金</t>
  </si>
  <si>
    <t>利息所属期间</t>
  </si>
  <si>
    <t>利息率%</t>
  </si>
  <si>
    <t>应收股利（应收利润）评估明细表</t>
  </si>
  <si>
    <t>股利所属期间</t>
  </si>
  <si>
    <t>其他应收款评估明细表</t>
  </si>
  <si>
    <t>存货评估汇总表</t>
  </si>
  <si>
    <t>3-9-1</t>
  </si>
  <si>
    <t>3-9-2</t>
  </si>
  <si>
    <t>3-9-3</t>
  </si>
  <si>
    <t>3-9-4</t>
  </si>
  <si>
    <t>3-9-5</t>
  </si>
  <si>
    <t>3-9-6</t>
  </si>
  <si>
    <t>3-9-7</t>
  </si>
  <si>
    <t>3-9-8</t>
  </si>
  <si>
    <t>存货合计</t>
  </si>
  <si>
    <t>减：存货跌价准备</t>
  </si>
  <si>
    <t>存货净额</t>
  </si>
  <si>
    <t>存货—材料采购（在途物资）评估明细表</t>
  </si>
  <si>
    <t>名称及规格型号</t>
  </si>
  <si>
    <t>计量单位</t>
  </si>
  <si>
    <t>数量</t>
  </si>
  <si>
    <t>单价</t>
  </si>
  <si>
    <t>金额</t>
  </si>
  <si>
    <t>实际数量</t>
  </si>
  <si>
    <t>存货—原材料评估明细表</t>
  </si>
  <si>
    <t>1）正常，无需填写；2）残次，填“A”；3）变质，填“B”；4）毁损，填“C”；5）滞销，填“E”；</t>
  </si>
  <si>
    <t>6）积压，填“D”并在备注中填写已积压时间“1年以内”、“1~2年”、“2~3年”、“3年以上”；7）其他情形用文字表述。</t>
  </si>
  <si>
    <t>存货—在库周转材料评估明细表</t>
  </si>
  <si>
    <t>存放地点</t>
  </si>
  <si>
    <t>存货—委托加工物资评估明细表</t>
  </si>
  <si>
    <t>加工单位名称</t>
  </si>
  <si>
    <t>存货—产成品（库存商品）评估明细表</t>
  </si>
  <si>
    <t>存货—在产品（自制半成品）评估明细表</t>
  </si>
  <si>
    <t>存货—发出商品评估明细表</t>
  </si>
  <si>
    <t>商品名称</t>
  </si>
  <si>
    <t>对方单位名称</t>
  </si>
  <si>
    <t>税金及附加率</t>
  </si>
  <si>
    <t>销售费用率</t>
  </si>
  <si>
    <t>营业利润率</t>
  </si>
  <si>
    <t>所得税率</t>
  </si>
  <si>
    <t>净利润率</t>
  </si>
  <si>
    <t>R</t>
  </si>
  <si>
    <t>评估单价</t>
  </si>
  <si>
    <t>毛利率采用加权平均数计算=[（A1-B1）+(A23-B2)]/(A1+A2)</t>
  </si>
  <si>
    <t>营业收入</t>
  </si>
  <si>
    <t>营业税金及附加</t>
  </si>
  <si>
    <t>销售费用</t>
  </si>
  <si>
    <t>营业利润</t>
  </si>
  <si>
    <t>净利润</t>
  </si>
  <si>
    <t>营业成本</t>
  </si>
  <si>
    <t>存货—在用周转材料评估明细表</t>
  </si>
  <si>
    <t>启用日期</t>
  </si>
  <si>
    <t>原始入账价值</t>
  </si>
  <si>
    <t>成新率%</t>
  </si>
  <si>
    <t>一年内到期的非流动资产评估明细表</t>
  </si>
  <si>
    <t>项目及内容</t>
  </si>
  <si>
    <t>结算内容</t>
  </si>
  <si>
    <t>其他流动资产评估明细表</t>
  </si>
  <si>
    <t>非流动资产评估汇总表</t>
  </si>
  <si>
    <t>4-1</t>
  </si>
  <si>
    <t>4-2</t>
  </si>
  <si>
    <t>4-3</t>
  </si>
  <si>
    <t>4-4</t>
  </si>
  <si>
    <t>4-5</t>
  </si>
  <si>
    <t>4-6</t>
  </si>
  <si>
    <t>4-7</t>
  </si>
  <si>
    <t>4-8</t>
  </si>
  <si>
    <t>4-9</t>
  </si>
  <si>
    <t>4-10</t>
  </si>
  <si>
    <t>4-11</t>
  </si>
  <si>
    <t>4-12</t>
  </si>
  <si>
    <t>使用权资产</t>
  </si>
  <si>
    <t>4-13</t>
  </si>
  <si>
    <t>4-14</t>
  </si>
  <si>
    <t>4-15</t>
  </si>
  <si>
    <t>4-16</t>
  </si>
  <si>
    <t>4-17</t>
  </si>
  <si>
    <t>4-18</t>
  </si>
  <si>
    <t>4</t>
  </si>
  <si>
    <t>可供出售金融资产评估汇总表</t>
  </si>
  <si>
    <t>4-1-1</t>
  </si>
  <si>
    <t>可供出售金融资产-股票投资</t>
  </si>
  <si>
    <t>4-1-2</t>
  </si>
  <si>
    <t>可供出售金融资产-债券投资</t>
  </si>
  <si>
    <t>4-1-3</t>
  </si>
  <si>
    <t>可供出售金融资产-其他投资</t>
  </si>
  <si>
    <t>可供出售金融资产合计</t>
  </si>
  <si>
    <t>减：可供出售金融资产减值准备</t>
  </si>
  <si>
    <t>可供出售金融资产净额</t>
  </si>
  <si>
    <t>可供出售金融资产—股票投资评估明细表</t>
  </si>
  <si>
    <t>股票性质</t>
  </si>
  <si>
    <t>持股比例%</t>
  </si>
  <si>
    <t>基准日市价</t>
  </si>
  <si>
    <t>取得成本</t>
  </si>
  <si>
    <t>可供出售金融资产—债券投资评估明细表</t>
  </si>
  <si>
    <t>债券种类</t>
  </si>
  <si>
    <t>到期日</t>
  </si>
  <si>
    <t>成本（面值）</t>
  </si>
  <si>
    <t>可供出售金融资产—其他投资评估明细表</t>
  </si>
  <si>
    <t>金融资产名称</t>
  </si>
  <si>
    <t>持有数量</t>
  </si>
  <si>
    <t>持有至到期投资评估明细表</t>
  </si>
  <si>
    <t>投资类别</t>
  </si>
  <si>
    <t>投资成本</t>
  </si>
  <si>
    <t>减：持有至到期投资减值准备</t>
  </si>
  <si>
    <t>长期应收款评估明细表</t>
  </si>
  <si>
    <t>长期股权投资评估明细表</t>
  </si>
  <si>
    <t>协议投资期限</t>
  </si>
  <si>
    <t>减：长期股权投资减值准备</t>
  </si>
  <si>
    <t>投资性房地产——房屋评估明细表</t>
  </si>
  <si>
    <t>（采用成本模式计量）</t>
  </si>
  <si>
    <t>被评估单位（或者产权持有单位）：</t>
  </si>
  <si>
    <t>减：投资性房地产减值准备</t>
  </si>
  <si>
    <t>合      计</t>
  </si>
  <si>
    <t>（采用公允价值模式计量）</t>
  </si>
  <si>
    <t>投资性房地产——土地使用权评估明细表</t>
  </si>
  <si>
    <t>固定资产评估汇总表</t>
  </si>
  <si>
    <t>原值</t>
  </si>
  <si>
    <t>净值</t>
  </si>
  <si>
    <t>房屋建筑物类合计</t>
  </si>
  <si>
    <t>4-6-1</t>
  </si>
  <si>
    <t>固定资产-房屋建筑物</t>
  </si>
  <si>
    <t>4-6-2</t>
  </si>
  <si>
    <t>固定资产-构筑物及其他辅助设施</t>
  </si>
  <si>
    <t>4-6-3</t>
  </si>
  <si>
    <t>固定资产-管道及沟槽</t>
  </si>
  <si>
    <t>4-6-4</t>
  </si>
  <si>
    <t>固定资产-井巷</t>
  </si>
  <si>
    <t>设备类合计</t>
  </si>
  <si>
    <t>固定资产-机器设备</t>
  </si>
  <si>
    <t>4-6-5</t>
  </si>
  <si>
    <t>固定资产-车辆</t>
  </si>
  <si>
    <t>4-6-6</t>
  </si>
  <si>
    <t>固定资产-电子设备</t>
  </si>
  <si>
    <t>4-6-7</t>
  </si>
  <si>
    <t>固定资产合计</t>
  </si>
  <si>
    <t>减：固定资产减值准备</t>
  </si>
  <si>
    <t>固定资产—房屋建筑物评估明细表</t>
  </si>
  <si>
    <t>权证编号</t>
  </si>
  <si>
    <t>建筑物名称</t>
  </si>
  <si>
    <t>位置</t>
  </si>
  <si>
    <t>对应土地证号</t>
  </si>
  <si>
    <t>结构</t>
  </si>
  <si>
    <t>檐高(m)</t>
  </si>
  <si>
    <t>层高(m)</t>
  </si>
  <si>
    <t>总层数</t>
  </si>
  <si>
    <t>所在层数</t>
  </si>
  <si>
    <t>朝向</t>
  </si>
  <si>
    <t>吊车吨位</t>
  </si>
  <si>
    <t>跨度(m)</t>
  </si>
  <si>
    <t>柱距(m)</t>
  </si>
  <si>
    <t>使用单位</t>
  </si>
  <si>
    <t>开工年月</t>
  </si>
  <si>
    <t>建成
年月</t>
  </si>
  <si>
    <t>建筑          面积/容积</t>
  </si>
  <si>
    <t>成本单价(元/m2)</t>
  </si>
  <si>
    <t>评估单价(元/m2)</t>
  </si>
  <si>
    <t>现场勘察简单记录</t>
  </si>
  <si>
    <t>证载权利人</t>
  </si>
  <si>
    <t>固定资产—构筑物及其他辅助设施评估明细表</t>
  </si>
  <si>
    <t xml:space="preserve"> 名称</t>
  </si>
  <si>
    <t>长度
(m)</t>
  </si>
  <si>
    <t>宽度
(m)</t>
  </si>
  <si>
    <t>面积体积m2或m3</t>
  </si>
  <si>
    <t>固定资产—井巷工程清查评估明细表</t>
  </si>
  <si>
    <t>评估基准日：2009年10月31日</t>
  </si>
  <si>
    <t>资产编号</t>
  </si>
  <si>
    <t>井巷工程名称</t>
  </si>
  <si>
    <t>施工阶段</t>
  </si>
  <si>
    <t>巷道类型</t>
  </si>
  <si>
    <t>井筒斜长（m)</t>
  </si>
  <si>
    <t>煤岩类别</t>
  </si>
  <si>
    <t>岩石硬度系数</t>
  </si>
  <si>
    <t>支护方式</t>
  </si>
  <si>
    <t>材质</t>
  </si>
  <si>
    <t>锚杆</t>
  </si>
  <si>
    <t>锚索</t>
  </si>
  <si>
    <t>网片(张数/m)</t>
  </si>
  <si>
    <t>轨型kg/m</t>
  </si>
  <si>
    <t>轨距㎜</t>
  </si>
  <si>
    <t>轨枕</t>
  </si>
  <si>
    <t>掘进直径</t>
  </si>
  <si>
    <t>掘进断面高度(m)</t>
  </si>
  <si>
    <t>掘进断面宽度(m)</t>
  </si>
  <si>
    <t>支护厚度(㎜)</t>
  </si>
  <si>
    <t>掘进断面(㎡)</t>
  </si>
  <si>
    <t>巷道倾角(度)</t>
  </si>
  <si>
    <t>巷道长度(m)</t>
  </si>
  <si>
    <t>硐室掘进体积(m3)</t>
  </si>
  <si>
    <t>竣工年月</t>
  </si>
  <si>
    <t>尚可使用年限</t>
  </si>
  <si>
    <t>该井项已经开采储量</t>
  </si>
  <si>
    <t>该井巷尚可开采储量(保有储量）</t>
  </si>
  <si>
    <t>标记</t>
  </si>
  <si>
    <t>审计前账面价值</t>
  </si>
  <si>
    <t>调整分录</t>
  </si>
  <si>
    <t>合                计</t>
  </si>
  <si>
    <t>评估人员：</t>
  </si>
  <si>
    <t>填表日期：2009年11月5日</t>
  </si>
  <si>
    <t>固定资产—管道和沟槽评估明细表</t>
  </si>
  <si>
    <t>漕深
(m)</t>
  </si>
  <si>
    <t>沟宽*沟厚(mm*mm)
管径*壁厚(mm*mm)</t>
  </si>
  <si>
    <t>绝缘方式</t>
  </si>
  <si>
    <t>建成年月</t>
  </si>
  <si>
    <t>固定资产—机器设备评估明细表</t>
  </si>
  <si>
    <t>设备编号</t>
  </si>
  <si>
    <t>设备名称</t>
  </si>
  <si>
    <t>规格型号</t>
  </si>
  <si>
    <t>生产厂家</t>
  </si>
  <si>
    <t>购置日期</t>
  </si>
  <si>
    <t>已使用</t>
  </si>
  <si>
    <t>理论成新率</t>
  </si>
  <si>
    <t>账面单价</t>
  </si>
  <si>
    <t>购置单价(含税)</t>
  </si>
  <si>
    <t>增值税进项税额</t>
  </si>
  <si>
    <t>不含税重置单价</t>
  </si>
  <si>
    <t>含税重置全价</t>
  </si>
  <si>
    <t>不含税重置全价</t>
  </si>
  <si>
    <t>经济年限</t>
  </si>
  <si>
    <t>物价指数</t>
  </si>
  <si>
    <t>贬值率</t>
  </si>
  <si>
    <t>https://b2b.baidu.com/land?url=https%3A%2F%2Fwww.912688.com%2Fsupply%2F339710698.html%3Fbdb2b8a2d%3D2439046228181354518&amp;query=%E5%9B%9B%E6%9F%B1%E8%A3%81%E5%88%87%E6%9C%BAXclp3&amp;category=%E6%9C%BA%E6%A2%B0%E5%B7%A5%E4%B8%9A%3B%E7%9A%AE%E9%9D%A9%E5%8A%A0%E5%B7%A5%E8%AE%BE%E5%A4%87%3B%E8%A3%81%E6%96%AD%E6%9C%BA</t>
  </si>
  <si>
    <t>https://b2b.baidu.com/land?url=https%3A%2F%2Fwww.china.cn%2Frongjieji%2F3740659375.html%3Fbdb2b8a2d%3D2438987942149274047&amp;query=高周波油压机8kw&amp;category=机械工业%3B电子产品制造设备%3B熔接机</t>
  </si>
  <si>
    <t>https://b2b.baidu.com/land?url=https%3A%2F%2Fwww.912688.com%2Fsupply%2F104657120.html%3Fbdb2b8a2d%3D2438915230767428949&amp;query=%E7%94%B5%E8%84%91%E8%8A%B1%E6%A0%B7%E6%9C%BA&amp;category=%E6%9C%BA%E6%A2%B0%E5%B7%A5%E4%B8%9A%3B%E6%9C%8D%E8%A3%85%E6%9C%BA%E6%A2%B0%E8%AE%BE%E5%A4%87%3B%E7%BC%9D%E4%B8%AD%E8%AE%BE%E5%A4%87</t>
  </si>
  <si>
    <t>https://detail.1688.com/offer/609784199942.html?spm=a261b.2187593.1998088710.31.6dd25256uj9vDD</t>
  </si>
  <si>
    <t>https://detail.1688.com/offer/533989812836.html?spm=a261b.2187593.1998088710.1.7fed147csppu9q&amp;tracelog=p4p&amp;clickid=e1b987a899564175a53991eb3d153598&amp;sessionid=c37e2129882030ed537098fd0c9482d8</t>
  </si>
  <si>
    <t>固定资产—车辆评估明细表</t>
  </si>
  <si>
    <t>车辆牌号</t>
  </si>
  <si>
    <t>车辆名称
及规格型号</t>
  </si>
  <si>
    <t>已行驶里程(公里)</t>
  </si>
  <si>
    <t>规定行驶里程</t>
  </si>
  <si>
    <t>已工作里程</t>
  </si>
  <si>
    <t>里程成新率（%）</t>
  </si>
  <si>
    <t>观察成新率（%）</t>
  </si>
  <si>
    <t>成新率（%）</t>
  </si>
  <si>
    <t>购置价格（含税）</t>
  </si>
  <si>
    <t>购置价格（不含税）</t>
  </si>
  <si>
    <t>购置税</t>
  </si>
  <si>
    <t>地区牌照费</t>
  </si>
  <si>
    <t>重置全价</t>
  </si>
  <si>
    <t>https://www.che168.com/dealer/255777/36677775.html?pvareaid=100519&amp;userpid=0&amp;usercid=0#pos=5#page=1#rtype=10#isrecom=0#filter=63a448a0_0a0_0a0_0#module=10#refreshid=0#recomid=0#queryid=1587813166$11$e48f2cbd-d2f9-467b-865a-471a44289f31$25729#cartype=10</t>
  </si>
  <si>
    <t>固定资产—电子设备评估明细表</t>
  </si>
  <si>
    <t>PO号</t>
  </si>
  <si>
    <t>年限成新率</t>
  </si>
  <si>
    <t>综合成新率</t>
  </si>
  <si>
    <t>固定资产—土地评估明细表</t>
  </si>
  <si>
    <t>土地权证编号</t>
  </si>
  <si>
    <t>宗地名称</t>
  </si>
  <si>
    <t>土地位置</t>
  </si>
  <si>
    <t>取得日期</t>
  </si>
  <si>
    <t>用地性质</t>
  </si>
  <si>
    <t>准用年限</t>
  </si>
  <si>
    <t>开发程度</t>
  </si>
  <si>
    <t>面积(m2)</t>
  </si>
  <si>
    <t>在建工程评估汇总表</t>
  </si>
  <si>
    <t>4-7-1</t>
  </si>
  <si>
    <t>4-7-2</t>
  </si>
  <si>
    <t>5-4</t>
  </si>
  <si>
    <t>在建工程合计</t>
  </si>
  <si>
    <t>减：在建工程减值准备</t>
  </si>
  <si>
    <t>在建工程净额</t>
  </si>
  <si>
    <t>在建工程—土建工程评估明细表</t>
  </si>
  <si>
    <t>项目名称</t>
  </si>
  <si>
    <t>建筑面积/容积</t>
  </si>
  <si>
    <t>开工日期</t>
  </si>
  <si>
    <t>预计完工日期</t>
  </si>
  <si>
    <t>形象进度</t>
  </si>
  <si>
    <t>付款比例</t>
  </si>
  <si>
    <t>在建工程—设备安装工程评估明细表</t>
  </si>
  <si>
    <t>开工
日期</t>
  </si>
  <si>
    <t>预计完
工日期</t>
  </si>
  <si>
    <t>工程物资评估明细表</t>
  </si>
  <si>
    <t>名称</t>
  </si>
  <si>
    <t>工程项目</t>
  </si>
  <si>
    <t>计量
单位</t>
  </si>
  <si>
    <t>增值率
%</t>
  </si>
  <si>
    <t>减：工程物资减值准备</t>
  </si>
  <si>
    <t>固定资产清理评估明细表</t>
  </si>
  <si>
    <t>待处理资产名称</t>
  </si>
  <si>
    <t>生产性生物资产评估明细表</t>
  </si>
  <si>
    <t>种类</t>
  </si>
  <si>
    <t>群别</t>
  </si>
  <si>
    <t>减：生产性生物资产减值准备</t>
  </si>
  <si>
    <t>油气资产评估明细表</t>
  </si>
  <si>
    <t>类别</t>
  </si>
  <si>
    <t>矿区（或油田)</t>
  </si>
  <si>
    <t>形成日期</t>
  </si>
  <si>
    <t>来源（购入、自行建造）</t>
  </si>
  <si>
    <t>使用权资产评估明细表</t>
  </si>
  <si>
    <t>使用权资产名称</t>
  </si>
  <si>
    <t>原始发生额</t>
  </si>
  <si>
    <t>预计使用权月数</t>
  </si>
  <si>
    <t>尚存受
益月数</t>
  </si>
  <si>
    <t>合                    计</t>
  </si>
  <si>
    <t>无形资产评估汇总表</t>
  </si>
  <si>
    <t>4-12-1</t>
  </si>
  <si>
    <t>无形资产-土地使用权</t>
  </si>
  <si>
    <t>4-12-2</t>
  </si>
  <si>
    <t>无形资产-矿业权</t>
  </si>
  <si>
    <t>4-12-3</t>
  </si>
  <si>
    <t>无形资产-其他无形资产</t>
  </si>
  <si>
    <t>无形资产合计</t>
  </si>
  <si>
    <t>减：无形资产减值准备</t>
  </si>
  <si>
    <t>6</t>
  </si>
  <si>
    <t>总计</t>
  </si>
  <si>
    <t>无形资产—土地使用权评估明细表</t>
  </si>
  <si>
    <t>无形资产—矿业权评估明细表</t>
  </si>
  <si>
    <t>名称、种类（探矿权/采矿权）</t>
  </si>
  <si>
    <t>勘查（采矿）许可证编号</t>
  </si>
  <si>
    <t>取得方式</t>
  </si>
  <si>
    <t>剩余有效年限</t>
  </si>
  <si>
    <t>勘查开发阶段</t>
  </si>
  <si>
    <t>核定（批准）生产规模</t>
  </si>
  <si>
    <t>被评估企业或产权持有单位填表人：</t>
  </si>
  <si>
    <t>无形资产—其他无形资产评估明细表</t>
  </si>
  <si>
    <t>内容或名称</t>
  </si>
  <si>
    <t>无形资产类型</t>
  </si>
  <si>
    <t>产权证号</t>
  </si>
  <si>
    <t>证载/实际取得日期</t>
  </si>
  <si>
    <t>法定/预计使用年限</t>
  </si>
  <si>
    <t>尚可使用
年限</t>
  </si>
  <si>
    <t>开发支出评估明细表</t>
  </si>
  <si>
    <t>商誉评估明细表</t>
  </si>
  <si>
    <t>减：商誉减值准备</t>
  </si>
  <si>
    <t>长期待摊费用评估明细表</t>
  </si>
  <si>
    <t>费用名称或内容</t>
  </si>
  <si>
    <t>预计摊
销月数</t>
  </si>
  <si>
    <t>递延所得税资产评估明细表</t>
  </si>
  <si>
    <t>其他非流动资产评估明细表</t>
  </si>
  <si>
    <t>流动负债评估汇总表</t>
  </si>
  <si>
    <t>5-1</t>
  </si>
  <si>
    <t>5-2</t>
  </si>
  <si>
    <t>5-3</t>
  </si>
  <si>
    <t>5-5</t>
  </si>
  <si>
    <t>5-6</t>
  </si>
  <si>
    <t>5-7</t>
  </si>
  <si>
    <t>5-8</t>
  </si>
  <si>
    <t>5-9</t>
  </si>
  <si>
    <t>5-10</t>
  </si>
  <si>
    <t>5-11</t>
  </si>
  <si>
    <t>5-12</t>
  </si>
  <si>
    <t>9</t>
  </si>
  <si>
    <t>短期借款评估明细表</t>
  </si>
  <si>
    <t>放款银行或机构名称</t>
  </si>
  <si>
    <t>月利率%</t>
  </si>
  <si>
    <t>外币金额</t>
  </si>
  <si>
    <t>外币基准日汇率</t>
  </si>
  <si>
    <t>合                       计</t>
  </si>
  <si>
    <t>交易性金融负债评估明细表</t>
  </si>
  <si>
    <t>合                                    计</t>
  </si>
  <si>
    <t>应付票据评估明细表</t>
  </si>
  <si>
    <t>合                         计</t>
  </si>
  <si>
    <t>应付账款评估明细表</t>
  </si>
  <si>
    <t>预收账款评估明细表</t>
  </si>
  <si>
    <t>应付职工薪酬评估明细表</t>
  </si>
  <si>
    <t>合                          计</t>
  </si>
  <si>
    <t>应交税费评估明细表</t>
  </si>
  <si>
    <t>征税机关</t>
  </si>
  <si>
    <t>税费种类</t>
  </si>
  <si>
    <t>合                             计</t>
  </si>
  <si>
    <t>应付利息评估明细表</t>
  </si>
  <si>
    <t>应付股利（应付利润）评估明细表</t>
  </si>
  <si>
    <t>投资单位名称（股东）</t>
  </si>
  <si>
    <t>利润所属期间</t>
  </si>
  <si>
    <t>其他应付款评估明细表</t>
  </si>
  <si>
    <t>一年内到期的非流动负债评估明细表</t>
  </si>
  <si>
    <t>结算项目</t>
  </si>
  <si>
    <t>票面月利率%</t>
  </si>
  <si>
    <t>其他流动负债评估明细表</t>
  </si>
  <si>
    <t>非流动负债评估汇总表</t>
  </si>
  <si>
    <t>6-1</t>
  </si>
  <si>
    <t>6-2</t>
  </si>
  <si>
    <t>6-3</t>
  </si>
  <si>
    <t>6-4</t>
  </si>
  <si>
    <t>租赁负债</t>
  </si>
  <si>
    <t>6-5</t>
  </si>
  <si>
    <t>6-6</t>
  </si>
  <si>
    <t>6-7</t>
  </si>
  <si>
    <t>6-8</t>
  </si>
  <si>
    <t>10</t>
  </si>
  <si>
    <t>长期借款评估明细表</t>
  </si>
  <si>
    <t>应付债券评估明细表</t>
  </si>
  <si>
    <t>债券发行单位</t>
  </si>
  <si>
    <t xml:space="preserve"> 备 注</t>
  </si>
  <si>
    <t>长期应付款评估明细表</t>
  </si>
  <si>
    <t>专项应付款评估明细表</t>
  </si>
  <si>
    <t>户名（或结算对象）</t>
  </si>
  <si>
    <t>预计负债评估明细表</t>
  </si>
  <si>
    <t>租赁负债评估明细表</t>
  </si>
  <si>
    <t>递延所得税负债评估明细表</t>
  </si>
  <si>
    <t>内容</t>
  </si>
  <si>
    <t>其他非流动负债评估明细表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</si>
</sst>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8">
    <numFmt numFmtId="7" formatCode="&quot;￥&quot;#,##0.00;&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_-* #,##0_-;\-* #,##0_-;_-* &quot;-&quot;??_-;_-@_-"/>
    <numFmt numFmtId="186" formatCode="&quot;\&quot;#,##0;[Red]&quot;\&quot;&quot;\&quot;&quot;\&quot;&quot;\&quot;&quot;\&quot;&quot;\&quot;&quot;\&quot;\-#,##0"/>
    <numFmt numFmtId="187" formatCode="_-* #,##0.00_-;\-* #,##0.00_-;_-* &quot;-&quot;??_-;_-@_-"/>
    <numFmt numFmtId="188" formatCode="#,##0.0"/>
    <numFmt numFmtId="189" formatCode="_(&quot;$&quot;* #,##0.00_);_(&quot;$&quot;* \(#,##0.00\);_(&quot;$&quot;* &quot;-&quot;??_);_(@_)"/>
    <numFmt numFmtId="190" formatCode="_([$€-2]* #,##0.00_);_([$€-2]* \(#,##0.00\);_([$€-2]* &quot;-&quot;??_)"/>
    <numFmt numFmtId="191" formatCode="#,##0\ &quot; &quot;;\(#,##0\)\ ;&quot;—&quot;&quot; &quot;&quot; &quot;&quot; &quot;&quot; &quot;"/>
    <numFmt numFmtId="192" formatCode="#,##0.00&quot;￥&quot;;\-#,##0.00&quot;￥&quot;"/>
    <numFmt numFmtId="193" formatCode="_-* #,##0.00&quot;￥&quot;_-;\-* #,##0.00&quot;￥&quot;_-;_-* &quot;-&quot;??&quot;￥&quot;_-;_-@_-"/>
    <numFmt numFmtId="194" formatCode="0.000%"/>
    <numFmt numFmtId="195" formatCode="_-* #,##0&quot;￥&quot;_-;\-* #,##0&quot;￥&quot;_-;_-* &quot;-&quot;&quot;￥&quot;_-;_-@_-"/>
    <numFmt numFmtId="196" formatCode="0.0%"/>
    <numFmt numFmtId="197" formatCode="##0.00;[Red]\-##0.00"/>
    <numFmt numFmtId="198" formatCode="_-* #,##0_-;\-* #,##0_-;_-* &quot;-&quot;_-;_-@_-"/>
    <numFmt numFmtId="199" formatCode="&quot;$&quot;#,##0;\-&quot;$&quot;#,##0"/>
    <numFmt numFmtId="200" formatCode="#,##0.00&quot;￥&quot;;[Red]\-#,##0.00&quot;￥&quot;"/>
    <numFmt numFmtId="201" formatCode="_(&quot;$&quot;* #,##0_);_(&quot;$&quot;* \(#,##0\);_(&quot;$&quot;* &quot;-&quot;??_);_(@_)"/>
    <numFmt numFmtId="202" formatCode="mmm\ dd\,\ yy"/>
    <numFmt numFmtId="203" formatCode="_(&quot;$&quot;* #,##0.0_);_(&quot;$&quot;* \(#,##0.0\);_(&quot;$&quot;* &quot;-&quot;??_);_(@_)"/>
    <numFmt numFmtId="204" formatCode="mm/dd/yy_)"/>
    <numFmt numFmtId="205" formatCode="#,##0;[Red]\(#,##0\)"/>
    <numFmt numFmtId="206" formatCode="000000"/>
    <numFmt numFmtId="207" formatCode="0.00_);[Red]\(0.00\)"/>
    <numFmt numFmtId="208" formatCode="yyyy/mm/dd"/>
    <numFmt numFmtId="209" formatCode="#,##0.00_ "/>
    <numFmt numFmtId="210" formatCode="#,##0_ "/>
    <numFmt numFmtId="211" formatCode="yyyy/m/d;@"/>
    <numFmt numFmtId="212" formatCode="yyyy&quot;年&quot;m&quot;月&quot;d&quot;日&quot;;@"/>
    <numFmt numFmtId="213" formatCode="0.00_ "/>
    <numFmt numFmtId="214" formatCode="0_);[Red]\(0\)"/>
    <numFmt numFmtId="215" formatCode="#,##0.00_ ;[Red]\-#,##0.00\ "/>
    <numFmt numFmtId="216" formatCode="#,##0.00;\(#,##0.00\)"/>
    <numFmt numFmtId="217" formatCode="#,##0;\(#,##0\)"/>
    <numFmt numFmtId="218" formatCode="yyyy/mm"/>
  </numFmts>
  <fonts count="122">
    <font>
      <sz val="12"/>
      <name val="Times New Roman"/>
      <charset val="134"/>
    </font>
    <font>
      <sz val="10"/>
      <name val="Arial"/>
      <charset val="134"/>
    </font>
    <font>
      <sz val="10"/>
      <name val="宋体"/>
      <charset val="134"/>
    </font>
    <font>
      <b/>
      <sz val="10"/>
      <color indexed="10"/>
      <name val="Arial"/>
      <charset val="134"/>
    </font>
    <font>
      <b/>
      <sz val="10"/>
      <color indexed="8"/>
      <name val="Arial"/>
      <charset val="134"/>
    </font>
    <font>
      <sz val="18"/>
      <name val="Times New Roman"/>
      <charset val="134"/>
    </font>
    <font>
      <sz val="10"/>
      <name val="Times New Roman"/>
      <charset val="134"/>
    </font>
    <font>
      <u/>
      <sz val="12"/>
      <color indexed="12"/>
      <name val="宋体"/>
      <charset val="134"/>
    </font>
    <font>
      <u/>
      <sz val="10"/>
      <color indexed="12"/>
      <name val="宋体"/>
      <charset val="134"/>
    </font>
    <font>
      <sz val="18"/>
      <name val="黑体"/>
      <charset val="134"/>
    </font>
    <font>
      <b/>
      <sz val="10"/>
      <name val="Times New Roman"/>
      <charset val="134"/>
    </font>
    <font>
      <u/>
      <sz val="12"/>
      <color indexed="12"/>
      <name val="Times New Roman"/>
      <charset val="134"/>
    </font>
    <font>
      <u/>
      <sz val="10"/>
      <color indexed="12"/>
      <name val="Times New Roman"/>
      <charset val="134"/>
    </font>
    <font>
      <sz val="6"/>
      <name val="Times New Roman"/>
      <charset val="134"/>
    </font>
    <font>
      <sz val="11"/>
      <name val="宋体"/>
      <charset val="134"/>
    </font>
    <font>
      <sz val="10"/>
      <color indexed="8"/>
      <name val="宋体"/>
      <charset val="134"/>
    </font>
    <font>
      <sz val="10"/>
      <color indexed="8"/>
      <name val="Times New Roman"/>
      <charset val="134"/>
    </font>
    <font>
      <sz val="10"/>
      <color indexed="10"/>
      <name val="Times New Roman"/>
      <charset val="134"/>
    </font>
    <font>
      <sz val="11"/>
      <color theme="1"/>
      <name val="宋体"/>
      <charset val="134"/>
      <scheme val="minor"/>
    </font>
    <font>
      <u/>
      <sz val="12"/>
      <color rgb="FF800080"/>
      <name val="Times New Roman"/>
      <charset val="134"/>
    </font>
    <font>
      <u/>
      <sz val="12"/>
      <color rgb="FF800080"/>
      <name val="宋体"/>
      <charset val="134"/>
    </font>
    <font>
      <sz val="10"/>
      <name val="Calibri"/>
      <charset val="134"/>
    </font>
    <font>
      <sz val="18"/>
      <color indexed="10"/>
      <name val="Times New Roman"/>
      <charset val="134"/>
    </font>
    <font>
      <sz val="12"/>
      <name val="宋体"/>
      <charset val="134"/>
    </font>
    <font>
      <u/>
      <sz val="6"/>
      <color indexed="12"/>
      <name val="宋体"/>
      <charset val="134"/>
    </font>
    <font>
      <sz val="8"/>
      <name val="宋体"/>
      <charset val="134"/>
    </font>
    <font>
      <sz val="8"/>
      <name val="Times New Roman"/>
      <charset val="134"/>
    </font>
    <font>
      <sz val="14"/>
      <name val="黑体"/>
      <charset val="134"/>
    </font>
    <font>
      <b/>
      <sz val="10"/>
      <color indexed="10"/>
      <name val="Times New Roman"/>
      <charset val="134"/>
    </font>
    <font>
      <b/>
      <sz val="10"/>
      <color indexed="8"/>
      <name val="Times New Roman"/>
      <charset val="134"/>
    </font>
    <font>
      <sz val="13"/>
      <name val="宋体"/>
      <charset val="134"/>
    </font>
    <font>
      <sz val="11"/>
      <name val="Times New Roman"/>
      <charset val="134"/>
    </font>
    <font>
      <b/>
      <sz val="12"/>
      <name val="Times New Roman"/>
      <charset val="134"/>
    </font>
    <font>
      <sz val="13"/>
      <name val="Times New Roman"/>
      <charset val="134"/>
    </font>
    <font>
      <sz val="20"/>
      <name val="黑体"/>
      <charset val="134"/>
    </font>
    <font>
      <sz val="12"/>
      <color indexed="8"/>
      <name val="Times New Roman"/>
      <charset val="134"/>
    </font>
    <font>
      <b/>
      <sz val="16"/>
      <name val="Times New Roman"/>
      <charset val="134"/>
    </font>
    <font>
      <b/>
      <sz val="16"/>
      <name val="宋体"/>
      <charset val="134"/>
    </font>
    <font>
      <b/>
      <sz val="10"/>
      <name val="宋体"/>
      <charset val="134"/>
    </font>
    <font>
      <sz val="12"/>
      <name val="黑体"/>
      <charset val="134"/>
    </font>
    <font>
      <b/>
      <sz val="22"/>
      <name val="华文新魏"/>
      <charset val="134"/>
    </font>
    <font>
      <b/>
      <sz val="26"/>
      <name val="Times New Roman"/>
      <charset val="134"/>
    </font>
    <font>
      <sz val="14"/>
      <name val="Times New Roman"/>
      <charset val="134"/>
    </font>
    <font>
      <sz val="12"/>
      <name val="仿宋_GB2312"/>
      <charset val="134"/>
    </font>
    <font>
      <sz val="12"/>
      <color indexed="10"/>
      <name val="宋体"/>
      <charset val="134"/>
    </font>
    <font>
      <sz val="12"/>
      <color indexed="12"/>
      <name val="Times New Roman"/>
      <charset val="134"/>
    </font>
    <font>
      <b/>
      <sz val="20"/>
      <color indexed="10"/>
      <name val="黑体"/>
      <charset val="134"/>
    </font>
    <font>
      <sz val="12"/>
      <color indexed="12"/>
      <name val="黑体"/>
      <charset val="134"/>
    </font>
    <font>
      <b/>
      <sz val="12"/>
      <name val="黑体"/>
      <charset val="134"/>
    </font>
    <font>
      <b/>
      <sz val="14"/>
      <name val="Times New Roman"/>
      <charset val="134"/>
    </font>
    <font>
      <b/>
      <sz val="14"/>
      <name val="宋体"/>
      <charset val="134"/>
    </font>
    <font>
      <sz val="14"/>
      <name val="宋体"/>
      <charset val="134"/>
    </font>
    <font>
      <sz val="9"/>
      <name val="宋体"/>
      <charset val="134"/>
    </font>
    <font>
      <u/>
      <sz val="10"/>
      <color rgb="FF800080"/>
      <name val="宋体"/>
      <charset val="134"/>
    </font>
    <font>
      <sz val="10"/>
      <color indexed="12"/>
      <name val="宋体"/>
      <charset val="134"/>
    </font>
    <font>
      <u/>
      <sz val="8"/>
      <color indexed="8"/>
      <name val="Times New Roman"/>
      <charset val="134"/>
    </font>
    <font>
      <sz val="24"/>
      <color indexed="11"/>
      <name val="Times New Roman"/>
      <charset val="134"/>
    </font>
    <font>
      <sz val="24"/>
      <color indexed="8"/>
      <name val="Times New Roman"/>
      <charset val="134"/>
    </font>
    <font>
      <sz val="24"/>
      <color indexed="9"/>
      <name val="Times New Roman"/>
      <charset val="134"/>
    </font>
    <font>
      <sz val="9"/>
      <color indexed="8"/>
      <name val="Times New Roman"/>
      <charset val="134"/>
    </font>
    <font>
      <sz val="20"/>
      <color indexed="10"/>
      <name val="Times New Roman"/>
      <charset val="134"/>
    </font>
    <font>
      <b/>
      <sz val="24"/>
      <color indexed="12"/>
      <name val="隶书"/>
      <charset val="134"/>
    </font>
    <font>
      <b/>
      <sz val="12"/>
      <color indexed="12"/>
      <name val="宋体"/>
      <charset val="134"/>
    </font>
    <font>
      <sz val="24"/>
      <color indexed="50"/>
      <name val="Times New Roman"/>
      <charset val="134"/>
    </font>
    <font>
      <b/>
      <u/>
      <sz val="9"/>
      <color indexed="8"/>
      <name val="Times New Roman"/>
      <charset val="134"/>
    </font>
    <font>
      <sz val="11"/>
      <color indexed="12"/>
      <name val="宋体"/>
      <charset val="134"/>
    </font>
    <font>
      <sz val="11"/>
      <color indexed="21"/>
      <name val="Times New Roman"/>
      <charset val="134"/>
    </font>
    <font>
      <sz val="11"/>
      <color indexed="12"/>
      <name val="Times New Roman"/>
      <charset val="134"/>
    </font>
    <font>
      <sz val="11"/>
      <color indexed="50"/>
      <name val="Times New Roman"/>
      <charset val="134"/>
    </font>
    <font>
      <b/>
      <i/>
      <sz val="11"/>
      <color indexed="56"/>
      <name val="Times New Roman"/>
      <charset val="134"/>
    </font>
    <font>
      <sz val="10"/>
      <color indexed="9"/>
      <name val="Times New Roman"/>
      <charset val="134"/>
    </font>
    <font>
      <b/>
      <i/>
      <sz val="12"/>
      <color indexed="43"/>
      <name val="Times New Roman"/>
      <charset val="134"/>
    </font>
    <font>
      <sz val="12"/>
      <color indexed="16"/>
      <name val="Times New Roman"/>
      <charset val="134"/>
    </font>
    <font>
      <sz val="8"/>
      <color indexed="8"/>
      <name val="Times New Roman"/>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ＭＳ Ｐゴシック"/>
      <charset val="134"/>
    </font>
    <font>
      <sz val="12"/>
      <name val="???"/>
      <charset val="134"/>
    </font>
    <font>
      <u val="singleAccounting"/>
      <vertAlign val="subscript"/>
      <sz val="10"/>
      <name val="Times New Roman"/>
      <charset val="134"/>
    </font>
    <font>
      <i/>
      <sz val="9"/>
      <name val="Times New Roman"/>
      <charset val="134"/>
    </font>
    <font>
      <sz val="9"/>
      <color rgb="FF000000"/>
      <name val="新宋体"/>
      <charset val="134"/>
    </font>
    <font>
      <b/>
      <sz val="10"/>
      <name val="Helv"/>
      <charset val="134"/>
    </font>
    <font>
      <b/>
      <sz val="10"/>
      <name val="MS Sans Serif"/>
      <charset val="134"/>
    </font>
    <font>
      <i/>
      <sz val="12"/>
      <name val="Times New Roman"/>
      <charset val="134"/>
    </font>
    <font>
      <b/>
      <sz val="8"/>
      <name val="Arial"/>
      <charset val="134"/>
    </font>
    <font>
      <sz val="10"/>
      <name val="MS Serif"/>
      <charset val="134"/>
    </font>
    <font>
      <sz val="10"/>
      <name val="Courier"/>
      <charset val="134"/>
    </font>
    <font>
      <sz val="20"/>
      <name val="Letter Gothic (W1)"/>
      <charset val="134"/>
    </font>
    <font>
      <sz val="10"/>
      <name val="MS Sans Serif"/>
      <charset val="134"/>
    </font>
    <font>
      <sz val="10"/>
      <color indexed="16"/>
      <name val="MS Serif"/>
      <charset val="134"/>
    </font>
    <font>
      <sz val="8"/>
      <name val="Arial"/>
      <charset val="134"/>
    </font>
    <font>
      <b/>
      <sz val="12"/>
      <name val="Helv"/>
      <charset val="134"/>
    </font>
    <font>
      <b/>
      <sz val="12"/>
      <name val="Arial"/>
      <charset val="134"/>
    </font>
    <font>
      <b/>
      <sz val="13"/>
      <name val="Times New Roman"/>
      <charset val="134"/>
    </font>
    <font>
      <b/>
      <i/>
      <sz val="12"/>
      <name val="Times New Roman"/>
      <charset val="134"/>
    </font>
    <font>
      <b/>
      <sz val="11"/>
      <name val="Helv"/>
      <charset val="134"/>
    </font>
    <font>
      <sz val="7"/>
      <name val="Small Fonts"/>
      <charset val="134"/>
    </font>
    <font>
      <sz val="10"/>
      <color indexed="8"/>
      <name val="MS Sans Serif"/>
      <charset val="134"/>
    </font>
    <font>
      <sz val="10"/>
      <name val="Tms Rmn"/>
      <charset val="134"/>
    </font>
    <font>
      <b/>
      <sz val="14"/>
      <color indexed="9"/>
      <name val="Times New Roman"/>
      <charset val="134"/>
    </font>
    <font>
      <b/>
      <sz val="12"/>
      <name val="MS Sans Serif"/>
      <charset val="134"/>
    </font>
    <font>
      <sz val="12"/>
      <name val="MS Sans Serif"/>
      <charset val="134"/>
    </font>
    <font>
      <b/>
      <sz val="8"/>
      <color indexed="8"/>
      <name val="Helv"/>
      <charset val="134"/>
    </font>
    <font>
      <sz val="11"/>
      <name val="蹈框"/>
      <charset val="134"/>
    </font>
    <font>
      <sz val="12"/>
      <name val="바탕체"/>
      <charset val="134"/>
    </font>
    <font>
      <sz val="10"/>
      <name val="宋体"/>
      <charset val="134"/>
    </font>
  </fonts>
  <fills count="48">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indexed="8"/>
        <bgColor indexed="64"/>
      </patternFill>
    </fill>
    <fill>
      <patternFill patternType="solid">
        <fgColor indexed="13"/>
        <bgColor indexed="64"/>
      </patternFill>
    </fill>
    <fill>
      <patternFill patternType="solid">
        <fgColor indexed="9"/>
        <bgColor indexed="64"/>
      </patternFill>
    </fill>
    <fill>
      <patternFill patternType="solid">
        <fgColor rgb="FFFFFF00"/>
        <bgColor indexed="64"/>
      </patternFill>
    </fill>
    <fill>
      <patternFill patternType="solid">
        <fgColor indexed="41"/>
        <bgColor indexed="64"/>
      </patternFill>
    </fill>
    <fill>
      <patternFill patternType="solid">
        <fgColor theme="0"/>
        <bgColor indexed="64"/>
      </patternFill>
    </fill>
    <fill>
      <patternFill patternType="solid">
        <fgColor indexed="22"/>
        <bgColor indexed="64"/>
      </patternFill>
    </fill>
    <fill>
      <patternFill patternType="lightGray">
        <bgColor indexed="55"/>
      </patternFill>
    </fill>
    <fill>
      <patternFill patternType="solid">
        <fgColor indexed="4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15"/>
        <bgColor indexed="64"/>
      </patternFill>
    </fill>
    <fill>
      <patternFill patternType="solid">
        <fgColor indexed="31"/>
        <bgColor indexed="64"/>
      </patternFill>
    </fill>
    <fill>
      <patternFill patternType="solid">
        <fgColor indexed="12"/>
        <bgColor indexed="64"/>
      </patternFill>
    </fill>
    <fill>
      <patternFill patternType="solid">
        <fgColor indexed="54"/>
        <bgColor indexed="64"/>
      </patternFill>
    </fill>
  </fills>
  <borders count="57">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style="double">
        <color auto="1"/>
      </right>
      <top style="thin">
        <color auto="1"/>
      </top>
      <bottom style="thin">
        <color auto="1"/>
      </bottom>
      <diagonal/>
    </border>
    <border>
      <left/>
      <right style="double">
        <color auto="1"/>
      </right>
      <top style="thin">
        <color auto="1"/>
      </top>
      <bottom style="thin">
        <color auto="1"/>
      </bottom>
      <diagonal/>
    </border>
    <border>
      <left style="thin">
        <color auto="1"/>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double">
        <color auto="1"/>
      </left>
      <right style="thin">
        <color auto="1"/>
      </right>
      <top style="thin">
        <color auto="1"/>
      </top>
      <bottom style="thin">
        <color auto="1"/>
      </bottom>
      <diagonal/>
    </border>
    <border>
      <left/>
      <right/>
      <top style="double">
        <color auto="1"/>
      </top>
      <bottom/>
      <diagonal/>
    </border>
    <border>
      <left/>
      <right/>
      <top/>
      <bottom style="double">
        <color indexed="9"/>
      </bottom>
      <diagonal/>
    </border>
    <border>
      <left style="double">
        <color indexed="9"/>
      </left>
      <right style="thin">
        <color auto="1"/>
      </right>
      <top style="double">
        <color indexed="9"/>
      </top>
      <bottom/>
      <diagonal/>
    </border>
    <border>
      <left/>
      <right/>
      <top style="double">
        <color indexed="9"/>
      </top>
      <bottom/>
      <diagonal/>
    </border>
    <border>
      <left/>
      <right style="thin">
        <color auto="1"/>
      </right>
      <top style="double">
        <color indexed="9"/>
      </top>
      <bottom/>
      <diagonal/>
    </border>
    <border>
      <left style="double">
        <color indexed="9"/>
      </left>
      <right style="double">
        <color indexed="8"/>
      </right>
      <top/>
      <bottom/>
      <diagonal/>
    </border>
    <border>
      <left style="double">
        <color indexed="8"/>
      </left>
      <right style="double">
        <color indexed="9"/>
      </right>
      <top style="double">
        <color indexed="8"/>
      </top>
      <bottom/>
      <diagonal/>
    </border>
    <border>
      <left/>
      <right/>
      <top style="double">
        <color indexed="8"/>
      </top>
      <bottom/>
      <diagonal/>
    </border>
    <border>
      <left/>
      <right style="double">
        <color indexed="9"/>
      </right>
      <top style="double">
        <color indexed="8"/>
      </top>
      <bottom/>
      <diagonal/>
    </border>
    <border>
      <left style="double">
        <color indexed="9"/>
      </left>
      <right style="thin">
        <color auto="1"/>
      </right>
      <top/>
      <bottom/>
      <diagonal/>
    </border>
    <border>
      <left style="double">
        <color indexed="8"/>
      </left>
      <right style="double">
        <color indexed="9"/>
      </right>
      <top/>
      <bottom/>
      <diagonal/>
    </border>
    <border>
      <left/>
      <right style="double">
        <color indexed="9"/>
      </right>
      <top/>
      <bottom/>
      <diagonal/>
    </border>
    <border>
      <left style="double">
        <color indexed="8"/>
      </left>
      <right/>
      <top/>
      <bottom style="double">
        <color indexed="9"/>
      </bottom>
      <diagonal/>
    </border>
    <border>
      <left/>
      <right style="double">
        <color indexed="9"/>
      </right>
      <top/>
      <bottom style="double">
        <color indexed="9"/>
      </bottom>
      <diagonal/>
    </border>
    <border>
      <left style="double">
        <color indexed="8"/>
      </left>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double">
        <color indexed="9"/>
      </left>
      <right/>
      <top/>
      <bottom style="double">
        <color indexed="8"/>
      </bottom>
      <diagonal/>
    </border>
    <border>
      <left/>
      <right/>
      <top/>
      <bottom style="double">
        <color indexed="8"/>
      </bottom>
      <diagonal/>
    </border>
    <border>
      <left/>
      <right style="thin">
        <color auto="1"/>
      </right>
      <top/>
      <bottom style="double">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auto="1"/>
      </top>
      <bottom style="medium">
        <color auto="1"/>
      </bottom>
      <diagonal/>
    </border>
    <border>
      <left/>
      <right/>
      <top/>
      <bottom style="medium">
        <color auto="1"/>
      </bottom>
      <diagonal/>
    </border>
  </borders>
  <cellStyleXfs count="217">
    <xf numFmtId="0" fontId="0" fillId="0" borderId="0"/>
    <xf numFmtId="43" fontId="0" fillId="0" borderId="0"/>
    <xf numFmtId="44" fontId="18" fillId="0" borderId="0">
      <alignment vertical="center"/>
    </xf>
    <xf numFmtId="9" fontId="18" fillId="0" borderId="0">
      <alignment vertical="center"/>
    </xf>
    <xf numFmtId="41" fontId="18" fillId="0" borderId="0">
      <alignment vertical="center"/>
    </xf>
    <xf numFmtId="42" fontId="18" fillId="0" borderId="0">
      <alignment vertical="center"/>
    </xf>
    <xf numFmtId="0" fontId="7" fillId="0" borderId="0">
      <alignment vertical="top"/>
      <protection locked="0"/>
    </xf>
    <xf numFmtId="0" fontId="74" fillId="0" borderId="0">
      <alignment vertical="center"/>
    </xf>
    <xf numFmtId="0" fontId="18" fillId="13" borderId="47">
      <alignment vertical="center"/>
    </xf>
    <xf numFmtId="0" fontId="75" fillId="0" borderId="0">
      <alignment vertical="center"/>
    </xf>
    <xf numFmtId="0" fontId="76" fillId="0" borderId="0">
      <alignment vertical="center"/>
    </xf>
    <xf numFmtId="0" fontId="77" fillId="0" borderId="0">
      <alignment vertical="center"/>
    </xf>
    <xf numFmtId="0" fontId="78" fillId="0" borderId="48">
      <alignment vertical="center"/>
    </xf>
    <xf numFmtId="0" fontId="79" fillId="0" borderId="48">
      <alignment vertical="center"/>
    </xf>
    <xf numFmtId="0" fontId="80" fillId="0" borderId="49">
      <alignment vertical="center"/>
    </xf>
    <xf numFmtId="0" fontId="80" fillId="0" borderId="0">
      <alignment vertical="center"/>
    </xf>
    <xf numFmtId="0" fontId="81" fillId="14" borderId="50">
      <alignment vertical="center"/>
    </xf>
    <xf numFmtId="0" fontId="82" fillId="15" borderId="51">
      <alignment vertical="center"/>
    </xf>
    <xf numFmtId="0" fontId="83" fillId="15" borderId="50">
      <alignment vertical="center"/>
    </xf>
    <xf numFmtId="0" fontId="84" fillId="16" borderId="52">
      <alignment vertical="center"/>
    </xf>
    <xf numFmtId="0" fontId="85" fillId="0" borderId="53">
      <alignment vertical="center"/>
    </xf>
    <xf numFmtId="0" fontId="86" fillId="0" borderId="54">
      <alignment vertical="center"/>
    </xf>
    <xf numFmtId="0" fontId="87" fillId="17" borderId="0">
      <alignment vertical="center"/>
    </xf>
    <xf numFmtId="0" fontId="88" fillId="18" borderId="0">
      <alignment vertical="center"/>
    </xf>
    <xf numFmtId="0" fontId="89" fillId="19" borderId="0">
      <alignment vertical="center"/>
    </xf>
    <xf numFmtId="0" fontId="90" fillId="20" borderId="0">
      <alignment vertical="center"/>
    </xf>
    <xf numFmtId="0" fontId="91" fillId="21" borderId="0">
      <alignment vertical="center"/>
    </xf>
    <xf numFmtId="0" fontId="91" fillId="22" borderId="0">
      <alignment vertical="center"/>
    </xf>
    <xf numFmtId="0" fontId="90" fillId="23" borderId="0">
      <alignment vertical="center"/>
    </xf>
    <xf numFmtId="0" fontId="90" fillId="24" borderId="0">
      <alignment vertical="center"/>
    </xf>
    <xf numFmtId="0" fontId="91" fillId="25" borderId="0">
      <alignment vertical="center"/>
    </xf>
    <xf numFmtId="0" fontId="91" fillId="26" borderId="0">
      <alignment vertical="center"/>
    </xf>
    <xf numFmtId="0" fontId="90" fillId="27" borderId="0">
      <alignment vertical="center"/>
    </xf>
    <xf numFmtId="0" fontId="90" fillId="28" borderId="0">
      <alignment vertical="center"/>
    </xf>
    <xf numFmtId="0" fontId="91" fillId="29" borderId="0">
      <alignment vertical="center"/>
    </xf>
    <xf numFmtId="0" fontId="91" fillId="30" borderId="0">
      <alignment vertical="center"/>
    </xf>
    <xf numFmtId="0" fontId="90" fillId="31" borderId="0">
      <alignment vertical="center"/>
    </xf>
    <xf numFmtId="0" fontId="90" fillId="32" borderId="0">
      <alignment vertical="center"/>
    </xf>
    <xf numFmtId="0" fontId="91" fillId="33" borderId="0">
      <alignment vertical="center"/>
    </xf>
    <xf numFmtId="0" fontId="91" fillId="34" borderId="0">
      <alignment vertical="center"/>
    </xf>
    <xf numFmtId="0" fontId="90" fillId="35" borderId="0">
      <alignment vertical="center"/>
    </xf>
    <xf numFmtId="0" fontId="90" fillId="36" borderId="0">
      <alignment vertical="center"/>
    </xf>
    <xf numFmtId="0" fontId="91" fillId="37" borderId="0">
      <alignment vertical="center"/>
    </xf>
    <xf numFmtId="0" fontId="91" fillId="38" borderId="0">
      <alignment vertical="center"/>
    </xf>
    <xf numFmtId="0" fontId="90" fillId="39" borderId="0">
      <alignment vertical="center"/>
    </xf>
    <xf numFmtId="0" fontId="90" fillId="40" borderId="0">
      <alignment vertical="center"/>
    </xf>
    <xf numFmtId="0" fontId="91" fillId="41" borderId="0">
      <alignment vertical="center"/>
    </xf>
    <xf numFmtId="0" fontId="91" fillId="42" borderId="0">
      <alignment vertical="center"/>
    </xf>
    <xf numFmtId="0" fontId="90" fillId="43" borderId="0">
      <alignment vertical="center"/>
    </xf>
    <xf numFmtId="0" fontId="92" fillId="0" borderId="0"/>
    <xf numFmtId="0" fontId="92" fillId="0" borderId="0"/>
    <xf numFmtId="0" fontId="93" fillId="0" borderId="0"/>
    <xf numFmtId="49" fontId="6" fillId="0" borderId="0">
      <alignment horizontal="left"/>
    </xf>
    <xf numFmtId="0" fontId="1" fillId="0" borderId="0">
      <protection locked="0"/>
    </xf>
    <xf numFmtId="0" fontId="0" fillId="0" borderId="0"/>
    <xf numFmtId="0" fontId="0" fillId="0" borderId="0"/>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xf numFmtId="176" fontId="6" fillId="0" borderId="0">
      <alignment horizontal="right"/>
    </xf>
    <xf numFmtId="177" fontId="6" fillId="0" borderId="0">
      <alignment horizontal="right"/>
    </xf>
    <xf numFmtId="178" fontId="94" fillId="0" borderId="0">
      <alignment horizontal="center"/>
    </xf>
    <xf numFmtId="179" fontId="94" fillId="0" borderId="0">
      <alignment horizontal="center"/>
    </xf>
    <xf numFmtId="180" fontId="95" fillId="0" borderId="0">
      <alignment horizontal="right"/>
    </xf>
    <xf numFmtId="181" fontId="6" fillId="0" borderId="0">
      <alignment horizontal="right"/>
    </xf>
    <xf numFmtId="182" fontId="6" fillId="0" borderId="0">
      <alignment horizontal="right"/>
    </xf>
    <xf numFmtId="183" fontId="6" fillId="0" borderId="0">
      <alignment horizontal="right"/>
    </xf>
    <xf numFmtId="184" fontId="6" fillId="0" borderId="0">
      <alignment horizontal="right"/>
    </xf>
    <xf numFmtId="0" fontId="0" fillId="0" borderId="0"/>
    <xf numFmtId="0" fontId="96" fillId="0" borderId="7">
      <alignment horizontal="left"/>
    </xf>
    <xf numFmtId="0" fontId="26" fillId="0" borderId="0">
      <alignment horizontal="center" wrapText="1"/>
      <protection locked="0"/>
    </xf>
    <xf numFmtId="0" fontId="96" fillId="0" borderId="7">
      <alignment horizontal="left"/>
    </xf>
    <xf numFmtId="185" fontId="0" fillId="0" borderId="0"/>
    <xf numFmtId="0" fontId="97" fillId="0" borderId="0"/>
    <xf numFmtId="0" fontId="98" fillId="0" borderId="0"/>
    <xf numFmtId="0" fontId="99" fillId="0" borderId="0">
      <alignment horizontal="right"/>
    </xf>
    <xf numFmtId="0" fontId="0" fillId="0" borderId="0">
      <alignment horizontal="right"/>
    </xf>
    <xf numFmtId="0" fontId="100" fillId="0" borderId="5">
      <alignment horizontal="center"/>
    </xf>
    <xf numFmtId="186" fontId="1" fillId="0" borderId="0"/>
    <xf numFmtId="186" fontId="1" fillId="0" borderId="0"/>
    <xf numFmtId="186" fontId="1" fillId="0" borderId="0"/>
    <xf numFmtId="186" fontId="1" fillId="0" borderId="0"/>
    <xf numFmtId="186" fontId="1" fillId="0" borderId="0"/>
    <xf numFmtId="186" fontId="1" fillId="0" borderId="0"/>
    <xf numFmtId="186" fontId="1" fillId="0" borderId="0"/>
    <xf numFmtId="186" fontId="1" fillId="0" borderId="0"/>
    <xf numFmtId="41" fontId="1" fillId="0" borderId="0"/>
    <xf numFmtId="187" fontId="6" fillId="0" borderId="0"/>
    <xf numFmtId="188" fontId="6" fillId="0" borderId="0"/>
    <xf numFmtId="0" fontId="101" fillId="0" borderId="0">
      <alignment horizontal="left"/>
    </xf>
    <xf numFmtId="0" fontId="102" fillId="0" borderId="0"/>
    <xf numFmtId="42" fontId="103" fillId="0" borderId="0"/>
    <xf numFmtId="189" fontId="103" fillId="0" borderId="0"/>
    <xf numFmtId="0" fontId="96" fillId="0" borderId="7">
      <alignment horizontal="left"/>
    </xf>
    <xf numFmtId="15" fontId="104" fillId="0" borderId="0"/>
    <xf numFmtId="0" fontId="105" fillId="0" borderId="0">
      <alignment horizontal="left"/>
    </xf>
    <xf numFmtId="0" fontId="106" fillId="5" borderId="7"/>
    <xf numFmtId="190" fontId="6" fillId="0" borderId="0"/>
    <xf numFmtId="0" fontId="1" fillId="0" borderId="0">
      <protection locked="0"/>
    </xf>
    <xf numFmtId="191" fontId="31" fillId="0" borderId="0">
      <alignment horizontal="right"/>
    </xf>
    <xf numFmtId="0" fontId="1" fillId="0" borderId="0"/>
    <xf numFmtId="38" fontId="106" fillId="10" borderId="0"/>
    <xf numFmtId="0" fontId="107" fillId="0" borderId="0">
      <alignment horizontal="left"/>
    </xf>
    <xf numFmtId="0" fontId="108" fillId="0" borderId="55">
      <alignment horizontal="left" vertical="center"/>
    </xf>
    <xf numFmtId="0" fontId="108" fillId="0" borderId="9">
      <alignment horizontal="left" vertical="center"/>
    </xf>
    <xf numFmtId="10" fontId="106" fillId="6" borderId="7"/>
    <xf numFmtId="192" fontId="23" fillId="44" borderId="0"/>
    <xf numFmtId="0" fontId="99" fillId="45" borderId="0">
      <alignment horizontal="right"/>
    </xf>
    <xf numFmtId="0" fontId="96" fillId="0" borderId="7">
      <alignment horizontal="left"/>
    </xf>
    <xf numFmtId="38" fontId="5" fillId="0" borderId="0"/>
    <xf numFmtId="38" fontId="109" fillId="0" borderId="0"/>
    <xf numFmtId="38" fontId="110" fillId="0" borderId="0"/>
    <xf numFmtId="38" fontId="99" fillId="0" borderId="0"/>
    <xf numFmtId="0" fontId="31" fillId="0" borderId="0"/>
    <xf numFmtId="0" fontId="31" fillId="0" borderId="0"/>
    <xf numFmtId="0" fontId="0" fillId="0" borderId="0">
      <alignment horizontal="fill"/>
    </xf>
    <xf numFmtId="192" fontId="23" fillId="46" borderId="0"/>
    <xf numFmtId="193" fontId="23" fillId="0" borderId="0"/>
    <xf numFmtId="194" fontId="23" fillId="0" borderId="0"/>
    <xf numFmtId="0" fontId="111" fillId="0" borderId="56"/>
    <xf numFmtId="195" fontId="23" fillId="0" borderId="0"/>
    <xf numFmtId="196" fontId="23" fillId="0" borderId="0"/>
    <xf numFmtId="197" fontId="96" fillId="0" borderId="7">
      <alignment horizontal="right"/>
    </xf>
    <xf numFmtId="197" fontId="96" fillId="0" borderId="7">
      <alignment horizontal="right"/>
    </xf>
    <xf numFmtId="0" fontId="6" fillId="0" borderId="0"/>
    <xf numFmtId="37" fontId="112" fillId="0" borderId="0"/>
    <xf numFmtId="0" fontId="1" fillId="0" borderId="0"/>
    <xf numFmtId="39" fontId="23" fillId="0" borderId="0"/>
    <xf numFmtId="0" fontId="23" fillId="0" borderId="0"/>
    <xf numFmtId="0" fontId="6" fillId="0" borderId="0"/>
    <xf numFmtId="0" fontId="6" fillId="0" borderId="0"/>
    <xf numFmtId="0" fontId="6" fillId="0" borderId="0"/>
    <xf numFmtId="0" fontId="113" fillId="0" borderId="0"/>
    <xf numFmtId="187" fontId="1" fillId="0" borderId="0"/>
    <xf numFmtId="198" fontId="1" fillId="0" borderId="0"/>
    <xf numFmtId="197" fontId="96" fillId="0" borderId="7">
      <alignment horizontal="right"/>
    </xf>
    <xf numFmtId="14" fontId="26" fillId="0" borderId="0">
      <alignment horizontal="center" wrapText="1"/>
      <protection locked="0"/>
    </xf>
    <xf numFmtId="10" fontId="1" fillId="0" borderId="0"/>
    <xf numFmtId="9" fontId="6" fillId="0" borderId="0"/>
    <xf numFmtId="40" fontId="96" fillId="0" borderId="7">
      <alignment horizontal="right"/>
    </xf>
    <xf numFmtId="40" fontId="96" fillId="0" borderId="7">
      <alignment horizontal="right"/>
    </xf>
    <xf numFmtId="0" fontId="106" fillId="10" borderId="7"/>
    <xf numFmtId="199" fontId="114" fillId="0" borderId="0"/>
    <xf numFmtId="0" fontId="104" fillId="0" borderId="0">
      <alignment horizontal="left"/>
    </xf>
    <xf numFmtId="200" fontId="23" fillId="0" borderId="0">
      <alignment horizontal="left"/>
    </xf>
    <xf numFmtId="0" fontId="98" fillId="0" borderId="0"/>
    <xf numFmtId="0" fontId="115" fillId="47" borderId="0"/>
    <xf numFmtId="0" fontId="96" fillId="0" borderId="7">
      <alignment horizontal="left"/>
    </xf>
    <xf numFmtId="0" fontId="116" fillId="0" borderId="7">
      <alignment horizontal="center"/>
    </xf>
    <xf numFmtId="0" fontId="116" fillId="0" borderId="0">
      <alignment horizontal="center" vertical="center"/>
    </xf>
    <xf numFmtId="0" fontId="117" fillId="0" borderId="0">
      <alignment horizontal="left" vertical="center"/>
    </xf>
    <xf numFmtId="0" fontId="111" fillId="0" borderId="0"/>
    <xf numFmtId="40" fontId="118" fillId="0" borderId="0">
      <alignment horizontal="right"/>
    </xf>
    <xf numFmtId="197" fontId="96" fillId="0" borderId="7">
      <alignment horizontal="right"/>
    </xf>
    <xf numFmtId="197" fontId="96" fillId="0" borderId="7">
      <alignment horizontal="right"/>
    </xf>
    <xf numFmtId="0" fontId="23" fillId="0" borderId="0"/>
    <xf numFmtId="0" fontId="23" fillId="0" borderId="0"/>
    <xf numFmtId="0" fontId="0" fillId="0" borderId="0"/>
    <xf numFmtId="0" fontId="23" fillId="0" borderId="0"/>
    <xf numFmtId="0" fontId="23" fillId="0" borderId="0"/>
    <xf numFmtId="0" fontId="23" fillId="0" borderId="0"/>
    <xf numFmtId="0" fontId="0" fillId="0" borderId="0"/>
    <xf numFmtId="0" fontId="14" fillId="0" borderId="0"/>
    <xf numFmtId="0" fontId="23" fillId="0" borderId="0"/>
    <xf numFmtId="3" fontId="104" fillId="0" borderId="7"/>
    <xf numFmtId="0" fontId="23" fillId="0" borderId="0"/>
    <xf numFmtId="0" fontId="0" fillId="0" borderId="0"/>
    <xf numFmtId="0" fontId="0" fillId="0" borderId="0"/>
    <xf numFmtId="0" fontId="98" fillId="0" borderId="0"/>
    <xf numFmtId="0" fontId="2" fillId="0" borderId="0"/>
    <xf numFmtId="201" fontId="23" fillId="0" borderId="0"/>
    <xf numFmtId="202" fontId="23" fillId="0" borderId="0"/>
    <xf numFmtId="203" fontId="23" fillId="0" borderId="0"/>
    <xf numFmtId="204" fontId="23" fillId="0" borderId="0"/>
    <xf numFmtId="0" fontId="6" fillId="0" borderId="0"/>
    <xf numFmtId="41" fontId="6" fillId="0" borderId="0"/>
    <xf numFmtId="43" fontId="6" fillId="0" borderId="0"/>
    <xf numFmtId="41" fontId="0" fillId="0" borderId="0"/>
    <xf numFmtId="43" fontId="0" fillId="0" borderId="0"/>
    <xf numFmtId="205" fontId="0" fillId="0" borderId="0"/>
    <xf numFmtId="0" fontId="119" fillId="0" borderId="0"/>
    <xf numFmtId="0" fontId="1" fillId="0" borderId="0"/>
    <xf numFmtId="0" fontId="1" fillId="0" borderId="0"/>
    <xf numFmtId="187" fontId="1" fillId="0" borderId="7"/>
    <xf numFmtId="38" fontId="92" fillId="0" borderId="0"/>
    <xf numFmtId="40" fontId="92" fillId="0" borderId="0"/>
    <xf numFmtId="0" fontId="92" fillId="0" borderId="0"/>
    <xf numFmtId="0" fontId="92" fillId="0" borderId="0"/>
    <xf numFmtId="0" fontId="120" fillId="0" borderId="0"/>
    <xf numFmtId="0" fontId="1" fillId="0" borderId="0"/>
  </cellStyleXfs>
  <cellXfs count="484">
    <xf numFmtId="0" fontId="0" fillId="0" borderId="0" xfId="0"/>
    <xf numFmtId="0" fontId="1" fillId="0" borderId="0" xfId="216"/>
    <xf numFmtId="0" fontId="2" fillId="2" borderId="0" xfId="216" applyFill="1"/>
    <xf numFmtId="0" fontId="1" fillId="2" borderId="0" xfId="216" applyFill="1"/>
    <xf numFmtId="0" fontId="1" fillId="3" borderId="1" xfId="216" applyFill="1" applyBorder="1"/>
    <xf numFmtId="0" fontId="3" fillId="4" borderId="2" xfId="216" applyFont="1" applyFill="1" applyBorder="1" applyAlignment="1">
      <alignment horizontal="center"/>
    </xf>
    <xf numFmtId="0" fontId="4" fillId="5" borderId="3" xfId="216" applyFont="1" applyFill="1" applyBorder="1" applyAlignment="1">
      <alignment horizontal="center"/>
    </xf>
    <xf numFmtId="0" fontId="3" fillId="4" borderId="3" xfId="216" applyFont="1" applyFill="1" applyBorder="1" applyAlignment="1">
      <alignment horizontal="center"/>
    </xf>
    <xf numFmtId="0" fontId="3" fillId="4" borderId="4" xfId="216" applyFont="1" applyFill="1" applyBorder="1" applyAlignment="1">
      <alignment horizontal="center"/>
    </xf>
    <xf numFmtId="0" fontId="1" fillId="3" borderId="5" xfId="216" applyFill="1" applyBorder="1"/>
    <xf numFmtId="0" fontId="1" fillId="3" borderId="6" xfId="216" applyFill="1" applyBorder="1"/>
    <xf numFmtId="0" fontId="5" fillId="0" borderId="0" xfId="0" applyFont="1" applyAlignment="1">
      <alignment vertical="center"/>
    </xf>
    <xf numFmtId="0" fontId="6" fillId="0" borderId="0" xfId="0" applyFont="1" applyAlignment="1">
      <alignment horizontal="center" vertical="center"/>
    </xf>
    <xf numFmtId="0" fontId="6" fillId="0" borderId="0" xfId="0" applyFont="1" applyAlignment="1">
      <alignment vertical="center"/>
    </xf>
    <xf numFmtId="206" fontId="7" fillId="6" borderId="0" xfId="6" applyNumberFormat="1" applyFill="1" applyAlignment="1" applyProtection="1">
      <alignment horizontal="left" vertical="center" shrinkToFit="1"/>
      <protection locked="0" hidden="1"/>
    </xf>
    <xf numFmtId="0" fontId="8" fillId="0" borderId="0" xfId="6" applyFont="1" applyAlignment="1" applyProtection="1">
      <alignment horizontal="left" vertical="center" wrapText="1"/>
    </xf>
    <xf numFmtId="0" fontId="6" fillId="0" borderId="0" xfId="0" applyFont="1" applyAlignment="1">
      <alignment horizontal="center" vertical="center" wrapText="1"/>
    </xf>
    <xf numFmtId="0" fontId="9" fillId="0" borderId="0" xfId="0" applyFont="1" applyAlignment="1">
      <alignment horizontal="center" vertical="center" wrapText="1"/>
    </xf>
    <xf numFmtId="207" fontId="6" fillId="0" borderId="0" xfId="0" applyNumberFormat="1" applyFont="1" applyAlignment="1">
      <alignment horizontal="center" vertical="center"/>
    </xf>
    <xf numFmtId="207" fontId="6" fillId="0" borderId="0" xfId="0" applyNumberFormat="1" applyFont="1" applyAlignment="1">
      <alignment vertical="center"/>
    </xf>
    <xf numFmtId="0" fontId="2" fillId="0" borderId="0" xfId="0" applyFont="1" applyAlignment="1">
      <alignment horizontal="right" vertical="center"/>
    </xf>
    <xf numFmtId="0" fontId="2" fillId="0" borderId="7" xfId="0" applyFont="1" applyBorder="1" applyAlignment="1">
      <alignment horizontal="center" vertical="center"/>
    </xf>
    <xf numFmtId="0" fontId="2" fillId="0" borderId="7" xfId="0" applyFont="1" applyBorder="1" applyAlignment="1">
      <alignment horizontal="center" vertical="center" wrapText="1"/>
    </xf>
    <xf numFmtId="0" fontId="6" fillId="0" borderId="7" xfId="0" applyFont="1" applyBorder="1" applyAlignment="1">
      <alignment horizontal="center" vertical="center"/>
    </xf>
    <xf numFmtId="0" fontId="6" fillId="0" borderId="7" xfId="0" applyFont="1" applyBorder="1" applyAlignment="1">
      <alignment horizontal="left" vertical="center"/>
    </xf>
    <xf numFmtId="14" fontId="6" fillId="0" borderId="7" xfId="0" applyNumberFormat="1" applyFont="1" applyBorder="1" applyAlignment="1">
      <alignment horizontal="center" vertical="center"/>
    </xf>
    <xf numFmtId="43" fontId="6" fillId="0" borderId="7" xfId="0" applyNumberFormat="1" applyFont="1" applyBorder="1" applyAlignment="1">
      <alignment horizontal="right" vertical="center"/>
    </xf>
    <xf numFmtId="0" fontId="6" fillId="0" borderId="7" xfId="0" applyFont="1" applyBorder="1" applyAlignment="1">
      <alignment vertical="center"/>
    </xf>
    <xf numFmtId="0" fontId="0" fillId="0" borderId="8" xfId="0" applyBorder="1"/>
    <xf numFmtId="49" fontId="6" fillId="0" borderId="0" xfId="0" applyNumberFormat="1" applyFont="1" applyAlignment="1">
      <alignment vertical="center"/>
    </xf>
    <xf numFmtId="0" fontId="8" fillId="0" borderId="0" xfId="6" applyFont="1" applyAlignment="1" applyProtection="1">
      <alignment horizontal="left" vertical="center"/>
    </xf>
    <xf numFmtId="43" fontId="6" fillId="0" borderId="7" xfId="0" applyNumberFormat="1" applyFont="1" applyBorder="1" applyAlignment="1">
      <alignment vertical="center"/>
    </xf>
    <xf numFmtId="0" fontId="0" fillId="0" borderId="9" xfId="0" applyBorder="1"/>
    <xf numFmtId="0" fontId="2" fillId="0" borderId="5" xfId="0" applyFont="1" applyBorder="1" applyAlignment="1">
      <alignment horizontal="center" vertical="center"/>
    </xf>
    <xf numFmtId="0" fontId="0" fillId="0" borderId="10" xfId="0" applyBorder="1"/>
    <xf numFmtId="0" fontId="0" fillId="0" borderId="11" xfId="0" applyBorder="1"/>
    <xf numFmtId="0" fontId="0" fillId="0" borderId="12" xfId="0" applyBorder="1"/>
    <xf numFmtId="14" fontId="6" fillId="0" borderId="7" xfId="0" applyNumberFormat="1" applyFont="1" applyBorder="1" applyAlignment="1">
      <alignment horizontal="right" vertical="center"/>
    </xf>
    <xf numFmtId="0" fontId="6" fillId="0" borderId="7" xfId="0" applyFont="1" applyBorder="1" applyAlignment="1">
      <alignment horizontal="right" vertical="center"/>
    </xf>
    <xf numFmtId="0" fontId="6" fillId="0" borderId="8" xfId="0" applyFont="1" applyBorder="1" applyAlignment="1">
      <alignment horizontal="right" vertical="center"/>
    </xf>
    <xf numFmtId="0" fontId="9" fillId="0" borderId="0" xfId="0" applyFont="1" applyAlignment="1">
      <alignment horizontal="center" vertical="center"/>
    </xf>
    <xf numFmtId="0" fontId="10" fillId="0" borderId="7" xfId="0" applyFont="1" applyBorder="1" applyAlignment="1">
      <alignment vertical="center"/>
    </xf>
    <xf numFmtId="0" fontId="10" fillId="0" borderId="0" xfId="0" applyFont="1" applyAlignment="1">
      <alignment vertical="center"/>
    </xf>
    <xf numFmtId="0" fontId="2" fillId="0" borderId="0" xfId="0" applyFont="1" applyAlignment="1">
      <alignment horizontal="center" vertical="center"/>
    </xf>
    <xf numFmtId="49" fontId="6" fillId="0" borderId="0" xfId="0" applyNumberFormat="1" applyFont="1" applyAlignment="1">
      <alignment horizontal="right" vertical="center"/>
    </xf>
    <xf numFmtId="49" fontId="6" fillId="0" borderId="7" xfId="0" applyNumberFormat="1" applyFont="1" applyBorder="1" applyAlignment="1">
      <alignment horizontal="center" vertical="center"/>
    </xf>
    <xf numFmtId="49" fontId="6" fillId="0" borderId="13" xfId="0" applyNumberFormat="1" applyFont="1" applyBorder="1" applyAlignment="1">
      <alignment horizontal="center" vertical="center"/>
    </xf>
    <xf numFmtId="0" fontId="6" fillId="0" borderId="13" xfId="0" applyFont="1" applyBorder="1" applyAlignment="1">
      <alignment vertical="center"/>
    </xf>
    <xf numFmtId="43" fontId="6" fillId="0" borderId="12" xfId="0" applyNumberFormat="1" applyFont="1" applyBorder="1" applyAlignment="1">
      <alignment horizontal="right" vertical="center"/>
    </xf>
    <xf numFmtId="0" fontId="2" fillId="0" borderId="13" xfId="0" applyFont="1" applyBorder="1" applyAlignment="1">
      <alignment vertical="center"/>
    </xf>
    <xf numFmtId="49" fontId="6" fillId="0" borderId="7" xfId="0" applyNumberFormat="1" applyFont="1" applyBorder="1" applyAlignment="1">
      <alignment vertical="center"/>
    </xf>
    <xf numFmtId="206" fontId="11" fillId="6" borderId="0" xfId="6" applyNumberFormat="1" applyFill="1" applyAlignment="1" applyProtection="1">
      <alignment horizontal="left" vertical="center" shrinkToFit="1"/>
      <protection locked="0" hidden="1"/>
    </xf>
    <xf numFmtId="0" fontId="12" fillId="0" borderId="0" xfId="6" applyFont="1" applyAlignment="1" applyProtection="1">
      <alignment horizontal="left" vertical="center" wrapText="1"/>
    </xf>
    <xf numFmtId="0" fontId="5" fillId="0" borderId="0" xfId="0" applyFont="1" applyAlignment="1">
      <alignment horizontal="center" vertical="center" wrapText="1"/>
    </xf>
    <xf numFmtId="0" fontId="6" fillId="0" borderId="0" xfId="0" applyFont="1" applyAlignment="1">
      <alignment horizontal="right" vertical="center"/>
    </xf>
    <xf numFmtId="0" fontId="6" fillId="0" borderId="7" xfId="0" applyFont="1" applyBorder="1" applyAlignment="1">
      <alignment horizontal="center" vertical="center" wrapText="1"/>
    </xf>
    <xf numFmtId="0" fontId="6" fillId="0" borderId="7" xfId="0" applyFont="1" applyBorder="1" applyAlignment="1">
      <alignment horizontal="left" vertical="center" shrinkToFit="1"/>
    </xf>
    <xf numFmtId="208" fontId="6" fillId="0" borderId="7" xfId="0" applyNumberFormat="1" applyFont="1" applyBorder="1" applyAlignment="1">
      <alignment horizontal="center" vertical="center" shrinkToFit="1"/>
    </xf>
    <xf numFmtId="0" fontId="2" fillId="0" borderId="7" xfId="0" applyFont="1" applyBorder="1" applyAlignment="1">
      <alignment horizontal="center" vertical="center" shrinkToFit="1"/>
    </xf>
    <xf numFmtId="0" fontId="2" fillId="0" borderId="7" xfId="0" applyFont="1" applyBorder="1" applyAlignment="1">
      <alignment horizontal="left" vertical="center" shrinkToFit="1"/>
    </xf>
    <xf numFmtId="14" fontId="6" fillId="7" borderId="7" xfId="0" applyNumberFormat="1" applyFont="1" applyFill="1" applyBorder="1" applyAlignment="1">
      <alignment horizontal="center" vertical="center"/>
    </xf>
    <xf numFmtId="0" fontId="6" fillId="7" borderId="7" xfId="0" applyFont="1" applyFill="1" applyBorder="1" applyAlignment="1">
      <alignment horizontal="center" vertical="center"/>
    </xf>
    <xf numFmtId="0" fontId="2" fillId="0" borderId="7" xfId="0" applyFont="1" applyBorder="1" applyAlignment="1">
      <alignment horizontal="center" vertical="center" wrapText="1" shrinkToFit="1"/>
    </xf>
    <xf numFmtId="0" fontId="6" fillId="0" borderId="7" xfId="0" applyFont="1" applyBorder="1" applyAlignment="1">
      <alignment horizontal="center" vertical="center" shrinkToFit="1"/>
    </xf>
    <xf numFmtId="0" fontId="13" fillId="0" borderId="0" xfId="0" applyFont="1" applyAlignment="1">
      <alignment vertical="center"/>
    </xf>
    <xf numFmtId="0" fontId="13" fillId="0" borderId="0" xfId="0" applyFont="1" applyAlignment="1">
      <alignment horizontal="center" vertical="center" wrapText="1"/>
    </xf>
    <xf numFmtId="0" fontId="7" fillId="0" borderId="0" xfId="6" applyAlignment="1" applyProtection="1"/>
    <xf numFmtId="0" fontId="2" fillId="0" borderId="7" xfId="0" applyFont="1" applyBorder="1" applyAlignment="1">
      <alignment horizontal="left" vertical="center"/>
    </xf>
    <xf numFmtId="206" fontId="8" fillId="6" borderId="0" xfId="6" applyNumberFormat="1" applyFont="1" applyFill="1" applyAlignment="1" applyProtection="1">
      <alignment horizontal="left" vertical="center" shrinkToFit="1"/>
      <protection locked="0" hidden="1"/>
    </xf>
    <xf numFmtId="14" fontId="6" fillId="0" borderId="0" xfId="0" applyNumberFormat="1" applyFont="1" applyAlignment="1">
      <alignment horizontal="center" vertical="center" wrapText="1"/>
    </xf>
    <xf numFmtId="0" fontId="2" fillId="0" borderId="0" xfId="0" applyFont="1" applyAlignment="1">
      <alignment horizontal="center" vertical="center" wrapText="1"/>
    </xf>
    <xf numFmtId="209" fontId="6" fillId="0" borderId="7" xfId="0" applyNumberFormat="1" applyFont="1" applyBorder="1" applyAlignment="1">
      <alignment horizontal="center" vertical="center"/>
    </xf>
    <xf numFmtId="10" fontId="6" fillId="0" borderId="0" xfId="0" applyNumberFormat="1" applyFont="1" applyAlignment="1">
      <alignment vertical="center"/>
    </xf>
    <xf numFmtId="209" fontId="2" fillId="0" borderId="0" xfId="0" applyNumberFormat="1" applyFont="1" applyAlignment="1">
      <alignment vertical="center"/>
    </xf>
    <xf numFmtId="0" fontId="2" fillId="0" borderId="0" xfId="0" applyFont="1" applyAlignment="1">
      <alignment vertical="center"/>
    </xf>
    <xf numFmtId="0" fontId="2" fillId="0" borderId="0" xfId="0" applyFont="1" applyAlignment="1">
      <alignment vertical="center" wrapText="1"/>
    </xf>
    <xf numFmtId="0" fontId="6" fillId="0" borderId="7" xfId="0" applyFont="1" applyBorder="1" applyAlignment="1">
      <alignment vertical="center" shrinkToFit="1"/>
    </xf>
    <xf numFmtId="0" fontId="2" fillId="0" borderId="8" xfId="0" applyFont="1" applyBorder="1" applyAlignment="1">
      <alignment horizontal="center" vertical="center"/>
    </xf>
    <xf numFmtId="209" fontId="6" fillId="0" borderId="0" xfId="0" applyNumberFormat="1" applyFont="1" applyAlignment="1">
      <alignment vertical="center"/>
    </xf>
    <xf numFmtId="0" fontId="0" fillId="0" borderId="0" xfId="194"/>
    <xf numFmtId="207" fontId="6" fillId="0" borderId="0" xfId="194" applyNumberFormat="1" applyFont="1" applyAlignment="1">
      <alignment horizontal="center" vertical="center"/>
    </xf>
    <xf numFmtId="0" fontId="6" fillId="0" borderId="0" xfId="194" applyFont="1" applyAlignment="1">
      <alignment horizontal="center" vertical="center"/>
    </xf>
    <xf numFmtId="0" fontId="6" fillId="0" borderId="0" xfId="194" applyFont="1" applyAlignment="1">
      <alignment horizontal="right" vertical="center"/>
    </xf>
    <xf numFmtId="0" fontId="9" fillId="0" borderId="0" xfId="194" applyFont="1" applyAlignment="1">
      <alignment horizontal="center" vertical="center" wrapText="1"/>
    </xf>
    <xf numFmtId="207" fontId="2" fillId="0" borderId="0" xfId="194" applyNumberFormat="1" applyFont="1" applyAlignment="1">
      <alignment horizontal="center" vertical="center"/>
    </xf>
    <xf numFmtId="0" fontId="6" fillId="0" borderId="0" xfId="194" applyFont="1" applyAlignment="1">
      <alignment vertical="center"/>
    </xf>
    <xf numFmtId="0" fontId="2" fillId="0" borderId="0" xfId="194" applyFont="1" applyAlignment="1">
      <alignment horizontal="right" vertical="center"/>
    </xf>
    <xf numFmtId="0" fontId="2" fillId="0" borderId="7" xfId="194" applyFont="1" applyBorder="1" applyAlignment="1">
      <alignment horizontal="center" vertical="center" wrapText="1"/>
    </xf>
    <xf numFmtId="0" fontId="2" fillId="0" borderId="8" xfId="194" applyFont="1" applyBorder="1" applyAlignment="1">
      <alignment horizontal="center" vertical="center" wrapText="1"/>
    </xf>
    <xf numFmtId="0" fontId="6" fillId="0" borderId="7" xfId="194" applyFont="1" applyBorder="1" applyAlignment="1">
      <alignment horizontal="center" vertical="center"/>
    </xf>
    <xf numFmtId="14" fontId="6" fillId="0" borderId="7" xfId="194" applyNumberFormat="1" applyFont="1" applyBorder="1" applyAlignment="1">
      <alignment horizontal="center" vertical="center"/>
    </xf>
    <xf numFmtId="43" fontId="6" fillId="0" borderId="7" xfId="194" applyNumberFormat="1" applyFont="1" applyBorder="1" applyAlignment="1">
      <alignment horizontal="right" vertical="center"/>
    </xf>
    <xf numFmtId="43" fontId="6" fillId="0" borderId="8" xfId="194" applyNumberFormat="1" applyFont="1" applyBorder="1" applyAlignment="1">
      <alignment horizontal="right" vertical="center"/>
    </xf>
    <xf numFmtId="0" fontId="6" fillId="0" borderId="7" xfId="194" applyFont="1" applyBorder="1" applyAlignment="1">
      <alignment vertical="center"/>
    </xf>
    <xf numFmtId="0" fontId="2" fillId="0" borderId="13" xfId="194" applyFont="1" applyBorder="1" applyAlignment="1">
      <alignment horizontal="center" vertical="center"/>
    </xf>
    <xf numFmtId="0" fontId="2" fillId="0" borderId="9" xfId="194" applyFont="1" applyBorder="1" applyAlignment="1">
      <alignment horizontal="center" vertical="center"/>
    </xf>
    <xf numFmtId="49" fontId="2" fillId="0" borderId="10" xfId="194" applyNumberFormat="1" applyFont="1" applyBorder="1" applyAlignment="1">
      <alignment horizontal="left" vertical="center"/>
    </xf>
    <xf numFmtId="49" fontId="6" fillId="0" borderId="0" xfId="194" applyNumberFormat="1" applyFont="1" applyAlignment="1">
      <alignment vertical="center"/>
    </xf>
    <xf numFmtId="49" fontId="6" fillId="0" borderId="7" xfId="0" applyNumberFormat="1" applyFont="1" applyBorder="1" applyAlignment="1">
      <alignment horizontal="left" vertical="center"/>
    </xf>
    <xf numFmtId="49" fontId="14" fillId="0" borderId="7" xfId="0" applyNumberFormat="1" applyFont="1" applyBorder="1" applyAlignment="1">
      <alignment horizontal="left" vertical="center"/>
    </xf>
    <xf numFmtId="0" fontId="2" fillId="8" borderId="7" xfId="193" applyFont="1" applyFill="1" applyBorder="1" applyAlignment="1">
      <alignment horizontal="center" vertical="center"/>
    </xf>
    <xf numFmtId="0" fontId="2" fillId="0" borderId="7" xfId="184" applyFont="1" applyBorder="1" applyAlignment="1">
      <alignment horizontal="center" vertical="center" wrapText="1"/>
    </xf>
    <xf numFmtId="0" fontId="6" fillId="0" borderId="7" xfId="184" applyFont="1" applyBorder="1" applyAlignment="1">
      <alignment horizontal="center" vertical="center" wrapText="1"/>
    </xf>
    <xf numFmtId="0" fontId="6" fillId="8" borderId="7" xfId="0" applyFont="1" applyFill="1" applyBorder="1" applyAlignment="1">
      <alignment horizontal="left" vertical="center"/>
    </xf>
    <xf numFmtId="0" fontId="6" fillId="8" borderId="7" xfId="0" applyFont="1" applyFill="1" applyBorder="1" applyAlignment="1">
      <alignment horizontal="center" vertical="center"/>
    </xf>
    <xf numFmtId="0" fontId="2" fillId="0" borderId="5" xfId="0" applyFont="1" applyBorder="1" applyAlignment="1">
      <alignment horizontal="center" vertical="center" wrapText="1"/>
    </xf>
    <xf numFmtId="0" fontId="6" fillId="0" borderId="8" xfId="0" applyFont="1" applyBorder="1" applyAlignment="1">
      <alignment horizontal="center" vertical="center"/>
    </xf>
    <xf numFmtId="0" fontId="15" fillId="0" borderId="7" xfId="6" applyFont="1" applyBorder="1" applyAlignment="1" applyProtection="1">
      <alignment vertical="center"/>
    </xf>
    <xf numFmtId="0" fontId="16" fillId="0" borderId="7" xfId="0" applyFont="1" applyBorder="1" applyAlignment="1">
      <alignment vertical="center"/>
    </xf>
    <xf numFmtId="43" fontId="6" fillId="7" borderId="7" xfId="0" applyNumberFormat="1" applyFont="1" applyFill="1" applyBorder="1" applyAlignment="1">
      <alignment horizontal="right" vertical="center"/>
    </xf>
    <xf numFmtId="14" fontId="6" fillId="0" borderId="0" xfId="0" applyNumberFormat="1" applyFont="1" applyAlignment="1">
      <alignment vertical="center"/>
    </xf>
    <xf numFmtId="14" fontId="6" fillId="5" borderId="8" xfId="0" applyNumberFormat="1" applyFont="1" applyFill="1" applyBorder="1" applyAlignment="1">
      <alignment horizontal="center" vertical="center" wrapText="1"/>
    </xf>
    <xf numFmtId="43" fontId="6" fillId="5" borderId="7" xfId="191" applyNumberFormat="1" applyFill="1" applyAlignment="1">
      <alignment horizontal="center" vertical="center" wrapText="1"/>
    </xf>
    <xf numFmtId="210" fontId="6" fillId="5" borderId="7" xfId="0" applyNumberFormat="1" applyFont="1" applyFill="1" applyBorder="1" applyAlignment="1">
      <alignment horizontal="center" vertical="center" wrapText="1" shrinkToFit="1"/>
    </xf>
    <xf numFmtId="210" fontId="2" fillId="5" borderId="7" xfId="0" applyNumberFormat="1" applyFont="1" applyFill="1" applyBorder="1" applyAlignment="1">
      <alignment horizontal="center" vertical="center" wrapText="1" shrinkToFit="1"/>
    </xf>
    <xf numFmtId="43" fontId="6" fillId="5" borderId="7" xfId="1" applyFont="1" applyFill="1" applyBorder="1" applyAlignment="1">
      <alignment horizontal="center" vertical="center" wrapText="1" shrinkToFit="1"/>
    </xf>
    <xf numFmtId="43" fontId="17" fillId="5" borderId="7" xfId="1" applyFont="1" applyFill="1" applyBorder="1" applyAlignment="1">
      <alignment horizontal="center" vertical="center" wrapText="1"/>
    </xf>
    <xf numFmtId="43" fontId="6" fillId="5" borderId="7" xfId="1" applyFont="1" applyFill="1" applyBorder="1" applyAlignment="1">
      <alignment horizontal="center" vertical="center" wrapText="1"/>
    </xf>
    <xf numFmtId="43" fontId="6" fillId="5" borderId="7" xfId="206" applyNumberFormat="1" applyFont="1" applyFill="1" applyBorder="1" applyAlignment="1">
      <alignment horizontal="center" vertical="center" wrapText="1"/>
    </xf>
    <xf numFmtId="43" fontId="6" fillId="5" borderId="7" xfId="0" applyNumberFormat="1" applyFont="1" applyFill="1" applyBorder="1" applyAlignment="1">
      <alignment horizontal="center" vertical="center" wrapText="1"/>
    </xf>
    <xf numFmtId="210" fontId="6" fillId="5" borderId="11" xfId="0" applyNumberFormat="1" applyFont="1" applyFill="1" applyBorder="1" applyAlignment="1">
      <alignment horizontal="center" vertical="center"/>
    </xf>
    <xf numFmtId="211" fontId="6" fillId="0" borderId="7" xfId="0" applyNumberFormat="1" applyFont="1" applyBorder="1" applyAlignment="1">
      <alignment horizontal="center" vertical="center"/>
    </xf>
    <xf numFmtId="209" fontId="6" fillId="0" borderId="8" xfId="0" applyNumberFormat="1" applyFont="1" applyBorder="1" applyAlignment="1">
      <alignment horizontal="center" vertical="center"/>
    </xf>
    <xf numFmtId="209" fontId="6" fillId="0" borderId="7" xfId="206" applyNumberFormat="1" applyFont="1" applyBorder="1" applyAlignment="1">
      <alignment horizontal="center" vertical="center"/>
    </xf>
    <xf numFmtId="9" fontId="6" fillId="0" borderId="0" xfId="0" applyNumberFormat="1" applyFont="1" applyAlignment="1">
      <alignment horizontal="center" vertical="center"/>
    </xf>
    <xf numFmtId="209" fontId="6" fillId="0" borderId="7" xfId="1" applyNumberFormat="1" applyFont="1" applyBorder="1" applyAlignment="1">
      <alignment horizontal="right" vertical="center" shrinkToFit="1"/>
    </xf>
    <xf numFmtId="0" fontId="18" fillId="0" borderId="0" xfId="0" applyFont="1"/>
    <xf numFmtId="209" fontId="6" fillId="0" borderId="7" xfId="0" applyNumberFormat="1" applyFont="1" applyBorder="1" applyAlignment="1">
      <alignment horizontal="right" vertical="center"/>
    </xf>
    <xf numFmtId="209" fontId="6" fillId="0" borderId="7" xfId="206" applyNumberFormat="1" applyFont="1" applyBorder="1" applyAlignment="1">
      <alignment horizontal="right" vertical="center"/>
    </xf>
    <xf numFmtId="0" fontId="7" fillId="0" borderId="0" xfId="6" applyAlignment="1" applyProtection="1">
      <alignment vertical="center"/>
    </xf>
    <xf numFmtId="0" fontId="19" fillId="0" borderId="0" xfId="6" applyFont="1" applyAlignment="1" applyProtection="1">
      <alignment vertical="center"/>
    </xf>
    <xf numFmtId="0" fontId="11" fillId="0" borderId="0" xfId="6" applyAlignment="1" applyProtection="1">
      <alignment vertical="center"/>
    </xf>
    <xf numFmtId="0" fontId="20" fillId="0" borderId="0" xfId="6" applyFont="1" applyAlignment="1" applyProtection="1">
      <alignment vertical="center"/>
    </xf>
    <xf numFmtId="0" fontId="7" fillId="0" borderId="0" xfId="6" applyAlignment="1" applyProtection="1">
      <alignment vertical="top"/>
      <protection locked="0"/>
    </xf>
    <xf numFmtId="0" fontId="21" fillId="0" borderId="7" xfId="0" applyFont="1" applyBorder="1" applyAlignment="1">
      <alignment shrinkToFit="1"/>
    </xf>
    <xf numFmtId="212" fontId="6" fillId="0" borderId="0" xfId="0" applyNumberFormat="1" applyFont="1" applyAlignment="1">
      <alignment vertical="center"/>
    </xf>
    <xf numFmtId="0" fontId="6" fillId="8" borderId="7" xfId="193" applyFont="1" applyFill="1" applyBorder="1" applyAlignment="1">
      <alignment horizontal="center" vertical="center"/>
    </xf>
    <xf numFmtId="0" fontId="10" fillId="0" borderId="7" xfId="183" applyFont="1" applyBorder="1" applyAlignment="1">
      <alignment horizontal="center" vertical="center" wrapText="1"/>
    </xf>
    <xf numFmtId="0" fontId="6" fillId="8" borderId="7" xfId="0" applyFont="1" applyFill="1" applyBorder="1" applyAlignment="1">
      <alignment horizontal="left" vertical="center" shrinkToFit="1"/>
    </xf>
    <xf numFmtId="209" fontId="6" fillId="0" borderId="0" xfId="0" applyNumberFormat="1" applyFont="1" applyAlignment="1">
      <alignment horizontal="center" vertical="center"/>
    </xf>
    <xf numFmtId="10" fontId="6" fillId="0" borderId="0" xfId="0" applyNumberFormat="1" applyFont="1" applyAlignment="1">
      <alignment horizontal="center" vertical="center"/>
    </xf>
    <xf numFmtId="43" fontId="6" fillId="0" borderId="0" xfId="0" applyNumberFormat="1" applyFont="1" applyAlignment="1">
      <alignment horizontal="center" vertical="center"/>
    </xf>
    <xf numFmtId="10" fontId="6" fillId="0" borderId="0" xfId="182" applyNumberFormat="1" applyFont="1" applyAlignment="1">
      <alignment vertical="center"/>
    </xf>
    <xf numFmtId="213" fontId="6" fillId="0" borderId="0" xfId="0" applyNumberFormat="1" applyFont="1" applyAlignment="1">
      <alignment horizontal="center" vertical="center"/>
    </xf>
    <xf numFmtId="0" fontId="5" fillId="0" borderId="0" xfId="0" applyFont="1" applyAlignment="1">
      <alignment horizontal="center" vertical="center"/>
    </xf>
    <xf numFmtId="0" fontId="22" fillId="0" borderId="0" xfId="0" applyFont="1" applyAlignment="1">
      <alignment vertical="center"/>
    </xf>
    <xf numFmtId="0" fontId="17" fillId="0" borderId="0" xfId="0" applyFont="1" applyAlignment="1">
      <alignment vertical="center"/>
    </xf>
    <xf numFmtId="0" fontId="6" fillId="8" borderId="7" xfId="193" applyFont="1" applyFill="1" applyBorder="1" applyAlignment="1">
      <alignment horizontal="center" vertical="center" shrinkToFit="1"/>
    </xf>
    <xf numFmtId="0" fontId="13" fillId="0" borderId="0" xfId="188" applyFont="1" applyAlignment="1">
      <alignment vertical="center"/>
    </xf>
    <xf numFmtId="0" fontId="6" fillId="0" borderId="0" xfId="188" applyFont="1" applyAlignment="1">
      <alignment vertical="center"/>
    </xf>
    <xf numFmtId="0" fontId="6" fillId="0" borderId="0" xfId="192" applyFont="1" applyAlignment="1">
      <alignment vertical="center"/>
    </xf>
    <xf numFmtId="0" fontId="23" fillId="0" borderId="0" xfId="192" applyAlignment="1">
      <alignment vertical="center"/>
    </xf>
    <xf numFmtId="0" fontId="23" fillId="0" borderId="0" xfId="192" applyAlignment="1">
      <alignment horizontal="left" vertical="center"/>
    </xf>
    <xf numFmtId="49" fontId="23" fillId="0" borderId="0" xfId="192" applyNumberFormat="1" applyAlignment="1">
      <alignment vertical="center"/>
    </xf>
    <xf numFmtId="214" fontId="23" fillId="0" borderId="0" xfId="192" applyNumberFormat="1" applyAlignment="1">
      <alignment vertical="center"/>
    </xf>
    <xf numFmtId="206" fontId="24" fillId="0" borderId="0" xfId="6" applyNumberFormat="1" applyFont="1" applyAlignment="1" applyProtection="1">
      <alignment horizontal="left" vertical="center" shrinkToFit="1"/>
      <protection locked="0" hidden="1"/>
    </xf>
    <xf numFmtId="0" fontId="24" fillId="0" borderId="0" xfId="6" applyFont="1" applyAlignment="1" applyProtection="1">
      <alignment horizontal="left" vertical="center" wrapText="1"/>
    </xf>
    <xf numFmtId="0" fontId="13" fillId="0" borderId="0" xfId="188" applyFont="1" applyAlignment="1">
      <alignment horizontal="center" vertical="center" wrapText="1"/>
    </xf>
    <xf numFmtId="207" fontId="6" fillId="0" borderId="0" xfId="188" applyNumberFormat="1" applyFont="1" applyAlignment="1">
      <alignment horizontal="center" vertical="center"/>
    </xf>
    <xf numFmtId="207" fontId="6" fillId="0" borderId="0" xfId="188" applyNumberFormat="1" applyFont="1" applyAlignment="1">
      <alignment vertical="center"/>
    </xf>
    <xf numFmtId="0" fontId="2" fillId="0" borderId="0" xfId="188" applyFont="1" applyAlignment="1">
      <alignment horizontal="right" vertical="center"/>
    </xf>
    <xf numFmtId="0" fontId="6" fillId="0" borderId="7" xfId="192" applyFont="1" applyBorder="1" applyAlignment="1">
      <alignment horizontal="center" vertical="center"/>
    </xf>
    <xf numFmtId="49" fontId="2" fillId="0" borderId="7" xfId="184" applyNumberFormat="1" applyFont="1" applyBorder="1" applyAlignment="1">
      <alignment horizontal="center" vertical="center" wrapText="1"/>
    </xf>
    <xf numFmtId="0" fontId="2" fillId="0" borderId="14" xfId="184" applyFont="1" applyBorder="1" applyAlignment="1">
      <alignment horizontal="center" vertical="center" wrapText="1"/>
    </xf>
    <xf numFmtId="0" fontId="0" fillId="0" borderId="15" xfId="0" applyBorder="1"/>
    <xf numFmtId="0" fontId="2" fillId="0" borderId="8" xfId="188" applyFont="1" applyBorder="1" applyAlignment="1">
      <alignment horizontal="center" vertical="center"/>
    </xf>
    <xf numFmtId="0" fontId="2" fillId="0" borderId="13" xfId="184" applyFont="1" applyBorder="1" applyAlignment="1">
      <alignment horizontal="center" vertical="center" wrapText="1"/>
    </xf>
    <xf numFmtId="0" fontId="2" fillId="0" borderId="7" xfId="188" applyFont="1" applyBorder="1" applyAlignment="1">
      <alignment horizontal="center" vertical="center"/>
    </xf>
    <xf numFmtId="0" fontId="2" fillId="0" borderId="7" xfId="188" applyFont="1" applyBorder="1" applyAlignment="1">
      <alignment horizontal="center" vertical="center" wrapText="1"/>
    </xf>
    <xf numFmtId="0" fontId="0" fillId="0" borderId="16" xfId="0" applyBorder="1"/>
    <xf numFmtId="0" fontId="25" fillId="0" borderId="7" xfId="184" applyFont="1" applyBorder="1" applyAlignment="1">
      <alignment horizontal="center" vertical="center" wrapText="1"/>
    </xf>
    <xf numFmtId="0" fontId="0" fillId="0" borderId="17" xfId="0" applyBorder="1"/>
    <xf numFmtId="0" fontId="0" fillId="0" borderId="18" xfId="0" applyBorder="1"/>
    <xf numFmtId="0" fontId="26" fillId="0" borderId="7" xfId="184" applyFont="1" applyBorder="1" applyAlignment="1">
      <alignment horizontal="center" vertical="center" wrapText="1"/>
    </xf>
    <xf numFmtId="43" fontId="6" fillId="0" borderId="7" xfId="1" applyFont="1" applyBorder="1" applyAlignment="1">
      <alignment horizontal="center" vertical="center" wrapText="1"/>
    </xf>
    <xf numFmtId="43" fontId="6" fillId="0" borderId="7" xfId="188" applyNumberFormat="1" applyFont="1" applyBorder="1" applyAlignment="1">
      <alignment horizontal="right" vertical="center"/>
    </xf>
    <xf numFmtId="0" fontId="6" fillId="0" borderId="7" xfId="0" applyFont="1" applyBorder="1" applyAlignment="1">
      <alignment horizontal="left"/>
    </xf>
    <xf numFmtId="0" fontId="6" fillId="0" borderId="7" xfId="184" applyFont="1" applyBorder="1" applyAlignment="1">
      <alignment horizontal="left" vertical="center" wrapText="1"/>
    </xf>
    <xf numFmtId="58" fontId="6" fillId="0" borderId="7" xfId="184" applyNumberFormat="1" applyFont="1" applyBorder="1" applyAlignment="1">
      <alignment horizontal="center" vertical="center" wrapText="1"/>
    </xf>
    <xf numFmtId="0" fontId="2" fillId="0" borderId="7" xfId="192" applyFont="1" applyBorder="1" applyAlignment="1">
      <alignment vertical="center"/>
    </xf>
    <xf numFmtId="14" fontId="6" fillId="0" borderId="7" xfId="184" applyNumberFormat="1" applyFont="1" applyBorder="1" applyAlignment="1">
      <alignment horizontal="center" vertical="center" wrapText="1"/>
    </xf>
    <xf numFmtId="0" fontId="2" fillId="0" borderId="12" xfId="184" applyFont="1" applyBorder="1" applyAlignment="1">
      <alignment horizontal="center" vertical="center" wrapText="1"/>
    </xf>
    <xf numFmtId="0" fontId="6" fillId="0" borderId="7" xfId="184" applyFont="1" applyBorder="1" applyAlignment="1">
      <alignment horizontal="center" vertical="center"/>
    </xf>
    <xf numFmtId="1" fontId="6" fillId="0" borderId="7" xfId="184" applyNumberFormat="1" applyFont="1" applyBorder="1" applyAlignment="1">
      <alignment horizontal="left" vertical="center"/>
    </xf>
    <xf numFmtId="58" fontId="6" fillId="0" borderId="7" xfId="192" applyNumberFormat="1" applyFont="1" applyBorder="1" applyAlignment="1">
      <alignment horizontal="center" vertical="center"/>
    </xf>
    <xf numFmtId="49" fontId="6" fillId="0" borderId="7" xfId="184" applyNumberFormat="1" applyFont="1" applyBorder="1" applyAlignment="1">
      <alignment vertical="center"/>
    </xf>
    <xf numFmtId="0" fontId="6" fillId="0" borderId="7" xfId="184" applyFont="1" applyBorder="1" applyAlignment="1">
      <alignment vertical="center"/>
    </xf>
    <xf numFmtId="43" fontId="6" fillId="0" borderId="7" xfId="184" applyNumberFormat="1" applyFont="1" applyBorder="1" applyAlignment="1">
      <alignment horizontal="right" vertical="center"/>
    </xf>
    <xf numFmtId="43" fontId="6" fillId="0" borderId="14" xfId="184" applyNumberFormat="1" applyFont="1" applyBorder="1" applyAlignment="1">
      <alignment horizontal="right" vertical="center"/>
    </xf>
    <xf numFmtId="43" fontId="6" fillId="0" borderId="8" xfId="184" applyNumberFormat="1" applyFont="1" applyBorder="1" applyAlignment="1">
      <alignment horizontal="right" vertical="center"/>
    </xf>
    <xf numFmtId="49" fontId="6" fillId="0" borderId="0" xfId="188" applyNumberFormat="1" applyFont="1" applyAlignment="1">
      <alignment vertical="center"/>
    </xf>
    <xf numFmtId="0" fontId="2" fillId="0" borderId="7" xfId="0" applyFont="1" applyBorder="1" applyAlignment="1">
      <alignment vertical="center"/>
    </xf>
    <xf numFmtId="0" fontId="5" fillId="0" borderId="0" xfId="0" applyFont="1" applyAlignment="1">
      <alignment vertical="center" wrapText="1"/>
    </xf>
    <xf numFmtId="0" fontId="2" fillId="8" borderId="7" xfId="0" applyFont="1" applyFill="1" applyBorder="1" applyAlignment="1">
      <alignment horizontal="center" vertical="center" wrapText="1"/>
    </xf>
    <xf numFmtId="0" fontId="2" fillId="0" borderId="7" xfId="187" applyFont="1" applyBorder="1" applyAlignment="1">
      <alignment horizontal="center" vertical="center" wrapText="1"/>
    </xf>
    <xf numFmtId="0" fontId="6" fillId="8" borderId="7" xfId="0" applyFont="1" applyFill="1" applyBorder="1" applyAlignment="1">
      <alignment vertical="center"/>
    </xf>
    <xf numFmtId="49" fontId="6" fillId="0" borderId="17" xfId="0" applyNumberFormat="1" applyFont="1" applyBorder="1" applyAlignment="1">
      <alignment horizontal="center" vertical="center"/>
    </xf>
    <xf numFmtId="49" fontId="6" fillId="0" borderId="12" xfId="0" applyNumberFormat="1" applyFont="1" applyBorder="1" applyAlignment="1">
      <alignment horizontal="center" vertical="center"/>
    </xf>
    <xf numFmtId="0" fontId="16" fillId="0" borderId="7" xfId="6" applyFont="1" applyBorder="1" applyAlignment="1" applyProtection="1">
      <alignment vertical="center"/>
    </xf>
    <xf numFmtId="0" fontId="5" fillId="0" borderId="0" xfId="194" applyFont="1" applyAlignment="1">
      <alignment vertical="center"/>
    </xf>
    <xf numFmtId="0" fontId="6" fillId="0" borderId="0" xfId="194" applyFont="1" applyAlignment="1">
      <alignment horizontal="center" vertical="center" wrapText="1"/>
    </xf>
    <xf numFmtId="0" fontId="27" fillId="0" borderId="0" xfId="194" applyFont="1" applyAlignment="1">
      <alignment horizontal="center" vertical="center" wrapText="1"/>
    </xf>
    <xf numFmtId="207" fontId="6" fillId="0" borderId="17" xfId="194" applyNumberFormat="1" applyFont="1" applyBorder="1" applyAlignment="1">
      <alignment horizontal="left" vertical="center"/>
    </xf>
    <xf numFmtId="0" fontId="6" fillId="0" borderId="7" xfId="194" applyFont="1" applyBorder="1" applyAlignment="1">
      <alignment horizontal="left" vertical="center"/>
    </xf>
    <xf numFmtId="0" fontId="2" fillId="0" borderId="7" xfId="194" applyFont="1" applyBorder="1" applyAlignment="1">
      <alignment horizontal="center" vertical="center"/>
    </xf>
    <xf numFmtId="0" fontId="0" fillId="0" borderId="8" xfId="194" applyBorder="1"/>
    <xf numFmtId="0" fontId="6" fillId="0" borderId="7" xfId="194" applyFont="1" applyBorder="1" applyAlignment="1">
      <alignment horizontal="right" vertical="center"/>
    </xf>
    <xf numFmtId="0" fontId="2" fillId="0" borderId="7" xfId="194" applyFont="1" applyBorder="1" applyAlignment="1">
      <alignment horizontal="left" vertical="center"/>
    </xf>
    <xf numFmtId="0" fontId="2" fillId="0" borderId="8" xfId="194" applyFont="1" applyBorder="1" applyAlignment="1">
      <alignment horizontal="center" vertical="center"/>
    </xf>
    <xf numFmtId="0" fontId="5" fillId="0" borderId="0" xfId="194" applyFont="1" applyAlignment="1">
      <alignment vertical="center" wrapText="1"/>
    </xf>
    <xf numFmtId="0" fontId="2" fillId="8" borderId="7" xfId="194" applyFont="1" applyFill="1" applyBorder="1" applyAlignment="1">
      <alignment horizontal="center" vertical="center" wrapText="1"/>
    </xf>
    <xf numFmtId="0" fontId="0" fillId="0" borderId="19" xfId="0" applyBorder="1"/>
    <xf numFmtId="43" fontId="6" fillId="0" borderId="7" xfId="194" applyNumberFormat="1" applyFont="1" applyBorder="1" applyAlignment="1">
      <alignment horizontal="center" vertical="center"/>
    </xf>
    <xf numFmtId="43" fontId="6" fillId="0" borderId="8" xfId="194" applyNumberFormat="1" applyFont="1" applyBorder="1" applyAlignment="1">
      <alignment horizontal="center" vertical="center"/>
    </xf>
    <xf numFmtId="0" fontId="6" fillId="8" borderId="7" xfId="194" applyFont="1" applyFill="1" applyBorder="1" applyAlignment="1">
      <alignment horizontal="left" vertical="center"/>
    </xf>
    <xf numFmtId="207" fontId="6" fillId="0" borderId="0" xfId="194" applyNumberFormat="1" applyFont="1" applyAlignment="1">
      <alignment horizontal="left" vertical="center"/>
    </xf>
    <xf numFmtId="0" fontId="2" fillId="0" borderId="17" xfId="194" applyFont="1" applyBorder="1" applyAlignment="1">
      <alignment horizontal="right" vertical="center"/>
    </xf>
    <xf numFmtId="209" fontId="6" fillId="0" borderId="0" xfId="0" applyNumberFormat="1" applyFont="1" applyAlignment="1">
      <alignment horizontal="right" vertical="center"/>
    </xf>
    <xf numFmtId="10" fontId="6" fillId="0" borderId="7" xfId="0" applyNumberFormat="1" applyFont="1" applyBorder="1" applyAlignment="1">
      <alignment horizontal="center" vertical="center"/>
    </xf>
    <xf numFmtId="4" fontId="6" fillId="0" borderId="7" xfId="0" applyNumberFormat="1" applyFont="1" applyBorder="1" applyAlignment="1">
      <alignment horizontal="center" vertical="center"/>
    </xf>
    <xf numFmtId="4" fontId="6" fillId="0" borderId="0" xfId="0" applyNumberFormat="1" applyFont="1" applyAlignment="1">
      <alignment vertical="center"/>
    </xf>
    <xf numFmtId="14" fontId="6" fillId="0" borderId="0" xfId="0" applyNumberFormat="1" applyFont="1" applyAlignment="1">
      <alignment horizontal="center" vertical="center"/>
    </xf>
    <xf numFmtId="209" fontId="6" fillId="0" borderId="0" xfId="0" applyNumberFormat="1" applyFont="1" applyAlignment="1">
      <alignment horizontal="center" vertical="center" wrapText="1"/>
    </xf>
    <xf numFmtId="43" fontId="6" fillId="0" borderId="8" xfId="0" applyNumberFormat="1" applyFont="1" applyBorder="1" applyAlignment="1">
      <alignment horizontal="right" vertical="center"/>
    </xf>
    <xf numFmtId="206" fontId="12" fillId="6" borderId="0" xfId="6" applyNumberFormat="1" applyFont="1" applyFill="1" applyAlignment="1" applyProtection="1">
      <alignment horizontal="left" vertical="center" shrinkToFit="1"/>
      <protection locked="0" hidden="1"/>
    </xf>
    <xf numFmtId="0" fontId="6" fillId="0" borderId="0" xfId="0" applyFont="1" applyAlignment="1">
      <alignment vertical="center" wrapText="1"/>
    </xf>
    <xf numFmtId="0" fontId="12" fillId="0" borderId="0" xfId="6" applyFont="1" applyAlignment="1" applyProtection="1">
      <alignment horizontal="left" vertical="center"/>
    </xf>
    <xf numFmtId="209" fontId="6" fillId="0" borderId="5" xfId="0" applyNumberFormat="1" applyFont="1" applyBorder="1" applyAlignment="1">
      <alignment horizontal="center" vertical="center"/>
    </xf>
    <xf numFmtId="0" fontId="6" fillId="0" borderId="5" xfId="0" applyFont="1" applyBorder="1" applyAlignment="1">
      <alignment horizontal="center" vertical="center"/>
    </xf>
    <xf numFmtId="0" fontId="6" fillId="9" borderId="0" xfId="208" applyFill="1" applyAlignment="1">
      <alignment horizontal="center" vertical="center"/>
    </xf>
    <xf numFmtId="49" fontId="6" fillId="0" borderId="7" xfId="0" applyNumberFormat="1" applyFont="1" applyBorder="1" applyAlignment="1">
      <alignment horizontal="left" vertical="center" shrinkToFit="1"/>
    </xf>
    <xf numFmtId="49" fontId="6" fillId="0" borderId="12" xfId="0" applyNumberFormat="1" applyFont="1" applyBorder="1" applyAlignment="1">
      <alignment horizontal="center" vertical="center" wrapText="1"/>
    </xf>
    <xf numFmtId="0" fontId="6" fillId="0" borderId="7" xfId="185" applyFont="1" applyBorder="1" applyAlignment="1">
      <alignment horizontal="right" vertical="center" wrapText="1"/>
    </xf>
    <xf numFmtId="43" fontId="6" fillId="0" borderId="7" xfId="0" applyNumberFormat="1" applyFont="1" applyBorder="1" applyAlignment="1">
      <alignment horizontal="right" vertical="center" wrapText="1"/>
    </xf>
    <xf numFmtId="43" fontId="6" fillId="0" borderId="7" xfId="185" applyNumberFormat="1" applyFont="1" applyBorder="1" applyAlignment="1">
      <alignment horizontal="right" vertical="center" wrapText="1"/>
    </xf>
    <xf numFmtId="209" fontId="6" fillId="0" borderId="7" xfId="0" applyNumberFormat="1" applyFont="1" applyBorder="1" applyAlignment="1">
      <alignment horizontal="right" vertical="center" wrapText="1"/>
    </xf>
    <xf numFmtId="0" fontId="6" fillId="0" borderId="7" xfId="0" applyFont="1" applyBorder="1" applyAlignment="1">
      <alignment vertical="center" wrapText="1"/>
    </xf>
    <xf numFmtId="43" fontId="6" fillId="0" borderId="0" xfId="1" applyFont="1" applyAlignment="1">
      <alignment horizontal="center" vertical="center" wrapText="1"/>
    </xf>
    <xf numFmtId="10" fontId="6" fillId="9" borderId="0" xfId="0" applyNumberFormat="1" applyFont="1" applyFill="1" applyAlignment="1">
      <alignment horizontal="center" vertical="center" wrapText="1"/>
    </xf>
    <xf numFmtId="49" fontId="6" fillId="9" borderId="0" xfId="0" applyNumberFormat="1" applyFont="1" applyFill="1" applyAlignment="1">
      <alignment horizontal="center" vertical="center" wrapText="1"/>
    </xf>
    <xf numFmtId="209" fontId="6" fillId="9" borderId="7" xfId="206" applyNumberFormat="1" applyFont="1" applyFill="1" applyBorder="1" applyAlignment="1" applyProtection="1">
      <alignment horizontal="center" vertical="center" wrapText="1"/>
      <protection locked="0"/>
    </xf>
    <xf numFmtId="49" fontId="6" fillId="0" borderId="0" xfId="0" applyNumberFormat="1" applyFont="1" applyAlignment="1">
      <alignment horizontal="center" vertical="center" wrapText="1"/>
    </xf>
    <xf numFmtId="0" fontId="6" fillId="9" borderId="0" xfId="0" applyFont="1" applyFill="1" applyAlignment="1">
      <alignment vertical="center" wrapText="1"/>
    </xf>
    <xf numFmtId="0" fontId="0" fillId="0" borderId="0" xfId="0" applyAlignment="1">
      <alignment wrapText="1"/>
    </xf>
    <xf numFmtId="49" fontId="6" fillId="0" borderId="0" xfId="0" applyNumberFormat="1" applyFont="1" applyAlignment="1">
      <alignment horizontal="center" vertical="center"/>
    </xf>
    <xf numFmtId="43" fontId="6" fillId="0" borderId="0" xfId="1" applyFont="1" applyAlignment="1">
      <alignment vertical="center"/>
    </xf>
    <xf numFmtId="209" fontId="6" fillId="0" borderId="0" xfId="0" applyNumberFormat="1" applyFont="1" applyAlignment="1">
      <alignment vertical="center" wrapText="1"/>
    </xf>
    <xf numFmtId="0" fontId="6" fillId="0" borderId="7" xfId="185" applyFont="1" applyBorder="1" applyAlignment="1">
      <alignment horizontal="right" vertical="center"/>
    </xf>
    <xf numFmtId="43" fontId="6" fillId="0" borderId="7" xfId="185" applyNumberFormat="1" applyFont="1" applyBorder="1" applyAlignment="1">
      <alignment horizontal="right" vertical="center"/>
    </xf>
    <xf numFmtId="43" fontId="6" fillId="0" borderId="0" xfId="1" applyFont="1" applyAlignment="1">
      <alignment horizontal="center" vertical="center"/>
    </xf>
    <xf numFmtId="209" fontId="6" fillId="9" borderId="7" xfId="206" applyNumberFormat="1" applyFont="1" applyFill="1" applyBorder="1" applyAlignment="1" applyProtection="1">
      <alignment horizontal="center" vertical="center"/>
      <protection locked="0"/>
    </xf>
    <xf numFmtId="0" fontId="6" fillId="0" borderId="0" xfId="185" applyFont="1" applyAlignment="1">
      <alignment vertical="center"/>
    </xf>
    <xf numFmtId="0" fontId="6" fillId="0" borderId="0" xfId="0" applyFont="1" applyAlignment="1">
      <alignment vertical="center" shrinkToFit="1"/>
    </xf>
    <xf numFmtId="0" fontId="6" fillId="0" borderId="0" xfId="0" applyFont="1" applyAlignment="1">
      <alignment horizontal="center" vertical="center" shrinkToFit="1"/>
    </xf>
    <xf numFmtId="0" fontId="12" fillId="0" borderId="0" xfId="6" applyFont="1" applyAlignment="1" applyProtection="1">
      <alignment horizontal="left" vertical="center" shrinkToFit="1"/>
    </xf>
    <xf numFmtId="49" fontId="6" fillId="0" borderId="7" xfId="0" applyNumberFormat="1" applyFont="1" applyBorder="1" applyAlignment="1">
      <alignment horizontal="center" vertical="center" shrinkToFit="1"/>
    </xf>
    <xf numFmtId="49" fontId="6" fillId="0" borderId="12" xfId="0" applyNumberFormat="1" applyFont="1" applyBorder="1" applyAlignment="1">
      <alignment horizontal="center" vertical="center" shrinkToFit="1"/>
    </xf>
    <xf numFmtId="0" fontId="6" fillId="0" borderId="0" xfId="0" applyFont="1" applyAlignment="1">
      <alignment horizontal="right" vertical="center" shrinkToFit="1"/>
    </xf>
    <xf numFmtId="209" fontId="6" fillId="0" borderId="7" xfId="0" applyNumberFormat="1" applyFont="1" applyBorder="1" applyAlignment="1">
      <alignment vertical="center"/>
    </xf>
    <xf numFmtId="0" fontId="6" fillId="8" borderId="7" xfId="157" applyFill="1" applyBorder="1" applyAlignment="1">
      <alignment horizontal="center" vertical="center" wrapText="1"/>
    </xf>
    <xf numFmtId="209" fontId="17" fillId="8" borderId="7" xfId="0" applyNumberFormat="1" applyFont="1" applyFill="1" applyBorder="1" applyAlignment="1">
      <alignment horizontal="center" vertical="center" wrapText="1"/>
    </xf>
    <xf numFmtId="209" fontId="17" fillId="8" borderId="0" xfId="0" applyNumberFormat="1" applyFont="1" applyFill="1" applyAlignment="1">
      <alignment horizontal="center" vertical="center" wrapText="1"/>
    </xf>
    <xf numFmtId="209" fontId="6" fillId="8" borderId="7" xfId="0" applyNumberFormat="1" applyFont="1" applyFill="1" applyBorder="1" applyAlignment="1">
      <alignment horizontal="center" vertical="center"/>
    </xf>
    <xf numFmtId="209" fontId="6" fillId="8" borderId="7" xfId="0" applyNumberFormat="1" applyFont="1" applyFill="1" applyBorder="1" applyAlignment="1">
      <alignment horizontal="center" vertical="center" wrapText="1"/>
    </xf>
    <xf numFmtId="208" fontId="6" fillId="0" borderId="7" xfId="0" applyNumberFormat="1" applyFont="1" applyBorder="1" applyAlignment="1">
      <alignment horizontal="center" vertical="center"/>
    </xf>
    <xf numFmtId="43" fontId="6" fillId="8" borderId="7" xfId="0" applyNumberFormat="1" applyFont="1" applyFill="1" applyBorder="1" applyAlignment="1">
      <alignment horizontal="right" vertical="center"/>
    </xf>
    <xf numFmtId="43" fontId="17" fillId="8" borderId="7" xfId="0" applyNumberFormat="1" applyFont="1" applyFill="1" applyBorder="1" applyAlignment="1">
      <alignment horizontal="right" vertical="center"/>
    </xf>
    <xf numFmtId="43" fontId="2" fillId="0" borderId="7" xfId="0" applyNumberFormat="1" applyFont="1" applyBorder="1" applyAlignment="1">
      <alignment horizontal="left" vertical="center"/>
    </xf>
    <xf numFmtId="43" fontId="2" fillId="0" borderId="7" xfId="0" applyNumberFormat="1" applyFont="1" applyBorder="1" applyAlignment="1">
      <alignment horizontal="center" vertical="center"/>
    </xf>
    <xf numFmtId="209" fontId="2" fillId="0" borderId="7" xfId="0" applyNumberFormat="1" applyFont="1" applyBorder="1" applyAlignment="1">
      <alignment horizontal="center" vertical="center"/>
    </xf>
    <xf numFmtId="49" fontId="2" fillId="0" borderId="7" xfId="0" applyNumberFormat="1" applyFont="1" applyBorder="1" applyAlignment="1">
      <alignment horizontal="center" vertical="center"/>
    </xf>
    <xf numFmtId="49" fontId="6" fillId="0" borderId="7" xfId="0" applyNumberFormat="1" applyFont="1" applyBorder="1" applyAlignment="1">
      <alignment horizontal="right" vertical="center"/>
    </xf>
    <xf numFmtId="206" fontId="12" fillId="6" borderId="0" xfId="6" applyNumberFormat="1" applyFont="1" applyFill="1" applyAlignment="1" applyProtection="1">
      <alignment horizontal="left" vertical="center" shrinkToFit="1"/>
      <protection hidden="1"/>
    </xf>
    <xf numFmtId="0" fontId="16" fillId="0" borderId="0" xfId="0" applyFont="1" applyAlignment="1">
      <alignment horizontal="left" vertical="center"/>
    </xf>
    <xf numFmtId="0" fontId="16" fillId="0" borderId="0" xfId="0" applyFont="1" applyAlignment="1">
      <alignment horizontal="right" vertical="center"/>
    </xf>
    <xf numFmtId="0" fontId="16" fillId="0" borderId="7" xfId="0" applyFont="1" applyBorder="1" applyAlignment="1">
      <alignment horizontal="center" vertical="center"/>
    </xf>
    <xf numFmtId="0" fontId="16" fillId="0" borderId="5" xfId="0" applyFont="1" applyBorder="1" applyAlignment="1">
      <alignment horizontal="center" vertical="center"/>
    </xf>
    <xf numFmtId="0" fontId="16" fillId="0" borderId="13" xfId="0" applyFont="1" applyBorder="1" applyAlignment="1">
      <alignment horizontal="left" vertical="center"/>
    </xf>
    <xf numFmtId="0" fontId="16" fillId="0" borderId="9" xfId="0" applyFont="1" applyBorder="1" applyAlignment="1">
      <alignment horizontal="center" vertical="center"/>
    </xf>
    <xf numFmtId="0" fontId="16" fillId="0" borderId="8" xfId="0" applyFont="1" applyBorder="1" applyAlignment="1">
      <alignment horizontal="center" vertical="center"/>
    </xf>
    <xf numFmtId="0" fontId="16" fillId="0" borderId="7" xfId="0" applyFont="1" applyBorder="1" applyAlignment="1">
      <alignment horizontal="left" vertical="center"/>
    </xf>
    <xf numFmtId="0" fontId="6" fillId="0" borderId="0" xfId="0" applyFont="1"/>
    <xf numFmtId="0" fontId="28" fillId="0" borderId="0" xfId="55" applyFont="1" applyAlignment="1">
      <alignment horizontal="center" vertical="center"/>
    </xf>
    <xf numFmtId="0" fontId="10" fillId="0" borderId="7" xfId="0" applyFont="1" applyBorder="1" applyAlignment="1">
      <alignment horizontal="center" vertical="center"/>
    </xf>
    <xf numFmtId="0" fontId="29" fillId="0" borderId="7" xfId="6" applyFont="1" applyBorder="1" applyAlignment="1" applyProtection="1">
      <alignment horizontal="left" vertical="center"/>
    </xf>
    <xf numFmtId="43" fontId="10" fillId="0" borderId="7" xfId="0" applyNumberFormat="1" applyFont="1" applyBorder="1" applyAlignment="1">
      <alignment horizontal="right" vertical="center"/>
    </xf>
    <xf numFmtId="43" fontId="10" fillId="5" borderId="8" xfId="0" applyNumberFormat="1" applyFont="1" applyFill="1" applyBorder="1" applyAlignment="1">
      <alignment horizontal="right" vertical="center"/>
    </xf>
    <xf numFmtId="0" fontId="16" fillId="0" borderId="7" xfId="6" applyFont="1" applyBorder="1" applyAlignment="1" applyProtection="1">
      <alignment horizontal="left" vertical="center" indent="1"/>
    </xf>
    <xf numFmtId="43" fontId="6" fillId="5" borderId="8" xfId="0" applyNumberFormat="1" applyFont="1" applyFill="1" applyBorder="1" applyAlignment="1">
      <alignment horizontal="right" vertical="center"/>
    </xf>
    <xf numFmtId="0" fontId="29" fillId="0" borderId="7" xfId="0" applyFont="1" applyBorder="1" applyAlignment="1">
      <alignment horizontal="left" vertical="center"/>
    </xf>
    <xf numFmtId="0" fontId="30" fillId="0" borderId="0" xfId="0" applyFont="1" applyAlignment="1">
      <alignment vertical="center"/>
    </xf>
    <xf numFmtId="0" fontId="6" fillId="5" borderId="0" xfId="0" applyFont="1" applyFill="1" applyAlignment="1">
      <alignment horizontal="right" vertical="center"/>
    </xf>
    <xf numFmtId="43" fontId="6" fillId="5" borderId="0" xfId="0" applyNumberFormat="1" applyFont="1" applyFill="1" applyAlignment="1">
      <alignment vertical="center"/>
    </xf>
    <xf numFmtId="215" fontId="6" fillId="5" borderId="0" xfId="0" applyNumberFormat="1" applyFont="1" applyFill="1" applyAlignment="1">
      <alignment vertical="center"/>
    </xf>
    <xf numFmtId="0" fontId="16" fillId="0" borderId="7" xfId="6" applyFont="1" applyBorder="1" applyAlignment="1" applyProtection="1">
      <alignment horizontal="left" vertical="center"/>
    </xf>
    <xf numFmtId="0" fontId="16" fillId="0" borderId="7" xfId="6" applyFont="1" applyBorder="1" applyAlignment="1" applyProtection="1">
      <alignment horizontal="left" vertical="center" indent="2"/>
    </xf>
    <xf numFmtId="0" fontId="16" fillId="0" borderId="7" xfId="6" applyFont="1" applyBorder="1" applyAlignment="1" applyProtection="1">
      <alignment horizontal="center" vertical="center"/>
    </xf>
    <xf numFmtId="0" fontId="31" fillId="0" borderId="0" xfId="0" applyFont="1" applyAlignment="1">
      <alignment vertical="center"/>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right"/>
    </xf>
    <xf numFmtId="0" fontId="32" fillId="0" borderId="0" xfId="0" applyFont="1" applyAlignment="1">
      <alignment vertical="center"/>
    </xf>
    <xf numFmtId="0" fontId="33" fillId="0" borderId="0" xfId="0" applyFont="1" applyAlignment="1">
      <alignment vertical="center"/>
    </xf>
    <xf numFmtId="0" fontId="34" fillId="0" borderId="0" xfId="0" applyFont="1" applyAlignment="1">
      <alignment horizontal="center" vertical="center" wrapText="1"/>
    </xf>
    <xf numFmtId="207" fontId="31" fillId="0" borderId="0" xfId="0" applyNumberFormat="1" applyFont="1" applyAlignment="1">
      <alignment horizontal="center" vertical="center"/>
    </xf>
    <xf numFmtId="207" fontId="31" fillId="0" borderId="0" xfId="0" applyNumberFormat="1" applyFont="1" applyAlignment="1">
      <alignment vertical="center"/>
    </xf>
    <xf numFmtId="0" fontId="31" fillId="0" borderId="0" xfId="0" applyFont="1" applyAlignment="1">
      <alignment horizontal="center" vertical="center"/>
    </xf>
    <xf numFmtId="0" fontId="14" fillId="0" borderId="0" xfId="0" applyFont="1" applyAlignment="1">
      <alignment horizontal="right" vertical="center"/>
    </xf>
    <xf numFmtId="0" fontId="35" fillId="0" borderId="7" xfId="0" applyFont="1" applyBorder="1" applyAlignment="1">
      <alignment horizontal="center" vertical="center"/>
    </xf>
    <xf numFmtId="0" fontId="0" fillId="0" borderId="7" xfId="0" applyBorder="1" applyAlignment="1">
      <alignment horizontal="center" vertical="center"/>
    </xf>
    <xf numFmtId="0" fontId="0" fillId="0" borderId="7" xfId="6" applyFont="1" applyBorder="1" applyAlignment="1" applyProtection="1">
      <alignment vertical="center"/>
    </xf>
    <xf numFmtId="43" fontId="0" fillId="0" borderId="7" xfId="0" applyNumberFormat="1" applyBorder="1" applyAlignment="1">
      <alignment horizontal="right" vertical="center"/>
    </xf>
    <xf numFmtId="0" fontId="23" fillId="0" borderId="7" xfId="6" applyFont="1" applyBorder="1" applyAlignment="1" applyProtection="1">
      <alignment vertical="center"/>
    </xf>
    <xf numFmtId="0" fontId="32" fillId="10" borderId="7" xfId="6" applyFont="1" applyFill="1" applyBorder="1" applyAlignment="1" applyProtection="1">
      <alignment horizontal="center" vertical="center"/>
    </xf>
    <xf numFmtId="43" fontId="32" fillId="10" borderId="7" xfId="0" applyNumberFormat="1" applyFont="1" applyFill="1" applyBorder="1" applyAlignment="1">
      <alignment horizontal="right" vertical="center"/>
    </xf>
    <xf numFmtId="0" fontId="33" fillId="0" borderId="0" xfId="0" applyFont="1" applyAlignment="1">
      <alignment horizontal="center" vertical="center"/>
    </xf>
    <xf numFmtId="49" fontId="33" fillId="0" borderId="0" xfId="0" applyNumberFormat="1" applyFont="1" applyAlignment="1">
      <alignment vertical="center"/>
    </xf>
    <xf numFmtId="216" fontId="36" fillId="0" borderId="0" xfId="158" applyNumberFormat="1" applyFont="1" applyAlignment="1" applyProtection="1">
      <alignment horizontal="left" vertical="center"/>
      <protection locked="0"/>
    </xf>
    <xf numFmtId="216" fontId="10" fillId="0" borderId="0" xfId="158" applyNumberFormat="1" applyFont="1" applyAlignment="1" applyProtection="1">
      <alignment horizontal="center" vertical="center"/>
      <protection locked="0"/>
    </xf>
    <xf numFmtId="216" fontId="6" fillId="0" borderId="0" xfId="158" applyNumberFormat="1" applyAlignment="1" applyProtection="1">
      <alignment horizontal="center" vertical="center"/>
      <protection locked="0"/>
    </xf>
    <xf numFmtId="216" fontId="6" fillId="0" borderId="0" xfId="158" applyNumberFormat="1" applyAlignment="1" applyProtection="1">
      <alignment horizontal="left" vertical="center"/>
      <protection locked="0"/>
    </xf>
    <xf numFmtId="217" fontId="6" fillId="0" borderId="0" xfId="158" applyNumberFormat="1" applyAlignment="1" applyProtection="1">
      <alignment horizontal="left" vertical="center"/>
      <protection locked="0"/>
    </xf>
    <xf numFmtId="216" fontId="6" fillId="0" borderId="0" xfId="158" applyNumberFormat="1" applyAlignment="1" applyProtection="1">
      <alignment horizontal="right" vertical="center"/>
      <protection locked="0"/>
    </xf>
    <xf numFmtId="216" fontId="8" fillId="0" borderId="0" xfId="6" applyNumberFormat="1" applyFont="1" applyAlignment="1" applyProtection="1">
      <alignment horizontal="left" vertical="center"/>
      <protection locked="0"/>
    </xf>
    <xf numFmtId="216" fontId="36" fillId="0" borderId="0" xfId="158" applyNumberFormat="1" applyFont="1" applyAlignment="1" applyProtection="1">
      <alignment horizontal="center" vertical="center"/>
      <protection locked="0"/>
    </xf>
    <xf numFmtId="216" fontId="37" fillId="0" borderId="0" xfId="158" applyNumberFormat="1" applyFont="1" applyAlignment="1" applyProtection="1">
      <alignment horizontal="center" vertical="center"/>
      <protection locked="0"/>
    </xf>
    <xf numFmtId="0" fontId="0" fillId="0" borderId="0" xfId="0" applyProtection="1">
      <protection locked="0"/>
    </xf>
    <xf numFmtId="0" fontId="6" fillId="0" borderId="0" xfId="158" applyAlignment="1" applyProtection="1">
      <alignment horizontal="center" vertical="center"/>
      <protection locked="0"/>
    </xf>
    <xf numFmtId="216" fontId="2" fillId="0" borderId="17" xfId="158" applyNumberFormat="1" applyBorder="1" applyAlignment="1" applyProtection="1">
      <alignment horizontal="left" vertical="center"/>
      <protection locked="0"/>
    </xf>
    <xf numFmtId="0" fontId="0" fillId="0" borderId="17" xfId="0" applyBorder="1" applyProtection="1">
      <protection locked="0"/>
    </xf>
    <xf numFmtId="216" fontId="10" fillId="0" borderId="0" xfId="158" applyNumberFormat="1" applyFont="1" applyAlignment="1" applyProtection="1">
      <alignment horizontal="left" vertical="center"/>
      <protection locked="0"/>
    </xf>
    <xf numFmtId="216" fontId="38" fillId="0" borderId="0" xfId="158" applyNumberFormat="1" applyFont="1" applyAlignment="1" applyProtection="1">
      <alignment horizontal="right" vertical="center"/>
      <protection locked="0"/>
    </xf>
    <xf numFmtId="216" fontId="38" fillId="0" borderId="7" xfId="158" applyNumberFormat="1" applyFont="1" applyBorder="1" applyAlignment="1" applyProtection="1">
      <alignment horizontal="center" vertical="center"/>
      <protection locked="0"/>
    </xf>
    <xf numFmtId="216" fontId="38" fillId="0" borderId="14" xfId="158" applyNumberFormat="1" applyFont="1" applyBorder="1" applyAlignment="1" applyProtection="1">
      <alignment horizontal="center" vertical="center"/>
      <protection locked="0"/>
    </xf>
    <xf numFmtId="216" fontId="38" fillId="0" borderId="8" xfId="158" applyNumberFormat="1" applyFont="1" applyBorder="1" applyAlignment="1" applyProtection="1">
      <alignment horizontal="center" vertical="center"/>
      <protection locked="0"/>
    </xf>
    <xf numFmtId="216" fontId="6" fillId="0" borderId="13" xfId="186" applyNumberFormat="1" applyFont="1" applyBorder="1" applyAlignment="1" applyProtection="1">
      <alignment vertical="center"/>
      <protection locked="0"/>
    </xf>
    <xf numFmtId="217" fontId="6" fillId="0" borderId="7" xfId="158" applyNumberFormat="1" applyBorder="1" applyAlignment="1" applyProtection="1">
      <alignment horizontal="center" vertical="center"/>
      <protection locked="0"/>
    </xf>
    <xf numFmtId="209" fontId="6" fillId="0" borderId="12" xfId="158" applyNumberFormat="1" applyBorder="1" applyAlignment="1" applyProtection="1">
      <alignment horizontal="right" vertical="center"/>
      <protection locked="0"/>
    </xf>
    <xf numFmtId="209" fontId="6" fillId="0" borderId="14" xfId="158" applyNumberFormat="1" applyBorder="1" applyAlignment="1" applyProtection="1">
      <alignment horizontal="left" vertical="center"/>
      <protection locked="0"/>
    </xf>
    <xf numFmtId="209" fontId="2" fillId="0" borderId="8" xfId="158" applyNumberFormat="1" applyBorder="1" applyAlignment="1" applyProtection="1">
      <alignment horizontal="left" vertical="center"/>
      <protection locked="0"/>
    </xf>
    <xf numFmtId="209" fontId="6" fillId="0" borderId="7" xfId="158" applyNumberFormat="1" applyBorder="1" applyAlignment="1" applyProtection="1">
      <alignment horizontal="right" vertical="center"/>
      <protection locked="0"/>
    </xf>
    <xf numFmtId="209" fontId="6" fillId="0" borderId="7" xfId="158" applyNumberFormat="1" applyBorder="1" applyAlignment="1" applyProtection="1">
      <alignment horizontal="left" vertical="center"/>
      <protection locked="0"/>
    </xf>
    <xf numFmtId="216" fontId="6" fillId="0" borderId="20" xfId="158" applyNumberFormat="1" applyBorder="1" applyAlignment="1" applyProtection="1">
      <alignment horizontal="left" vertical="center" indent="1"/>
      <protection locked="0"/>
    </xf>
    <xf numFmtId="209" fontId="6" fillId="0" borderId="7" xfId="156" applyNumberFormat="1" applyBorder="1" applyAlignment="1" applyProtection="1">
      <alignment horizontal="right" vertical="center"/>
      <protection locked="0"/>
    </xf>
    <xf numFmtId="216" fontId="10" fillId="0" borderId="20" xfId="158" applyNumberFormat="1" applyFont="1" applyBorder="1" applyAlignment="1" applyProtection="1">
      <alignment horizontal="center" vertical="center"/>
      <protection locked="0"/>
    </xf>
    <xf numFmtId="216" fontId="6" fillId="0" borderId="20" xfId="158" applyNumberFormat="1" applyBorder="1" applyAlignment="1" applyProtection="1">
      <alignment horizontal="left" vertical="center"/>
      <protection locked="0"/>
    </xf>
    <xf numFmtId="209" fontId="10" fillId="0" borderId="8" xfId="158" applyNumberFormat="1" applyFont="1" applyBorder="1" applyAlignment="1" applyProtection="1">
      <alignment horizontal="center" vertical="center"/>
      <protection locked="0"/>
    </xf>
    <xf numFmtId="209" fontId="6" fillId="0" borderId="8" xfId="158" applyNumberFormat="1" applyBorder="1" applyAlignment="1" applyProtection="1">
      <alignment horizontal="left" vertical="center"/>
      <protection locked="0"/>
    </xf>
    <xf numFmtId="209" fontId="10" fillId="10" borderId="8" xfId="158" applyNumberFormat="1" applyFont="1" applyFill="1" applyBorder="1" applyAlignment="1" applyProtection="1">
      <alignment horizontal="center" vertical="center"/>
      <protection locked="0"/>
    </xf>
    <xf numFmtId="217" fontId="6" fillId="10" borderId="7" xfId="158" applyNumberFormat="1" applyFill="1" applyBorder="1" applyAlignment="1" applyProtection="1">
      <alignment horizontal="center" vertical="center"/>
      <protection locked="0"/>
    </xf>
    <xf numFmtId="209" fontId="10" fillId="10" borderId="7" xfId="158" applyNumberFormat="1" applyFont="1" applyFill="1" applyBorder="1" applyAlignment="1" applyProtection="1">
      <alignment horizontal="right" vertical="center"/>
      <protection locked="0"/>
    </xf>
    <xf numFmtId="209" fontId="38" fillId="10" borderId="9" xfId="186" applyNumberFormat="1" applyFont="1" applyFill="1" applyBorder="1" applyAlignment="1" applyProtection="1">
      <alignment horizontal="center" vertical="center"/>
      <protection locked="0"/>
    </xf>
    <xf numFmtId="209" fontId="10" fillId="10" borderId="7" xfId="156" applyNumberFormat="1" applyFont="1" applyFill="1" applyBorder="1" applyAlignment="1" applyProtection="1">
      <alignment horizontal="right" vertical="center"/>
      <protection locked="0"/>
    </xf>
    <xf numFmtId="216" fontId="10" fillId="10" borderId="13" xfId="186" applyNumberFormat="1" applyFont="1" applyFill="1" applyBorder="1" applyAlignment="1" applyProtection="1">
      <alignment horizontal="center" vertical="center"/>
      <protection locked="0"/>
    </xf>
    <xf numFmtId="0" fontId="10" fillId="10" borderId="5" xfId="158" applyFont="1" applyFill="1" applyBorder="1" applyAlignment="1" applyProtection="1">
      <alignment horizontal="center" vertical="center"/>
      <protection locked="0"/>
    </xf>
    <xf numFmtId="209" fontId="10" fillId="10" borderId="5" xfId="158" applyNumberFormat="1" applyFont="1" applyFill="1" applyBorder="1" applyAlignment="1" applyProtection="1">
      <alignment horizontal="right" vertical="center"/>
      <protection locked="0"/>
    </xf>
    <xf numFmtId="216" fontId="6" fillId="0" borderId="13" xfId="158" applyNumberFormat="1" applyBorder="1" applyAlignment="1" applyProtection="1">
      <alignment horizontal="left" vertical="center"/>
      <protection locked="0"/>
    </xf>
    <xf numFmtId="216" fontId="2" fillId="0" borderId="0" xfId="158" applyNumberFormat="1" applyAlignment="1" applyProtection="1">
      <alignment horizontal="left" vertical="center"/>
      <protection locked="0"/>
    </xf>
    <xf numFmtId="216" fontId="2" fillId="0" borderId="0" xfId="158" applyNumberFormat="1" applyAlignment="1" applyProtection="1">
      <alignment horizontal="right" vertical="center"/>
      <protection locked="0"/>
    </xf>
    <xf numFmtId="0" fontId="39" fillId="0" borderId="0" xfId="0"/>
    <xf numFmtId="0" fontId="40" fillId="0" borderId="0" xfId="190" applyFont="1" applyAlignment="1">
      <alignment horizontal="centerContinuous"/>
    </xf>
    <xf numFmtId="0" fontId="41" fillId="0" borderId="0" xfId="190" applyFont="1" applyAlignment="1">
      <alignment horizontal="centerContinuous"/>
    </xf>
    <xf numFmtId="0" fontId="8" fillId="0" borderId="21" xfId="6" applyFont="1" applyBorder="1" applyAlignment="1" applyProtection="1">
      <alignment shrinkToFit="1"/>
      <protection locked="0"/>
    </xf>
    <xf numFmtId="0" fontId="42" fillId="0" borderId="21" xfId="190" applyFont="1" applyBorder="1" applyProtection="1">
      <protection locked="0"/>
    </xf>
    <xf numFmtId="0" fontId="42" fillId="0" borderId="21" xfId="190" applyFont="1" applyBorder="1"/>
    <xf numFmtId="0" fontId="32" fillId="0" borderId="0" xfId="190" applyFont="1" applyAlignment="1">
      <alignment horizontal="right"/>
    </xf>
    <xf numFmtId="0" fontId="43" fillId="0" borderId="0" xfId="190"/>
    <xf numFmtId="0" fontId="0" fillId="0" borderId="0" xfId="190"/>
    <xf numFmtId="49" fontId="0" fillId="0" borderId="0" xfId="1" applyNumberFormat="1" applyAlignment="1">
      <alignment horizontal="centerContinuous" vertical="center"/>
    </xf>
    <xf numFmtId="0" fontId="44" fillId="0" borderId="0" xfId="190" applyFont="1" applyAlignment="1">
      <alignment horizontal="center"/>
    </xf>
    <xf numFmtId="0" fontId="44" fillId="0" borderId="0" xfId="190" applyFont="1"/>
    <xf numFmtId="0" fontId="45" fillId="0" borderId="0" xfId="190" applyFont="1"/>
    <xf numFmtId="0" fontId="46" fillId="0" borderId="0" xfId="190" applyFont="1"/>
    <xf numFmtId="0" fontId="47" fillId="0" borderId="0" xfId="190" applyFont="1"/>
    <xf numFmtId="0" fontId="42" fillId="0" borderId="0" xfId="190" applyFont="1" applyAlignment="1">
      <alignment vertical="top"/>
    </xf>
    <xf numFmtId="0" fontId="48" fillId="0" borderId="17" xfId="190" applyFont="1" applyBorder="1" applyAlignment="1">
      <alignment vertical="top"/>
    </xf>
    <xf numFmtId="0" fontId="49" fillId="0" borderId="17" xfId="190" applyFont="1" applyBorder="1" applyAlignment="1">
      <alignment vertical="top"/>
    </xf>
    <xf numFmtId="0" fontId="49" fillId="0" borderId="0" xfId="190" applyFont="1" applyAlignment="1">
      <alignment vertical="top"/>
    </xf>
    <xf numFmtId="49" fontId="50" fillId="0" borderId="0" xfId="1" applyNumberFormat="1" applyFont="1" applyAlignment="1">
      <alignment horizontal="centerContinuous" vertical="center"/>
    </xf>
    <xf numFmtId="49" fontId="50" fillId="0" borderId="0" xfId="190" applyNumberFormat="1" applyFont="1" applyAlignment="1">
      <alignment horizontal="centerContinuous" vertical="center"/>
    </xf>
    <xf numFmtId="49" fontId="51" fillId="0" borderId="0" xfId="190" applyNumberFormat="1" applyFont="1" applyAlignment="1">
      <alignment vertical="center"/>
    </xf>
    <xf numFmtId="49" fontId="2" fillId="0" borderId="0" xfId="1" applyNumberFormat="1" applyFont="1" applyAlignment="1">
      <alignment vertical="center"/>
    </xf>
    <xf numFmtId="49" fontId="8" fillId="0" borderId="0" xfId="6" applyNumberFormat="1" applyFont="1" applyAlignment="1" applyProtection="1">
      <alignment vertical="top"/>
    </xf>
    <xf numFmtId="49" fontId="2" fillId="0" borderId="0" xfId="190" applyNumberFormat="1" applyFont="1" applyAlignment="1">
      <alignment vertical="center"/>
    </xf>
    <xf numFmtId="49" fontId="2" fillId="0" borderId="0" xfId="190" applyNumberFormat="1" applyFont="1" applyAlignment="1">
      <alignment horizontal="center" vertical="center"/>
    </xf>
    <xf numFmtId="49" fontId="52" fillId="0" borderId="0" xfId="190" applyNumberFormat="1" applyFont="1" applyAlignment="1">
      <alignment vertical="center"/>
    </xf>
    <xf numFmtId="49" fontId="2" fillId="0" borderId="0" xfId="1" applyNumberFormat="1" applyFont="1" applyAlignment="1">
      <alignment vertical="top"/>
    </xf>
    <xf numFmtId="0" fontId="8" fillId="0" borderId="0" xfId="6" applyFont="1" applyAlignment="1" applyProtection="1">
      <alignment horizontal="left"/>
    </xf>
    <xf numFmtId="49" fontId="2" fillId="0" borderId="0" xfId="190" applyNumberFormat="1" applyFont="1" applyAlignment="1">
      <alignment vertical="top"/>
    </xf>
    <xf numFmtId="49" fontId="2" fillId="0" borderId="0" xfId="190" applyNumberFormat="1" applyFont="1" applyAlignment="1">
      <alignment horizontal="center" vertical="top"/>
    </xf>
    <xf numFmtId="49" fontId="52" fillId="0" borderId="0" xfId="190" applyNumberFormat="1" applyFont="1" applyAlignment="1">
      <alignment vertical="top"/>
    </xf>
    <xf numFmtId="49" fontId="2" fillId="0" borderId="0" xfId="1" applyNumberFormat="1" applyFont="1" applyAlignment="1">
      <alignment horizontal="left" vertical="center"/>
    </xf>
    <xf numFmtId="49" fontId="8" fillId="0" borderId="0" xfId="6" applyNumberFormat="1" applyFont="1" applyAlignment="1" applyProtection="1">
      <alignment horizontal="left" vertical="center"/>
    </xf>
    <xf numFmtId="49" fontId="8" fillId="0" borderId="0" xfId="6" applyNumberFormat="1" applyFont="1" applyAlignment="1" applyProtection="1">
      <alignment horizontal="left" vertical="top"/>
    </xf>
    <xf numFmtId="49" fontId="8" fillId="0" borderId="0" xfId="6" applyNumberFormat="1" applyFont="1" applyAlignment="1" applyProtection="1">
      <alignment vertical="center"/>
    </xf>
    <xf numFmtId="49" fontId="2" fillId="0" borderId="0" xfId="190" applyNumberFormat="1" applyFont="1" applyAlignment="1">
      <alignment horizontal="left" vertical="center"/>
    </xf>
    <xf numFmtId="7" fontId="52" fillId="0" borderId="0" xfId="190" applyNumberFormat="1" applyFont="1" applyAlignment="1">
      <alignment vertical="center"/>
    </xf>
    <xf numFmtId="49" fontId="53" fillId="0" borderId="0" xfId="6" applyNumberFormat="1" applyFont="1" applyAlignment="1" applyProtection="1">
      <alignment vertical="center"/>
    </xf>
    <xf numFmtId="49" fontId="54" fillId="0" borderId="0" xfId="6" applyNumberFormat="1" applyFont="1" applyAlignment="1" applyProtection="1">
      <alignment vertical="center"/>
    </xf>
    <xf numFmtId="49" fontId="52" fillId="0" borderId="0" xfId="1" applyNumberFormat="1" applyFont="1" applyAlignment="1">
      <alignment vertical="center"/>
    </xf>
    <xf numFmtId="0" fontId="55" fillId="0" borderId="0" xfId="6" applyFont="1" applyAlignment="1" applyProtection="1">
      <alignment vertical="center"/>
      <protection locked="0"/>
    </xf>
    <xf numFmtId="0" fontId="8" fillId="0" borderId="22" xfId="6" applyFont="1" applyBorder="1" applyAlignment="1" applyProtection="1">
      <alignment horizontal="center" vertical="center"/>
      <protection locked="0"/>
    </xf>
    <xf numFmtId="0" fontId="0" fillId="0" borderId="22" xfId="0" applyBorder="1" applyProtection="1">
      <protection locked="0"/>
    </xf>
    <xf numFmtId="0" fontId="8" fillId="0" borderId="22" xfId="6" applyFont="1" applyBorder="1" applyAlignment="1" applyProtection="1">
      <alignment vertical="center"/>
    </xf>
    <xf numFmtId="0" fontId="35" fillId="0" borderId="0" xfId="189" applyFont="1" applyAlignment="1">
      <alignment horizontal="center" vertical="center"/>
    </xf>
    <xf numFmtId="0" fontId="31" fillId="0" borderId="0" xfId="189" applyAlignment="1">
      <alignment horizontal="center" vertical="center"/>
    </xf>
    <xf numFmtId="0" fontId="56" fillId="11" borderId="23" xfId="189" applyFont="1" applyFill="1" applyBorder="1" applyAlignment="1">
      <alignment horizontal="center" vertical="center"/>
    </xf>
    <xf numFmtId="0" fontId="0" fillId="0" borderId="24" xfId="0" applyBorder="1"/>
    <xf numFmtId="0" fontId="0" fillId="0" borderId="25" xfId="0" applyBorder="1"/>
    <xf numFmtId="0" fontId="57" fillId="0" borderId="0" xfId="189" applyFont="1" applyAlignment="1">
      <alignment horizontal="center" vertical="center"/>
    </xf>
    <xf numFmtId="0" fontId="58" fillId="0" borderId="0" xfId="189" applyFont="1" applyAlignment="1">
      <alignment horizontal="center" vertical="center"/>
    </xf>
    <xf numFmtId="207" fontId="59" fillId="0" borderId="0" xfId="189" applyNumberFormat="1" applyFont="1" applyAlignment="1" applyProtection="1">
      <alignment horizontal="center" vertical="center"/>
      <protection hidden="1"/>
    </xf>
    <xf numFmtId="0" fontId="56" fillId="11" borderId="26" xfId="189" applyFont="1" applyFill="1" applyBorder="1" applyAlignment="1">
      <alignment horizontal="center" vertical="center"/>
    </xf>
    <xf numFmtId="0" fontId="60" fillId="12" borderId="27" xfId="189" applyFont="1" applyFill="1" applyBorder="1" applyAlignment="1">
      <alignment horizontal="center" vertical="center"/>
    </xf>
    <xf numFmtId="0" fontId="0" fillId="0" borderId="28" xfId="0" applyBorder="1"/>
    <xf numFmtId="0" fontId="0" fillId="0" borderId="29" xfId="0" applyBorder="1"/>
    <xf numFmtId="0" fontId="56" fillId="11" borderId="30" xfId="189" applyFont="1" applyFill="1" applyBorder="1" applyAlignment="1">
      <alignment horizontal="center" vertical="center"/>
    </xf>
    <xf numFmtId="0" fontId="59" fillId="0" borderId="0" xfId="189" applyFont="1" applyAlignment="1">
      <alignment vertical="center"/>
    </xf>
    <xf numFmtId="0" fontId="0" fillId="0" borderId="26" xfId="0" applyBorder="1"/>
    <xf numFmtId="0" fontId="61" fillId="12" borderId="31" xfId="189" applyFont="1" applyFill="1" applyBorder="1" applyAlignment="1">
      <alignment horizontal="center" vertical="center"/>
    </xf>
    <xf numFmtId="0" fontId="0" fillId="0" borderId="32" xfId="0" applyBorder="1"/>
    <xf numFmtId="0" fontId="0" fillId="0" borderId="30" xfId="0" applyBorder="1"/>
    <xf numFmtId="218" fontId="35" fillId="0" borderId="0" xfId="189" applyNumberFormat="1" applyFont="1" applyAlignment="1">
      <alignment horizontal="center" vertical="center"/>
    </xf>
    <xf numFmtId="0" fontId="10" fillId="12" borderId="33" xfId="189" applyFont="1" applyFill="1" applyBorder="1" applyAlignment="1">
      <alignment horizontal="center" vertical="center"/>
    </xf>
    <xf numFmtId="0" fontId="62" fillId="12" borderId="0" xfId="189" applyFont="1" applyFill="1" applyAlignment="1">
      <alignment vertical="center"/>
    </xf>
    <xf numFmtId="0" fontId="63" fillId="12" borderId="34" xfId="189" applyFont="1" applyFill="1" applyBorder="1" applyAlignment="1">
      <alignment horizontal="center" vertical="center"/>
    </xf>
    <xf numFmtId="0" fontId="64" fillId="0" borderId="0" xfId="189" applyFont="1" applyAlignment="1">
      <alignment vertical="center"/>
    </xf>
    <xf numFmtId="0" fontId="0" fillId="0" borderId="35" xfId="0" applyBorder="1"/>
    <xf numFmtId="0" fontId="63" fillId="12" borderId="0" xfId="189" applyFont="1" applyFill="1" applyAlignment="1">
      <alignment horizontal="center" vertical="center"/>
    </xf>
    <xf numFmtId="49" fontId="14" fillId="6" borderId="36" xfId="189" applyNumberFormat="1" applyFill="1" applyBorder="1" applyAlignment="1" applyProtection="1">
      <alignment horizontal="left" vertical="center"/>
      <protection locked="0"/>
    </xf>
    <xf numFmtId="0" fontId="0" fillId="0" borderId="37" xfId="0" applyBorder="1" applyProtection="1">
      <protection locked="0"/>
    </xf>
    <xf numFmtId="49" fontId="65" fillId="6" borderId="38" xfId="189" applyNumberFormat="1" applyFont="1" applyFill="1" applyBorder="1" applyAlignment="1" applyProtection="1">
      <alignment horizontal="left" vertical="center" shrinkToFit="1"/>
      <protection locked="0"/>
    </xf>
    <xf numFmtId="0" fontId="0" fillId="0" borderId="38" xfId="0" applyBorder="1" applyProtection="1">
      <protection locked="0"/>
    </xf>
    <xf numFmtId="0" fontId="6" fillId="5" borderId="0" xfId="189" applyFont="1" applyFill="1" applyAlignment="1">
      <alignment horizontal="left" vertical="center"/>
    </xf>
    <xf numFmtId="0" fontId="66" fillId="12" borderId="39" xfId="189" applyFont="1" applyFill="1" applyBorder="1" applyAlignment="1">
      <alignment vertical="center"/>
    </xf>
    <xf numFmtId="0" fontId="66" fillId="12" borderId="9" xfId="189" applyFont="1" applyFill="1" applyBorder="1" applyAlignment="1">
      <alignment vertical="center"/>
    </xf>
    <xf numFmtId="0" fontId="66" fillId="12" borderId="40" xfId="189" applyFont="1" applyFill="1" applyBorder="1" applyAlignment="1">
      <alignment vertical="center"/>
    </xf>
    <xf numFmtId="0" fontId="6" fillId="5" borderId="0" xfId="189" applyFont="1" applyFill="1" applyAlignment="1">
      <alignment horizontal="center" vertical="center"/>
    </xf>
    <xf numFmtId="49" fontId="14" fillId="6" borderId="39" xfId="189" applyNumberFormat="1" applyFill="1" applyBorder="1" applyAlignment="1">
      <alignment vertical="center"/>
    </xf>
    <xf numFmtId="49" fontId="67" fillId="6" borderId="9" xfId="189" applyNumberFormat="1" applyFont="1" applyFill="1" applyBorder="1" applyAlignment="1" applyProtection="1">
      <alignment horizontal="center" vertical="center"/>
      <protection locked="0"/>
    </xf>
    <xf numFmtId="49" fontId="67" fillId="6" borderId="9" xfId="189" applyNumberFormat="1" applyFont="1" applyFill="1" applyBorder="1" applyAlignment="1">
      <alignment horizontal="center" vertical="center"/>
    </xf>
    <xf numFmtId="49" fontId="67" fillId="6" borderId="9" xfId="189" applyNumberFormat="1" applyFont="1" applyFill="1" applyBorder="1" applyAlignment="1">
      <alignment vertical="center"/>
    </xf>
    <xf numFmtId="49" fontId="67" fillId="6" borderId="40" xfId="189" applyNumberFormat="1" applyFont="1" applyFill="1" applyBorder="1" applyAlignment="1">
      <alignment vertical="center"/>
    </xf>
    <xf numFmtId="0" fontId="68" fillId="12" borderId="39" xfId="189" applyFont="1" applyFill="1" applyBorder="1" applyAlignment="1">
      <alignment vertical="center"/>
    </xf>
    <xf numFmtId="0" fontId="68" fillId="12" borderId="9" xfId="189" applyFont="1" applyFill="1" applyBorder="1" applyAlignment="1">
      <alignment vertical="center"/>
    </xf>
    <xf numFmtId="0" fontId="68" fillId="12" borderId="17" xfId="189" applyFont="1" applyFill="1" applyBorder="1" applyAlignment="1">
      <alignment vertical="center"/>
    </xf>
    <xf numFmtId="0" fontId="68" fillId="12" borderId="40" xfId="189" applyFont="1" applyFill="1" applyBorder="1" applyAlignment="1">
      <alignment vertical="center"/>
    </xf>
    <xf numFmtId="49" fontId="14" fillId="6" borderId="39" xfId="189" applyNumberFormat="1" applyFill="1" applyBorder="1" applyAlignment="1" applyProtection="1">
      <alignment horizontal="left" vertical="center"/>
      <protection locked="0"/>
    </xf>
    <xf numFmtId="0" fontId="0" fillId="0" borderId="9" xfId="0" applyBorder="1" applyProtection="1">
      <protection locked="0"/>
    </xf>
    <xf numFmtId="49" fontId="65" fillId="0" borderId="40" xfId="189" applyNumberFormat="1" applyFont="1" applyBorder="1" applyAlignment="1" applyProtection="1">
      <alignment horizontal="left" vertical="center"/>
      <protection locked="0"/>
    </xf>
    <xf numFmtId="0" fontId="0" fillId="0" borderId="40" xfId="0" applyBorder="1" applyProtection="1">
      <protection locked="0"/>
    </xf>
    <xf numFmtId="0" fontId="69" fillId="12" borderId="39" xfId="189" applyFont="1" applyFill="1" applyBorder="1" applyAlignment="1">
      <alignment vertical="center"/>
    </xf>
    <xf numFmtId="0" fontId="69" fillId="12" borderId="9" xfId="189" applyFont="1" applyFill="1" applyBorder="1" applyAlignment="1">
      <alignment vertical="center"/>
    </xf>
    <xf numFmtId="0" fontId="69" fillId="12" borderId="40" xfId="189" applyFont="1" applyFill="1" applyBorder="1" applyAlignment="1">
      <alignment vertical="center"/>
    </xf>
    <xf numFmtId="0" fontId="6" fillId="0" borderId="0" xfId="189" applyFont="1" applyAlignment="1">
      <alignment horizontal="center" vertical="center"/>
    </xf>
    <xf numFmtId="49" fontId="14" fillId="6" borderId="41" xfId="189" applyNumberFormat="1" applyFill="1" applyBorder="1" applyAlignment="1">
      <alignment horizontal="left" vertical="center"/>
    </xf>
    <xf numFmtId="0" fontId="0" fillId="0" borderId="42" xfId="0" applyBorder="1"/>
    <xf numFmtId="49" fontId="67" fillId="6" borderId="42" xfId="189" applyNumberFormat="1" applyFont="1" applyFill="1" applyBorder="1" applyAlignment="1" applyProtection="1">
      <alignment horizontal="center" vertical="center"/>
      <protection locked="0"/>
    </xf>
    <xf numFmtId="49" fontId="67" fillId="6" borderId="42" xfId="189" applyNumberFormat="1" applyFont="1" applyFill="1" applyBorder="1" applyAlignment="1">
      <alignment horizontal="center" vertical="center"/>
    </xf>
    <xf numFmtId="49" fontId="67" fillId="6" borderId="42" xfId="189" applyNumberFormat="1" applyFont="1" applyFill="1" applyBorder="1" applyAlignment="1">
      <alignment vertical="center"/>
    </xf>
    <xf numFmtId="49" fontId="67" fillId="6" borderId="43" xfId="189" applyNumberFormat="1" applyFont="1" applyFill="1" applyBorder="1" applyAlignment="1">
      <alignment vertical="center"/>
    </xf>
    <xf numFmtId="0" fontId="6" fillId="12" borderId="0" xfId="189" applyFont="1" applyFill="1" applyAlignment="1">
      <alignment horizontal="center" vertical="center"/>
    </xf>
    <xf numFmtId="0" fontId="70" fillId="0" borderId="0" xfId="189" applyFont="1" applyAlignment="1">
      <alignment horizontal="center" vertical="center"/>
    </xf>
    <xf numFmtId="49" fontId="14" fillId="6" borderId="36" xfId="189" applyNumberFormat="1" applyFill="1" applyBorder="1" applyAlignment="1">
      <alignment horizontal="left" vertical="center"/>
    </xf>
    <xf numFmtId="0" fontId="0" fillId="0" borderId="37" xfId="0" applyBorder="1"/>
    <xf numFmtId="49" fontId="65" fillId="6" borderId="38" xfId="189" applyNumberFormat="1" applyFont="1" applyFill="1" applyBorder="1" applyAlignment="1" applyProtection="1">
      <alignment horizontal="left" vertical="center"/>
      <protection locked="0"/>
    </xf>
    <xf numFmtId="0" fontId="31" fillId="12" borderId="39" xfId="189" applyFill="1" applyBorder="1" applyAlignment="1">
      <alignment vertical="center"/>
    </xf>
    <xf numFmtId="0" fontId="31" fillId="12" borderId="9" xfId="189" applyFill="1" applyBorder="1" applyAlignment="1">
      <alignment vertical="center"/>
    </xf>
    <xf numFmtId="0" fontId="31" fillId="12" borderId="40" xfId="189" applyFill="1" applyBorder="1" applyAlignment="1">
      <alignment vertical="center"/>
    </xf>
    <xf numFmtId="49" fontId="14" fillId="6" borderId="39" xfId="189" applyNumberFormat="1" applyFill="1" applyBorder="1" applyAlignment="1">
      <alignment horizontal="left" vertical="center"/>
    </xf>
    <xf numFmtId="49" fontId="65" fillId="6" borderId="40" xfId="189" applyNumberFormat="1" applyFont="1" applyFill="1" applyBorder="1" applyAlignment="1" applyProtection="1">
      <alignment horizontal="left" vertical="center"/>
      <protection locked="0"/>
    </xf>
    <xf numFmtId="49" fontId="65" fillId="6" borderId="43" xfId="189" applyNumberFormat="1" applyFont="1" applyFill="1" applyBorder="1" applyAlignment="1" applyProtection="1">
      <alignment horizontal="left" vertical="center"/>
      <protection locked="0"/>
    </xf>
    <xf numFmtId="0" fontId="0" fillId="0" borderId="42" xfId="0" applyBorder="1" applyProtection="1">
      <protection locked="0"/>
    </xf>
    <xf numFmtId="0" fontId="0" fillId="0" borderId="43" xfId="0" applyBorder="1" applyProtection="1">
      <protection locked="0"/>
    </xf>
    <xf numFmtId="49" fontId="6" fillId="12" borderId="0" xfId="189" applyNumberFormat="1" applyFont="1" applyFill="1" applyAlignment="1">
      <alignment horizontal="left" vertical="center"/>
    </xf>
    <xf numFmtId="0" fontId="0" fillId="0" borderId="33" xfId="0" applyBorder="1"/>
    <xf numFmtId="0" fontId="71" fillId="12" borderId="22" xfId="189" applyFont="1" applyFill="1" applyBorder="1" applyAlignment="1">
      <alignment horizontal="center" vertical="center"/>
    </xf>
    <xf numFmtId="0" fontId="0" fillId="0" borderId="22" xfId="0" applyBorder="1"/>
    <xf numFmtId="0" fontId="0" fillId="0" borderId="34" xfId="0" applyBorder="1"/>
    <xf numFmtId="0" fontId="72" fillId="11" borderId="44" xfId="189" applyFont="1" applyFill="1" applyBorder="1" applyAlignment="1">
      <alignment horizontal="center" vertical="center"/>
    </xf>
    <xf numFmtId="0" fontId="72" fillId="11" borderId="45" xfId="189" applyFont="1" applyFill="1" applyBorder="1" applyAlignment="1">
      <alignment horizontal="center" vertical="center"/>
    </xf>
    <xf numFmtId="0" fontId="72" fillId="11" borderId="46" xfId="189" applyFont="1" applyFill="1" applyBorder="1" applyAlignment="1">
      <alignment horizontal="center" vertical="center"/>
    </xf>
    <xf numFmtId="0" fontId="73" fillId="0" borderId="0" xfId="189" applyFont="1" applyAlignment="1">
      <alignment vertical="center"/>
    </xf>
    <xf numFmtId="0" fontId="31" fillId="0" borderId="28" xfId="189" applyBorder="1" applyAlignment="1">
      <alignment horizontal="center" vertical="center"/>
    </xf>
  </cellXfs>
  <cellStyles count="21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 xfId="49"/>
    <cellStyle name="?? [0]" xfId="50"/>
    <cellStyle name="??_0N-HANDLING " xfId="51"/>
    <cellStyle name="@_text" xfId="52"/>
    <cellStyle name="_(中企华)审计评估联合申报明细表.V1" xfId="53"/>
    <cellStyle name="_CBRE明细表" xfId="54"/>
    <cellStyle name="_ET_STYLE_NoName_00_" xfId="55"/>
    <cellStyle name="_KPMG original version" xfId="56"/>
    <cellStyle name="_KPMG original version_(中企华)审计评估联合申报明细表.V1" xfId="57"/>
    <cellStyle name="_KPMG original version_附件1：审计评估联合申报明细表" xfId="58"/>
    <cellStyle name="_long term loan - others 300504" xfId="59"/>
    <cellStyle name="_long term loan - others 300504_(中企华)审计评估联合申报明细表.V1" xfId="60"/>
    <cellStyle name="_long term loan - others 300504_KPMG original version" xfId="61"/>
    <cellStyle name="_long term loan - others 300504_KPMG original version_(中企华)审计评估联合申报明细表.V1" xfId="62"/>
    <cellStyle name="_long term loan - others 300504_KPMG original version_附件1：审计评估联合申报明细表" xfId="63"/>
    <cellStyle name="_long term loan - others 300504_Shenhua PBC package 050530" xfId="64"/>
    <cellStyle name="_long term loan - others 300504_Shenhua PBC package 050530_(中企华)审计评估联合申报明细表.V1" xfId="65"/>
    <cellStyle name="_long term loan - others 300504_Shenhua PBC package 050530_附件1：审计评估联合申报明细表" xfId="66"/>
    <cellStyle name="_long term loan - others 300504_附件1：审计评估联合申报明细表" xfId="67"/>
    <cellStyle name="_long term loan - others 300504_审计调查表.V3" xfId="68"/>
    <cellStyle name="_Part III.200406.Loan and Liabilities details.(Site Name)" xfId="69"/>
    <cellStyle name="_Part III.200406.Loan and Liabilities details.(Site Name)_(中企华)审计评估联合申报明细表.V1" xfId="70"/>
    <cellStyle name="_Part III.200406.Loan and Liabilities details.(Site Name)_KPMG original version" xfId="71"/>
    <cellStyle name="_Part III.200406.Loan and Liabilities details.(Site Name)_KPMG original version_(中企华)审计评估联合申报明细表.V1" xfId="72"/>
    <cellStyle name="_Part III.200406.Loan and Liabilities details.(Site Name)_KPMG original version_附件1：审计评估联合申报明细表" xfId="73"/>
    <cellStyle name="_Part III.200406.Loan and Liabilities details.(Site Name)_Shenhua PBC package 050530" xfId="74"/>
    <cellStyle name="_Part III.200406.Loan and Liabilities details.(Site Name)_Shenhua PBC package 050530_(中企华)审计评估联合申报明细表.V1" xfId="75"/>
    <cellStyle name="_Part III.200406.Loan and Liabilities details.(Site Name)_Shenhua PBC package 050530_附件1：审计评估联合申报明细表" xfId="76"/>
    <cellStyle name="_Part III.200406.Loan and Liabilities details.(Site Name)_附件1：审计评估联合申报明细表" xfId="77"/>
    <cellStyle name="_Part III.200406.Loan and Liabilities details.(Site Name)_审计调查表.V3" xfId="78"/>
    <cellStyle name="_Shenhua PBC package 050530" xfId="79"/>
    <cellStyle name="_Shenhua PBC package 050530_(中企华)审计评估联合申报明细表.V1" xfId="80"/>
    <cellStyle name="_Shenhua PBC package 050530_附件1：审计评估联合申报明细表" xfId="81"/>
    <cellStyle name="_房屋建筑评估申报表" xfId="82"/>
    <cellStyle name="_附件1：审计评估联合申报明细表" xfId="83"/>
    <cellStyle name="_审计调查表.V3" xfId="84"/>
    <cellStyle name="_文函专递0211-施工企业调查表（附件）" xfId="85"/>
    <cellStyle name="{Comma [0]}" xfId="86"/>
    <cellStyle name="{Comma}" xfId="87"/>
    <cellStyle name="{Date}" xfId="88"/>
    <cellStyle name="{Month}" xfId="89"/>
    <cellStyle name="{Percent}" xfId="90"/>
    <cellStyle name="{Thousand [0]}" xfId="91"/>
    <cellStyle name="{Thousand}" xfId="92"/>
    <cellStyle name="{Z'0000(1 dec)}" xfId="93"/>
    <cellStyle name="{Z'0000(4 dec)}" xfId="94"/>
    <cellStyle name="0,0_x000d__x000a_NA_x000d__x000a_" xfId="95"/>
    <cellStyle name="accountNameD" xfId="96"/>
    <cellStyle name="args.style" xfId="97"/>
    <cellStyle name="assetNameD" xfId="98"/>
    <cellStyle name="Calc Currency (0)" xfId="99"/>
    <cellStyle name="category" xfId="100"/>
    <cellStyle name="ColLevel_1" xfId="101"/>
    <cellStyle name="Column Headings" xfId="102"/>
    <cellStyle name="Column$Headings" xfId="103"/>
    <cellStyle name="Column_Title" xfId="104"/>
    <cellStyle name="Comma  - Style1" xfId="105"/>
    <cellStyle name="Comma  - Style2" xfId="106"/>
    <cellStyle name="Comma  - Style3" xfId="107"/>
    <cellStyle name="Comma  - Style4" xfId="108"/>
    <cellStyle name="Comma  - Style5" xfId="109"/>
    <cellStyle name="Comma  - Style6" xfId="110"/>
    <cellStyle name="Comma  - Style7" xfId="111"/>
    <cellStyle name="Comma  - Style8" xfId="112"/>
    <cellStyle name="Comma [0]_laroux" xfId="113"/>
    <cellStyle name="Comma_02(2003.12.31 PBC package.040304)" xfId="114"/>
    <cellStyle name="comma-d" xfId="115"/>
    <cellStyle name="Copied" xfId="116"/>
    <cellStyle name="COST1" xfId="117"/>
    <cellStyle name="Currency [0]_353HHC" xfId="118"/>
    <cellStyle name="Currency_353HHC" xfId="119"/>
    <cellStyle name="CustomerNameD" xfId="120"/>
    <cellStyle name="Date" xfId="121"/>
    <cellStyle name="Entered" xfId="122"/>
    <cellStyle name="entry box" xfId="123"/>
    <cellStyle name="Euro" xfId="124"/>
    <cellStyle name="e鯪9Y_x000b_" xfId="125"/>
    <cellStyle name="Format Number Column" xfId="126"/>
    <cellStyle name="gcd" xfId="127"/>
    <cellStyle name="Grey" xfId="128"/>
    <cellStyle name="HEADER" xfId="129"/>
    <cellStyle name="Header1" xfId="130"/>
    <cellStyle name="Header2" xfId="131"/>
    <cellStyle name="Input [yellow]" xfId="132"/>
    <cellStyle name="Input Cells" xfId="133"/>
    <cellStyle name="InputArea" xfId="134"/>
    <cellStyle name="InventoryNameD" xfId="135"/>
    <cellStyle name="KPMG Heading 1" xfId="136"/>
    <cellStyle name="KPMG Heading 2" xfId="137"/>
    <cellStyle name="KPMG Heading 3" xfId="138"/>
    <cellStyle name="KPMG Heading 4" xfId="139"/>
    <cellStyle name="KPMG Normal" xfId="140"/>
    <cellStyle name="KPMG Normal Text" xfId="141"/>
    <cellStyle name="Lines Fill" xfId="142"/>
    <cellStyle name="Linked Cells" xfId="143"/>
    <cellStyle name="Milliers [0]_!!!GO" xfId="144"/>
    <cellStyle name="Milliers_!!!GO" xfId="145"/>
    <cellStyle name="Model" xfId="146"/>
    <cellStyle name="Monétaire [0]_!!!GO" xfId="147"/>
    <cellStyle name="Monétaire_!!!GO" xfId="148"/>
    <cellStyle name="MonthDeprAmountD" xfId="149"/>
    <cellStyle name="netAmountD" xfId="150"/>
    <cellStyle name="New Times Roman" xfId="151"/>
    <cellStyle name="no dec" xfId="152"/>
    <cellStyle name="Normal" xfId="153"/>
    <cellStyle name="Normal - Style1" xfId="154"/>
    <cellStyle name="Normal 2 4" xfId="155"/>
    <cellStyle name="Normal_0105第二套审计报表定稿" xfId="156"/>
    <cellStyle name="Normal_Sheet1_Valuer report" xfId="157"/>
    <cellStyle name="Normal_廣朹廣電 shenjibaobiao 31.12.2000 (revised on 7.3.02)" xfId="158"/>
    <cellStyle name="Normalny_Arkusz1" xfId="159"/>
    <cellStyle name="Œ…‹æØ‚è [0.00]_Region Orders (2)" xfId="160"/>
    <cellStyle name="Œ…‹æØ‚è_Region Orders (2)" xfId="161"/>
    <cellStyle name="origValueD" xfId="162"/>
    <cellStyle name="per.style" xfId="163"/>
    <cellStyle name="Percent [2]" xfId="164"/>
    <cellStyle name="Percent_PICC package Sept2002 (V120021005)1" xfId="165"/>
    <cellStyle name="periodEndBalanceAmountCrD" xfId="166"/>
    <cellStyle name="periodEndBalanceAmountDrD" xfId="167"/>
    <cellStyle name="Prefilled" xfId="168"/>
    <cellStyle name="pricing" xfId="169"/>
    <cellStyle name="PSChar" xfId="170"/>
    <cellStyle name="RevList" xfId="171"/>
    <cellStyle name="RowLevel_1" xfId="172"/>
    <cellStyle name="Sheet Head" xfId="173"/>
    <cellStyle name="specD" xfId="174"/>
    <cellStyle name="style" xfId="175"/>
    <cellStyle name="style1" xfId="176"/>
    <cellStyle name="style2" xfId="177"/>
    <cellStyle name="subhead" xfId="178"/>
    <cellStyle name="Subtotal" xfId="179"/>
    <cellStyle name="TotalDeprD" xfId="180"/>
    <cellStyle name="totalDeprDrD" xfId="181"/>
    <cellStyle name="常规 2" xfId="182"/>
    <cellStyle name="常规 3" xfId="183"/>
    <cellStyle name="常规_Sheet1" xfId="184"/>
    <cellStyle name="常规_存货" xfId="185"/>
    <cellStyle name="常规_基本情况" xfId="186"/>
    <cellStyle name="常规_评估空白套表1" xfId="187"/>
    <cellStyle name="常规_评估明细表" xfId="188"/>
    <cellStyle name="常规_评估明细表（申报）" xfId="189"/>
    <cellStyle name="常规_评估明细表太原12-11" xfId="190"/>
    <cellStyle name="常规_深南设备" xfId="191"/>
    <cellStyle name="常规_十矿井巷工程评估明细表" xfId="192"/>
    <cellStyle name="常规_中航油评估明细表" xfId="193"/>
    <cellStyle name="常规_中评协(2008)218号" xfId="194"/>
    <cellStyle name="分级显示行_1_4附件二凯旋评估表" xfId="195"/>
    <cellStyle name="公司标准表" xfId="196"/>
    <cellStyle name="霓付 [0]_97MBO" xfId="197"/>
    <cellStyle name="霓付_97MBO" xfId="198"/>
    <cellStyle name="烹拳 [0]_97MBO" xfId="199"/>
    <cellStyle name="烹拳_97MBO" xfId="200"/>
    <cellStyle name="普通_ 白土" xfId="201"/>
    <cellStyle name="千分位[0]_ 白土" xfId="202"/>
    <cellStyle name="千分位_ 白土" xfId="203"/>
    <cellStyle name="千位[0]_ 应交税金审定表" xfId="204"/>
    <cellStyle name="千位_ 应交税金审定表" xfId="205"/>
    <cellStyle name="千位分隔 2" xfId="206"/>
    <cellStyle name="钎霖_laroux" xfId="207"/>
    <cellStyle name="样式 1" xfId="208"/>
    <cellStyle name="一般_NEGS" xfId="209"/>
    <cellStyle name="资产" xfId="210"/>
    <cellStyle name="콤마 [0]_BOILER-CO1" xfId="211"/>
    <cellStyle name="콤마_BOILER-CO1" xfId="212"/>
    <cellStyle name="통화 [0]_BOILER-CO1" xfId="213"/>
    <cellStyle name="통화_BOILER-CO1" xfId="214"/>
    <cellStyle name="표준_0N-HANDLING " xfId="215"/>
    <cellStyle name="표준_kc-elec system check list" xfId="21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F2F2F2"/>
      <rgbColor rgb="00D7EAF9"/>
      <rgbColor rgb="00FEF6AC"/>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9" Type="http://schemas.openxmlformats.org/officeDocument/2006/relationships/styles" Target="styles.xml"/><Relationship Id="rId98" Type="http://schemas.openxmlformats.org/officeDocument/2006/relationships/sharedStrings" Target="sharedStrings.xml"/><Relationship Id="rId97" Type="http://schemas.openxmlformats.org/officeDocument/2006/relationships/theme" Target="theme/theme1.xml"/><Relationship Id="rId96" Type="http://schemas.openxmlformats.org/officeDocument/2006/relationships/customXml" Target="../customXml/item1.xml"/><Relationship Id="rId95" Type="http://schemas.openxmlformats.org/officeDocument/2006/relationships/worksheet" Target="worksheets/sheet95.xml"/><Relationship Id="rId94" Type="http://schemas.openxmlformats.org/officeDocument/2006/relationships/worksheet" Target="worksheets/sheet94.xml"/><Relationship Id="rId93" Type="http://schemas.openxmlformats.org/officeDocument/2006/relationships/worksheet" Target="worksheets/sheet93.xml"/><Relationship Id="rId92" Type="http://schemas.openxmlformats.org/officeDocument/2006/relationships/worksheet" Target="worksheets/sheet92.xml"/><Relationship Id="rId91" Type="http://schemas.openxmlformats.org/officeDocument/2006/relationships/worksheet" Target="worksheets/sheet91.xml"/><Relationship Id="rId90" Type="http://schemas.openxmlformats.org/officeDocument/2006/relationships/worksheet" Target="worksheets/sheet90.xml"/><Relationship Id="rId9" Type="http://schemas.openxmlformats.org/officeDocument/2006/relationships/worksheet" Target="worksheets/sheet9.xml"/><Relationship Id="rId89" Type="http://schemas.openxmlformats.org/officeDocument/2006/relationships/worksheet" Target="worksheets/sheet89.xml"/><Relationship Id="rId88" Type="http://schemas.openxmlformats.org/officeDocument/2006/relationships/worksheet" Target="worksheets/sheet88.xml"/><Relationship Id="rId87" Type="http://schemas.openxmlformats.org/officeDocument/2006/relationships/worksheet" Target="worksheets/sheet87.xml"/><Relationship Id="rId86" Type="http://schemas.openxmlformats.org/officeDocument/2006/relationships/worksheet" Target="worksheets/sheet86.xml"/><Relationship Id="rId85" Type="http://schemas.openxmlformats.org/officeDocument/2006/relationships/worksheet" Target="worksheets/sheet85.xml"/><Relationship Id="rId84" Type="http://schemas.openxmlformats.org/officeDocument/2006/relationships/worksheet" Target="worksheets/sheet84.xml"/><Relationship Id="rId83" Type="http://schemas.openxmlformats.org/officeDocument/2006/relationships/worksheet" Target="worksheets/sheet83.xml"/><Relationship Id="rId82" Type="http://schemas.openxmlformats.org/officeDocument/2006/relationships/worksheet" Target="worksheets/sheet82.xml"/><Relationship Id="rId81" Type="http://schemas.openxmlformats.org/officeDocument/2006/relationships/worksheet" Target="worksheets/sheet81.xml"/><Relationship Id="rId80" Type="http://schemas.openxmlformats.org/officeDocument/2006/relationships/worksheet" Target="worksheets/sheet80.xml"/><Relationship Id="rId8" Type="http://schemas.openxmlformats.org/officeDocument/2006/relationships/worksheet" Target="worksheets/sheet8.xml"/><Relationship Id="rId79" Type="http://schemas.openxmlformats.org/officeDocument/2006/relationships/worksheet" Target="worksheets/sheet79.xml"/><Relationship Id="rId78" Type="http://schemas.openxmlformats.org/officeDocument/2006/relationships/worksheet" Target="worksheets/sheet78.xml"/><Relationship Id="rId77" Type="http://schemas.openxmlformats.org/officeDocument/2006/relationships/worksheet" Target="worksheets/sheet77.xml"/><Relationship Id="rId76" Type="http://schemas.openxmlformats.org/officeDocument/2006/relationships/worksheet" Target="worksheets/sheet76.xml"/><Relationship Id="rId75" Type="http://schemas.openxmlformats.org/officeDocument/2006/relationships/worksheet" Target="worksheets/sheet75.xml"/><Relationship Id="rId74" Type="http://schemas.openxmlformats.org/officeDocument/2006/relationships/worksheet" Target="worksheets/sheet74.xml"/><Relationship Id="rId73" Type="http://schemas.openxmlformats.org/officeDocument/2006/relationships/worksheet" Target="worksheets/sheet73.xml"/><Relationship Id="rId72" Type="http://schemas.openxmlformats.org/officeDocument/2006/relationships/worksheet" Target="worksheets/sheet72.xml"/><Relationship Id="rId71" Type="http://schemas.openxmlformats.org/officeDocument/2006/relationships/worksheet" Target="worksheets/sheet71.xml"/><Relationship Id="rId70" Type="http://schemas.openxmlformats.org/officeDocument/2006/relationships/worksheet" Target="worksheets/sheet70.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comments" Target="../comments10.xml"/></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comments" Target="../comments11.xml"/></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comments" Target="../comments12.xml"/></Relationships>
</file>

<file path=xl/worksheets/_rels/sheet25.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comments" Target="../comments13.xml"/></Relationships>
</file>

<file path=xl/worksheets/_rels/sheet27.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comments" Target="../comments14.xml"/></Relationships>
</file>

<file path=xl/worksheets/_rels/sheet31.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comments" Target="../comments15.xml"/></Relationships>
</file>

<file path=xl/worksheets/_rels/sheet32.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comments" Target="../comments16.xml"/></Relationships>
</file>

<file path=xl/worksheets/_rels/sheet35.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comments" Target="../comments17.xml"/></Relationships>
</file>

<file path=xl/worksheets/_rels/sheet37.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comments" Target="../comments18.xml"/></Relationships>
</file>

<file path=xl/worksheets/_rels/sheet39.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comments" Target="../comments19.xml"/></Relationships>
</file>

<file path=xl/worksheets/_rels/sheet41.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comments" Target="../comments20.xml"/></Relationships>
</file>

<file path=xl/worksheets/_rels/sheet42.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comments" Target="../comments21.xml"/></Relationships>
</file>

<file path=xl/worksheets/_rels/sheet43.xml.rels><?xml version="1.0" encoding="UTF-8" standalone="yes"?>
<Relationships xmlns="http://schemas.openxmlformats.org/package/2006/relationships"><Relationship Id="rId2" Type="http://schemas.openxmlformats.org/officeDocument/2006/relationships/vmlDrawing" Target="../drawings/vmlDrawing22.vml"/><Relationship Id="rId1" Type="http://schemas.openxmlformats.org/officeDocument/2006/relationships/comments" Target="../comments22.xml"/></Relationships>
</file>

<file path=xl/worksheets/_rels/sheet44.xml.rels><?xml version="1.0" encoding="UTF-8" standalone="yes"?>
<Relationships xmlns="http://schemas.openxmlformats.org/package/2006/relationships"><Relationship Id="rId2" Type="http://schemas.openxmlformats.org/officeDocument/2006/relationships/vmlDrawing" Target="../drawings/vmlDrawing23.vml"/><Relationship Id="rId1" Type="http://schemas.openxmlformats.org/officeDocument/2006/relationships/comments" Target="../comments23.xml"/></Relationships>
</file>

<file path=xl/worksheets/_rels/sheet46.xml.rels><?xml version="1.0" encoding="UTF-8" standalone="yes"?>
<Relationships xmlns="http://schemas.openxmlformats.org/package/2006/relationships"><Relationship Id="rId2" Type="http://schemas.openxmlformats.org/officeDocument/2006/relationships/vmlDrawing" Target="../drawings/vmlDrawing24.vml"/><Relationship Id="rId1" Type="http://schemas.openxmlformats.org/officeDocument/2006/relationships/comments" Target="../comments24.xml"/></Relationships>
</file>

<file path=xl/worksheets/_rels/sheet47.xml.rels><?xml version="1.0" encoding="UTF-8" standalone="yes"?>
<Relationships xmlns="http://schemas.openxmlformats.org/package/2006/relationships"><Relationship Id="rId2" Type="http://schemas.openxmlformats.org/officeDocument/2006/relationships/vmlDrawing" Target="../drawings/vmlDrawing25.vml"/><Relationship Id="rId1" Type="http://schemas.openxmlformats.org/officeDocument/2006/relationships/comments" Target="../comments25.xml"/></Relationships>
</file>

<file path=xl/worksheets/_rels/sheet48.xml.rels><?xml version="1.0" encoding="UTF-8" standalone="yes"?>
<Relationships xmlns="http://schemas.openxmlformats.org/package/2006/relationships"><Relationship Id="rId2" Type="http://schemas.openxmlformats.org/officeDocument/2006/relationships/vmlDrawing" Target="../drawings/vmlDrawing26.vml"/><Relationship Id="rId1" Type="http://schemas.openxmlformats.org/officeDocument/2006/relationships/comments" Target="../comments26.xml"/></Relationships>
</file>

<file path=xl/worksheets/_rels/sheet50.xml.rels><?xml version="1.0" encoding="UTF-8" standalone="yes"?>
<Relationships xmlns="http://schemas.openxmlformats.org/package/2006/relationships"><Relationship Id="rId2" Type="http://schemas.openxmlformats.org/officeDocument/2006/relationships/vmlDrawing" Target="../drawings/vmlDrawing27.vml"/><Relationship Id="rId1" Type="http://schemas.openxmlformats.org/officeDocument/2006/relationships/comments" Target="../comments27.xml"/></Relationships>
</file>

<file path=xl/worksheets/_rels/sheet51.xml.rels><?xml version="1.0" encoding="UTF-8" standalone="yes"?>
<Relationships xmlns="http://schemas.openxmlformats.org/package/2006/relationships"><Relationship Id="rId7" Type="http://schemas.openxmlformats.org/officeDocument/2006/relationships/hyperlink" Target="https://detail.1688.com/offer/533989812836.html?spm=a261b.2187593.1998088710.1.7fed147csppu9q&amp;tracelog=p4p&amp;clickid=e1b987a899564175a53991eb3d153598&amp;sessionid=c37e2129882030ed537098fd0c9482d8" TargetMode="External"/><Relationship Id="rId6" Type="http://schemas.openxmlformats.org/officeDocument/2006/relationships/hyperlink" Target="https://detail.1688.com/offer/609784199942.html?spm=a261b.2187593.1998088710.31.6dd25256uj9vDD" TargetMode="External"/><Relationship Id="rId5" Type="http://schemas.openxmlformats.org/officeDocument/2006/relationships/hyperlink" Target="https://b2b.baidu.com/land?url=https%3A%2F%2Fwww.912688.com%2Fsupply%2F104657120.html%3Fbdb2b8a2d%3D2438915230767428949&amp;query=%E7%94%B5%E8%84%91%E8%8A%B1%E6%A0%B7%E6%9C%BA&amp;category=%E6%9C%BA%E6%A2%B0%E5%B7%A5%E4%B8%9A%3B%E6%9C%8D%E8%A3%85%E6%9C%BA%E6%A2%B0%E8%AE%BE%E5%A4%87%3B%E7%BC%9D%E4%B8%AD%E8%AE%BE%E5%A4%87" TargetMode="External"/><Relationship Id="rId4" Type="http://schemas.openxmlformats.org/officeDocument/2006/relationships/hyperlink" Target="https://b2b.baidu.com/land?url=https%3A%2F%2Fwww.china.cn%2Frongjieji%2F3740659375.html%3Fbdb2b8a2d%3D2438987942149274047&amp;query=&#39640;&#21608;&#27874;&#27833;&#21387;&#26426;8kw&amp;category=&#26426;&#26800;&#24037;&#19994;%3B&#30005;&#23376;&#20135;&#21697;&#21046;&#36896;&#35774;&#22791;%3B&#29076;&#25509;&#26426;" TargetMode="External"/><Relationship Id="rId3" Type="http://schemas.openxmlformats.org/officeDocument/2006/relationships/hyperlink" Target="https://b2b.baidu.com/land?url=https%3A%2F%2Fwww.912688.com%2Fsupply%2F339710698.html%3Fbdb2b8a2d%3D2439046228181354518&amp;query=%E5%9B%9B%E6%9F%B1%E8%A3%81%E5%88%87%E6%9C%BAXclp3&amp;category=%E6%9C%BA%E6%A2%B0%E5%B7%A5%E4%B8%9A%3B%E7%9A%AE%E9%9D%A9%E5%8A%A0%E5%B7%A5%E8%AE%BE%E5%A4%87%3B%E8%A3%81%E6%96%AD%E6%9C%BA" TargetMode="External"/><Relationship Id="rId2" Type="http://schemas.openxmlformats.org/officeDocument/2006/relationships/vmlDrawing" Target="../drawings/vmlDrawing28.vml"/><Relationship Id="rId1" Type="http://schemas.openxmlformats.org/officeDocument/2006/relationships/comments" Target="../comments28.xml"/></Relationships>
</file>

<file path=xl/worksheets/_rels/sheet52.xml.rels><?xml version="1.0" encoding="UTF-8" standalone="yes"?>
<Relationships xmlns="http://schemas.openxmlformats.org/package/2006/relationships"><Relationship Id="rId3" Type="http://schemas.openxmlformats.org/officeDocument/2006/relationships/hyperlink" Target="https://www.che168.com/dealer/255777/36677775.html?pvareaid=100519&amp;userpid=0&amp;usercid=0" TargetMode="External"/><Relationship Id="rId2" Type="http://schemas.openxmlformats.org/officeDocument/2006/relationships/vmlDrawing" Target="../drawings/vmlDrawing29.vml"/><Relationship Id="rId1" Type="http://schemas.openxmlformats.org/officeDocument/2006/relationships/comments" Target="../comments29.xml"/></Relationships>
</file>

<file path=xl/worksheets/_rels/sheet53.xml.rels><?xml version="1.0" encoding="UTF-8" standalone="yes"?>
<Relationships xmlns="http://schemas.openxmlformats.org/package/2006/relationships"><Relationship Id="rId2" Type="http://schemas.openxmlformats.org/officeDocument/2006/relationships/vmlDrawing" Target="../drawings/vmlDrawing30.vml"/><Relationship Id="rId1" Type="http://schemas.openxmlformats.org/officeDocument/2006/relationships/comments" Target="../comments30.xml"/></Relationships>
</file>

<file path=xl/worksheets/_rels/sheet54.xml.rels><?xml version="1.0" encoding="UTF-8" standalone="yes"?>
<Relationships xmlns="http://schemas.openxmlformats.org/package/2006/relationships"><Relationship Id="rId2" Type="http://schemas.openxmlformats.org/officeDocument/2006/relationships/vmlDrawing" Target="../drawings/vmlDrawing31.vml"/><Relationship Id="rId1" Type="http://schemas.openxmlformats.org/officeDocument/2006/relationships/comments" Target="../comments31.xml"/></Relationships>
</file>

<file path=xl/worksheets/_rels/sheet56.xml.rels><?xml version="1.0" encoding="UTF-8" standalone="yes"?>
<Relationships xmlns="http://schemas.openxmlformats.org/package/2006/relationships"><Relationship Id="rId2" Type="http://schemas.openxmlformats.org/officeDocument/2006/relationships/vmlDrawing" Target="../drawings/vmlDrawing32.vml"/><Relationship Id="rId1" Type="http://schemas.openxmlformats.org/officeDocument/2006/relationships/comments" Target="../comments32.xml"/></Relationships>
</file>

<file path=xl/worksheets/_rels/sheet57.xml.rels><?xml version="1.0" encoding="UTF-8" standalone="yes"?>
<Relationships xmlns="http://schemas.openxmlformats.org/package/2006/relationships"><Relationship Id="rId2" Type="http://schemas.openxmlformats.org/officeDocument/2006/relationships/vmlDrawing" Target="../drawings/vmlDrawing33.vml"/><Relationship Id="rId1" Type="http://schemas.openxmlformats.org/officeDocument/2006/relationships/comments" Target="../comments33.xml"/></Relationships>
</file>

<file path=xl/worksheets/_rels/sheet59.xml.rels><?xml version="1.0" encoding="UTF-8" standalone="yes"?>
<Relationships xmlns="http://schemas.openxmlformats.org/package/2006/relationships"><Relationship Id="rId2" Type="http://schemas.openxmlformats.org/officeDocument/2006/relationships/vmlDrawing" Target="../drawings/vmlDrawing34.vml"/><Relationship Id="rId1" Type="http://schemas.openxmlformats.org/officeDocument/2006/relationships/comments" Target="../comments34.xml"/></Relationships>
</file>

<file path=xl/worksheets/_rels/sheet60.xml.rels><?xml version="1.0" encoding="UTF-8" standalone="yes"?>
<Relationships xmlns="http://schemas.openxmlformats.org/package/2006/relationships"><Relationship Id="rId2" Type="http://schemas.openxmlformats.org/officeDocument/2006/relationships/vmlDrawing" Target="../drawings/vmlDrawing35.vml"/><Relationship Id="rId1" Type="http://schemas.openxmlformats.org/officeDocument/2006/relationships/comments" Target="../comments35.xml"/></Relationships>
</file>

<file path=xl/worksheets/_rels/sheet61.xml.rels><?xml version="1.0" encoding="UTF-8" standalone="yes"?>
<Relationships xmlns="http://schemas.openxmlformats.org/package/2006/relationships"><Relationship Id="rId2" Type="http://schemas.openxmlformats.org/officeDocument/2006/relationships/vmlDrawing" Target="../drawings/vmlDrawing36.vml"/><Relationship Id="rId1" Type="http://schemas.openxmlformats.org/officeDocument/2006/relationships/comments" Target="../comments36.xml"/></Relationships>
</file>

<file path=xl/worksheets/_rels/sheet62.xml.rels><?xml version="1.0" encoding="UTF-8" standalone="yes"?>
<Relationships xmlns="http://schemas.openxmlformats.org/package/2006/relationships"><Relationship Id="rId2" Type="http://schemas.openxmlformats.org/officeDocument/2006/relationships/vmlDrawing" Target="../drawings/vmlDrawing37.vml"/><Relationship Id="rId1" Type="http://schemas.openxmlformats.org/officeDocument/2006/relationships/comments" Target="../comments37.xml"/></Relationships>
</file>

<file path=xl/worksheets/_rels/sheet64.xml.rels><?xml version="1.0" encoding="UTF-8" standalone="yes"?>
<Relationships xmlns="http://schemas.openxmlformats.org/package/2006/relationships"><Relationship Id="rId2" Type="http://schemas.openxmlformats.org/officeDocument/2006/relationships/vmlDrawing" Target="../drawings/vmlDrawing38.vml"/><Relationship Id="rId1" Type="http://schemas.openxmlformats.org/officeDocument/2006/relationships/comments" Target="../comments38.xml"/></Relationships>
</file>

<file path=xl/worksheets/_rels/sheet65.xml.rels><?xml version="1.0" encoding="UTF-8" standalone="yes"?>
<Relationships xmlns="http://schemas.openxmlformats.org/package/2006/relationships"><Relationship Id="rId2" Type="http://schemas.openxmlformats.org/officeDocument/2006/relationships/vmlDrawing" Target="../drawings/vmlDrawing39.vml"/><Relationship Id="rId1" Type="http://schemas.openxmlformats.org/officeDocument/2006/relationships/comments" Target="../comments39.xml"/></Relationships>
</file>

<file path=xl/worksheets/_rels/sheet68.xml.rels><?xml version="1.0" encoding="UTF-8" standalone="yes"?>
<Relationships xmlns="http://schemas.openxmlformats.org/package/2006/relationships"><Relationship Id="rId2" Type="http://schemas.openxmlformats.org/officeDocument/2006/relationships/vmlDrawing" Target="../drawings/vmlDrawing40.vml"/><Relationship Id="rId1" Type="http://schemas.openxmlformats.org/officeDocument/2006/relationships/comments" Target="../comments40.xml"/></Relationships>
</file>

<file path=xl/worksheets/_rels/sheet69.xml.rels><?xml version="1.0" encoding="UTF-8" standalone="yes"?>
<Relationships xmlns="http://schemas.openxmlformats.org/package/2006/relationships"><Relationship Id="rId2" Type="http://schemas.openxmlformats.org/officeDocument/2006/relationships/vmlDrawing" Target="../drawings/vmlDrawing41.vml"/><Relationship Id="rId1" Type="http://schemas.openxmlformats.org/officeDocument/2006/relationships/comments" Target="../comments41.xml"/></Relationships>
</file>

<file path=xl/worksheets/_rels/sheet70.xml.rels><?xml version="1.0" encoding="UTF-8" standalone="yes"?>
<Relationships xmlns="http://schemas.openxmlformats.org/package/2006/relationships"><Relationship Id="rId2" Type="http://schemas.openxmlformats.org/officeDocument/2006/relationships/vmlDrawing" Target="../drawings/vmlDrawing42.vml"/><Relationship Id="rId1" Type="http://schemas.openxmlformats.org/officeDocument/2006/relationships/comments" Target="../comments42.xml"/></Relationships>
</file>

<file path=xl/worksheets/_rels/sheet72.xml.rels><?xml version="1.0" encoding="UTF-8" standalone="yes"?>
<Relationships xmlns="http://schemas.openxmlformats.org/package/2006/relationships"><Relationship Id="rId2" Type="http://schemas.openxmlformats.org/officeDocument/2006/relationships/vmlDrawing" Target="../drawings/vmlDrawing43.vml"/><Relationship Id="rId1" Type="http://schemas.openxmlformats.org/officeDocument/2006/relationships/comments" Target="../comments43.xml"/></Relationships>
</file>

<file path=xl/worksheets/_rels/sheet74.xml.rels><?xml version="1.0" encoding="UTF-8" standalone="yes"?>
<Relationships xmlns="http://schemas.openxmlformats.org/package/2006/relationships"><Relationship Id="rId2" Type="http://schemas.openxmlformats.org/officeDocument/2006/relationships/vmlDrawing" Target="../drawings/vmlDrawing44.vml"/><Relationship Id="rId1" Type="http://schemas.openxmlformats.org/officeDocument/2006/relationships/comments" Target="../comments44.xml"/></Relationships>
</file>

<file path=xl/worksheets/_rels/sheet75.xml.rels><?xml version="1.0" encoding="UTF-8" standalone="yes"?>
<Relationships xmlns="http://schemas.openxmlformats.org/package/2006/relationships"><Relationship Id="rId2" Type="http://schemas.openxmlformats.org/officeDocument/2006/relationships/vmlDrawing" Target="../drawings/vmlDrawing45.vml"/><Relationship Id="rId1" Type="http://schemas.openxmlformats.org/officeDocument/2006/relationships/comments" Target="../comments45.xml"/></Relationships>
</file>

<file path=xl/worksheets/_rels/sheet76.xml.rels><?xml version="1.0" encoding="UTF-8" standalone="yes"?>
<Relationships xmlns="http://schemas.openxmlformats.org/package/2006/relationships"><Relationship Id="rId2" Type="http://schemas.openxmlformats.org/officeDocument/2006/relationships/vmlDrawing" Target="../drawings/vmlDrawing46.vml"/><Relationship Id="rId1" Type="http://schemas.openxmlformats.org/officeDocument/2006/relationships/comments" Target="../comments46.xml"/></Relationships>
</file>

<file path=xl/worksheets/_rels/sheet77.xml.rels><?xml version="1.0" encoding="UTF-8" standalone="yes"?>
<Relationships xmlns="http://schemas.openxmlformats.org/package/2006/relationships"><Relationship Id="rId2" Type="http://schemas.openxmlformats.org/officeDocument/2006/relationships/vmlDrawing" Target="../drawings/vmlDrawing47.vml"/><Relationship Id="rId1" Type="http://schemas.openxmlformats.org/officeDocument/2006/relationships/comments" Target="../comments47.xml"/></Relationships>
</file>

<file path=xl/worksheets/_rels/sheet78.xml.rels><?xml version="1.0" encoding="UTF-8" standalone="yes"?>
<Relationships xmlns="http://schemas.openxmlformats.org/package/2006/relationships"><Relationship Id="rId2" Type="http://schemas.openxmlformats.org/officeDocument/2006/relationships/vmlDrawing" Target="../drawings/vmlDrawing48.vml"/><Relationship Id="rId1" Type="http://schemas.openxmlformats.org/officeDocument/2006/relationships/comments" Target="../comments48.xml"/></Relationships>
</file>

<file path=xl/worksheets/_rels/sheet79.xml.rels><?xml version="1.0" encoding="UTF-8" standalone="yes"?>
<Relationships xmlns="http://schemas.openxmlformats.org/package/2006/relationships"><Relationship Id="rId2" Type="http://schemas.openxmlformats.org/officeDocument/2006/relationships/vmlDrawing" Target="../drawings/vmlDrawing49.vml"/><Relationship Id="rId1" Type="http://schemas.openxmlformats.org/officeDocument/2006/relationships/comments" Target="../comments49.xml"/></Relationships>
</file>

<file path=xl/worksheets/_rels/sheet80.xml.rels><?xml version="1.0" encoding="UTF-8" standalone="yes"?>
<Relationships xmlns="http://schemas.openxmlformats.org/package/2006/relationships"><Relationship Id="rId2" Type="http://schemas.openxmlformats.org/officeDocument/2006/relationships/vmlDrawing" Target="../drawings/vmlDrawing50.vml"/><Relationship Id="rId1" Type="http://schemas.openxmlformats.org/officeDocument/2006/relationships/comments" Target="../comments50.xml"/></Relationships>
</file>

<file path=xl/worksheets/_rels/sheet81.xml.rels><?xml version="1.0" encoding="UTF-8" standalone="yes"?>
<Relationships xmlns="http://schemas.openxmlformats.org/package/2006/relationships"><Relationship Id="rId2" Type="http://schemas.openxmlformats.org/officeDocument/2006/relationships/vmlDrawing" Target="../drawings/vmlDrawing51.vml"/><Relationship Id="rId1" Type="http://schemas.openxmlformats.org/officeDocument/2006/relationships/comments" Target="../comments51.xml"/></Relationships>
</file>

<file path=xl/worksheets/_rels/sheet82.xml.rels><?xml version="1.0" encoding="UTF-8" standalone="yes"?>
<Relationships xmlns="http://schemas.openxmlformats.org/package/2006/relationships"><Relationship Id="rId2" Type="http://schemas.openxmlformats.org/officeDocument/2006/relationships/vmlDrawing" Target="../drawings/vmlDrawing52.vml"/><Relationship Id="rId1" Type="http://schemas.openxmlformats.org/officeDocument/2006/relationships/comments" Target="../comments52.xml"/></Relationships>
</file>

<file path=xl/worksheets/_rels/sheet83.xml.rels><?xml version="1.0" encoding="UTF-8" standalone="yes"?>
<Relationships xmlns="http://schemas.openxmlformats.org/package/2006/relationships"><Relationship Id="rId2" Type="http://schemas.openxmlformats.org/officeDocument/2006/relationships/vmlDrawing" Target="../drawings/vmlDrawing53.vml"/><Relationship Id="rId1" Type="http://schemas.openxmlformats.org/officeDocument/2006/relationships/comments" Target="../comments53.xml"/></Relationships>
</file>

<file path=xl/worksheets/_rels/sheet84.xml.rels><?xml version="1.0" encoding="UTF-8" standalone="yes"?>
<Relationships xmlns="http://schemas.openxmlformats.org/package/2006/relationships"><Relationship Id="rId2" Type="http://schemas.openxmlformats.org/officeDocument/2006/relationships/vmlDrawing" Target="../drawings/vmlDrawing54.vml"/><Relationship Id="rId1" Type="http://schemas.openxmlformats.org/officeDocument/2006/relationships/comments" Target="../comments54.xml"/></Relationships>
</file>

<file path=xl/worksheets/_rels/sheet87.xml.rels><?xml version="1.0" encoding="UTF-8" standalone="yes"?>
<Relationships xmlns="http://schemas.openxmlformats.org/package/2006/relationships"><Relationship Id="rId2" Type="http://schemas.openxmlformats.org/officeDocument/2006/relationships/vmlDrawing" Target="../drawings/vmlDrawing55.vml"/><Relationship Id="rId1" Type="http://schemas.openxmlformats.org/officeDocument/2006/relationships/comments" Target="../comments55.xml"/></Relationships>
</file>

<file path=xl/worksheets/_rels/sheet89.xml.rels><?xml version="1.0" encoding="UTF-8" standalone="yes"?>
<Relationships xmlns="http://schemas.openxmlformats.org/package/2006/relationships"><Relationship Id="rId2" Type="http://schemas.openxmlformats.org/officeDocument/2006/relationships/vmlDrawing" Target="../drawings/vmlDrawing56.vml"/><Relationship Id="rId1" Type="http://schemas.openxmlformats.org/officeDocument/2006/relationships/comments" Target="../comments5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
  <sheetViews>
    <sheetView showGridLines="0" showRowColHeaders="0" showZeros="0" showOutlineSymbols="0" zoomScaleSheetLayoutView="10" topLeftCell="B20136" workbookViewId="0">
      <selection activeCell="G451" sqref="G451"/>
    </sheetView>
  </sheetViews>
  <sheetFormatPr defaultColWidth="9" defaultRowHeight="15.5"/>
  <sheetData/>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Q42"/>
  <sheetViews>
    <sheetView view="pageBreakPreview" zoomScale="110" zoomScaleNormal="100" topLeftCell="A4" workbookViewId="0">
      <selection activeCell="G451" sqref="G451"/>
    </sheetView>
  </sheetViews>
  <sheetFormatPr defaultColWidth="9" defaultRowHeight="15.5"/>
  <cols>
    <col min="1" max="1" width="2" style="299" customWidth="1"/>
    <col min="2" max="2" width="3.25" style="299" customWidth="1"/>
    <col min="3" max="3" width="3.33333333333333" style="299" customWidth="1"/>
    <col min="4" max="4" width="22.75" style="299" customWidth="1"/>
    <col min="5" max="5" width="3.25" style="299" customWidth="1"/>
    <col min="6" max="6" width="5.25" style="299" customWidth="1"/>
    <col min="7" max="7" width="3.33333333333333" style="299" customWidth="1"/>
    <col min="8" max="8" width="3.08333333333333" style="299" customWidth="1"/>
    <col min="9" max="9" width="3.33333333333333" style="299" customWidth="1"/>
    <col min="10" max="10" width="3.08333333333333" style="299" customWidth="1"/>
    <col min="11" max="11" width="3.33333333333333" style="299" customWidth="1"/>
    <col min="12" max="12" width="4.25" style="299" customWidth="1"/>
    <col min="13" max="13" width="5.08333333333333" style="299" customWidth="1"/>
    <col min="14" max="14" width="3.08333333333333" style="299" customWidth="1"/>
    <col min="15" max="15" width="3.25" style="299" customWidth="1"/>
    <col min="16" max="16" width="4.25" style="299" customWidth="1"/>
    <col min="17" max="17" width="9" style="299" customWidth="1"/>
    <col min="18" max="18" width="8.75" style="299" customWidth="1"/>
    <col min="19" max="16384" width="9" style="299" customWidth="1"/>
  </cols>
  <sheetData>
    <row r="1" ht="20.25" customHeight="1" spans="1:17">
      <c r="A1" s="400"/>
      <c r="B1" s="401" t="s">
        <v>0</v>
      </c>
      <c r="C1" s="402"/>
      <c r="D1" s="403"/>
      <c r="E1" s="403"/>
      <c r="F1" s="403"/>
      <c r="G1" s="403"/>
      <c r="H1" s="403"/>
      <c r="I1" s="403"/>
      <c r="J1" s="403"/>
      <c r="K1" s="403"/>
      <c r="L1" s="403"/>
      <c r="M1" s="403"/>
      <c r="N1" s="403"/>
      <c r="O1" s="403"/>
      <c r="P1" s="404"/>
      <c r="Q1" s="405"/>
    </row>
    <row r="2" ht="18" customHeight="1" spans="1:17">
      <c r="A2" s="404"/>
      <c r="B2" s="406"/>
      <c r="C2" s="407"/>
      <c r="D2" s="407"/>
      <c r="E2" s="407"/>
      <c r="F2" s="407"/>
      <c r="G2" s="407"/>
      <c r="H2" s="407"/>
      <c r="I2" s="407"/>
      <c r="J2" s="407"/>
      <c r="K2" s="407"/>
      <c r="L2" s="407"/>
      <c r="M2" s="407"/>
      <c r="N2" s="407"/>
      <c r="O2" s="408"/>
      <c r="P2" s="409"/>
      <c r="Q2" s="410"/>
    </row>
    <row r="3" ht="30.75" hidden="1" customHeight="1" spans="1:17">
      <c r="A3" s="411"/>
      <c r="B3" s="412"/>
      <c r="C3" s="413"/>
      <c r="D3" s="414"/>
      <c r="E3" s="414"/>
      <c r="F3" s="414"/>
      <c r="G3" s="414"/>
      <c r="H3" s="414"/>
      <c r="I3" s="414"/>
      <c r="J3" s="414"/>
      <c r="K3" s="414"/>
      <c r="L3" s="414"/>
      <c r="M3" s="414"/>
      <c r="N3" s="415"/>
      <c r="O3" s="416"/>
      <c r="P3" s="417"/>
      <c r="Q3" s="410"/>
    </row>
    <row r="4" ht="45.75" customHeight="1" spans="1:17">
      <c r="A4" s="411"/>
      <c r="B4" s="418"/>
      <c r="C4" s="419" t="s">
        <v>1</v>
      </c>
      <c r="N4" s="420"/>
      <c r="O4" s="421"/>
      <c r="P4" s="417"/>
      <c r="Q4" s="410"/>
    </row>
    <row r="5" ht="21.75" customHeight="1" spans="1:17">
      <c r="A5" s="422"/>
      <c r="B5" s="418"/>
      <c r="C5" s="423"/>
      <c r="D5" s="424" t="s">
        <v>2</v>
      </c>
      <c r="N5" s="425"/>
      <c r="O5" s="421"/>
      <c r="P5" s="426"/>
      <c r="Q5" s="410"/>
    </row>
    <row r="6" ht="6" hidden="1" customHeight="1" spans="1:17">
      <c r="A6" s="404"/>
      <c r="B6" s="418"/>
      <c r="C6" s="427"/>
      <c r="D6" s="428"/>
      <c r="N6" s="420"/>
      <c r="O6" s="421"/>
      <c r="P6" s="417"/>
      <c r="Q6" s="410"/>
    </row>
    <row r="7" ht="20.25" customHeight="1" spans="1:17">
      <c r="A7" s="404"/>
      <c r="B7" s="418"/>
      <c r="C7" s="427"/>
      <c r="D7" s="429" t="s">
        <v>3</v>
      </c>
      <c r="E7" s="430"/>
      <c r="F7" s="431"/>
      <c r="G7" s="430"/>
      <c r="H7" s="430"/>
      <c r="I7" s="430"/>
      <c r="J7" s="430"/>
      <c r="K7" s="430"/>
      <c r="L7" s="430"/>
      <c r="M7" s="432"/>
      <c r="N7" s="420"/>
      <c r="O7" s="421"/>
      <c r="P7" s="417"/>
      <c r="Q7" s="433" t="s">
        <v>4</v>
      </c>
    </row>
    <row r="8" ht="9" customHeight="1" spans="1:17">
      <c r="A8" s="404"/>
      <c r="B8" s="418"/>
      <c r="C8" s="427"/>
      <c r="D8" s="434"/>
      <c r="E8" s="435"/>
      <c r="F8" s="435"/>
      <c r="G8" s="435"/>
      <c r="H8" s="435"/>
      <c r="I8" s="435"/>
      <c r="J8" s="435"/>
      <c r="K8" s="435"/>
      <c r="L8" s="435"/>
      <c r="M8" s="436"/>
      <c r="N8" s="420"/>
      <c r="O8" s="421"/>
      <c r="P8" s="417"/>
      <c r="Q8" s="437"/>
    </row>
    <row r="9" ht="20.25" customHeight="1" spans="1:17">
      <c r="A9" s="404"/>
      <c r="B9" s="418"/>
      <c r="C9" s="427"/>
      <c r="D9" s="438" t="s">
        <v>5</v>
      </c>
      <c r="E9" s="32"/>
      <c r="F9" s="439"/>
      <c r="G9" s="440" t="s">
        <v>6</v>
      </c>
      <c r="H9" s="439"/>
      <c r="I9" s="440" t="s">
        <v>7</v>
      </c>
      <c r="J9" s="439"/>
      <c r="K9" s="440" t="s">
        <v>8</v>
      </c>
      <c r="L9" s="441"/>
      <c r="M9" s="442"/>
      <c r="N9" s="420"/>
      <c r="O9" s="421"/>
      <c r="P9" s="417"/>
      <c r="Q9" s="437"/>
    </row>
    <row r="10" ht="9" customHeight="1" spans="1:17">
      <c r="A10" s="404"/>
      <c r="B10" s="418"/>
      <c r="C10" s="427"/>
      <c r="D10" s="443"/>
      <c r="E10" s="444"/>
      <c r="F10" s="445"/>
      <c r="G10" s="445"/>
      <c r="H10" s="445"/>
      <c r="I10" s="445"/>
      <c r="J10" s="445"/>
      <c r="K10" s="445"/>
      <c r="L10" s="444"/>
      <c r="M10" s="446"/>
      <c r="N10" s="420"/>
      <c r="O10" s="421"/>
      <c r="P10" s="417"/>
      <c r="Q10" s="437"/>
    </row>
    <row r="11" ht="20.25" customHeight="1" spans="1:17">
      <c r="A11" s="404"/>
      <c r="B11" s="418"/>
      <c r="C11" s="427"/>
      <c r="D11" s="447" t="s">
        <v>9</v>
      </c>
      <c r="E11" s="448"/>
      <c r="F11" s="448"/>
      <c r="G11" s="449"/>
      <c r="H11" s="448"/>
      <c r="I11" s="448"/>
      <c r="J11" s="448"/>
      <c r="K11" s="448"/>
      <c r="L11" s="448"/>
      <c r="M11" s="450"/>
      <c r="N11" s="420"/>
      <c r="O11" s="421"/>
      <c r="P11" s="417"/>
      <c r="Q11" s="437" t="s">
        <v>10</v>
      </c>
    </row>
    <row r="12" ht="9" customHeight="1" spans="1:17">
      <c r="A12" s="404"/>
      <c r="B12" s="418"/>
      <c r="C12" s="427"/>
      <c r="D12" s="451"/>
      <c r="E12" s="452"/>
      <c r="F12" s="452"/>
      <c r="G12" s="452"/>
      <c r="H12" s="452"/>
      <c r="I12" s="452"/>
      <c r="J12" s="452"/>
      <c r="K12" s="452"/>
      <c r="L12" s="452"/>
      <c r="M12" s="453"/>
      <c r="N12" s="420"/>
      <c r="O12" s="421"/>
      <c r="P12" s="417"/>
      <c r="Q12" s="454"/>
    </row>
    <row r="13" ht="20.25" customHeight="1" spans="1:17">
      <c r="A13" s="404"/>
      <c r="B13" s="418"/>
      <c r="C13" s="427"/>
      <c r="D13" s="455" t="s">
        <v>11</v>
      </c>
      <c r="E13" s="456"/>
      <c r="F13" s="457"/>
      <c r="G13" s="458" t="s">
        <v>6</v>
      </c>
      <c r="H13" s="457"/>
      <c r="I13" s="458" t="s">
        <v>7</v>
      </c>
      <c r="J13" s="457"/>
      <c r="K13" s="458" t="s">
        <v>8</v>
      </c>
      <c r="L13" s="459"/>
      <c r="M13" s="460"/>
      <c r="N13" s="420"/>
      <c r="O13" s="421"/>
      <c r="P13" s="417"/>
      <c r="Q13" s="454"/>
    </row>
    <row r="14" ht="9" customHeight="1" spans="1:17">
      <c r="A14" s="404"/>
      <c r="B14" s="418"/>
      <c r="C14" s="427"/>
      <c r="D14" s="461"/>
      <c r="N14" s="420"/>
      <c r="O14" s="421"/>
      <c r="P14" s="417"/>
      <c r="Q14" s="462"/>
    </row>
    <row r="15" ht="22.5" customHeight="1" spans="1:17">
      <c r="A15" s="404"/>
      <c r="B15" s="418"/>
      <c r="C15" s="427"/>
      <c r="D15" s="424" t="s">
        <v>12</v>
      </c>
      <c r="N15" s="420"/>
      <c r="O15" s="421"/>
      <c r="P15" s="417"/>
      <c r="Q15" s="410"/>
    </row>
    <row r="16" ht="20.25" customHeight="1" spans="1:17">
      <c r="A16" s="404"/>
      <c r="B16" s="418"/>
      <c r="C16" s="427"/>
      <c r="D16" s="463" t="s">
        <v>13</v>
      </c>
      <c r="E16" s="464"/>
      <c r="F16" s="465"/>
      <c r="G16" s="430"/>
      <c r="H16" s="430"/>
      <c r="I16" s="430"/>
      <c r="J16" s="430"/>
      <c r="K16" s="430"/>
      <c r="L16" s="430"/>
      <c r="M16" s="432"/>
      <c r="N16" s="420"/>
      <c r="O16" s="421"/>
      <c r="P16" s="417"/>
      <c r="Q16" s="410"/>
    </row>
    <row r="17" ht="9.75" customHeight="1" spans="1:17">
      <c r="A17" s="404"/>
      <c r="B17" s="418"/>
      <c r="C17" s="427"/>
      <c r="D17" s="466"/>
      <c r="E17" s="467"/>
      <c r="F17" s="467"/>
      <c r="G17" s="467"/>
      <c r="H17" s="467"/>
      <c r="I17" s="467"/>
      <c r="J17" s="467"/>
      <c r="K17" s="467"/>
      <c r="L17" s="467"/>
      <c r="M17" s="468"/>
      <c r="N17" s="420"/>
      <c r="O17" s="421"/>
      <c r="P17" s="417"/>
      <c r="Q17" s="410"/>
    </row>
    <row r="18" ht="20.25" customHeight="1" spans="1:17">
      <c r="A18" s="404"/>
      <c r="B18" s="418"/>
      <c r="C18" s="427"/>
      <c r="D18" s="469" t="s">
        <v>14</v>
      </c>
      <c r="E18" s="32"/>
      <c r="F18" s="32"/>
      <c r="G18" s="470"/>
      <c r="H18" s="448"/>
      <c r="I18" s="448"/>
      <c r="J18" s="448"/>
      <c r="K18" s="448"/>
      <c r="L18" s="448"/>
      <c r="M18" s="450"/>
      <c r="N18" s="420"/>
      <c r="O18" s="421"/>
      <c r="P18" s="417"/>
      <c r="Q18" s="410"/>
    </row>
    <row r="19" ht="9.75" customHeight="1" spans="1:17">
      <c r="A19" s="404"/>
      <c r="B19" s="418"/>
      <c r="C19" s="427"/>
      <c r="D19" s="466"/>
      <c r="E19" s="467"/>
      <c r="F19" s="467"/>
      <c r="G19" s="467"/>
      <c r="H19" s="467"/>
      <c r="I19" s="467"/>
      <c r="J19" s="467"/>
      <c r="K19" s="467"/>
      <c r="L19" s="467"/>
      <c r="M19" s="468"/>
      <c r="N19" s="420"/>
      <c r="O19" s="421"/>
      <c r="P19" s="417"/>
      <c r="Q19" s="410"/>
    </row>
    <row r="20" ht="20.25" customHeight="1" spans="1:17">
      <c r="A20" s="404"/>
      <c r="B20" s="418"/>
      <c r="C20" s="427"/>
      <c r="D20" s="469" t="s">
        <v>15</v>
      </c>
      <c r="E20" s="32"/>
      <c r="F20" s="32"/>
      <c r="G20" s="470"/>
      <c r="H20" s="448"/>
      <c r="I20" s="448"/>
      <c r="J20" s="448"/>
      <c r="K20" s="448"/>
      <c r="L20" s="448"/>
      <c r="M20" s="450"/>
      <c r="N20" s="420"/>
      <c r="O20" s="421"/>
      <c r="P20" s="417"/>
      <c r="Q20" s="410"/>
    </row>
    <row r="21" ht="9" customHeight="1" spans="1:17">
      <c r="A21" s="404"/>
      <c r="B21" s="418"/>
      <c r="C21" s="427"/>
      <c r="D21" s="466"/>
      <c r="E21" s="467"/>
      <c r="F21" s="467"/>
      <c r="G21" s="467"/>
      <c r="H21" s="467"/>
      <c r="I21" s="467"/>
      <c r="J21" s="467"/>
      <c r="K21" s="467"/>
      <c r="L21" s="467"/>
      <c r="M21" s="468"/>
      <c r="N21" s="420"/>
      <c r="O21" s="421"/>
      <c r="P21" s="417"/>
      <c r="Q21" s="410"/>
    </row>
    <row r="22" ht="20.25" customHeight="1" spans="1:17">
      <c r="A22" s="404"/>
      <c r="B22" s="418"/>
      <c r="C22" s="427"/>
      <c r="D22" s="469" t="s">
        <v>16</v>
      </c>
      <c r="E22" s="32"/>
      <c r="F22" s="32"/>
      <c r="G22" s="470"/>
      <c r="H22" s="448"/>
      <c r="I22" s="448"/>
      <c r="J22" s="448"/>
      <c r="K22" s="448"/>
      <c r="L22" s="448"/>
      <c r="M22" s="450"/>
      <c r="N22" s="420"/>
      <c r="O22" s="421"/>
      <c r="P22" s="417"/>
      <c r="Q22" s="410"/>
    </row>
    <row r="23" ht="9" customHeight="1" spans="1:17">
      <c r="A23" s="404"/>
      <c r="B23" s="418"/>
      <c r="C23" s="427"/>
      <c r="D23" s="466"/>
      <c r="E23" s="467"/>
      <c r="F23" s="467"/>
      <c r="G23" s="467"/>
      <c r="H23" s="467"/>
      <c r="I23" s="467"/>
      <c r="J23" s="467"/>
      <c r="K23" s="467"/>
      <c r="L23" s="467"/>
      <c r="M23" s="468"/>
      <c r="N23" s="420"/>
      <c r="O23" s="421"/>
      <c r="P23" s="417"/>
      <c r="Q23" s="410"/>
    </row>
    <row r="24" ht="20.25" customHeight="1" spans="1:17">
      <c r="A24" s="404"/>
      <c r="B24" s="418"/>
      <c r="C24" s="427"/>
      <c r="D24" s="469" t="s">
        <v>17</v>
      </c>
      <c r="E24" s="32"/>
      <c r="F24" s="32"/>
      <c r="G24" s="470"/>
      <c r="H24" s="448"/>
      <c r="I24" s="448"/>
      <c r="J24" s="448"/>
      <c r="K24" s="448"/>
      <c r="L24" s="448"/>
      <c r="M24" s="450"/>
      <c r="N24" s="420"/>
      <c r="O24" s="421"/>
      <c r="P24" s="417"/>
      <c r="Q24" s="410"/>
    </row>
    <row r="25" ht="9.75" customHeight="1" spans="1:17">
      <c r="A25" s="404"/>
      <c r="B25" s="418"/>
      <c r="C25" s="427"/>
      <c r="D25" s="466"/>
      <c r="E25" s="467"/>
      <c r="F25" s="467"/>
      <c r="G25" s="467"/>
      <c r="H25" s="467"/>
      <c r="I25" s="467"/>
      <c r="J25" s="467"/>
      <c r="K25" s="467"/>
      <c r="L25" s="467"/>
      <c r="M25" s="468"/>
      <c r="N25" s="420"/>
      <c r="O25" s="421"/>
      <c r="P25" s="417"/>
      <c r="Q25" s="410"/>
    </row>
    <row r="26" ht="20.25" customHeight="1" spans="1:17">
      <c r="A26" s="404"/>
      <c r="B26" s="418"/>
      <c r="C26" s="427"/>
      <c r="D26" s="469" t="s">
        <v>18</v>
      </c>
      <c r="E26" s="32"/>
      <c r="F26" s="32"/>
      <c r="G26" s="470"/>
      <c r="H26" s="448"/>
      <c r="I26" s="448"/>
      <c r="J26" s="448"/>
      <c r="K26" s="448"/>
      <c r="L26" s="448"/>
      <c r="M26" s="450"/>
      <c r="N26" s="420"/>
      <c r="O26" s="421"/>
      <c r="P26" s="417"/>
      <c r="Q26" s="410"/>
    </row>
    <row r="27" ht="9.75" customHeight="1" spans="1:17">
      <c r="A27" s="404"/>
      <c r="B27" s="418"/>
      <c r="C27" s="427"/>
      <c r="D27" s="466"/>
      <c r="E27" s="467"/>
      <c r="F27" s="467"/>
      <c r="G27" s="467"/>
      <c r="H27" s="467"/>
      <c r="I27" s="467"/>
      <c r="J27" s="467"/>
      <c r="K27" s="467"/>
      <c r="L27" s="467"/>
      <c r="M27" s="468"/>
      <c r="N27" s="420"/>
      <c r="O27" s="421"/>
      <c r="P27" s="417"/>
      <c r="Q27" s="410"/>
    </row>
    <row r="28" ht="20.25" customHeight="1" spans="1:17">
      <c r="A28" s="404"/>
      <c r="B28" s="418"/>
      <c r="C28" s="427"/>
      <c r="D28" s="469" t="s">
        <v>19</v>
      </c>
      <c r="E28" s="32"/>
      <c r="F28" s="32"/>
      <c r="G28" s="470"/>
      <c r="H28" s="448"/>
      <c r="I28" s="448"/>
      <c r="J28" s="448"/>
      <c r="K28" s="448"/>
      <c r="L28" s="448"/>
      <c r="M28" s="450"/>
      <c r="N28" s="420"/>
      <c r="O28" s="421"/>
      <c r="P28" s="417"/>
      <c r="Q28" s="410"/>
    </row>
    <row r="29" ht="9.75" customHeight="1" spans="1:17">
      <c r="A29" s="404"/>
      <c r="B29" s="418"/>
      <c r="C29" s="427"/>
      <c r="D29" s="466"/>
      <c r="E29" s="467"/>
      <c r="F29" s="467"/>
      <c r="G29" s="467"/>
      <c r="H29" s="467"/>
      <c r="I29" s="467"/>
      <c r="J29" s="467"/>
      <c r="K29" s="467"/>
      <c r="L29" s="467"/>
      <c r="M29" s="468"/>
      <c r="N29" s="420"/>
      <c r="O29" s="421"/>
      <c r="P29" s="417"/>
      <c r="Q29" s="410"/>
    </row>
    <row r="30" ht="20.25" customHeight="1" spans="1:17">
      <c r="A30" s="404"/>
      <c r="B30" s="418"/>
      <c r="C30" s="427"/>
      <c r="D30" s="469" t="s">
        <v>20</v>
      </c>
      <c r="E30" s="32"/>
      <c r="F30" s="32"/>
      <c r="G30" s="470"/>
      <c r="H30" s="448"/>
      <c r="I30" s="448"/>
      <c r="J30" s="448"/>
      <c r="K30" s="448"/>
      <c r="L30" s="448"/>
      <c r="M30" s="450"/>
      <c r="N30" s="420"/>
      <c r="O30" s="421"/>
      <c r="P30" s="417"/>
      <c r="Q30" s="410"/>
    </row>
    <row r="31" ht="9.75" customHeight="1" spans="1:17">
      <c r="A31" s="404"/>
      <c r="B31" s="418"/>
      <c r="C31" s="427"/>
      <c r="D31" s="466"/>
      <c r="E31" s="467"/>
      <c r="F31" s="467"/>
      <c r="G31" s="467"/>
      <c r="H31" s="467"/>
      <c r="I31" s="467"/>
      <c r="J31" s="467"/>
      <c r="K31" s="467"/>
      <c r="L31" s="467"/>
      <c r="M31" s="468"/>
      <c r="N31" s="420"/>
      <c r="O31" s="421"/>
      <c r="P31" s="417"/>
      <c r="Q31" s="410"/>
    </row>
    <row r="32" ht="20.25" customHeight="1" spans="1:17">
      <c r="A32" s="404"/>
      <c r="B32" s="418"/>
      <c r="C32" s="427"/>
      <c r="D32" s="469" t="s">
        <v>21</v>
      </c>
      <c r="E32" s="32"/>
      <c r="F32" s="32"/>
      <c r="G32" s="470"/>
      <c r="H32" s="448"/>
      <c r="I32" s="448"/>
      <c r="J32" s="448"/>
      <c r="K32" s="448"/>
      <c r="L32" s="448"/>
      <c r="M32" s="450"/>
      <c r="N32" s="420"/>
      <c r="O32" s="421"/>
      <c r="P32" s="417"/>
      <c r="Q32" s="410"/>
    </row>
    <row r="33" ht="9.75" customHeight="1" spans="1:17">
      <c r="A33" s="404"/>
      <c r="B33" s="418"/>
      <c r="C33" s="427"/>
      <c r="D33" s="466"/>
      <c r="E33" s="467"/>
      <c r="F33" s="467"/>
      <c r="G33" s="467"/>
      <c r="H33" s="467"/>
      <c r="I33" s="467"/>
      <c r="J33" s="467"/>
      <c r="K33" s="467"/>
      <c r="L33" s="467"/>
      <c r="M33" s="468"/>
      <c r="N33" s="420"/>
      <c r="O33" s="421"/>
      <c r="P33" s="417"/>
      <c r="Q33" s="410"/>
    </row>
    <row r="34" ht="20.25" customHeight="1" spans="1:17">
      <c r="A34" s="404"/>
      <c r="B34" s="418"/>
      <c r="C34" s="427"/>
      <c r="D34" s="469" t="s">
        <v>22</v>
      </c>
      <c r="E34" s="32"/>
      <c r="F34" s="32"/>
      <c r="G34" s="470"/>
      <c r="H34" s="448"/>
      <c r="I34" s="448"/>
      <c r="J34" s="448"/>
      <c r="K34" s="448"/>
      <c r="L34" s="448"/>
      <c r="M34" s="450"/>
      <c r="N34" s="420"/>
      <c r="O34" s="421"/>
      <c r="P34" s="417"/>
      <c r="Q34" s="410"/>
    </row>
    <row r="35" ht="9.75" customHeight="1" spans="1:17">
      <c r="A35" s="404"/>
      <c r="B35" s="418"/>
      <c r="C35" s="427"/>
      <c r="D35" s="466"/>
      <c r="E35" s="467"/>
      <c r="F35" s="467"/>
      <c r="G35" s="467"/>
      <c r="H35" s="467"/>
      <c r="I35" s="467"/>
      <c r="J35" s="467"/>
      <c r="K35" s="467"/>
      <c r="L35" s="467"/>
      <c r="M35" s="468"/>
      <c r="N35" s="420"/>
      <c r="O35" s="421"/>
      <c r="P35" s="417"/>
      <c r="Q35" s="410"/>
    </row>
    <row r="36" ht="20.25" customHeight="1" spans="1:17">
      <c r="A36" s="404"/>
      <c r="B36" s="418"/>
      <c r="C36" s="427"/>
      <c r="D36" s="469" t="s">
        <v>23</v>
      </c>
      <c r="E36" s="32"/>
      <c r="F36" s="32"/>
      <c r="G36" s="470"/>
      <c r="H36" s="448"/>
      <c r="I36" s="448"/>
      <c r="J36" s="448"/>
      <c r="K36" s="448"/>
      <c r="L36" s="448"/>
      <c r="M36" s="450"/>
      <c r="N36" s="420"/>
      <c r="O36" s="421"/>
      <c r="P36" s="417"/>
      <c r="Q36" s="410"/>
    </row>
    <row r="37" ht="9.75" customHeight="1" spans="1:17">
      <c r="A37" s="404"/>
      <c r="B37" s="418"/>
      <c r="C37" s="427"/>
      <c r="D37" s="466"/>
      <c r="E37" s="467"/>
      <c r="F37" s="467"/>
      <c r="G37" s="467"/>
      <c r="H37" s="467"/>
      <c r="I37" s="467"/>
      <c r="J37" s="467"/>
      <c r="K37" s="467"/>
      <c r="L37" s="467"/>
      <c r="M37" s="468"/>
      <c r="N37" s="420"/>
      <c r="O37" s="421"/>
      <c r="P37" s="417"/>
      <c r="Q37" s="410"/>
    </row>
    <row r="38" ht="20.25" customHeight="1" spans="1:17">
      <c r="A38" s="404"/>
      <c r="B38" s="418"/>
      <c r="C38" s="427"/>
      <c r="D38" s="455" t="s">
        <v>24</v>
      </c>
      <c r="E38" s="456"/>
      <c r="F38" s="456"/>
      <c r="G38" s="471"/>
      <c r="H38" s="472"/>
      <c r="I38" s="472"/>
      <c r="J38" s="472"/>
      <c r="K38" s="472"/>
      <c r="L38" s="472"/>
      <c r="M38" s="473"/>
      <c r="N38" s="420"/>
      <c r="O38" s="421"/>
      <c r="P38" s="417"/>
      <c r="Q38" s="410"/>
    </row>
    <row r="39" ht="34.5" customHeight="1" spans="1:17">
      <c r="A39" s="404"/>
      <c r="B39" s="418"/>
      <c r="C39" s="427"/>
      <c r="D39" s="474"/>
      <c r="E39" s="474"/>
      <c r="F39" s="474"/>
      <c r="G39" s="474"/>
      <c r="H39" s="474"/>
      <c r="I39" s="474"/>
      <c r="J39" s="474"/>
      <c r="K39" s="474"/>
      <c r="L39" s="474"/>
      <c r="M39" s="474"/>
      <c r="N39" s="420"/>
      <c r="O39" s="421"/>
      <c r="P39" s="417"/>
      <c r="Q39" s="410"/>
    </row>
    <row r="40" ht="14.25" customHeight="1" spans="1:17">
      <c r="A40" s="404"/>
      <c r="B40" s="418"/>
      <c r="C40" s="475"/>
      <c r="D40" s="476"/>
      <c r="E40" s="477"/>
      <c r="F40" s="477"/>
      <c r="G40" s="477"/>
      <c r="H40" s="477"/>
      <c r="I40" s="477"/>
      <c r="J40" s="477"/>
      <c r="K40" s="477"/>
      <c r="L40" s="477"/>
      <c r="M40" s="477"/>
      <c r="N40" s="478"/>
      <c r="O40" s="421"/>
      <c r="P40" s="417"/>
      <c r="Q40" s="410"/>
    </row>
    <row r="41" ht="15" customHeight="1" spans="1:17">
      <c r="A41" s="404"/>
      <c r="B41" s="479"/>
      <c r="C41" s="480"/>
      <c r="D41" s="480"/>
      <c r="E41" s="480"/>
      <c r="F41" s="480"/>
      <c r="G41" s="480"/>
      <c r="H41" s="480"/>
      <c r="I41" s="480"/>
      <c r="J41" s="480"/>
      <c r="K41" s="480"/>
      <c r="L41" s="480"/>
      <c r="M41" s="480"/>
      <c r="N41" s="480"/>
      <c r="O41" s="481"/>
      <c r="P41" s="482"/>
      <c r="Q41" s="410"/>
    </row>
    <row r="42" ht="18" customHeight="1" spans="1:17">
      <c r="A42" s="404"/>
      <c r="B42" s="483"/>
      <c r="C42" s="483"/>
      <c r="D42" s="483"/>
      <c r="E42" s="483"/>
      <c r="F42" s="483"/>
      <c r="G42" s="483"/>
      <c r="H42" s="483"/>
      <c r="I42" s="483"/>
      <c r="J42" s="483"/>
      <c r="K42" s="483"/>
      <c r="L42" s="483"/>
      <c r="M42" s="483"/>
      <c r="N42" s="483"/>
      <c r="O42" s="483"/>
      <c r="P42" s="482"/>
      <c r="Q42" s="410"/>
    </row>
  </sheetData>
  <mergeCells count="43">
    <mergeCell ref="B1:C1"/>
    <mergeCell ref="B2:O2"/>
    <mergeCell ref="C3:N3"/>
    <mergeCell ref="C4:N4"/>
    <mergeCell ref="D5:M5"/>
    <mergeCell ref="D6:M6"/>
    <mergeCell ref="D7:E7"/>
    <mergeCell ref="F7:M7"/>
    <mergeCell ref="D9:E9"/>
    <mergeCell ref="D11:F11"/>
    <mergeCell ref="G11:M11"/>
    <mergeCell ref="D13:E13"/>
    <mergeCell ref="D14:M14"/>
    <mergeCell ref="D15:M15"/>
    <mergeCell ref="D16:E16"/>
    <mergeCell ref="F16:M16"/>
    <mergeCell ref="D18:F18"/>
    <mergeCell ref="G18:M18"/>
    <mergeCell ref="D20:F20"/>
    <mergeCell ref="G20:M20"/>
    <mergeCell ref="D22:F22"/>
    <mergeCell ref="G22:M22"/>
    <mergeCell ref="D24:F24"/>
    <mergeCell ref="G24:M24"/>
    <mergeCell ref="D26:F26"/>
    <mergeCell ref="G26:M26"/>
    <mergeCell ref="D28:F28"/>
    <mergeCell ref="G28:M28"/>
    <mergeCell ref="D30:F30"/>
    <mergeCell ref="G30:M30"/>
    <mergeCell ref="D32:F32"/>
    <mergeCell ref="G32:M32"/>
    <mergeCell ref="D34:F34"/>
    <mergeCell ref="G34:M34"/>
    <mergeCell ref="D36:F36"/>
    <mergeCell ref="G36:M36"/>
    <mergeCell ref="D38:F38"/>
    <mergeCell ref="G38:M38"/>
    <mergeCell ref="D40:M40"/>
    <mergeCell ref="B3:B40"/>
    <mergeCell ref="C5:C40"/>
    <mergeCell ref="N5:N40"/>
    <mergeCell ref="O3:O40"/>
  </mergeCells>
  <dataValidations count="5">
    <dataValidation allowBlank="1" showInputMessage="1" showErrorMessage="1" sqref="D7 F7 D9 F9 D10:M10"/>
    <dataValidation type="list" allowBlank="1" showInputMessage="1" showErrorMessage="1" sqref="H9 H13">
      <formula1>"1,2,3,4,5,6,7,8,9,10,11,12"</formula1>
    </dataValidation>
    <dataValidation type="list" allowBlank="1" showInputMessage="1" showErrorMessage="1" sqref="J9 J13">
      <formula1>"1,2,3,4,5,6,7,8,9,10,11,12,13,14,15,16,17,18,19,20,21,22,23,24,25,26,27,28,29,30,31"</formula1>
    </dataValidation>
    <dataValidation allowBlank="1" showInputMessage="1" showErrorMessage="1" sqref="D11 G11 D13" errorStyle="information"/>
    <dataValidation type="list" allowBlank="1" showInputMessage="1" showErrorMessage="1" sqref="F13">
      <formula1>"2016,2017,2018,2019,2020,2021,2022,2023,2024,2026"</formula1>
    </dataValidation>
  </dataValidations>
  <hyperlinks>
    <hyperlink ref="B1" location="索引目录!B2" display="索引页"/>
  </hyperlinks>
  <printOptions horizontalCentered="1" verticalCentered="1"/>
  <pageMargins left="0.748031496062992" right="0.748031496062992" top="0.984251968503937" bottom="0.984251968503937" header="0.511811023622047" footer="0.511811023622047"/>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J54"/>
  <sheetViews>
    <sheetView showGridLines="0" workbookViewId="0">
      <selection activeCell="G451" sqref="G451"/>
    </sheetView>
  </sheetViews>
  <sheetFormatPr defaultColWidth="9" defaultRowHeight="15.5"/>
  <cols>
    <col min="1" max="1" width="1.5" customWidth="1"/>
    <col min="2" max="2" width="13.5" customWidth="1"/>
    <col min="3" max="3" width="15.75" customWidth="1"/>
    <col min="4" max="4" width="18.0833333333333" customWidth="1"/>
    <col min="5" max="5" width="17.25" customWidth="1"/>
    <col min="6" max="6" width="8.25" customWidth="1"/>
    <col min="7" max="7" width="4.83333333333333" customWidth="1"/>
    <col min="8" max="9" width="12.75" customWidth="1"/>
  </cols>
  <sheetData>
    <row r="1" ht="17.5" customHeight="1" spans="1:10">
      <c r="A1" s="378" t="s">
        <v>25</v>
      </c>
      <c r="B1" s="379"/>
      <c r="C1" s="379"/>
      <c r="D1" s="379"/>
      <c r="E1" s="379"/>
      <c r="F1" s="379"/>
      <c r="G1" s="379"/>
      <c r="H1" s="379"/>
      <c r="I1" s="379"/>
      <c r="J1" s="380"/>
    </row>
    <row r="2" spans="1:10">
      <c r="A2" s="381"/>
      <c r="B2" s="382" t="s">
        <v>26</v>
      </c>
      <c r="C2" s="383"/>
      <c r="D2" s="383"/>
      <c r="E2" s="383"/>
      <c r="F2" s="383"/>
      <c r="G2" s="384"/>
      <c r="H2" s="383"/>
      <c r="I2" s="383"/>
      <c r="J2" s="385"/>
    </row>
    <row r="3" spans="1:10">
      <c r="A3" s="386"/>
      <c r="B3" s="387" t="s">
        <v>27</v>
      </c>
      <c r="E3" s="388"/>
      <c r="F3" s="388"/>
      <c r="G3" s="389"/>
      <c r="H3" s="388"/>
      <c r="I3" s="388"/>
      <c r="J3" s="390"/>
    </row>
    <row r="4" spans="1:10">
      <c r="A4" s="391"/>
      <c r="B4" s="392" t="s">
        <v>28</v>
      </c>
      <c r="C4" s="392" t="s">
        <v>29</v>
      </c>
      <c r="D4" s="393" t="s">
        <v>30</v>
      </c>
      <c r="E4" s="394" t="s">
        <v>31</v>
      </c>
      <c r="F4" s="395"/>
      <c r="G4" s="395"/>
      <c r="H4" s="383"/>
      <c r="I4" s="383"/>
      <c r="J4" s="385"/>
    </row>
    <row r="5" spans="1:10">
      <c r="A5" s="381"/>
      <c r="B5" s="383"/>
      <c r="C5" s="383"/>
      <c r="D5" s="383"/>
      <c r="E5" s="383"/>
      <c r="F5" s="383"/>
      <c r="G5" s="383"/>
      <c r="H5" s="383"/>
      <c r="I5" s="383"/>
      <c r="J5" s="385"/>
    </row>
    <row r="6" spans="1:10">
      <c r="A6" s="381"/>
      <c r="C6" s="394" t="s">
        <v>32</v>
      </c>
      <c r="D6" s="394" t="s">
        <v>33</v>
      </c>
      <c r="E6" s="394" t="s">
        <v>34</v>
      </c>
      <c r="F6" s="394"/>
      <c r="G6" s="394" t="s">
        <v>35</v>
      </c>
      <c r="H6" s="394"/>
      <c r="I6" s="394" t="s">
        <v>36</v>
      </c>
      <c r="J6" s="385"/>
    </row>
    <row r="7" spans="1:10">
      <c r="A7" s="381"/>
      <c r="B7" s="383"/>
      <c r="C7" s="383"/>
      <c r="D7" s="383"/>
      <c r="E7" s="394" t="s">
        <v>37</v>
      </c>
      <c r="F7" s="394"/>
      <c r="G7" s="394"/>
      <c r="H7" s="394"/>
      <c r="I7" s="394" t="s">
        <v>38</v>
      </c>
      <c r="J7" s="396"/>
    </row>
    <row r="8" spans="1:10">
      <c r="A8" s="381"/>
      <c r="B8" s="383"/>
      <c r="C8" s="383"/>
      <c r="D8" s="383"/>
      <c r="E8" s="394" t="s">
        <v>39</v>
      </c>
      <c r="F8" s="394"/>
      <c r="G8" s="394"/>
      <c r="H8" s="394"/>
      <c r="I8" s="394" t="s">
        <v>40</v>
      </c>
      <c r="J8" s="396"/>
    </row>
    <row r="9" spans="1:10">
      <c r="A9" s="381"/>
      <c r="B9" s="383"/>
      <c r="C9" s="383"/>
      <c r="D9" s="394" t="s">
        <v>41</v>
      </c>
      <c r="E9" s="394" t="s">
        <v>42</v>
      </c>
      <c r="F9" s="394"/>
      <c r="G9" s="394"/>
      <c r="H9" s="394"/>
      <c r="I9" s="394" t="s">
        <v>43</v>
      </c>
      <c r="J9" s="396"/>
    </row>
    <row r="10" spans="1:10">
      <c r="A10" s="381"/>
      <c r="B10" s="383"/>
      <c r="C10" s="383"/>
      <c r="E10" s="394" t="s">
        <v>44</v>
      </c>
      <c r="F10" s="394"/>
      <c r="G10" s="394"/>
      <c r="H10" s="394"/>
      <c r="I10" s="394" t="s">
        <v>45</v>
      </c>
      <c r="J10" s="396"/>
    </row>
    <row r="11" spans="1:10">
      <c r="A11" s="381"/>
      <c r="B11" s="383"/>
      <c r="C11" s="383"/>
      <c r="E11" s="394" t="s">
        <v>46</v>
      </c>
      <c r="F11" s="383"/>
      <c r="G11" s="394"/>
      <c r="H11" s="394"/>
      <c r="I11" s="394" t="s">
        <v>47</v>
      </c>
      <c r="J11" s="385"/>
    </row>
    <row r="12" spans="1:10">
      <c r="A12" s="381"/>
      <c r="B12" s="383"/>
      <c r="C12" s="383"/>
      <c r="D12" s="394" t="s">
        <v>48</v>
      </c>
      <c r="F12" s="383"/>
      <c r="G12" s="394"/>
      <c r="H12" s="394"/>
      <c r="I12" s="394" t="s">
        <v>49</v>
      </c>
      <c r="J12" s="385"/>
    </row>
    <row r="13" spans="1:10">
      <c r="A13" s="381"/>
      <c r="B13" s="383"/>
      <c r="C13" s="383"/>
      <c r="D13" s="394" t="s">
        <v>50</v>
      </c>
      <c r="F13" s="383"/>
      <c r="G13" s="394"/>
      <c r="H13" s="394"/>
      <c r="I13" s="394" t="s">
        <v>51</v>
      </c>
      <c r="J13" s="385"/>
    </row>
    <row r="14" spans="1:10">
      <c r="A14" s="381"/>
      <c r="B14" s="383"/>
      <c r="C14" s="383"/>
      <c r="D14" s="394" t="s">
        <v>52</v>
      </c>
      <c r="F14" s="383"/>
      <c r="G14" s="394"/>
      <c r="H14" s="394"/>
      <c r="I14" s="394" t="s">
        <v>53</v>
      </c>
      <c r="J14" s="385"/>
    </row>
    <row r="15" spans="1:10">
      <c r="A15" s="381"/>
      <c r="B15" s="383"/>
      <c r="C15" s="383"/>
      <c r="D15" s="394" t="s">
        <v>54</v>
      </c>
      <c r="F15" s="383"/>
      <c r="G15" s="394"/>
      <c r="H15" s="394"/>
      <c r="I15" s="394" t="s">
        <v>55</v>
      </c>
    </row>
    <row r="16" spans="1:10">
      <c r="A16" s="381"/>
      <c r="B16" s="383"/>
      <c r="C16" s="383"/>
      <c r="D16" s="394" t="s">
        <v>56</v>
      </c>
      <c r="F16" s="383"/>
      <c r="G16" s="394"/>
      <c r="H16" s="394"/>
      <c r="I16" s="394" t="s">
        <v>57</v>
      </c>
      <c r="J16" s="385"/>
    </row>
    <row r="17" spans="1:10">
      <c r="A17" s="381"/>
      <c r="B17" s="383"/>
      <c r="C17" s="383"/>
      <c r="D17" s="394" t="s">
        <v>58</v>
      </c>
      <c r="F17" s="383"/>
      <c r="G17" s="394"/>
      <c r="H17" s="394"/>
      <c r="I17" s="394" t="s">
        <v>59</v>
      </c>
      <c r="J17" s="385"/>
    </row>
    <row r="18" spans="1:10">
      <c r="A18" s="381"/>
      <c r="B18" s="383"/>
      <c r="C18" s="383"/>
      <c r="D18" s="394" t="s">
        <v>60</v>
      </c>
      <c r="E18" s="394" t="s">
        <v>61</v>
      </c>
      <c r="F18" s="383"/>
      <c r="G18" s="394"/>
      <c r="H18" s="394"/>
      <c r="I18" s="394"/>
      <c r="J18" s="385"/>
    </row>
    <row r="19" spans="1:10">
      <c r="A19" s="381"/>
      <c r="B19" s="383"/>
      <c r="C19" s="383"/>
      <c r="D19" s="394"/>
      <c r="E19" s="394" t="s">
        <v>62</v>
      </c>
      <c r="F19" s="383"/>
      <c r="G19" s="394"/>
      <c r="H19" s="394"/>
      <c r="I19" s="394"/>
      <c r="J19" s="385"/>
    </row>
    <row r="20" spans="1:10">
      <c r="A20" s="381"/>
      <c r="B20" s="383"/>
      <c r="C20" s="383"/>
      <c r="D20" s="394"/>
      <c r="E20" s="394" t="s">
        <v>63</v>
      </c>
      <c r="F20" s="394"/>
      <c r="G20" s="394" t="s">
        <v>64</v>
      </c>
      <c r="H20" s="394"/>
      <c r="I20" s="394" t="s">
        <v>65</v>
      </c>
      <c r="J20" s="385"/>
    </row>
    <row r="21" spans="1:10">
      <c r="A21" s="381"/>
      <c r="B21" s="383"/>
      <c r="C21" s="383"/>
      <c r="E21" s="397" t="s">
        <v>66</v>
      </c>
      <c r="F21" s="394"/>
      <c r="G21" s="394"/>
      <c r="H21" s="394"/>
      <c r="I21" s="394" t="s">
        <v>67</v>
      </c>
      <c r="J21" s="385"/>
    </row>
    <row r="22" spans="1:10">
      <c r="A22" s="381"/>
      <c r="B22" s="383"/>
      <c r="C22" s="383"/>
      <c r="E22" s="394" t="s">
        <v>68</v>
      </c>
      <c r="F22" s="394"/>
      <c r="G22" s="394"/>
      <c r="H22" s="394"/>
      <c r="I22" s="394" t="s">
        <v>69</v>
      </c>
      <c r="J22" s="385"/>
    </row>
    <row r="23" spans="1:10">
      <c r="A23" s="381"/>
      <c r="B23" s="383"/>
      <c r="C23" s="383"/>
      <c r="E23" s="394" t="s">
        <v>70</v>
      </c>
      <c r="F23" s="394"/>
      <c r="G23" s="394"/>
      <c r="H23" s="394"/>
      <c r="I23" s="394" t="s">
        <v>71</v>
      </c>
      <c r="J23" s="385"/>
    </row>
    <row r="24" spans="1:10">
      <c r="A24" s="381"/>
      <c r="E24" s="394" t="s">
        <v>72</v>
      </c>
      <c r="F24" s="394"/>
      <c r="G24" s="394"/>
      <c r="H24" s="394"/>
      <c r="I24" s="394" t="s">
        <v>73</v>
      </c>
      <c r="J24" s="385"/>
    </row>
    <row r="25" spans="1:10">
      <c r="A25" s="381"/>
      <c r="E25" s="394" t="s">
        <v>74</v>
      </c>
      <c r="F25" s="394"/>
      <c r="G25" s="394"/>
      <c r="H25" s="394"/>
      <c r="I25" s="394" t="s">
        <v>75</v>
      </c>
      <c r="J25" s="385"/>
    </row>
    <row r="26" spans="1:10">
      <c r="A26" s="381"/>
      <c r="D26" s="394" t="s">
        <v>76</v>
      </c>
      <c r="E26" s="394"/>
      <c r="G26" s="394"/>
      <c r="H26" s="394"/>
      <c r="I26" s="394" t="s">
        <v>77</v>
      </c>
      <c r="J26" s="385"/>
    </row>
    <row r="27" spans="1:10">
      <c r="A27" s="381"/>
      <c r="D27" s="394" t="s">
        <v>78</v>
      </c>
      <c r="E27" s="394"/>
      <c r="G27" s="383"/>
      <c r="H27" s="383"/>
      <c r="I27" s="383"/>
      <c r="J27" s="385"/>
    </row>
    <row r="28" spans="1:10">
      <c r="A28" s="381"/>
      <c r="B28" s="383"/>
      <c r="C28" s="394" t="s">
        <v>79</v>
      </c>
      <c r="D28" s="394" t="s">
        <v>80</v>
      </c>
      <c r="E28" s="394" t="s">
        <v>42</v>
      </c>
      <c r="F28" s="398"/>
      <c r="G28" s="383"/>
      <c r="H28" s="383"/>
      <c r="I28" s="383"/>
      <c r="J28" s="385"/>
    </row>
    <row r="29" spans="1:10">
      <c r="A29" s="381"/>
      <c r="D29" s="394"/>
      <c r="E29" s="394" t="s">
        <v>44</v>
      </c>
      <c r="F29" s="394"/>
      <c r="G29" s="383"/>
      <c r="H29" s="383"/>
      <c r="I29" s="383"/>
      <c r="J29" s="385"/>
    </row>
    <row r="30" spans="1:10">
      <c r="A30" s="381"/>
      <c r="B30" s="383"/>
      <c r="D30" s="394"/>
      <c r="E30" s="394" t="s">
        <v>81</v>
      </c>
      <c r="F30" s="398"/>
      <c r="G30" s="383"/>
      <c r="H30" s="383"/>
      <c r="I30" s="383"/>
      <c r="J30" s="385"/>
    </row>
    <row r="31" spans="1:10">
      <c r="A31" s="381"/>
      <c r="B31" s="383"/>
      <c r="C31" s="383"/>
      <c r="D31" s="394" t="s">
        <v>82</v>
      </c>
      <c r="E31" s="394"/>
      <c r="F31" s="398"/>
      <c r="G31" s="383"/>
      <c r="H31" s="383"/>
      <c r="I31" s="383"/>
      <c r="J31" s="385"/>
    </row>
    <row r="32" ht="14.25" customHeight="1" spans="1:10">
      <c r="A32" s="381"/>
      <c r="B32" s="383"/>
      <c r="C32" s="383"/>
      <c r="D32" s="394" t="s">
        <v>83</v>
      </c>
      <c r="E32" s="394"/>
      <c r="F32" s="398"/>
      <c r="G32" s="383"/>
      <c r="H32" s="383"/>
      <c r="I32" s="383"/>
      <c r="J32" s="385"/>
    </row>
    <row r="33" ht="14.25" customHeight="1" spans="1:10">
      <c r="A33" s="381"/>
      <c r="B33" s="383"/>
      <c r="C33" s="383"/>
      <c r="D33" s="394" t="s">
        <v>84</v>
      </c>
      <c r="E33" s="394"/>
      <c r="F33" s="398"/>
      <c r="G33" s="383"/>
      <c r="H33" s="383"/>
      <c r="I33" s="383"/>
      <c r="J33" s="385"/>
    </row>
    <row r="34" ht="14.25" customHeight="1" spans="1:10">
      <c r="A34" s="381"/>
      <c r="B34" s="383"/>
      <c r="C34" s="383"/>
      <c r="D34" s="394" t="s">
        <v>85</v>
      </c>
      <c r="E34" s="394"/>
      <c r="F34" s="398"/>
      <c r="G34" s="383"/>
      <c r="H34" s="385"/>
      <c r="I34" s="385"/>
      <c r="J34" s="385"/>
    </row>
    <row r="35" spans="1:10">
      <c r="A35" s="399"/>
      <c r="B35" s="383"/>
      <c r="C35" s="394" t="s">
        <v>86</v>
      </c>
      <c r="D35" s="394" t="s">
        <v>86</v>
      </c>
      <c r="E35" s="394" t="s">
        <v>87</v>
      </c>
      <c r="F35" s="383"/>
      <c r="G35" s="383"/>
      <c r="H35" s="385"/>
      <c r="I35" s="385"/>
      <c r="J35" s="385"/>
    </row>
    <row r="36" spans="1:10">
      <c r="A36" s="399"/>
      <c r="B36" s="383"/>
      <c r="D36" s="394"/>
      <c r="E36" s="394" t="s">
        <v>88</v>
      </c>
      <c r="F36" s="383"/>
      <c r="G36" s="383"/>
      <c r="H36" s="385"/>
      <c r="I36" s="385"/>
      <c r="J36" s="385"/>
    </row>
    <row r="37" spans="1:10">
      <c r="A37" s="399"/>
      <c r="B37" s="383"/>
      <c r="D37" s="394"/>
      <c r="E37" s="394" t="s">
        <v>89</v>
      </c>
      <c r="F37" s="383"/>
      <c r="G37" s="383"/>
      <c r="H37" s="385"/>
      <c r="I37" s="385"/>
      <c r="J37" s="385"/>
    </row>
    <row r="38" spans="1:10">
      <c r="A38" s="399"/>
      <c r="B38" s="383"/>
      <c r="D38" s="394"/>
      <c r="E38" s="394" t="s">
        <v>90</v>
      </c>
      <c r="F38" s="383"/>
      <c r="G38" s="383"/>
      <c r="H38" s="385"/>
      <c r="I38" s="385"/>
      <c r="J38" s="385"/>
    </row>
    <row r="39" spans="1:10">
      <c r="A39" s="399"/>
      <c r="B39" s="383"/>
      <c r="D39" s="394"/>
      <c r="E39" s="394" t="s">
        <v>91</v>
      </c>
      <c r="F39" s="383"/>
      <c r="G39" s="383"/>
      <c r="H39" s="385"/>
      <c r="I39" s="385"/>
      <c r="J39" s="385"/>
    </row>
    <row r="40" spans="1:10">
      <c r="A40" s="399"/>
      <c r="B40" s="383"/>
      <c r="D40" s="394"/>
      <c r="E40" s="394" t="s">
        <v>92</v>
      </c>
      <c r="F40" s="383"/>
      <c r="G40" s="383"/>
      <c r="H40" s="385"/>
      <c r="I40" s="385"/>
      <c r="J40" s="385"/>
    </row>
    <row r="41" spans="1:10">
      <c r="A41" s="399"/>
      <c r="B41" s="383"/>
      <c r="D41" s="394"/>
      <c r="E41" s="394" t="s">
        <v>93</v>
      </c>
      <c r="F41" s="385"/>
      <c r="G41" s="383"/>
      <c r="H41" s="385"/>
      <c r="I41" s="385"/>
      <c r="J41" s="385"/>
    </row>
    <row r="42" spans="1:10">
      <c r="A42" s="399"/>
      <c r="B42" s="383"/>
      <c r="C42" s="383"/>
      <c r="D42" s="394" t="s">
        <v>94</v>
      </c>
      <c r="E42" s="394" t="s">
        <v>95</v>
      </c>
      <c r="G42" s="383"/>
      <c r="H42" s="385"/>
      <c r="I42" s="385"/>
    </row>
    <row r="43" spans="1:10">
      <c r="A43" s="399"/>
      <c r="B43" s="383"/>
      <c r="C43" s="383"/>
      <c r="D43" s="394"/>
      <c r="E43" s="394" t="s">
        <v>96</v>
      </c>
      <c r="G43" s="383"/>
    </row>
    <row r="44" spans="1:10">
      <c r="B44" s="383"/>
      <c r="C44" s="394"/>
      <c r="D44" s="394" t="s">
        <v>97</v>
      </c>
      <c r="E44" s="394"/>
      <c r="F44" s="383"/>
      <c r="G44" s="383"/>
    </row>
    <row r="45" spans="1:10">
      <c r="B45" s="383"/>
      <c r="C45" s="394"/>
      <c r="D45" s="394" t="s">
        <v>98</v>
      </c>
      <c r="E45" s="394"/>
      <c r="F45" s="385"/>
      <c r="G45" s="383"/>
    </row>
    <row r="46" spans="1:10">
      <c r="B46" s="383"/>
      <c r="C46" s="394"/>
      <c r="D46" s="394" t="s">
        <v>99</v>
      </c>
      <c r="E46" s="394"/>
      <c r="F46" s="385"/>
      <c r="G46" s="383"/>
      <c r="J46" s="385"/>
    </row>
    <row r="47" spans="1:10">
      <c r="B47" s="383"/>
      <c r="C47" s="394"/>
      <c r="D47" s="394" t="s">
        <v>100</v>
      </c>
      <c r="E47" s="394"/>
      <c r="F47" s="385"/>
      <c r="G47" s="383"/>
      <c r="H47" s="385"/>
      <c r="I47" s="385"/>
      <c r="J47" s="385"/>
    </row>
    <row r="48" spans="1:10">
      <c r="A48" s="399"/>
      <c r="B48" s="383"/>
      <c r="C48" s="394" t="s">
        <v>101</v>
      </c>
      <c r="D48" s="394" t="s">
        <v>101</v>
      </c>
      <c r="E48" s="394" t="s">
        <v>102</v>
      </c>
      <c r="G48" s="383"/>
      <c r="H48" s="385"/>
      <c r="I48" s="385"/>
    </row>
    <row r="49" spans="1:7">
      <c r="A49" s="399"/>
      <c r="B49" s="383"/>
      <c r="C49" s="394"/>
      <c r="D49" s="394"/>
      <c r="E49" s="394" t="s">
        <v>103</v>
      </c>
      <c r="G49" s="385"/>
    </row>
    <row r="50" spans="1:7">
      <c r="B50" s="383"/>
      <c r="C50" s="394"/>
      <c r="D50" s="394" t="s">
        <v>104</v>
      </c>
      <c r="E50" s="394"/>
      <c r="F50" s="383"/>
      <c r="G50" s="385"/>
    </row>
    <row r="51" spans="1:7">
      <c r="B51" s="383"/>
      <c r="C51" s="394"/>
      <c r="D51" s="394" t="s">
        <v>105</v>
      </c>
      <c r="E51" s="394"/>
      <c r="G51" s="385"/>
    </row>
    <row r="52" spans="1:7">
      <c r="B52" s="385"/>
      <c r="C52" s="394" t="s">
        <v>106</v>
      </c>
      <c r="D52" s="394" t="s">
        <v>107</v>
      </c>
      <c r="E52" s="394"/>
      <c r="G52" s="385"/>
    </row>
    <row r="53" spans="1:7">
      <c r="C53" s="394"/>
      <c r="D53" s="394" t="s">
        <v>108</v>
      </c>
      <c r="E53" s="394"/>
    </row>
    <row r="54" spans="1:7">
      <c r="C54" s="394"/>
      <c r="D54" s="394" t="s">
        <v>109</v>
      </c>
      <c r="E54" s="394"/>
    </row>
  </sheetData>
  <sheetProtection password="EF09" sheet="1" objects="1" scenarios="1"/>
  <mergeCells count="1">
    <mergeCell ref="B3:C3"/>
  </mergeCells>
  <hyperlinks>
    <hyperlink ref="B2" location="封面!A1" display="评估申报表封面"/>
    <hyperlink ref="B3" location="填表说明!B2" display="评估申报表说明（填表前请先阅读）"/>
    <hyperlink ref="B4" location="基本情况!A1" display="基本情况表"/>
    <hyperlink ref="C4" location="资产负债表!A1" display="资产负债表"/>
    <hyperlink ref="D4" location="汇总表!A1" display="汇总表"/>
    <hyperlink ref="E4" location="分类汇总!A1" display="分类汇总表"/>
    <hyperlink ref="C6" location="流动汇总!A1" display="流动资产"/>
    <hyperlink ref="D6" location="流动汇总!B6" display="货币资金"/>
    <hyperlink ref="E6" location="现金!A1" display="现金"/>
    <hyperlink ref="G6" location="流动负债汇总!A1" display="流动负债"/>
    <hyperlink ref="I6" location="短期借款!A1" display="短期借款"/>
    <hyperlink ref="E7" location="银行存款!A1" display="银行存款"/>
    <hyperlink ref="I7" location="交易性金融负债!A1" display="交易性金融负债"/>
    <hyperlink ref="E8" location="其他货币资金!A1" display="其他货币资金"/>
    <hyperlink ref="I8" location="应付票据!A1" display="应付票据"/>
    <hyperlink ref="D9" location="交易性金融资产汇总!A1" display="交易性金融资产"/>
    <hyperlink ref="E9" location="'交易性-股票'!A1" display="股票投资"/>
    <hyperlink ref="I9" location="应付账款!A1" display="应付账款"/>
    <hyperlink ref="E10" location="'交易性-债券'!A1" display="债券投资"/>
    <hyperlink ref="I10" location="预收账款!A1" display="预收款项"/>
    <hyperlink ref="E11" location="'交易性-基金'!A1" display="基金投资"/>
    <hyperlink ref="I11" location="职工薪酬!A1" display="应付职工薪酬"/>
    <hyperlink ref="D12" location="应收票据!A1" display="应收票据"/>
    <hyperlink ref="I12" location="应交税费!A1" display="应交税费"/>
    <hyperlink ref="D13" location="应收账款!A1" display="应收账款"/>
    <hyperlink ref="I13" location="应付利息!A1" display="应付利息"/>
    <hyperlink ref="D14" location="预付账款!A1" display="预付账款"/>
    <hyperlink ref="I14" location="'应付股利（利润）'!A1" display="应付股利（应付利润）"/>
    <hyperlink ref="D15" location="应收利息!A1" display="应收利息"/>
    <hyperlink ref="I15" location="其他应付款!A1" display="其他应付款"/>
    <hyperlink ref="D16" location="'应收股利（利润）'!A1" display="应收股利"/>
    <hyperlink ref="I16" location="一年到期非流动负债!A1" display="一年内到期的非流动负债"/>
    <hyperlink ref="D17" location="其他应收款!A1" display="其他应收款"/>
    <hyperlink ref="I17" location="其他流动负债!A1" display="其他流动负债"/>
    <hyperlink ref="D18" location="存货汇总!A1" display="存货"/>
    <hyperlink ref="E18" location="'材料采购（在途物资）'!A1" display="材料采购（在途物资）"/>
    <hyperlink ref="E19" location="原材料!A1" display="原材料"/>
    <hyperlink ref="E20" location="在库周转材料!A1" display="在库周转材料"/>
    <hyperlink ref="G20" location="'非流动负债汇总 '!A1" display="非流动负债"/>
    <hyperlink ref="I20" location="长期借款!A1" display="长期借款"/>
    <hyperlink ref="E21" location="委托加工物资!A1" display="委托加工物资"/>
    <hyperlink ref="I21" location="应付债券!A1" display="应付债券"/>
    <hyperlink ref="E22" location="'产成品（库存商品）'!A1" display="产成品（库存商品）"/>
    <hyperlink ref="I22" location="长期应付款!A1" display="长期应付款"/>
    <hyperlink ref="E23" location="'在产品（自制半成品）'!A1" display="在产品（自制半成品）"/>
    <hyperlink ref="I23" location="专项应付款!A1" display="专项应付款"/>
    <hyperlink ref="E24" location="发出商品!A1" display="发出商品"/>
    <hyperlink ref="I24" location="预计负债!A1" display="预计负债"/>
    <hyperlink ref="E25" location="在用周转材料!A1" display="在用周转材料"/>
    <hyperlink ref="I25" location="递延所得税负债!A1" display="递延所得税负债"/>
    <hyperlink ref="D26" location="一年到期非流动资产!A1" display="一年到期非流动资产"/>
    <hyperlink ref="I26" location="其他非流动负债!A1" display="其他非流动负债"/>
    <hyperlink ref="D27" location="其他流动资产!A1" display="其他流动资产"/>
    <hyperlink ref="C28" location="长期投资汇总!A1" display="长期投资"/>
    <hyperlink ref="D28" location="可供出售金融资产汇总!A1" display="可供出售金融资产"/>
    <hyperlink ref="E28" location="'可出售-股票'!A1" display="股票投资"/>
    <hyperlink ref="E29" location="'可出售-债券'!A1" display="债券投资"/>
    <hyperlink ref="E30" location="'可出售-其他'!A1" display="其他投资"/>
    <hyperlink ref="D31" location="持有到期投资!A1" display="持有至到期投资"/>
    <hyperlink ref="D32" location="长期应收!A1" display="长期应收款"/>
    <hyperlink ref="D33" location="股权投资!A1" display="长期股权投资"/>
    <hyperlink ref="D34" location="投资性房地产!A1" display="投资性房地产"/>
    <hyperlink ref="C35" location="固定资产汇总!A1" display="固定资产"/>
    <hyperlink ref="D35" location="固定资产汇总!B18" display="固定资产"/>
    <hyperlink ref="E35" location="房屋建筑物!A1" display="房屋建筑物"/>
    <hyperlink ref="E36" location="构筑物!A1" display="构筑物及其他辅助设施"/>
    <hyperlink ref="E37" location="管道沟槽!A1" display="管道及沟槽"/>
    <hyperlink ref="E38" location="机器设备!A1" display="机器设备"/>
    <hyperlink ref="E39" location="车辆!A1" display="车辆"/>
    <hyperlink ref="E40" location="电子设备!A1" display="电子设备"/>
    <hyperlink ref="E41" location="土地!A1" display="土地"/>
    <hyperlink ref="D42" location="固定资产汇总!B20" display="在建工程"/>
    <hyperlink ref="E42" location="'在建（土建）'!A1" display="在建工程-土建工程"/>
    <hyperlink ref="E43" location="'在建（设备）'!A1" display="在建工程-设备安装工程"/>
    <hyperlink ref="D44" location="工程物资!A1" display="工程物资"/>
    <hyperlink ref="D45" location="固定资产清理!A1" display="固定资产清理"/>
    <hyperlink ref="D46" location="生产性生物资产!A1" display="生产性生物资产"/>
    <hyperlink ref="D47" location="油气资产!A1" display="油气资产"/>
    <hyperlink ref="C48" location="无形资产汇总!A1" display="无形资产"/>
    <hyperlink ref="D48" location="无形资产汇总!B10" display="无形资产"/>
    <hyperlink ref="E48" location="'在建（土建）'!A1" display="土地使用权"/>
    <hyperlink ref="E49" location="'在建（设备）'!A1" display="其他无形资产"/>
    <hyperlink ref="D50" location="开发支出!A1" display="开发支出"/>
    <hyperlink ref="D51" location="商誉!A1" display="商誉"/>
    <hyperlink ref="C52" location="汇总表!A16" display="其他资产"/>
    <hyperlink ref="D52" location="长期待摊费用!A1" display="长期待摊费用"/>
    <hyperlink ref="D53" location="递延所得税资产!A1" display="递延所得税资产"/>
    <hyperlink ref="D54" location="其他非流动资产!A1" display="其他非流动资产"/>
  </hyperlinks>
  <pageMargins left="0.748031496062992" right="0.748031496062992" top="0.78740157480315" bottom="0.196850393700787" header="0" footer="0"/>
  <pageSetup paperSize="9" scale="7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M23"/>
  <sheetViews>
    <sheetView showGridLines="0" workbookViewId="0">
      <selection activeCell="G451" sqref="G451"/>
    </sheetView>
  </sheetViews>
  <sheetFormatPr defaultColWidth="9" defaultRowHeight="15.5"/>
  <sheetData>
    <row r="1" ht="33.25" customHeight="1" spans="1:13">
      <c r="A1" s="360" t="s">
        <v>110</v>
      </c>
      <c r="B1" s="361"/>
      <c r="C1" s="361"/>
      <c r="D1" s="361"/>
      <c r="E1" s="361"/>
      <c r="F1" s="361"/>
      <c r="G1" s="361"/>
      <c r="H1" s="361"/>
      <c r="I1" s="361"/>
      <c r="J1" s="361"/>
      <c r="K1" s="361"/>
      <c r="L1" s="361"/>
      <c r="M1" s="361"/>
    </row>
    <row r="2" ht="18.75" customHeight="1" spans="1:13">
      <c r="A2" s="362" t="s">
        <v>111</v>
      </c>
      <c r="B2" s="363"/>
      <c r="C2" s="364"/>
      <c r="D2" s="364"/>
      <c r="E2" s="364"/>
      <c r="F2" s="364"/>
      <c r="G2" s="364"/>
      <c r="H2" s="364"/>
      <c r="I2" s="364"/>
      <c r="J2" s="364"/>
      <c r="K2" s="364"/>
      <c r="L2" s="364"/>
      <c r="M2" s="364"/>
    </row>
    <row r="3" spans="1:13">
      <c r="A3" s="365" t="s">
        <v>112</v>
      </c>
      <c r="B3" s="366" t="s">
        <v>113</v>
      </c>
      <c r="C3" s="367"/>
      <c r="D3" s="367"/>
      <c r="E3" s="367"/>
      <c r="F3" s="367"/>
      <c r="G3" s="367"/>
      <c r="H3" s="367"/>
      <c r="I3" s="367"/>
      <c r="J3" s="367"/>
      <c r="K3" s="367"/>
      <c r="L3" s="367"/>
      <c r="M3" s="367"/>
    </row>
    <row r="4" spans="1:13">
      <c r="A4" s="365"/>
      <c r="B4" s="366" t="s">
        <v>114</v>
      </c>
      <c r="C4" s="367"/>
      <c r="D4" s="367"/>
      <c r="E4" s="367"/>
      <c r="F4" s="367"/>
      <c r="G4" s="367"/>
      <c r="H4" s="367"/>
      <c r="I4" s="367"/>
      <c r="J4" s="367"/>
      <c r="K4" s="367"/>
      <c r="L4" s="367"/>
      <c r="M4" s="367"/>
    </row>
    <row r="5" spans="1:13">
      <c r="A5" s="365"/>
      <c r="B5" s="366" t="s">
        <v>115</v>
      </c>
      <c r="C5" s="367"/>
      <c r="D5" s="367"/>
      <c r="E5" s="367"/>
      <c r="F5" s="367"/>
      <c r="G5" s="367"/>
      <c r="H5" s="367"/>
      <c r="I5" s="367"/>
      <c r="J5" s="367"/>
      <c r="K5" s="367"/>
      <c r="L5" s="367"/>
      <c r="M5" s="367"/>
    </row>
    <row r="6" spans="1:13">
      <c r="A6" s="365" t="s">
        <v>116</v>
      </c>
      <c r="B6" s="366" t="s">
        <v>117</v>
      </c>
      <c r="C6" s="367"/>
      <c r="D6" s="367"/>
      <c r="E6" s="367"/>
      <c r="F6" s="367"/>
      <c r="G6" s="367"/>
      <c r="H6" s="367"/>
      <c r="I6" s="367"/>
      <c r="J6" s="367"/>
      <c r="K6" s="367"/>
      <c r="L6" s="367"/>
      <c r="M6" s="367"/>
    </row>
    <row r="7" spans="1:13">
      <c r="A7" s="365" t="s">
        <v>118</v>
      </c>
      <c r="B7" s="366" t="s">
        <v>119</v>
      </c>
      <c r="C7" s="367"/>
      <c r="D7" s="367"/>
      <c r="E7" s="367"/>
      <c r="F7" s="367"/>
      <c r="G7" s="367"/>
      <c r="H7" s="367"/>
      <c r="I7" s="367"/>
      <c r="J7" s="367"/>
      <c r="K7" s="367"/>
      <c r="L7" s="367"/>
      <c r="M7" s="367"/>
    </row>
    <row r="8" spans="1:13">
      <c r="A8" s="365" t="s">
        <v>120</v>
      </c>
      <c r="B8" s="366" t="s">
        <v>121</v>
      </c>
      <c r="C8" s="367"/>
      <c r="D8" s="367"/>
      <c r="E8" s="367"/>
      <c r="F8" s="367"/>
      <c r="G8" s="367"/>
      <c r="H8" s="367"/>
      <c r="I8" s="367"/>
      <c r="J8" s="367"/>
      <c r="K8" s="367"/>
      <c r="L8" s="367"/>
      <c r="M8" s="367"/>
    </row>
    <row r="9" spans="1:13">
      <c r="A9" s="365"/>
      <c r="B9" s="367" t="s">
        <v>122</v>
      </c>
      <c r="C9" s="367"/>
      <c r="D9" s="367"/>
      <c r="E9" s="367"/>
      <c r="F9" s="367"/>
      <c r="G9" s="367"/>
      <c r="H9" s="367"/>
      <c r="I9" s="367"/>
      <c r="J9" s="367"/>
      <c r="K9" s="367"/>
      <c r="L9" s="367"/>
      <c r="M9" s="367"/>
    </row>
    <row r="10" spans="1:13">
      <c r="A10" s="365"/>
      <c r="B10" s="366" t="s">
        <v>123</v>
      </c>
      <c r="C10" s="367"/>
      <c r="D10" s="367"/>
      <c r="E10" s="367"/>
      <c r="F10" s="367"/>
      <c r="G10" s="367"/>
      <c r="H10" s="367"/>
      <c r="I10" s="367"/>
      <c r="J10" s="367"/>
      <c r="K10" s="367"/>
      <c r="L10" s="367"/>
      <c r="M10" s="367"/>
    </row>
    <row r="11" spans="1:13">
      <c r="A11" s="365"/>
      <c r="B11" s="367" t="s">
        <v>124</v>
      </c>
      <c r="C11" s="367"/>
      <c r="D11" s="367"/>
      <c r="E11" s="367"/>
      <c r="F11" s="367"/>
      <c r="G11" s="367"/>
      <c r="H11" s="367"/>
      <c r="I11" s="367"/>
      <c r="J11" s="367"/>
      <c r="K11" s="367"/>
      <c r="L11" s="367"/>
      <c r="M11" s="367"/>
    </row>
    <row r="12" spans="1:13">
      <c r="A12" s="365"/>
      <c r="B12" s="366" t="s">
        <v>125</v>
      </c>
      <c r="C12" s="367"/>
      <c r="D12" s="367"/>
      <c r="E12" s="367"/>
      <c r="F12" s="367"/>
      <c r="G12" s="367"/>
      <c r="H12" s="367"/>
      <c r="I12" s="367"/>
      <c r="J12" s="367"/>
      <c r="K12" s="367"/>
      <c r="L12" s="367"/>
      <c r="M12" s="367"/>
    </row>
    <row r="13" spans="1:13">
      <c r="A13" s="365" t="s">
        <v>126</v>
      </c>
      <c r="B13" s="366" t="s">
        <v>127</v>
      </c>
      <c r="C13" s="367"/>
      <c r="D13" s="367"/>
      <c r="E13" s="367"/>
      <c r="F13" s="367"/>
      <c r="G13" s="367"/>
      <c r="H13" s="367"/>
      <c r="I13" s="367"/>
      <c r="J13" s="367"/>
      <c r="K13" s="367"/>
      <c r="L13" s="367"/>
      <c r="M13" s="367"/>
    </row>
    <row r="14" spans="1:13">
      <c r="A14" s="365" t="s">
        <v>128</v>
      </c>
      <c r="B14" s="366" t="s">
        <v>129</v>
      </c>
      <c r="C14" s="367"/>
      <c r="D14" s="368"/>
      <c r="E14" s="367"/>
      <c r="F14" s="367"/>
      <c r="G14" s="367"/>
      <c r="H14" s="367"/>
      <c r="I14" s="367"/>
      <c r="J14" s="367"/>
      <c r="K14" s="367"/>
      <c r="L14" s="367"/>
      <c r="M14" s="367"/>
    </row>
    <row r="15" spans="1:13">
      <c r="A15" s="365" t="s">
        <v>130</v>
      </c>
      <c r="B15" s="366" t="s">
        <v>131</v>
      </c>
      <c r="C15" s="367"/>
      <c r="D15" s="367"/>
      <c r="E15" s="367"/>
      <c r="F15" s="367"/>
      <c r="G15" s="367"/>
      <c r="H15" s="367"/>
      <c r="I15" s="367"/>
      <c r="J15" s="367"/>
      <c r="K15" s="367"/>
      <c r="L15" s="367"/>
      <c r="M15" s="367"/>
    </row>
    <row r="16" spans="1:13">
      <c r="A16" s="369" t="s">
        <v>132</v>
      </c>
      <c r="B16" s="370" t="s">
        <v>133</v>
      </c>
      <c r="C16" s="371"/>
      <c r="D16" s="371"/>
      <c r="E16" s="371"/>
      <c r="F16" s="371"/>
      <c r="G16" s="371"/>
      <c r="H16" s="371"/>
      <c r="I16" s="371"/>
      <c r="J16" s="371"/>
      <c r="K16" s="371"/>
      <c r="L16" s="371"/>
      <c r="M16" s="371"/>
    </row>
    <row r="17" spans="1:13">
      <c r="A17" s="371"/>
      <c r="B17" s="370" t="s">
        <v>134</v>
      </c>
      <c r="C17" s="371"/>
      <c r="D17" s="371"/>
      <c r="E17" s="371"/>
      <c r="F17" s="371"/>
      <c r="G17" s="371"/>
      <c r="H17" s="371"/>
      <c r="I17" s="371"/>
      <c r="J17" s="371"/>
      <c r="K17" s="371"/>
      <c r="L17" s="371"/>
      <c r="M17" s="371"/>
    </row>
    <row r="18" spans="1:13">
      <c r="A18" s="371"/>
      <c r="B18" s="370"/>
      <c r="C18" s="371"/>
      <c r="D18" s="371"/>
      <c r="E18" s="371"/>
      <c r="F18" s="371"/>
      <c r="G18" s="371"/>
      <c r="H18" s="371"/>
      <c r="I18" s="371"/>
      <c r="J18" s="371"/>
      <c r="K18" s="371"/>
      <c r="L18" s="371"/>
      <c r="M18" s="371"/>
    </row>
    <row r="19" s="359" customFormat="1" ht="25.5" customHeight="1" spans="1:13">
      <c r="A19" s="372" t="s">
        <v>135</v>
      </c>
      <c r="B19" s="373"/>
      <c r="C19" s="373"/>
      <c r="D19" s="373"/>
      <c r="E19" s="373"/>
      <c r="F19" s="373"/>
      <c r="G19" s="373"/>
      <c r="H19" s="373"/>
      <c r="I19" s="373"/>
      <c r="J19" s="373"/>
      <c r="K19" s="373"/>
      <c r="L19" s="373"/>
      <c r="M19" s="373"/>
    </row>
    <row r="20" s="359" customFormat="1" ht="25.5" customHeight="1" spans="1:13">
      <c r="A20" s="372"/>
      <c r="B20" s="373"/>
      <c r="C20" s="372" t="s">
        <v>136</v>
      </c>
      <c r="D20" s="373"/>
      <c r="E20" s="373"/>
      <c r="F20" s="373"/>
      <c r="G20" s="373"/>
      <c r="H20" s="373"/>
      <c r="I20" s="373"/>
      <c r="J20" s="373"/>
      <c r="K20" s="373"/>
      <c r="L20" s="373"/>
      <c r="M20" s="373"/>
    </row>
    <row r="21" spans="1:13">
      <c r="A21" s="371"/>
      <c r="B21" s="371"/>
      <c r="C21" s="371"/>
      <c r="D21" s="371"/>
      <c r="E21" s="371"/>
      <c r="F21" s="371"/>
      <c r="G21" s="371"/>
      <c r="H21" s="371"/>
      <c r="I21" s="371"/>
      <c r="J21" s="371"/>
      <c r="K21" s="371"/>
      <c r="L21" s="371"/>
      <c r="M21" s="371"/>
    </row>
    <row r="22" ht="18" customHeight="1" spans="1:13">
      <c r="A22" s="374"/>
      <c r="B22" s="375" t="s">
        <v>137</v>
      </c>
      <c r="C22" s="376"/>
      <c r="D22" s="376"/>
      <c r="E22" s="376"/>
      <c r="F22" s="376"/>
      <c r="G22" s="377"/>
      <c r="H22" s="374"/>
      <c r="I22" s="367"/>
      <c r="J22" s="374"/>
      <c r="K22" s="374"/>
      <c r="L22" s="374"/>
      <c r="M22" s="374"/>
    </row>
    <row r="23" ht="18" customHeight="1" spans="1:13">
      <c r="A23" s="374"/>
      <c r="B23" s="375" t="s">
        <v>138</v>
      </c>
      <c r="C23" s="376"/>
      <c r="D23" s="376"/>
      <c r="E23" s="376"/>
      <c r="F23" s="376"/>
      <c r="G23" s="376"/>
      <c r="H23" s="374"/>
      <c r="I23" s="367"/>
      <c r="J23" s="374"/>
      <c r="K23" s="374"/>
      <c r="L23" s="374"/>
      <c r="M23" s="374"/>
    </row>
  </sheetData>
  <sheetProtection password="EF09" sheet="1" selectLockedCells="1" objects="1" scenarios="1"/>
  <hyperlinks>
    <hyperlink ref="A2" location="索引目录!B3" display="返回索引页"/>
  </hyperlinks>
  <printOptions horizontalCentered="1"/>
  <pageMargins left="0.551181102362205" right="0.551181102362205" top="0.984251968503937" bottom="0.196850393700787" header="0.511811023622047" footer="0"/>
  <pageSetup paperSize="9"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pageSetUpPr fitToPage="1"/>
  </sheetPr>
  <dimension ref="A1:J40"/>
  <sheetViews>
    <sheetView view="pageBreakPreview" zoomScale="85" zoomScaleNormal="100" workbookViewId="0">
      <selection activeCell="G451" sqref="G451"/>
    </sheetView>
  </sheetViews>
  <sheetFormatPr defaultColWidth="7" defaultRowHeight="18" customHeight="1"/>
  <cols>
    <col min="1" max="1" width="21.3333333333333" style="320" customWidth="1"/>
    <col min="2" max="2" width="4.5" style="321" customWidth="1"/>
    <col min="3" max="4" width="17.0833333333333" style="322" customWidth="1"/>
    <col min="5" max="5" width="9" style="320" customWidth="1"/>
    <col min="6" max="6" width="23" style="320" customWidth="1"/>
    <col min="7" max="7" width="4.58333333333333" style="321" customWidth="1"/>
    <col min="8" max="9" width="20.5" style="322" customWidth="1"/>
    <col min="10" max="10" width="12.5833333333333" style="320" customWidth="1"/>
    <col min="11" max="16384" width="7" style="320" customWidth="1"/>
  </cols>
  <sheetData>
    <row r="1" s="317" customFormat="1" customHeight="1" spans="1:10">
      <c r="A1" s="323" t="s">
        <v>111</v>
      </c>
      <c r="B1" s="324"/>
      <c r="C1" s="324"/>
      <c r="D1" s="324"/>
      <c r="E1" s="324"/>
      <c r="F1" s="324"/>
      <c r="G1" s="324"/>
      <c r="H1" s="324"/>
      <c r="I1" s="324"/>
      <c r="J1" s="324"/>
    </row>
    <row r="2" s="317" customFormat="1" customHeight="1" spans="1:10">
      <c r="A2" s="325" t="s">
        <v>29</v>
      </c>
      <c r="B2" s="326"/>
      <c r="C2" s="326"/>
      <c r="D2" s="326"/>
      <c r="E2" s="326"/>
      <c r="F2" s="326"/>
      <c r="G2" s="326"/>
      <c r="H2" s="326"/>
      <c r="I2" s="326"/>
      <c r="J2" s="326"/>
    </row>
    <row r="3" s="318" customFormat="1" customHeight="1" spans="1:10">
      <c r="A3" s="327" t="str">
        <f>CONCATENATE(封面!F9,封面!G9,封面!H9,封面!I9,封面!J9,封面!K9)</f>
        <v>年月日</v>
      </c>
      <c r="B3" s="326"/>
      <c r="C3" s="326"/>
      <c r="D3" s="326"/>
      <c r="E3" s="326"/>
      <c r="F3" s="326"/>
      <c r="G3" s="326"/>
      <c r="H3" s="326"/>
      <c r="I3" s="326"/>
      <c r="J3" s="326"/>
    </row>
    <row r="4" customHeight="1" spans="1:10">
      <c r="A4" s="328" t="str">
        <f>"编制单位:"&amp;封面!F7</f>
        <v>编制单位:</v>
      </c>
      <c r="B4" s="329"/>
      <c r="C4" s="329"/>
      <c r="E4" s="330"/>
      <c r="J4" s="331" t="s">
        <v>139</v>
      </c>
    </row>
    <row r="5" s="319" customFormat="1" customHeight="1" spans="1:10">
      <c r="A5" s="332" t="s">
        <v>140</v>
      </c>
      <c r="B5" s="332" t="s">
        <v>141</v>
      </c>
      <c r="C5" s="332" t="s">
        <v>142</v>
      </c>
      <c r="D5" s="332" t="s">
        <v>143</v>
      </c>
      <c r="E5" s="333" t="s">
        <v>144</v>
      </c>
      <c r="F5" s="334" t="s">
        <v>145</v>
      </c>
      <c r="G5" s="332" t="s">
        <v>141</v>
      </c>
      <c r="H5" s="332" t="s">
        <v>142</v>
      </c>
      <c r="I5" s="332" t="s">
        <v>143</v>
      </c>
      <c r="J5" s="332" t="s">
        <v>144</v>
      </c>
    </row>
    <row r="6" customHeight="1" spans="1:10">
      <c r="A6" s="335" t="s">
        <v>146</v>
      </c>
      <c r="B6" s="336">
        <v>1</v>
      </c>
      <c r="C6" s="337"/>
      <c r="D6" s="337"/>
      <c r="E6" s="338"/>
      <c r="F6" s="339" t="s">
        <v>147</v>
      </c>
      <c r="G6" s="336">
        <v>34</v>
      </c>
      <c r="H6" s="340"/>
      <c r="I6" s="340"/>
      <c r="J6" s="341"/>
    </row>
    <row r="7" customHeight="1" spans="1:10">
      <c r="A7" s="342" t="s">
        <v>33</v>
      </c>
      <c r="B7" s="336">
        <v>2</v>
      </c>
      <c r="C7" s="343"/>
      <c r="D7" s="343"/>
      <c r="E7" s="338"/>
      <c r="F7" s="342" t="s">
        <v>36</v>
      </c>
      <c r="G7" s="336">
        <v>35</v>
      </c>
      <c r="H7" s="343"/>
      <c r="I7" s="343"/>
      <c r="J7" s="341"/>
    </row>
    <row r="8" customHeight="1" spans="1:10">
      <c r="A8" s="342" t="s">
        <v>41</v>
      </c>
      <c r="B8" s="336">
        <v>3</v>
      </c>
      <c r="C8" s="343"/>
      <c r="D8" s="343"/>
      <c r="E8" s="338"/>
      <c r="F8" s="342" t="s">
        <v>38</v>
      </c>
      <c r="G8" s="336">
        <v>36</v>
      </c>
      <c r="H8" s="343"/>
      <c r="I8" s="343"/>
      <c r="J8" s="341"/>
    </row>
    <row r="9" customHeight="1" spans="1:10">
      <c r="A9" s="342" t="s">
        <v>48</v>
      </c>
      <c r="B9" s="336">
        <v>4</v>
      </c>
      <c r="C9" s="343"/>
      <c r="D9" s="343"/>
      <c r="E9" s="338"/>
      <c r="F9" s="342" t="s">
        <v>40</v>
      </c>
      <c r="G9" s="336">
        <v>37</v>
      </c>
      <c r="H9" s="343"/>
      <c r="I9" s="343"/>
      <c r="J9" s="341"/>
    </row>
    <row r="10" customHeight="1" spans="1:10">
      <c r="A10" s="342" t="s">
        <v>50</v>
      </c>
      <c r="B10" s="336">
        <v>5</v>
      </c>
      <c r="C10" s="343"/>
      <c r="D10" s="343"/>
      <c r="E10" s="338"/>
      <c r="F10" s="342" t="s">
        <v>43</v>
      </c>
      <c r="G10" s="336">
        <v>38</v>
      </c>
      <c r="H10" s="343"/>
      <c r="I10" s="343"/>
      <c r="J10" s="341"/>
    </row>
    <row r="11" customHeight="1" spans="1:10">
      <c r="A11" s="342" t="s">
        <v>148</v>
      </c>
      <c r="B11" s="336">
        <v>6</v>
      </c>
      <c r="C11" s="343"/>
      <c r="D11" s="343"/>
      <c r="E11" s="338"/>
      <c r="F11" s="342" t="s">
        <v>45</v>
      </c>
      <c r="G11" s="336">
        <v>39</v>
      </c>
      <c r="H11" s="343"/>
      <c r="I11" s="343"/>
      <c r="J11" s="341"/>
    </row>
    <row r="12" customHeight="1" spans="1:10">
      <c r="A12" s="342" t="s">
        <v>54</v>
      </c>
      <c r="B12" s="336">
        <v>7</v>
      </c>
      <c r="C12" s="343"/>
      <c r="D12" s="343"/>
      <c r="E12" s="338"/>
      <c r="F12" s="342" t="s">
        <v>47</v>
      </c>
      <c r="G12" s="336">
        <v>40</v>
      </c>
      <c r="H12" s="343"/>
      <c r="I12" s="343"/>
      <c r="J12" s="341"/>
    </row>
    <row r="13" customHeight="1" spans="1:10">
      <c r="A13" s="342" t="s">
        <v>56</v>
      </c>
      <c r="B13" s="336">
        <v>8</v>
      </c>
      <c r="C13" s="340"/>
      <c r="D13" s="340"/>
      <c r="E13" s="338"/>
      <c r="F13" s="342" t="s">
        <v>49</v>
      </c>
      <c r="G13" s="336">
        <v>41</v>
      </c>
      <c r="H13" s="343"/>
      <c r="I13" s="343"/>
      <c r="J13" s="341"/>
    </row>
    <row r="14" customHeight="1" spans="1:10">
      <c r="A14" s="342" t="s">
        <v>58</v>
      </c>
      <c r="B14" s="336">
        <v>9</v>
      </c>
      <c r="C14" s="340"/>
      <c r="D14" s="340"/>
      <c r="E14" s="338"/>
      <c r="F14" s="342" t="s">
        <v>51</v>
      </c>
      <c r="G14" s="336">
        <v>42</v>
      </c>
      <c r="H14" s="343"/>
      <c r="I14" s="343"/>
      <c r="J14" s="341"/>
    </row>
    <row r="15" customHeight="1" spans="1:10">
      <c r="A15" s="342" t="s">
        <v>60</v>
      </c>
      <c r="B15" s="336">
        <v>10</v>
      </c>
      <c r="C15" s="340"/>
      <c r="D15" s="340"/>
      <c r="E15" s="338"/>
      <c r="F15" s="342" t="s">
        <v>149</v>
      </c>
      <c r="G15" s="336">
        <v>43</v>
      </c>
      <c r="H15" s="343"/>
      <c r="I15" s="343"/>
      <c r="J15" s="341"/>
    </row>
    <row r="16" customHeight="1" spans="1:10">
      <c r="A16" s="342" t="s">
        <v>150</v>
      </c>
      <c r="B16" s="336">
        <v>11</v>
      </c>
      <c r="C16" s="340"/>
      <c r="D16" s="340"/>
      <c r="E16" s="338"/>
      <c r="F16" s="342" t="s">
        <v>55</v>
      </c>
      <c r="G16" s="336">
        <v>44</v>
      </c>
      <c r="H16" s="343"/>
      <c r="I16" s="343"/>
      <c r="J16" s="341"/>
    </row>
    <row r="17" customHeight="1" spans="1:10">
      <c r="A17" s="342" t="s">
        <v>78</v>
      </c>
      <c r="B17" s="336">
        <v>12</v>
      </c>
      <c r="C17" s="340"/>
      <c r="D17" s="340"/>
      <c r="E17" s="338"/>
      <c r="F17" s="342" t="s">
        <v>57</v>
      </c>
      <c r="G17" s="336">
        <v>45</v>
      </c>
      <c r="H17" s="343"/>
      <c r="I17" s="343"/>
      <c r="J17" s="341"/>
    </row>
    <row r="18" customHeight="1" spans="1:10">
      <c r="A18" s="344" t="s">
        <v>151</v>
      </c>
      <c r="B18" s="336">
        <v>13</v>
      </c>
      <c r="C18" s="340">
        <f>SUM(C7:C17)</f>
        <v>0</v>
      </c>
      <c r="D18" s="340">
        <f>SUM(D7:D17)</f>
        <v>0</v>
      </c>
      <c r="E18" s="338"/>
      <c r="F18" s="342" t="s">
        <v>59</v>
      </c>
      <c r="G18" s="336">
        <v>46</v>
      </c>
      <c r="H18" s="343"/>
      <c r="I18" s="343"/>
      <c r="J18" s="341"/>
    </row>
    <row r="19" customHeight="1" spans="1:10">
      <c r="A19" s="345" t="s">
        <v>152</v>
      </c>
      <c r="B19" s="336">
        <v>14</v>
      </c>
      <c r="C19" s="343"/>
      <c r="D19" s="343"/>
      <c r="E19" s="338"/>
      <c r="F19" s="346" t="s">
        <v>153</v>
      </c>
      <c r="G19" s="336">
        <v>47</v>
      </c>
      <c r="H19" s="343">
        <f>SUM(H7:H18)</f>
        <v>0</v>
      </c>
      <c r="I19" s="343">
        <f>SUM(I7:I18)</f>
        <v>0</v>
      </c>
      <c r="J19" s="341"/>
    </row>
    <row r="20" customHeight="1" spans="1:10">
      <c r="A20" s="342" t="s">
        <v>80</v>
      </c>
      <c r="B20" s="336">
        <v>15</v>
      </c>
      <c r="C20" s="340"/>
      <c r="D20" s="340"/>
      <c r="E20" s="338"/>
      <c r="F20" s="347" t="s">
        <v>154</v>
      </c>
      <c r="G20" s="336">
        <v>48</v>
      </c>
      <c r="H20" s="343"/>
      <c r="I20" s="343"/>
      <c r="J20" s="341"/>
    </row>
    <row r="21" customHeight="1" spans="1:10">
      <c r="A21" s="342" t="s">
        <v>82</v>
      </c>
      <c r="B21" s="336">
        <v>16</v>
      </c>
      <c r="C21" s="340"/>
      <c r="D21" s="340"/>
      <c r="E21" s="338"/>
      <c r="F21" s="342" t="s">
        <v>65</v>
      </c>
      <c r="G21" s="336">
        <v>49</v>
      </c>
      <c r="H21" s="343"/>
      <c r="I21" s="343"/>
      <c r="J21" s="341"/>
    </row>
    <row r="22" customHeight="1" spans="1:10">
      <c r="A22" s="342" t="s">
        <v>83</v>
      </c>
      <c r="B22" s="336">
        <v>17</v>
      </c>
      <c r="C22" s="340"/>
      <c r="D22" s="340"/>
      <c r="E22" s="338"/>
      <c r="F22" s="342" t="s">
        <v>67</v>
      </c>
      <c r="G22" s="336">
        <v>50</v>
      </c>
      <c r="H22" s="343"/>
      <c r="I22" s="343"/>
      <c r="J22" s="341"/>
    </row>
    <row r="23" customHeight="1" spans="1:10">
      <c r="A23" s="342" t="s">
        <v>84</v>
      </c>
      <c r="B23" s="336">
        <v>18</v>
      </c>
      <c r="C23" s="340">
        <f>D23</f>
        <v>0</v>
      </c>
      <c r="D23" s="340"/>
      <c r="E23" s="338"/>
      <c r="F23" s="342" t="s">
        <v>69</v>
      </c>
      <c r="G23" s="336">
        <v>51</v>
      </c>
      <c r="H23" s="343"/>
      <c r="I23" s="343"/>
      <c r="J23" s="341"/>
    </row>
    <row r="24" customHeight="1" spans="1:10">
      <c r="A24" s="342" t="s">
        <v>85</v>
      </c>
      <c r="B24" s="336">
        <v>19</v>
      </c>
      <c r="C24" s="340"/>
      <c r="D24" s="340"/>
      <c r="E24" s="338"/>
      <c r="F24" s="342" t="s">
        <v>71</v>
      </c>
      <c r="G24" s="336">
        <v>52</v>
      </c>
      <c r="H24" s="343"/>
      <c r="I24" s="343"/>
      <c r="J24" s="341"/>
    </row>
    <row r="25" customHeight="1" spans="1:10">
      <c r="A25" s="342" t="s">
        <v>86</v>
      </c>
      <c r="B25" s="336">
        <v>20</v>
      </c>
      <c r="C25" s="340"/>
      <c r="D25" s="340"/>
      <c r="E25" s="338"/>
      <c r="F25" s="342" t="s">
        <v>73</v>
      </c>
      <c r="G25" s="336">
        <v>53</v>
      </c>
      <c r="H25" s="343"/>
      <c r="I25" s="343"/>
      <c r="J25" s="341"/>
    </row>
    <row r="26" customHeight="1" spans="1:10">
      <c r="A26" s="342" t="s">
        <v>94</v>
      </c>
      <c r="B26" s="336">
        <v>21</v>
      </c>
      <c r="C26" s="340"/>
      <c r="D26" s="340"/>
      <c r="E26" s="338"/>
      <c r="F26" s="342" t="s">
        <v>75</v>
      </c>
      <c r="G26" s="336">
        <v>54</v>
      </c>
      <c r="H26" s="340"/>
      <c r="I26" s="340"/>
      <c r="J26" s="341"/>
    </row>
    <row r="27" customHeight="1" spans="1:10">
      <c r="A27" s="342" t="s">
        <v>97</v>
      </c>
      <c r="B27" s="336">
        <v>22</v>
      </c>
      <c r="C27" s="340"/>
      <c r="D27" s="340"/>
      <c r="E27" s="338"/>
      <c r="F27" s="342" t="s">
        <v>77</v>
      </c>
      <c r="G27" s="336">
        <v>55</v>
      </c>
      <c r="H27" s="340"/>
      <c r="I27" s="340"/>
      <c r="J27" s="341"/>
    </row>
    <row r="28" customHeight="1" spans="1:10">
      <c r="A28" s="342" t="s">
        <v>98</v>
      </c>
      <c r="B28" s="336">
        <v>23</v>
      </c>
      <c r="C28" s="340"/>
      <c r="D28" s="340"/>
      <c r="E28" s="338"/>
      <c r="F28" s="346" t="s">
        <v>155</v>
      </c>
      <c r="G28" s="336">
        <v>56</v>
      </c>
      <c r="H28" s="343">
        <f>SUM(H21:H27)</f>
        <v>0</v>
      </c>
      <c r="I28" s="343">
        <f>SUM(I21:I27)</f>
        <v>0</v>
      </c>
      <c r="J28" s="341"/>
    </row>
    <row r="29" customHeight="1" spans="1:10">
      <c r="A29" s="342" t="s">
        <v>99</v>
      </c>
      <c r="B29" s="336">
        <v>24</v>
      </c>
      <c r="C29" s="340"/>
      <c r="D29" s="340"/>
      <c r="E29" s="338"/>
      <c r="F29" s="348" t="s">
        <v>156</v>
      </c>
      <c r="G29" s="349">
        <v>57</v>
      </c>
      <c r="H29" s="350">
        <f>H19+H28</f>
        <v>0</v>
      </c>
      <c r="I29" s="350">
        <f>I19+I28</f>
        <v>0</v>
      </c>
      <c r="J29" s="341"/>
    </row>
    <row r="30" customHeight="1" spans="1:10">
      <c r="A30" s="342" t="s">
        <v>100</v>
      </c>
      <c r="B30" s="336">
        <v>25</v>
      </c>
      <c r="C30" s="340"/>
      <c r="D30" s="340"/>
      <c r="E30" s="338"/>
      <c r="F30" s="339" t="s">
        <v>157</v>
      </c>
      <c r="G30" s="336">
        <v>58</v>
      </c>
      <c r="H30" s="340"/>
      <c r="I30" s="340"/>
      <c r="J30" s="341"/>
    </row>
    <row r="31" customHeight="1" spans="1:10">
      <c r="A31" s="342" t="s">
        <v>101</v>
      </c>
      <c r="B31" s="336">
        <v>26</v>
      </c>
      <c r="C31" s="340"/>
      <c r="D31" s="340"/>
      <c r="E31" s="338"/>
      <c r="F31" s="342" t="s">
        <v>158</v>
      </c>
      <c r="G31" s="336">
        <v>59</v>
      </c>
      <c r="H31" s="343"/>
      <c r="I31" s="343">
        <f>H31</f>
        <v>0</v>
      </c>
      <c r="J31" s="341"/>
    </row>
    <row r="32" customHeight="1" spans="1:10">
      <c r="A32" s="342" t="s">
        <v>104</v>
      </c>
      <c r="B32" s="336">
        <v>27</v>
      </c>
      <c r="C32" s="340"/>
      <c r="D32" s="340"/>
      <c r="E32" s="338"/>
      <c r="F32" s="342" t="s">
        <v>159</v>
      </c>
      <c r="G32" s="336">
        <v>60</v>
      </c>
      <c r="H32" s="343"/>
      <c r="I32" s="343">
        <f>H32</f>
        <v>0</v>
      </c>
      <c r="J32" s="341"/>
    </row>
    <row r="33" customHeight="1" spans="1:10">
      <c r="A33" s="342" t="s">
        <v>105</v>
      </c>
      <c r="B33" s="336">
        <v>28</v>
      </c>
      <c r="C33" s="340"/>
      <c r="D33" s="340"/>
      <c r="E33" s="338"/>
      <c r="F33" s="342" t="s">
        <v>160</v>
      </c>
      <c r="G33" s="336">
        <v>61</v>
      </c>
      <c r="J33" s="341"/>
    </row>
    <row r="34" customHeight="1" spans="1:10">
      <c r="A34" s="342" t="s">
        <v>107</v>
      </c>
      <c r="B34" s="336">
        <v>29</v>
      </c>
      <c r="C34" s="340"/>
      <c r="D34" s="340"/>
      <c r="E34" s="338"/>
      <c r="F34" s="342" t="s">
        <v>161</v>
      </c>
      <c r="G34" s="336">
        <v>62</v>
      </c>
      <c r="H34" s="340"/>
      <c r="I34" s="340"/>
      <c r="J34" s="341"/>
    </row>
    <row r="35" customHeight="1" spans="1:10">
      <c r="A35" s="342" t="s">
        <v>108</v>
      </c>
      <c r="B35" s="336">
        <v>30</v>
      </c>
      <c r="C35" s="340"/>
      <c r="D35" s="340"/>
      <c r="E35" s="338"/>
      <c r="F35" s="342" t="s">
        <v>162</v>
      </c>
      <c r="G35" s="336">
        <v>63</v>
      </c>
      <c r="H35" s="343"/>
      <c r="I35" s="343"/>
      <c r="J35" s="341"/>
    </row>
    <row r="36" customHeight="1" spans="1:10">
      <c r="A36" s="342" t="s">
        <v>109</v>
      </c>
      <c r="B36" s="336">
        <v>31</v>
      </c>
      <c r="C36" s="340"/>
      <c r="D36" s="340"/>
      <c r="E36" s="338"/>
      <c r="F36" s="351" t="s">
        <v>163</v>
      </c>
      <c r="G36" s="349">
        <v>64</v>
      </c>
      <c r="H36" s="352">
        <f>SUM(H31,H32,H34,H35)</f>
        <v>0</v>
      </c>
      <c r="I36" s="352">
        <f>SUM(I31,I32,I34,I35)</f>
        <v>0</v>
      </c>
      <c r="J36" s="341"/>
    </row>
    <row r="37" customHeight="1" spans="1:10">
      <c r="A37" s="344" t="s">
        <v>164</v>
      </c>
      <c r="B37" s="336">
        <v>32</v>
      </c>
      <c r="C37" s="340">
        <f>SUM(C20:C36)</f>
        <v>0</v>
      </c>
      <c r="D37" s="340">
        <f>SUM(D20:D36)</f>
        <v>0</v>
      </c>
      <c r="E37" s="338"/>
      <c r="J37" s="341"/>
    </row>
    <row r="38" customHeight="1" spans="1:10">
      <c r="A38" s="353" t="s">
        <v>165</v>
      </c>
      <c r="B38" s="354">
        <v>33</v>
      </c>
      <c r="C38" s="355">
        <f>SUM(C37,C18)</f>
        <v>0</v>
      </c>
      <c r="D38" s="355">
        <f>SUM(D37,D18)</f>
        <v>0</v>
      </c>
      <c r="E38" s="338"/>
      <c r="F38" s="351" t="s">
        <v>166</v>
      </c>
      <c r="G38" s="349">
        <v>65</v>
      </c>
      <c r="H38" s="352">
        <f>H29+H36</f>
        <v>0</v>
      </c>
      <c r="I38" s="352">
        <f>I29+I36</f>
        <v>0</v>
      </c>
      <c r="J38" s="341"/>
    </row>
    <row r="39" customHeight="1" spans="1:10">
      <c r="A39" s="356"/>
      <c r="B39" s="336"/>
      <c r="C39" s="340"/>
      <c r="D39" s="340"/>
      <c r="E39" s="338"/>
      <c r="F39" s="339" t="s">
        <v>167</v>
      </c>
      <c r="G39" s="336">
        <v>66</v>
      </c>
      <c r="H39" s="340">
        <f>H38-C38</f>
        <v>0</v>
      </c>
      <c r="I39" s="340">
        <f>I38-D38</f>
        <v>0</v>
      </c>
      <c r="J39" s="341"/>
    </row>
    <row r="40" customHeight="1" spans="1:10">
      <c r="C40" s="357" t="s">
        <v>168</v>
      </c>
      <c r="D40" s="320"/>
      <c r="E40" s="357" t="s">
        <v>169</v>
      </c>
      <c r="F40" s="320" t="s">
        <v>170</v>
      </c>
      <c r="H40" s="358" t="s">
        <v>171</v>
      </c>
      <c r="I40" s="320" t="s">
        <v>170</v>
      </c>
    </row>
  </sheetData>
  <mergeCells count="3">
    <mergeCell ref="A2:J2"/>
    <mergeCell ref="A3:J3"/>
    <mergeCell ref="A4:C4"/>
  </mergeCells>
  <hyperlinks>
    <hyperlink ref="A1" location="索引目录!C4" display="返回索引页"/>
  </hyperlinks>
  <printOptions horizontalCentered="1"/>
  <pageMargins left="1.10236220472441" right="0.433070866141732" top="0.393700787401575" bottom="0.196850393700787" header="0.511811023622047" footer="0.511811023622047"/>
  <pageSetup paperSize="9" scale="77"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pageSetUpPr fitToPage="1"/>
  </sheetPr>
  <dimension ref="A1:G37"/>
  <sheetViews>
    <sheetView zoomScale="70" zoomScaleNormal="70" zoomScaleSheetLayoutView="75" workbookViewId="0">
      <selection activeCell="E14" sqref="E14"/>
    </sheetView>
  </sheetViews>
  <sheetFormatPr defaultColWidth="9" defaultRowHeight="15.75" customHeight="1" outlineLevelCol="6"/>
  <cols>
    <col min="1" max="1" width="11.5" style="13" customWidth="1"/>
    <col min="2" max="2" width="22.9166666666667" style="12" customWidth="1"/>
    <col min="3" max="3" width="20.0833333333333" style="13" hidden="1" customWidth="1" outlineLevel="1"/>
    <col min="4" max="4" width="23.25" style="13" customWidth="1" collapsed="1"/>
    <col min="5" max="5" width="21.3333333333333" style="13" customWidth="1"/>
    <col min="6" max="6" width="22" style="13" customWidth="1"/>
    <col min="7" max="7" width="20.1666666666667" style="13" customWidth="1"/>
    <col min="8" max="16384" width="9" style="13" customWidth="1"/>
  </cols>
  <sheetData>
    <row r="1" ht="20.25" customHeight="1" spans="1:7">
      <c r="A1" s="51" t="s">
        <v>111</v>
      </c>
      <c r="B1" s="16"/>
      <c r="C1" s="16"/>
      <c r="D1" s="16"/>
      <c r="E1" s="16"/>
      <c r="F1" s="16"/>
      <c r="G1" s="16"/>
    </row>
    <row r="2" ht="30" customHeight="1" spans="1:7">
      <c r="A2" s="303" t="s">
        <v>172</v>
      </c>
    </row>
    <row r="3" s="297" customFormat="1" ht="18" customHeight="1" spans="1:7">
      <c r="A3" s="304" t="str">
        <f>CONCATENATE(封面!D9,封面!F9,封面!G9,封面!H9,封面!I9,封面!J9,封面!K9)</f>
        <v>评估基准日：年月日</v>
      </c>
    </row>
    <row r="4" s="297" customFormat="1" ht="23.25" customHeight="1" spans="1:7">
      <c r="A4" s="305" t="str">
        <f>封面!D7&amp;封面!F7</f>
        <v>被评估单位：</v>
      </c>
      <c r="B4" s="306"/>
      <c r="G4" s="307" t="s">
        <v>173</v>
      </c>
    </row>
    <row r="5" s="298" customFormat="1" ht="23.15" customHeight="1" spans="1:7">
      <c r="A5" s="308" t="s">
        <v>174</v>
      </c>
      <c r="B5" s="35"/>
      <c r="C5" s="309" t="s">
        <v>175</v>
      </c>
      <c r="D5" s="309" t="s">
        <v>176</v>
      </c>
      <c r="E5" s="309" t="s">
        <v>177</v>
      </c>
      <c r="F5" s="309" t="s">
        <v>178</v>
      </c>
      <c r="G5" s="309" t="s">
        <v>179</v>
      </c>
    </row>
    <row r="6" s="298" customFormat="1" ht="13" customHeight="1" spans="1:7">
      <c r="A6" s="211"/>
      <c r="B6" s="172"/>
      <c r="C6" s="309" t="s">
        <v>180</v>
      </c>
      <c r="D6" s="309" t="s">
        <v>181</v>
      </c>
      <c r="E6" s="309" t="s">
        <v>182</v>
      </c>
      <c r="F6" s="309" t="s">
        <v>183</v>
      </c>
      <c r="G6" s="309" t="s">
        <v>184</v>
      </c>
    </row>
    <row r="7" s="299" customFormat="1" ht="23.15" customHeight="1" spans="1:7">
      <c r="A7" s="309">
        <v>1</v>
      </c>
      <c r="B7" s="310" t="s">
        <v>32</v>
      </c>
      <c r="C7" s="311">
        <f>分类汇总!C6/10000</f>
        <v>0</v>
      </c>
      <c r="D7" s="311">
        <f>分类汇总!E6/10000</f>
        <v>0</v>
      </c>
      <c r="E7" s="311">
        <f>分类汇总!F6/10000</f>
        <v>0</v>
      </c>
      <c r="F7" s="311">
        <f t="shared" ref="F7:F29" si="0">E7-D7</f>
        <v>0</v>
      </c>
      <c r="G7" s="311" t="str">
        <f t="shared" ref="G7:G34" si="1">IF(D7=0,"",F7/ABS(D7)*100)</f>
        <v/>
      </c>
    </row>
    <row r="8" s="299" customFormat="1" ht="23.15" customHeight="1" spans="1:7">
      <c r="A8" s="309">
        <v>2</v>
      </c>
      <c r="B8" s="310" t="s">
        <v>185</v>
      </c>
      <c r="C8" s="311">
        <f>分类汇总!C19/10000</f>
        <v>0</v>
      </c>
      <c r="D8" s="311">
        <f>分类汇总!E19/10000</f>
        <v>0</v>
      </c>
      <c r="E8" s="311">
        <f>分类汇总!F19/10000</f>
        <v>0</v>
      </c>
      <c r="F8" s="311">
        <f t="shared" si="0"/>
        <v>0</v>
      </c>
      <c r="G8" s="311" t="str">
        <f t="shared" si="1"/>
        <v/>
      </c>
    </row>
    <row r="9" s="299" customFormat="1" ht="23.15" hidden="1" customHeight="1" spans="1:7">
      <c r="A9" s="309"/>
      <c r="B9" s="310" t="s">
        <v>186</v>
      </c>
      <c r="C9" s="311">
        <f>分类汇总!C20/10000</f>
        <v>0</v>
      </c>
      <c r="D9" s="311">
        <f>分类汇总!E20/10000</f>
        <v>0</v>
      </c>
      <c r="E9" s="311">
        <f>分类汇总!F20/10000</f>
        <v>0</v>
      </c>
      <c r="F9" s="311">
        <f t="shared" si="0"/>
        <v>0</v>
      </c>
      <c r="G9" s="311" t="str">
        <f t="shared" si="1"/>
        <v/>
      </c>
    </row>
    <row r="10" s="299" customFormat="1" ht="23.15" hidden="1" customHeight="1" spans="1:7">
      <c r="A10" s="309"/>
      <c r="B10" s="310" t="s">
        <v>187</v>
      </c>
      <c r="C10" s="311">
        <f>分类汇总!C21/10000</f>
        <v>0</v>
      </c>
      <c r="D10" s="311">
        <f>分类汇总!E21/10000</f>
        <v>0</v>
      </c>
      <c r="E10" s="311">
        <f>分类汇总!F21/10000</f>
        <v>0</v>
      </c>
      <c r="F10" s="311">
        <f t="shared" si="0"/>
        <v>0</v>
      </c>
      <c r="G10" s="311" t="str">
        <f t="shared" si="1"/>
        <v/>
      </c>
    </row>
    <row r="11" s="299" customFormat="1" ht="23.15" customHeight="1" spans="1:7">
      <c r="A11" s="309">
        <v>3</v>
      </c>
      <c r="B11" s="312" t="s">
        <v>188</v>
      </c>
      <c r="C11" s="311">
        <f>分类汇总!C22/10000</f>
        <v>0</v>
      </c>
      <c r="D11" s="311">
        <f>分类汇总!E22/10000</f>
        <v>0</v>
      </c>
      <c r="E11" s="311">
        <f>分类汇总!F22/10000</f>
        <v>0</v>
      </c>
      <c r="F11" s="311">
        <f t="shared" si="0"/>
        <v>0</v>
      </c>
      <c r="G11" s="311" t="str">
        <f t="shared" si="1"/>
        <v/>
      </c>
    </row>
    <row r="12" s="299" customFormat="1" ht="23.15" customHeight="1" spans="1:7">
      <c r="A12" s="309">
        <v>4</v>
      </c>
      <c r="B12" s="312" t="s">
        <v>189</v>
      </c>
      <c r="C12" s="311">
        <f>分类汇总!C23/10000</f>
        <v>0</v>
      </c>
      <c r="D12" s="311">
        <f>分类汇总!E23/10000</f>
        <v>0</v>
      </c>
      <c r="E12" s="311">
        <f>分类汇总!F23/10000</f>
        <v>0</v>
      </c>
      <c r="F12" s="311">
        <f t="shared" si="0"/>
        <v>0</v>
      </c>
      <c r="G12" s="311" t="str">
        <f t="shared" si="1"/>
        <v/>
      </c>
    </row>
    <row r="13" s="299" customFormat="1" ht="23.15" customHeight="1" spans="1:7">
      <c r="A13" s="309">
        <v>5</v>
      </c>
      <c r="B13" s="310" t="s">
        <v>190</v>
      </c>
      <c r="C13" s="311">
        <f>分类汇总!C24/10000</f>
        <v>0</v>
      </c>
      <c r="D13" s="311">
        <f>分类汇总!E24/10000</f>
        <v>0</v>
      </c>
      <c r="E13" s="311">
        <f>分类汇总!F24/10000</f>
        <v>0</v>
      </c>
      <c r="F13" s="311">
        <f t="shared" si="0"/>
        <v>0</v>
      </c>
      <c r="G13" s="311" t="str">
        <f t="shared" si="1"/>
        <v/>
      </c>
    </row>
    <row r="14" s="299" customFormat="1" ht="23.15" customHeight="1" spans="1:7">
      <c r="A14" s="309">
        <v>6</v>
      </c>
      <c r="B14" s="312" t="s">
        <v>191</v>
      </c>
      <c r="C14" s="311">
        <f>分类汇总!C25/10000</f>
        <v>0</v>
      </c>
      <c r="D14" s="311">
        <f>分类汇总!E25/10000</f>
        <v>0</v>
      </c>
      <c r="E14" s="311">
        <f>分类汇总!F25/10000</f>
        <v>0</v>
      </c>
      <c r="F14" s="311">
        <f t="shared" si="0"/>
        <v>0</v>
      </c>
      <c r="G14" s="311" t="str">
        <f t="shared" si="1"/>
        <v/>
      </c>
    </row>
    <row r="15" s="300" customFormat="1" ht="23.15" hidden="1" customHeight="1" outlineLevel="1" spans="1:7">
      <c r="A15" s="309">
        <v>7</v>
      </c>
      <c r="B15" s="310" t="s">
        <v>192</v>
      </c>
      <c r="C15" s="311">
        <f>固定资产汇总!D7/10000</f>
        <v>0</v>
      </c>
      <c r="D15" s="311">
        <f>固定资产汇总!F7/10000</f>
        <v>0</v>
      </c>
      <c r="E15" s="311">
        <f>固定资产汇总!H7/10000</f>
        <v>0</v>
      </c>
      <c r="F15" s="311">
        <f t="shared" si="0"/>
        <v>0</v>
      </c>
      <c r="G15" s="311" t="str">
        <f t="shared" si="1"/>
        <v/>
      </c>
    </row>
    <row r="16" s="300" customFormat="1" ht="23.15" hidden="1" customHeight="1" outlineLevel="1" spans="1:7">
      <c r="A16" s="309">
        <v>8</v>
      </c>
      <c r="B16" s="310" t="s">
        <v>193</v>
      </c>
      <c r="C16" s="311">
        <f>固定资产汇总!D13/10000</f>
        <v>0</v>
      </c>
      <c r="D16" s="311">
        <f>固定资产汇总!F13/10000</f>
        <v>0</v>
      </c>
      <c r="E16" s="311">
        <f>固定资产汇总!H13/10000</f>
        <v>0</v>
      </c>
      <c r="F16" s="311">
        <f t="shared" si="0"/>
        <v>0</v>
      </c>
      <c r="G16" s="311" t="str">
        <f t="shared" si="1"/>
        <v/>
      </c>
    </row>
    <row r="17" s="300" customFormat="1" ht="23.15" hidden="1" customHeight="1" outlineLevel="1" spans="1:7">
      <c r="A17" s="309">
        <v>9</v>
      </c>
      <c r="B17" s="310" t="s">
        <v>194</v>
      </c>
      <c r="C17" s="311">
        <f>固定资产汇总!D19/10000</f>
        <v>0</v>
      </c>
      <c r="D17" s="311">
        <f>固定资产汇总!F19/10000</f>
        <v>0</v>
      </c>
      <c r="E17" s="311">
        <f>固定资产汇总!H19/10000</f>
        <v>0</v>
      </c>
      <c r="F17" s="311">
        <f t="shared" si="0"/>
        <v>0</v>
      </c>
      <c r="G17" s="311" t="str">
        <f t="shared" si="1"/>
        <v/>
      </c>
    </row>
    <row r="18" s="300" customFormat="1" ht="23.15" customHeight="1" collapsed="1" spans="1:7">
      <c r="A18" s="309">
        <v>7</v>
      </c>
      <c r="B18" s="310" t="s">
        <v>195</v>
      </c>
      <c r="C18" s="311">
        <f>分类汇总!C26/10000</f>
        <v>0</v>
      </c>
      <c r="D18" s="311">
        <f>分类汇总!E26/10000</f>
        <v>0</v>
      </c>
      <c r="E18" s="311">
        <f>分类汇总!F26/10000</f>
        <v>0</v>
      </c>
      <c r="F18" s="311">
        <f t="shared" si="0"/>
        <v>0</v>
      </c>
      <c r="G18" s="311" t="str">
        <f t="shared" si="1"/>
        <v/>
      </c>
    </row>
    <row r="19" s="300" customFormat="1" ht="23.15" customHeight="1" spans="1:7">
      <c r="A19" s="309">
        <v>8</v>
      </c>
      <c r="B19" s="310" t="s">
        <v>196</v>
      </c>
      <c r="C19" s="311">
        <f>分类汇总!C27/10000</f>
        <v>0</v>
      </c>
      <c r="D19" s="311">
        <f>分类汇总!E27/10000</f>
        <v>0</v>
      </c>
      <c r="E19" s="311">
        <f>分类汇总!F27/10000</f>
        <v>0</v>
      </c>
      <c r="F19" s="311">
        <f t="shared" si="0"/>
        <v>0</v>
      </c>
      <c r="G19" s="311" t="str">
        <f t="shared" si="1"/>
        <v/>
      </c>
    </row>
    <row r="20" s="300" customFormat="1" ht="23.15" customHeight="1" spans="1:7">
      <c r="A20" s="309">
        <v>9</v>
      </c>
      <c r="B20" s="310" t="s">
        <v>197</v>
      </c>
      <c r="C20" s="311">
        <f>分类汇总!C28/10000</f>
        <v>0</v>
      </c>
      <c r="D20" s="311">
        <f>分类汇总!E28/10000</f>
        <v>0</v>
      </c>
      <c r="E20" s="311">
        <f>分类汇总!F28/10000</f>
        <v>0</v>
      </c>
      <c r="F20" s="311">
        <f t="shared" si="0"/>
        <v>0</v>
      </c>
      <c r="G20" s="311" t="str">
        <f t="shared" si="1"/>
        <v/>
      </c>
    </row>
    <row r="21" s="300" customFormat="1" ht="23.15" customHeight="1" spans="1:7">
      <c r="A21" s="309">
        <v>10</v>
      </c>
      <c r="B21" s="310" t="s">
        <v>198</v>
      </c>
      <c r="C21" s="311">
        <f>分类汇总!C29/10000</f>
        <v>0</v>
      </c>
      <c r="D21" s="311">
        <f>分类汇总!E29/10000</f>
        <v>0</v>
      </c>
      <c r="E21" s="311">
        <f>分类汇总!F29/10000</f>
        <v>0</v>
      </c>
      <c r="F21" s="311">
        <f t="shared" si="0"/>
        <v>0</v>
      </c>
      <c r="G21" s="311" t="str">
        <f t="shared" si="1"/>
        <v/>
      </c>
    </row>
    <row r="22" s="300" customFormat="1" ht="23.15" customHeight="1" spans="1:7">
      <c r="A22" s="309">
        <v>11</v>
      </c>
      <c r="B22" s="310" t="s">
        <v>199</v>
      </c>
      <c r="C22" s="311">
        <f>分类汇总!C30/10000</f>
        <v>0</v>
      </c>
      <c r="D22" s="311">
        <f>分类汇总!E30/10000</f>
        <v>0</v>
      </c>
      <c r="E22" s="311">
        <f>分类汇总!F30/10000</f>
        <v>0</v>
      </c>
      <c r="F22" s="311">
        <f t="shared" si="0"/>
        <v>0</v>
      </c>
      <c r="G22" s="311" t="str">
        <f t="shared" si="1"/>
        <v/>
      </c>
    </row>
    <row r="23" s="299" customFormat="1" ht="23.15" customHeight="1" spans="1:7">
      <c r="A23" s="309">
        <v>12</v>
      </c>
      <c r="B23" s="310" t="s">
        <v>200</v>
      </c>
      <c r="C23" s="311">
        <f>分类汇总!C31/10000</f>
        <v>0</v>
      </c>
      <c r="D23" s="311">
        <f>分类汇总!E31/10000</f>
        <v>0</v>
      </c>
      <c r="E23" s="311">
        <f>分类汇总!F31/10000</f>
        <v>0</v>
      </c>
      <c r="F23" s="311">
        <f t="shared" si="0"/>
        <v>0</v>
      </c>
      <c r="G23" s="311" t="str">
        <f t="shared" si="1"/>
        <v/>
      </c>
    </row>
    <row r="24" s="299" customFormat="1" ht="23.15" hidden="1" customHeight="1" spans="1:7">
      <c r="A24" s="309">
        <v>13</v>
      </c>
      <c r="B24" s="310" t="s">
        <v>201</v>
      </c>
      <c r="C24" s="311">
        <f>无形资产汇总!C6/10000</f>
        <v>0</v>
      </c>
      <c r="D24" s="311">
        <f>无形资产汇总!D6/10000</f>
        <v>0</v>
      </c>
      <c r="E24" s="311">
        <f>无形资产汇总!E6/10000</f>
        <v>0</v>
      </c>
      <c r="F24" s="311">
        <f t="shared" si="0"/>
        <v>0</v>
      </c>
      <c r="G24" s="311" t="str">
        <f t="shared" si="1"/>
        <v/>
      </c>
    </row>
    <row r="25" s="299" customFormat="1" ht="23.15" hidden="1" customHeight="1" outlineLevel="1" spans="1:7">
      <c r="A25" s="309">
        <v>17</v>
      </c>
      <c r="B25" s="310" t="s">
        <v>202</v>
      </c>
      <c r="C25" s="311">
        <f>分类汇总!C32/10000</f>
        <v>0</v>
      </c>
      <c r="D25" s="311">
        <f>分类汇总!E32/10000</f>
        <v>0</v>
      </c>
      <c r="E25" s="311">
        <f>分类汇总!F32/10000</f>
        <v>0</v>
      </c>
      <c r="F25" s="311">
        <f t="shared" si="0"/>
        <v>0</v>
      </c>
      <c r="G25" s="311" t="str">
        <f t="shared" si="1"/>
        <v/>
      </c>
    </row>
    <row r="26" s="299" customFormat="1" ht="23.15" hidden="1" customHeight="1" outlineLevel="1" spans="1:7">
      <c r="A26" s="309">
        <v>18</v>
      </c>
      <c r="B26" s="310" t="s">
        <v>203</v>
      </c>
      <c r="C26" s="311">
        <f>分类汇总!C33/10000</f>
        <v>0</v>
      </c>
      <c r="D26" s="311">
        <f>分类汇总!E33/10000</f>
        <v>0</v>
      </c>
      <c r="E26" s="311">
        <f>分类汇总!F33/10000</f>
        <v>0</v>
      </c>
      <c r="F26" s="311">
        <f t="shared" si="0"/>
        <v>0</v>
      </c>
      <c r="G26" s="311" t="str">
        <f t="shared" si="1"/>
        <v/>
      </c>
    </row>
    <row r="27" s="299" customFormat="1" ht="23.15" hidden="1" customHeight="1" outlineLevel="1" spans="1:7">
      <c r="A27" s="309">
        <v>19</v>
      </c>
      <c r="B27" s="310" t="s">
        <v>204</v>
      </c>
      <c r="C27" s="311">
        <f>分类汇总!C34/10000</f>
        <v>0</v>
      </c>
      <c r="D27" s="311">
        <f>分类汇总!E34/10000</f>
        <v>0</v>
      </c>
      <c r="E27" s="311">
        <f>分类汇总!F34/10000</f>
        <v>0</v>
      </c>
      <c r="F27" s="311">
        <f t="shared" si="0"/>
        <v>0</v>
      </c>
      <c r="G27" s="311" t="str">
        <f t="shared" si="1"/>
        <v/>
      </c>
    </row>
    <row r="28" s="299" customFormat="1" ht="23.15" hidden="1" customHeight="1" outlineLevel="1" spans="1:7">
      <c r="A28" s="309">
        <v>20</v>
      </c>
      <c r="B28" s="310" t="s">
        <v>205</v>
      </c>
      <c r="C28" s="311">
        <f>分类汇总!C35/10000</f>
        <v>0</v>
      </c>
      <c r="D28" s="311">
        <f>分类汇总!E35/10000</f>
        <v>0</v>
      </c>
      <c r="E28" s="311">
        <f>分类汇总!F35/10000</f>
        <v>0</v>
      </c>
      <c r="F28" s="311">
        <f t="shared" si="0"/>
        <v>0</v>
      </c>
      <c r="G28" s="311" t="str">
        <f t="shared" si="1"/>
        <v/>
      </c>
    </row>
    <row r="29" s="299" customFormat="1" ht="23.15" customHeight="1" collapsed="1" spans="1:7">
      <c r="A29" s="309">
        <v>13</v>
      </c>
      <c r="B29" s="310" t="s">
        <v>206</v>
      </c>
      <c r="C29" s="311">
        <f>分类汇总!C36/10000</f>
        <v>0</v>
      </c>
      <c r="D29" s="311">
        <f>分类汇总!E36/10000</f>
        <v>0</v>
      </c>
      <c r="E29" s="311">
        <f>分类汇总!F36/10000</f>
        <v>0</v>
      </c>
      <c r="F29" s="311">
        <f t="shared" si="0"/>
        <v>0</v>
      </c>
      <c r="G29" s="311" t="str">
        <f t="shared" si="1"/>
        <v/>
      </c>
    </row>
    <row r="30" s="301" customFormat="1" ht="22.5" customHeight="1" spans="1:7">
      <c r="A30" s="309">
        <v>14</v>
      </c>
      <c r="B30" s="313" t="s">
        <v>165</v>
      </c>
      <c r="C30" s="314">
        <f>SUM(C7,C8)</f>
        <v>0</v>
      </c>
      <c r="D30" s="314">
        <f>SUM(D7,D8)</f>
        <v>0</v>
      </c>
      <c r="E30" s="314">
        <f>SUM(E7,E8)</f>
        <v>0</v>
      </c>
      <c r="F30" s="314">
        <f>SUM(F7,F8)</f>
        <v>0</v>
      </c>
      <c r="G30" s="314" t="str">
        <f t="shared" si="1"/>
        <v/>
      </c>
    </row>
    <row r="31" s="299" customFormat="1" ht="23.15" customHeight="1" spans="1:7">
      <c r="A31" s="309">
        <v>15</v>
      </c>
      <c r="B31" s="310" t="s">
        <v>35</v>
      </c>
      <c r="C31" s="311">
        <f>分类汇总!C39/10000</f>
        <v>0</v>
      </c>
      <c r="D31" s="311">
        <f>分类汇总!E39/10000</f>
        <v>0</v>
      </c>
      <c r="E31" s="311">
        <f>分类汇总!F39/10000</f>
        <v>0</v>
      </c>
      <c r="F31" s="311">
        <f>E31-D31</f>
        <v>0</v>
      </c>
      <c r="G31" s="311" t="str">
        <f t="shared" si="1"/>
        <v/>
      </c>
    </row>
    <row r="32" s="299" customFormat="1" ht="23.15" customHeight="1" spans="1:7">
      <c r="A32" s="309">
        <v>16</v>
      </c>
      <c r="B32" s="310" t="s">
        <v>64</v>
      </c>
      <c r="C32" s="311">
        <f>分类汇总!C53/10000</f>
        <v>0</v>
      </c>
      <c r="D32" s="311">
        <f>分类汇总!E53/10000</f>
        <v>0</v>
      </c>
      <c r="E32" s="311">
        <f>分类汇总!F53/10000</f>
        <v>0</v>
      </c>
      <c r="F32" s="311">
        <f>E32-D32</f>
        <v>0</v>
      </c>
      <c r="G32" s="311" t="str">
        <f t="shared" si="1"/>
        <v/>
      </c>
    </row>
    <row r="33" s="301" customFormat="1" ht="23.15" customHeight="1" spans="1:7">
      <c r="A33" s="309">
        <v>17</v>
      </c>
      <c r="B33" s="313" t="s">
        <v>207</v>
      </c>
      <c r="C33" s="314">
        <f>SUM(C31:C32)</f>
        <v>0</v>
      </c>
      <c r="D33" s="314">
        <f>SUM(D31:D32)</f>
        <v>0</v>
      </c>
      <c r="E33" s="314">
        <f>SUM(E31:E32)</f>
        <v>0</v>
      </c>
      <c r="F33" s="314">
        <f>SUM(F31:F32)</f>
        <v>0</v>
      </c>
      <c r="G33" s="314" t="str">
        <f t="shared" si="1"/>
        <v/>
      </c>
    </row>
    <row r="34" s="301" customFormat="1" ht="23.15" customHeight="1" spans="1:7">
      <c r="A34" s="309">
        <v>18</v>
      </c>
      <c r="B34" s="313" t="s">
        <v>208</v>
      </c>
      <c r="C34" s="314">
        <f>C30-C33</f>
        <v>0</v>
      </c>
      <c r="D34" s="314">
        <f>D30-D33</f>
        <v>0</v>
      </c>
      <c r="E34" s="314">
        <f>E30-E33</f>
        <v>0</v>
      </c>
      <c r="F34" s="314">
        <f>F30-F33</f>
        <v>0</v>
      </c>
      <c r="G34" s="314" t="str">
        <f t="shared" si="1"/>
        <v/>
      </c>
    </row>
    <row r="35" s="302" customFormat="1" ht="31.5" customHeight="1" spans="1:7">
      <c r="B35" s="315"/>
      <c r="E35" s="290" t="s">
        <v>209</v>
      </c>
    </row>
    <row r="36" s="302" customFormat="1" ht="12.75" customHeight="1" spans="1:7">
      <c r="B36" s="315"/>
    </row>
    <row r="37" s="302" customFormat="1" ht="20.15" customHeight="1" spans="1:7">
      <c r="B37" s="315"/>
      <c r="E37" s="316"/>
    </row>
  </sheetData>
  <mergeCells count="3">
    <mergeCell ref="A2:G2"/>
    <mergeCell ref="A3:G3"/>
    <mergeCell ref="A5:B6"/>
  </mergeCells>
  <hyperlinks>
    <hyperlink ref="A1" location="索引目录!D4" display="返回索引页"/>
    <hyperlink ref="B30" location="分类汇总!B38" display="资产总计"/>
    <hyperlink ref="B33" location="分类汇总!B62" display="负债总计"/>
    <hyperlink ref="B34" location="分类汇总!B64" display="净 资 产（所有者权益）"/>
  </hyperlinks>
  <printOptions horizontalCentered="1"/>
  <pageMargins left="0.590551181102362" right="0.590277777777778" top="0.904861111111111" bottom="0.196850393700787" header="1.18055555555556" footer="0.15748031496063"/>
  <pageSetup paperSize="9" scale="96" orientation="landscape"/>
  <headerFooter alignWithMargins="0">
    <oddHeader>&amp;R&amp;"宋体,常规"共&amp;"Times New Roman,常规"&amp;N&amp;"宋体,常规"页第&amp;"Times New Roman,常规"&amp;P&amp;"宋体,常规"
页</oddHead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pageSetUpPr fitToPage="1"/>
  </sheetPr>
  <dimension ref="A1:J91"/>
  <sheetViews>
    <sheetView view="pageBreakPreview" zoomScale="90" zoomScaleNormal="100" workbookViewId="0">
      <pane xSplit="2" ySplit="5" topLeftCell="C6" activePane="bottomRight" state="frozen"/>
      <selection/>
      <selection pane="topRight"/>
      <selection pane="bottomLeft"/>
      <selection pane="bottomRight" activeCell="F25" sqref="F25"/>
    </sheetView>
  </sheetViews>
  <sheetFormatPr defaultColWidth="9" defaultRowHeight="15.75" customHeight="1"/>
  <cols>
    <col min="1" max="1" width="5.08333333333333" style="13" customWidth="1"/>
    <col min="2" max="2" width="26" style="13" customWidth="1"/>
    <col min="3" max="3" width="16.5" style="13" hidden="1" customWidth="1" outlineLevel="1"/>
    <col min="4" max="4" width="0.833333333333333" style="13" hidden="1" customWidth="1" outlineLevel="1"/>
    <col min="5" max="5" width="24.5" style="13" customWidth="1" collapsed="1"/>
    <col min="6" max="6" width="25.25" style="13" customWidth="1"/>
    <col min="7" max="7" width="22.3333333333333" style="13" customWidth="1"/>
    <col min="8" max="8" width="19.25" style="13" customWidth="1"/>
    <col min="9" max="9" width="13.8333333333333" style="13" customWidth="1"/>
    <col min="10" max="10" width="12.75" style="13" customWidth="1"/>
    <col min="11" max="16384" width="9" style="13" customWidth="1"/>
  </cols>
  <sheetData>
    <row r="1" ht="12.75" customHeight="1" spans="1:10">
      <c r="A1" s="224" t="s">
        <v>111</v>
      </c>
      <c r="B1" s="52" t="s">
        <v>210</v>
      </c>
      <c r="C1" s="16"/>
      <c r="D1" s="16"/>
      <c r="E1" s="16"/>
      <c r="F1" s="16"/>
      <c r="G1" s="16"/>
      <c r="H1" s="16"/>
    </row>
    <row r="2" s="11" customFormat="1" ht="30" customHeight="1" spans="1:10">
      <c r="A2" s="17" t="s">
        <v>211</v>
      </c>
    </row>
    <row r="3" ht="15" customHeight="1" spans="1:10">
      <c r="A3" s="18" t="str">
        <f>CONCATENATE(封面!D9,封面!F9,封面!G9,封面!H9,封面!I9,封面!J9,封面!K9)</f>
        <v>评估基准日：年月日</v>
      </c>
    </row>
    <row r="4" ht="12" customHeight="1" spans="1:10">
      <c r="A4" s="19" t="str">
        <f>封面!D7&amp;封面!F7</f>
        <v>被评估单位：</v>
      </c>
      <c r="H4" s="54" t="s">
        <v>139</v>
      </c>
      <c r="J4" s="282" t="str">
        <f>IF(COUNTIF(J6:J91,"&gt;0")+COUNTIF(J6:J91,"&lt;0")&gt;0,"出错","OK")</f>
        <v>OK</v>
      </c>
    </row>
    <row r="5" s="12" customFormat="1" ht="14.25" customHeight="1" spans="1:10">
      <c r="A5" s="23" t="s">
        <v>141</v>
      </c>
      <c r="B5" s="275" t="s">
        <v>212</v>
      </c>
      <c r="C5" s="23" t="s">
        <v>175</v>
      </c>
      <c r="D5" s="23" t="s">
        <v>213</v>
      </c>
      <c r="E5" s="23" t="s">
        <v>176</v>
      </c>
      <c r="F5" s="23" t="s">
        <v>177</v>
      </c>
      <c r="G5" s="23" t="s">
        <v>214</v>
      </c>
      <c r="H5" s="23" t="s">
        <v>215</v>
      </c>
      <c r="I5" s="61" t="s">
        <v>216</v>
      </c>
      <c r="J5" s="61" t="s">
        <v>217</v>
      </c>
    </row>
    <row r="6" s="42" customFormat="1" ht="14.25" customHeight="1" spans="1:10">
      <c r="A6" s="283">
        <v>1</v>
      </c>
      <c r="B6" s="284" t="s">
        <v>218</v>
      </c>
      <c r="C6" s="285">
        <f>SUM(C7:C17)</f>
        <v>0</v>
      </c>
      <c r="D6" s="285">
        <f>SUM(D7:D17)</f>
        <v>0</v>
      </c>
      <c r="E6" s="285">
        <f>SUM(E7:E17)</f>
        <v>0</v>
      </c>
      <c r="F6" s="285">
        <f>SUM(F7:F17)</f>
        <v>0</v>
      </c>
      <c r="G6" s="285">
        <f>SUM(G7:G17)</f>
        <v>0</v>
      </c>
      <c r="H6" s="285" t="str">
        <f t="shared" ref="H6:H64" si="0">IF(E6=0,"",G6/ABS(E6)*100)</f>
        <v/>
      </c>
      <c r="I6" s="286">
        <f>资产负债表!D18</f>
        <v>0</v>
      </c>
      <c r="J6" s="286">
        <f t="shared" ref="J6:J64" si="1">ROUND(E6-I6,2)</f>
        <v>0</v>
      </c>
    </row>
    <row r="7" ht="14.25" customHeight="1" spans="1:10">
      <c r="A7" s="23">
        <v>2</v>
      </c>
      <c r="B7" s="287" t="s">
        <v>33</v>
      </c>
      <c r="C7" s="26">
        <f>流动汇总!E6</f>
        <v>0</v>
      </c>
      <c r="D7" s="26">
        <f t="shared" ref="D7:D17" si="2">E7-C7</f>
        <v>0</v>
      </c>
      <c r="E7" s="26">
        <f>流动汇总!F6</f>
        <v>0</v>
      </c>
      <c r="F7" s="26">
        <f>流动汇总!G6</f>
        <v>0</v>
      </c>
      <c r="G7" s="26">
        <f t="shared" ref="G7:G17" si="3">F7-E7</f>
        <v>0</v>
      </c>
      <c r="H7" s="26" t="str">
        <f t="shared" si="0"/>
        <v/>
      </c>
      <c r="I7" s="288">
        <f>资产负债表!D7</f>
        <v>0</v>
      </c>
      <c r="J7" s="286">
        <f t="shared" si="1"/>
        <v>0</v>
      </c>
    </row>
    <row r="8" ht="14.25" customHeight="1" spans="1:10">
      <c r="A8" s="23">
        <v>3</v>
      </c>
      <c r="B8" s="287" t="s">
        <v>41</v>
      </c>
      <c r="C8" s="26">
        <f>流动汇总!E7</f>
        <v>0</v>
      </c>
      <c r="D8" s="26">
        <f t="shared" si="2"/>
        <v>0</v>
      </c>
      <c r="E8" s="26">
        <f>流动汇总!F7</f>
        <v>0</v>
      </c>
      <c r="F8" s="26">
        <f>流动汇总!G7</f>
        <v>0</v>
      </c>
      <c r="G8" s="26">
        <f t="shared" si="3"/>
        <v>0</v>
      </c>
      <c r="H8" s="26" t="str">
        <f t="shared" si="0"/>
        <v/>
      </c>
      <c r="I8" s="288">
        <f>资产负债表!D8</f>
        <v>0</v>
      </c>
      <c r="J8" s="286">
        <f t="shared" si="1"/>
        <v>0</v>
      </c>
    </row>
    <row r="9" ht="14.25" customHeight="1" spans="1:10">
      <c r="A9" s="23">
        <v>4</v>
      </c>
      <c r="B9" s="287" t="s">
        <v>48</v>
      </c>
      <c r="C9" s="26">
        <f>流动汇总!E8</f>
        <v>0</v>
      </c>
      <c r="D9" s="26">
        <f t="shared" si="2"/>
        <v>0</v>
      </c>
      <c r="E9" s="26">
        <f>流动汇总!F8</f>
        <v>0</v>
      </c>
      <c r="F9" s="26">
        <f>流动汇总!G8</f>
        <v>0</v>
      </c>
      <c r="G9" s="26">
        <f t="shared" si="3"/>
        <v>0</v>
      </c>
      <c r="H9" s="26" t="str">
        <f t="shared" si="0"/>
        <v/>
      </c>
      <c r="I9" s="288">
        <f>资产负债表!D9</f>
        <v>0</v>
      </c>
      <c r="J9" s="286">
        <f t="shared" si="1"/>
        <v>0</v>
      </c>
    </row>
    <row r="10" ht="14.25" customHeight="1" spans="1:10">
      <c r="A10" s="23">
        <v>5</v>
      </c>
      <c r="B10" s="287" t="s">
        <v>50</v>
      </c>
      <c r="C10" s="26">
        <f>流动汇总!E9</f>
        <v>0</v>
      </c>
      <c r="D10" s="26">
        <f t="shared" si="2"/>
        <v>0</v>
      </c>
      <c r="E10" s="26">
        <f>流动汇总!F9</f>
        <v>0</v>
      </c>
      <c r="F10" s="26">
        <f>流动汇总!G9</f>
        <v>0</v>
      </c>
      <c r="G10" s="26">
        <f t="shared" si="3"/>
        <v>0</v>
      </c>
      <c r="H10" s="26" t="str">
        <f t="shared" si="0"/>
        <v/>
      </c>
      <c r="I10" s="288">
        <f>资产负债表!D10</f>
        <v>0</v>
      </c>
      <c r="J10" s="286">
        <f t="shared" si="1"/>
        <v>0</v>
      </c>
    </row>
    <row r="11" ht="14.25" customHeight="1" spans="1:10">
      <c r="A11" s="23">
        <v>6</v>
      </c>
      <c r="B11" s="287" t="s">
        <v>148</v>
      </c>
      <c r="C11" s="26">
        <f>流动汇总!E10</f>
        <v>0</v>
      </c>
      <c r="D11" s="26">
        <f t="shared" si="2"/>
        <v>0</v>
      </c>
      <c r="E11" s="26">
        <f>流动汇总!F10</f>
        <v>0</v>
      </c>
      <c r="F11" s="26">
        <f>流动汇总!G10</f>
        <v>0</v>
      </c>
      <c r="G11" s="26">
        <f t="shared" si="3"/>
        <v>0</v>
      </c>
      <c r="H11" s="26" t="str">
        <f t="shared" si="0"/>
        <v/>
      </c>
      <c r="I11" s="288">
        <f>资产负债表!D11</f>
        <v>0</v>
      </c>
      <c r="J11" s="286">
        <f t="shared" si="1"/>
        <v>0</v>
      </c>
    </row>
    <row r="12" ht="14.25" customHeight="1" spans="1:10">
      <c r="A12" s="23">
        <v>7</v>
      </c>
      <c r="B12" s="287" t="s">
        <v>54</v>
      </c>
      <c r="C12" s="26">
        <f>流动汇总!E11</f>
        <v>0</v>
      </c>
      <c r="D12" s="26">
        <f t="shared" si="2"/>
        <v>0</v>
      </c>
      <c r="E12" s="26">
        <f>流动汇总!F11</f>
        <v>0</v>
      </c>
      <c r="F12" s="26">
        <f>流动汇总!G11</f>
        <v>0</v>
      </c>
      <c r="G12" s="26">
        <f t="shared" si="3"/>
        <v>0</v>
      </c>
      <c r="H12" s="26" t="str">
        <f t="shared" si="0"/>
        <v/>
      </c>
      <c r="I12" s="288">
        <f>资产负债表!D12</f>
        <v>0</v>
      </c>
      <c r="J12" s="286">
        <f t="shared" si="1"/>
        <v>0</v>
      </c>
    </row>
    <row r="13" ht="14.25" customHeight="1" spans="1:10">
      <c r="A13" s="23">
        <v>8</v>
      </c>
      <c r="B13" s="287" t="s">
        <v>56</v>
      </c>
      <c r="C13" s="26">
        <f>流动汇总!E12</f>
        <v>0</v>
      </c>
      <c r="D13" s="26">
        <f t="shared" si="2"/>
        <v>0</v>
      </c>
      <c r="E13" s="26">
        <f>流动汇总!F12</f>
        <v>0</v>
      </c>
      <c r="F13" s="26">
        <f>流动汇总!G12</f>
        <v>0</v>
      </c>
      <c r="G13" s="26">
        <f t="shared" si="3"/>
        <v>0</v>
      </c>
      <c r="H13" s="26" t="str">
        <f t="shared" si="0"/>
        <v/>
      </c>
      <c r="I13" s="288">
        <f>资产负债表!D13</f>
        <v>0</v>
      </c>
      <c r="J13" s="286">
        <f t="shared" si="1"/>
        <v>0</v>
      </c>
    </row>
    <row r="14" ht="14.25" customHeight="1" spans="1:10">
      <c r="A14" s="23">
        <v>9</v>
      </c>
      <c r="B14" s="287" t="s">
        <v>58</v>
      </c>
      <c r="C14" s="26">
        <f>流动汇总!E13</f>
        <v>0</v>
      </c>
      <c r="D14" s="26">
        <f t="shared" si="2"/>
        <v>0</v>
      </c>
      <c r="E14" s="26">
        <f>流动汇总!F13</f>
        <v>0</v>
      </c>
      <c r="F14" s="26">
        <f>流动汇总!G13</f>
        <v>0</v>
      </c>
      <c r="G14" s="26">
        <f t="shared" si="3"/>
        <v>0</v>
      </c>
      <c r="H14" s="26" t="str">
        <f t="shared" si="0"/>
        <v/>
      </c>
      <c r="I14" s="288">
        <f>资产负债表!D14</f>
        <v>0</v>
      </c>
      <c r="J14" s="286">
        <f t="shared" si="1"/>
        <v>0</v>
      </c>
    </row>
    <row r="15" ht="14.25" customHeight="1" spans="1:10">
      <c r="A15" s="23">
        <v>10</v>
      </c>
      <c r="B15" s="287" t="s">
        <v>60</v>
      </c>
      <c r="C15" s="26">
        <f>流动汇总!E14</f>
        <v>0</v>
      </c>
      <c r="D15" s="26">
        <f t="shared" si="2"/>
        <v>0</v>
      </c>
      <c r="E15" s="26">
        <f>流动汇总!F14</f>
        <v>0</v>
      </c>
      <c r="F15" s="26">
        <f>流动汇总!G14</f>
        <v>0</v>
      </c>
      <c r="G15" s="26">
        <f t="shared" si="3"/>
        <v>0</v>
      </c>
      <c r="H15" s="26" t="str">
        <f t="shared" si="0"/>
        <v/>
      </c>
      <c r="I15" s="288">
        <f>资产负债表!D15</f>
        <v>0</v>
      </c>
      <c r="J15" s="286">
        <f t="shared" si="1"/>
        <v>0</v>
      </c>
    </row>
    <row r="16" ht="14.25" customHeight="1" spans="1:10">
      <c r="A16" s="23">
        <v>11</v>
      </c>
      <c r="B16" s="287" t="s">
        <v>150</v>
      </c>
      <c r="C16" s="26">
        <f>流动汇总!E15</f>
        <v>0</v>
      </c>
      <c r="D16" s="26">
        <f t="shared" si="2"/>
        <v>0</v>
      </c>
      <c r="E16" s="26">
        <f>流动汇总!F15</f>
        <v>0</v>
      </c>
      <c r="F16" s="26">
        <f>流动汇总!G15</f>
        <v>0</v>
      </c>
      <c r="G16" s="26">
        <f t="shared" si="3"/>
        <v>0</v>
      </c>
      <c r="H16" s="26" t="str">
        <f t="shared" si="0"/>
        <v/>
      </c>
      <c r="I16" s="288">
        <f>资产负债表!D16</f>
        <v>0</v>
      </c>
      <c r="J16" s="286">
        <f t="shared" si="1"/>
        <v>0</v>
      </c>
    </row>
    <row r="17" ht="14.25" customHeight="1" spans="1:10">
      <c r="A17" s="23">
        <v>12</v>
      </c>
      <c r="B17" s="287" t="s">
        <v>78</v>
      </c>
      <c r="C17" s="26">
        <f>流动汇总!E16</f>
        <v>0</v>
      </c>
      <c r="D17" s="26">
        <f t="shared" si="2"/>
        <v>0</v>
      </c>
      <c r="E17" s="26">
        <f>流动汇总!F16</f>
        <v>0</v>
      </c>
      <c r="F17" s="26">
        <f>流动汇总!G16</f>
        <v>0</v>
      </c>
      <c r="G17" s="26">
        <f t="shared" si="3"/>
        <v>0</v>
      </c>
      <c r="H17" s="26" t="str">
        <f t="shared" si="0"/>
        <v/>
      </c>
      <c r="I17" s="288">
        <f>资产负债表!D17</f>
        <v>0</v>
      </c>
      <c r="J17" s="286">
        <f t="shared" si="1"/>
        <v>0</v>
      </c>
    </row>
    <row r="18" ht="14.25" customHeight="1" spans="1:10">
      <c r="A18" s="23">
        <v>13</v>
      </c>
      <c r="B18" s="287"/>
      <c r="C18" s="26"/>
      <c r="D18" s="26"/>
      <c r="E18" s="26"/>
      <c r="F18" s="26"/>
      <c r="G18" s="26"/>
      <c r="H18" s="26" t="str">
        <f t="shared" si="0"/>
        <v/>
      </c>
      <c r="I18" s="288"/>
      <c r="J18" s="286">
        <f t="shared" si="1"/>
        <v>0</v>
      </c>
    </row>
    <row r="19" s="42" customFormat="1" ht="14.25" customHeight="1" spans="1:10">
      <c r="A19" s="283">
        <v>14</v>
      </c>
      <c r="B19" s="284" t="s">
        <v>219</v>
      </c>
      <c r="C19" s="285">
        <f>SUM(C20:C36)</f>
        <v>0</v>
      </c>
      <c r="D19" s="285">
        <f>SUM(D20:D36)</f>
        <v>0</v>
      </c>
      <c r="E19" s="285">
        <f>SUM(E20:E36)</f>
        <v>0</v>
      </c>
      <c r="F19" s="285">
        <f>SUM(F20:F36)</f>
        <v>0</v>
      </c>
      <c r="G19" s="285">
        <f>SUM(G20:G36)</f>
        <v>0</v>
      </c>
      <c r="H19" s="285" t="str">
        <f t="shared" si="0"/>
        <v/>
      </c>
      <c r="I19" s="286">
        <f>资产负债表!D37</f>
        <v>0</v>
      </c>
      <c r="J19" s="286">
        <f t="shared" si="1"/>
        <v>0</v>
      </c>
    </row>
    <row r="20" ht="14.25" customHeight="1" spans="1:10">
      <c r="A20" s="23">
        <v>15</v>
      </c>
      <c r="B20" s="287" t="s">
        <v>80</v>
      </c>
      <c r="C20" s="26">
        <f>非流动资产汇总!C6</f>
        <v>0</v>
      </c>
      <c r="D20" s="26">
        <f t="shared" ref="D20:D36" si="4">E20-C20</f>
        <v>0</v>
      </c>
      <c r="E20" s="26">
        <f>非流动资产汇总!D6</f>
        <v>0</v>
      </c>
      <c r="F20" s="26">
        <f>非流动资产汇总!E6</f>
        <v>0</v>
      </c>
      <c r="G20" s="26">
        <f t="shared" ref="G20:G36" si="5">F20-E20</f>
        <v>0</v>
      </c>
      <c r="H20" s="26" t="str">
        <f t="shared" si="0"/>
        <v/>
      </c>
      <c r="I20" s="288">
        <f>资产负债表!D20</f>
        <v>0</v>
      </c>
      <c r="J20" s="286">
        <f t="shared" si="1"/>
        <v>0</v>
      </c>
    </row>
    <row r="21" ht="14.25" customHeight="1" spans="1:10">
      <c r="A21" s="23">
        <v>16</v>
      </c>
      <c r="B21" s="287" t="s">
        <v>82</v>
      </c>
      <c r="C21" s="26">
        <f>非流动资产汇总!C7</f>
        <v>0</v>
      </c>
      <c r="D21" s="26">
        <f t="shared" si="4"/>
        <v>0</v>
      </c>
      <c r="E21" s="26">
        <f>非流动资产汇总!D7</f>
        <v>0</v>
      </c>
      <c r="F21" s="26">
        <f>非流动资产汇总!E7</f>
        <v>0</v>
      </c>
      <c r="G21" s="26">
        <f t="shared" si="5"/>
        <v>0</v>
      </c>
      <c r="H21" s="26" t="str">
        <f t="shared" si="0"/>
        <v/>
      </c>
      <c r="I21" s="288">
        <f>资产负债表!D21</f>
        <v>0</v>
      </c>
      <c r="J21" s="286">
        <f t="shared" si="1"/>
        <v>0</v>
      </c>
    </row>
    <row r="22" ht="14.25" customHeight="1" spans="1:10">
      <c r="A22" s="23">
        <v>17</v>
      </c>
      <c r="B22" s="287" t="s">
        <v>83</v>
      </c>
      <c r="C22" s="26">
        <f>非流动资产汇总!C8</f>
        <v>0</v>
      </c>
      <c r="D22" s="26">
        <f t="shared" si="4"/>
        <v>0</v>
      </c>
      <c r="E22" s="26">
        <f>非流动资产汇总!D8</f>
        <v>0</v>
      </c>
      <c r="F22" s="26">
        <f>非流动资产汇总!E8</f>
        <v>0</v>
      </c>
      <c r="G22" s="26">
        <f t="shared" si="5"/>
        <v>0</v>
      </c>
      <c r="H22" s="26" t="str">
        <f t="shared" si="0"/>
        <v/>
      </c>
      <c r="I22" s="288">
        <f>资产负债表!D22</f>
        <v>0</v>
      </c>
      <c r="J22" s="286">
        <f t="shared" si="1"/>
        <v>0</v>
      </c>
    </row>
    <row r="23" ht="14.25" customHeight="1" spans="1:10">
      <c r="A23" s="23">
        <v>18</v>
      </c>
      <c r="B23" s="287" t="s">
        <v>84</v>
      </c>
      <c r="C23" s="26">
        <f>非流动资产汇总!C9</f>
        <v>0</v>
      </c>
      <c r="D23" s="26">
        <f t="shared" si="4"/>
        <v>0</v>
      </c>
      <c r="E23" s="26">
        <f>非流动资产汇总!D9</f>
        <v>0</v>
      </c>
      <c r="F23" s="26">
        <f>非流动资产汇总!E9</f>
        <v>0</v>
      </c>
      <c r="G23" s="26">
        <f t="shared" si="5"/>
        <v>0</v>
      </c>
      <c r="H23" s="26" t="str">
        <f t="shared" si="0"/>
        <v/>
      </c>
      <c r="I23" s="288">
        <f>资产负债表!D23</f>
        <v>0</v>
      </c>
      <c r="J23" s="286">
        <f t="shared" si="1"/>
        <v>0</v>
      </c>
    </row>
    <row r="24" ht="14.25" customHeight="1" spans="1:10">
      <c r="A24" s="23">
        <v>19</v>
      </c>
      <c r="B24" s="287" t="s">
        <v>85</v>
      </c>
      <c r="C24" s="26">
        <f>非流动资产汇总!C10</f>
        <v>0</v>
      </c>
      <c r="D24" s="26">
        <f t="shared" si="4"/>
        <v>0</v>
      </c>
      <c r="E24" s="26">
        <f>非流动资产汇总!D10</f>
        <v>0</v>
      </c>
      <c r="F24" s="26">
        <f>非流动资产汇总!E10</f>
        <v>0</v>
      </c>
      <c r="G24" s="26">
        <f t="shared" si="5"/>
        <v>0</v>
      </c>
      <c r="H24" s="26" t="str">
        <f t="shared" si="0"/>
        <v/>
      </c>
      <c r="I24" s="288">
        <f>资产负债表!D24</f>
        <v>0</v>
      </c>
      <c r="J24" s="286">
        <f t="shared" si="1"/>
        <v>0</v>
      </c>
    </row>
    <row r="25" ht="14.25" customHeight="1" spans="1:10">
      <c r="A25" s="23">
        <v>20</v>
      </c>
      <c r="B25" s="287" t="s">
        <v>86</v>
      </c>
      <c r="C25" s="26">
        <f>非流动资产汇总!C11</f>
        <v>0</v>
      </c>
      <c r="D25" s="26">
        <f t="shared" si="4"/>
        <v>0</v>
      </c>
      <c r="E25" s="26">
        <f>非流动资产汇总!D11</f>
        <v>0</v>
      </c>
      <c r="F25" s="26">
        <f>非流动资产汇总!E11</f>
        <v>0</v>
      </c>
      <c r="G25" s="26">
        <f t="shared" si="5"/>
        <v>0</v>
      </c>
      <c r="H25" s="26" t="str">
        <f t="shared" si="0"/>
        <v/>
      </c>
      <c r="I25" s="288">
        <f>资产负债表!D25</f>
        <v>0</v>
      </c>
      <c r="J25" s="286">
        <f t="shared" si="1"/>
        <v>0</v>
      </c>
    </row>
    <row r="26" ht="14.25" customHeight="1" spans="1:10">
      <c r="A26" s="23">
        <v>21</v>
      </c>
      <c r="B26" s="287" t="s">
        <v>94</v>
      </c>
      <c r="C26" s="26">
        <f>非流动资产汇总!C12</f>
        <v>0</v>
      </c>
      <c r="D26" s="26">
        <f t="shared" si="4"/>
        <v>0</v>
      </c>
      <c r="E26" s="26">
        <f>非流动资产汇总!D12</f>
        <v>0</v>
      </c>
      <c r="F26" s="26">
        <f>非流动资产汇总!E12</f>
        <v>0</v>
      </c>
      <c r="G26" s="26">
        <f t="shared" si="5"/>
        <v>0</v>
      </c>
      <c r="H26" s="26" t="str">
        <f t="shared" si="0"/>
        <v/>
      </c>
      <c r="I26" s="288">
        <f>资产负债表!D26</f>
        <v>0</v>
      </c>
      <c r="J26" s="286">
        <f t="shared" si="1"/>
        <v>0</v>
      </c>
    </row>
    <row r="27" ht="14.25" customHeight="1" spans="1:10">
      <c r="A27" s="23">
        <v>22</v>
      </c>
      <c r="B27" s="287" t="s">
        <v>97</v>
      </c>
      <c r="C27" s="26">
        <f>非流动资产汇总!C13</f>
        <v>0</v>
      </c>
      <c r="D27" s="26">
        <f t="shared" si="4"/>
        <v>0</v>
      </c>
      <c r="E27" s="26">
        <f>非流动资产汇总!D13</f>
        <v>0</v>
      </c>
      <c r="F27" s="26">
        <f>非流动资产汇总!E13</f>
        <v>0</v>
      </c>
      <c r="G27" s="26">
        <f t="shared" si="5"/>
        <v>0</v>
      </c>
      <c r="H27" s="26" t="str">
        <f t="shared" si="0"/>
        <v/>
      </c>
      <c r="I27" s="288">
        <f>资产负债表!D27</f>
        <v>0</v>
      </c>
      <c r="J27" s="286">
        <f t="shared" si="1"/>
        <v>0</v>
      </c>
    </row>
    <row r="28" ht="14.25" customHeight="1" spans="1:10">
      <c r="A28" s="23">
        <v>23</v>
      </c>
      <c r="B28" s="287" t="s">
        <v>98</v>
      </c>
      <c r="C28" s="26">
        <f>非流动资产汇总!C14</f>
        <v>0</v>
      </c>
      <c r="D28" s="26">
        <f t="shared" si="4"/>
        <v>0</v>
      </c>
      <c r="E28" s="26">
        <f>非流动资产汇总!D14</f>
        <v>0</v>
      </c>
      <c r="F28" s="26">
        <f>非流动资产汇总!E14</f>
        <v>0</v>
      </c>
      <c r="G28" s="26">
        <f t="shared" si="5"/>
        <v>0</v>
      </c>
      <c r="H28" s="26" t="str">
        <f t="shared" si="0"/>
        <v/>
      </c>
      <c r="I28" s="288">
        <f>资产负债表!D28</f>
        <v>0</v>
      </c>
      <c r="J28" s="286">
        <f t="shared" si="1"/>
        <v>0</v>
      </c>
    </row>
    <row r="29" ht="14.25" customHeight="1" spans="1:10">
      <c r="A29" s="23">
        <v>24</v>
      </c>
      <c r="B29" s="287" t="s">
        <v>99</v>
      </c>
      <c r="C29" s="26">
        <f>非流动资产汇总!C15</f>
        <v>0</v>
      </c>
      <c r="D29" s="26">
        <f t="shared" si="4"/>
        <v>0</v>
      </c>
      <c r="E29" s="26">
        <f>非流动资产汇总!D15</f>
        <v>0</v>
      </c>
      <c r="F29" s="26">
        <f>非流动资产汇总!E15</f>
        <v>0</v>
      </c>
      <c r="G29" s="26">
        <f t="shared" si="5"/>
        <v>0</v>
      </c>
      <c r="H29" s="26" t="str">
        <f t="shared" si="0"/>
        <v/>
      </c>
      <c r="I29" s="288">
        <f>资产负债表!D29</f>
        <v>0</v>
      </c>
      <c r="J29" s="286">
        <f t="shared" si="1"/>
        <v>0</v>
      </c>
    </row>
    <row r="30" ht="14.25" customHeight="1" spans="1:10">
      <c r="A30" s="23">
        <v>25</v>
      </c>
      <c r="B30" s="287" t="s">
        <v>100</v>
      </c>
      <c r="C30" s="26">
        <f>非流动资产汇总!C16</f>
        <v>0</v>
      </c>
      <c r="D30" s="26">
        <f t="shared" si="4"/>
        <v>0</v>
      </c>
      <c r="E30" s="26">
        <f>非流动资产汇总!D16</f>
        <v>0</v>
      </c>
      <c r="F30" s="26">
        <f>非流动资产汇总!E16</f>
        <v>0</v>
      </c>
      <c r="G30" s="26">
        <f t="shared" si="5"/>
        <v>0</v>
      </c>
      <c r="H30" s="26" t="str">
        <f t="shared" si="0"/>
        <v/>
      </c>
      <c r="I30" s="288">
        <f>资产负债表!D30</f>
        <v>0</v>
      </c>
      <c r="J30" s="286">
        <f t="shared" si="1"/>
        <v>0</v>
      </c>
    </row>
    <row r="31" ht="14.25" customHeight="1" spans="1:10">
      <c r="A31" s="23">
        <v>26</v>
      </c>
      <c r="B31" s="287" t="s">
        <v>101</v>
      </c>
      <c r="C31" s="26">
        <f>非流动资产汇总!C18</f>
        <v>0</v>
      </c>
      <c r="D31" s="26">
        <f t="shared" si="4"/>
        <v>0</v>
      </c>
      <c r="E31" s="26">
        <f>非流动资产汇总!D18</f>
        <v>0</v>
      </c>
      <c r="F31" s="26">
        <f>非流动资产汇总!E18</f>
        <v>0</v>
      </c>
      <c r="G31" s="26">
        <f t="shared" si="5"/>
        <v>0</v>
      </c>
      <c r="H31" s="26" t="str">
        <f t="shared" si="0"/>
        <v/>
      </c>
      <c r="I31" s="288">
        <f>资产负债表!D31</f>
        <v>0</v>
      </c>
      <c r="J31" s="286">
        <f t="shared" si="1"/>
        <v>0</v>
      </c>
    </row>
    <row r="32" ht="14.25" customHeight="1" spans="1:10">
      <c r="A32" s="23">
        <v>27</v>
      </c>
      <c r="B32" s="287" t="s">
        <v>104</v>
      </c>
      <c r="C32" s="26">
        <f>非流动资产汇总!C19</f>
        <v>0</v>
      </c>
      <c r="D32" s="26">
        <f t="shared" si="4"/>
        <v>0</v>
      </c>
      <c r="E32" s="26">
        <f>非流动资产汇总!D19</f>
        <v>0</v>
      </c>
      <c r="F32" s="26">
        <f>非流动资产汇总!E19</f>
        <v>0</v>
      </c>
      <c r="G32" s="26">
        <f t="shared" si="5"/>
        <v>0</v>
      </c>
      <c r="H32" s="26" t="str">
        <f t="shared" si="0"/>
        <v/>
      </c>
      <c r="I32" s="288">
        <f>资产负债表!D32</f>
        <v>0</v>
      </c>
      <c r="J32" s="286">
        <f t="shared" si="1"/>
        <v>0</v>
      </c>
    </row>
    <row r="33" ht="14.25" customHeight="1" spans="1:10">
      <c r="A33" s="23">
        <v>28</v>
      </c>
      <c r="B33" s="287" t="s">
        <v>105</v>
      </c>
      <c r="C33" s="26">
        <f>非流动资产汇总!C20</f>
        <v>0</v>
      </c>
      <c r="D33" s="26">
        <f t="shared" si="4"/>
        <v>0</v>
      </c>
      <c r="E33" s="26">
        <f>非流动资产汇总!D20</f>
        <v>0</v>
      </c>
      <c r="F33" s="26">
        <f>非流动资产汇总!E20</f>
        <v>0</v>
      </c>
      <c r="G33" s="26">
        <f t="shared" si="5"/>
        <v>0</v>
      </c>
      <c r="H33" s="26" t="str">
        <f t="shared" si="0"/>
        <v/>
      </c>
      <c r="I33" s="288">
        <f>资产负债表!D33</f>
        <v>0</v>
      </c>
      <c r="J33" s="286">
        <f t="shared" si="1"/>
        <v>0</v>
      </c>
    </row>
    <row r="34" ht="14.25" customHeight="1" spans="1:10">
      <c r="A34" s="23">
        <v>29</v>
      </c>
      <c r="B34" s="287" t="s">
        <v>107</v>
      </c>
      <c r="C34" s="26">
        <f>非流动资产汇总!C21</f>
        <v>0</v>
      </c>
      <c r="D34" s="26">
        <f t="shared" si="4"/>
        <v>0</v>
      </c>
      <c r="E34" s="26">
        <f>非流动资产汇总!D21</f>
        <v>0</v>
      </c>
      <c r="F34" s="26">
        <f>非流动资产汇总!E21</f>
        <v>0</v>
      </c>
      <c r="G34" s="26">
        <f t="shared" si="5"/>
        <v>0</v>
      </c>
      <c r="H34" s="26" t="str">
        <f t="shared" si="0"/>
        <v/>
      </c>
      <c r="I34" s="288">
        <f>资产负债表!D34</f>
        <v>0</v>
      </c>
      <c r="J34" s="286">
        <f t="shared" si="1"/>
        <v>0</v>
      </c>
    </row>
    <row r="35" ht="14.25" customHeight="1" spans="1:10">
      <c r="A35" s="23">
        <v>30</v>
      </c>
      <c r="B35" s="287" t="s">
        <v>108</v>
      </c>
      <c r="C35" s="26">
        <f>非流动资产汇总!C22</f>
        <v>0</v>
      </c>
      <c r="D35" s="26">
        <f t="shared" si="4"/>
        <v>0</v>
      </c>
      <c r="E35" s="26">
        <f>非流动资产汇总!D22</f>
        <v>0</v>
      </c>
      <c r="F35" s="26">
        <f>非流动资产汇总!E22</f>
        <v>0</v>
      </c>
      <c r="G35" s="26">
        <f t="shared" si="5"/>
        <v>0</v>
      </c>
      <c r="H35" s="26" t="str">
        <f t="shared" si="0"/>
        <v/>
      </c>
      <c r="I35" s="288">
        <f>资产负债表!D35</f>
        <v>0</v>
      </c>
      <c r="J35" s="286">
        <f t="shared" si="1"/>
        <v>0</v>
      </c>
    </row>
    <row r="36" ht="14.25" customHeight="1" spans="1:10">
      <c r="A36" s="23">
        <v>31</v>
      </c>
      <c r="B36" s="287" t="s">
        <v>109</v>
      </c>
      <c r="C36" s="26">
        <f>非流动资产汇总!C23</f>
        <v>0</v>
      </c>
      <c r="D36" s="26">
        <f t="shared" si="4"/>
        <v>0</v>
      </c>
      <c r="E36" s="26">
        <f>非流动资产汇总!D23</f>
        <v>0</v>
      </c>
      <c r="F36" s="26">
        <f>非流动资产汇总!E23</f>
        <v>0</v>
      </c>
      <c r="G36" s="26">
        <f t="shared" si="5"/>
        <v>0</v>
      </c>
      <c r="H36" s="26" t="str">
        <f t="shared" si="0"/>
        <v/>
      </c>
      <c r="I36" s="288">
        <f>资产负债表!D36</f>
        <v>0</v>
      </c>
      <c r="J36" s="286">
        <f t="shared" si="1"/>
        <v>0</v>
      </c>
    </row>
    <row r="37" ht="14.25" customHeight="1" spans="1:10">
      <c r="A37" s="23">
        <v>32</v>
      </c>
      <c r="B37" s="287"/>
      <c r="C37" s="26"/>
      <c r="D37" s="26"/>
      <c r="E37" s="26"/>
      <c r="F37" s="26"/>
      <c r="G37" s="26"/>
      <c r="H37" s="26" t="str">
        <f t="shared" si="0"/>
        <v/>
      </c>
      <c r="I37" s="288"/>
      <c r="J37" s="286">
        <f t="shared" si="1"/>
        <v>0</v>
      </c>
    </row>
    <row r="38" s="42" customFormat="1" ht="14.25" customHeight="1" spans="1:10">
      <c r="A38" s="283">
        <v>33</v>
      </c>
      <c r="B38" s="289" t="s">
        <v>220</v>
      </c>
      <c r="C38" s="285">
        <f>SUM(C6,C19)</f>
        <v>0</v>
      </c>
      <c r="D38" s="285">
        <f>SUM(D6,D19)</f>
        <v>0</v>
      </c>
      <c r="E38" s="285">
        <f>SUM(E6,E19)</f>
        <v>0</v>
      </c>
      <c r="F38" s="285">
        <f>SUM(F6,F19)</f>
        <v>0</v>
      </c>
      <c r="G38" s="285">
        <f>SUM(G6,G19)</f>
        <v>0</v>
      </c>
      <c r="H38" s="285" t="str">
        <f t="shared" si="0"/>
        <v/>
      </c>
      <c r="I38" s="286">
        <f>资产负债表!D38</f>
        <v>0</v>
      </c>
      <c r="J38" s="286">
        <f t="shared" si="1"/>
        <v>0</v>
      </c>
    </row>
    <row r="39" s="42" customFormat="1" ht="14.25" customHeight="1" spans="1:10">
      <c r="A39" s="283">
        <v>35</v>
      </c>
      <c r="B39" s="289" t="s">
        <v>221</v>
      </c>
      <c r="C39" s="285">
        <f>SUM(C40:C51)</f>
        <v>0</v>
      </c>
      <c r="D39" s="285">
        <f>SUM(D40:D51)</f>
        <v>0</v>
      </c>
      <c r="E39" s="285">
        <f>SUM(E40:E51)</f>
        <v>0</v>
      </c>
      <c r="F39" s="285">
        <f>SUM(F40:F51)</f>
        <v>0</v>
      </c>
      <c r="G39" s="285">
        <f>SUM(G40:G51)</f>
        <v>0</v>
      </c>
      <c r="H39" s="285" t="str">
        <f t="shared" si="0"/>
        <v/>
      </c>
      <c r="I39" s="286">
        <f>资产负债表!I19</f>
        <v>0</v>
      </c>
      <c r="J39" s="286">
        <f t="shared" si="1"/>
        <v>0</v>
      </c>
    </row>
    <row r="40" ht="14.25" customHeight="1" spans="1:10">
      <c r="A40" s="23">
        <v>36</v>
      </c>
      <c r="B40" s="287" t="s">
        <v>36</v>
      </c>
      <c r="C40" s="26">
        <f>流动负债汇总!C6</f>
        <v>0</v>
      </c>
      <c r="D40" s="26">
        <f t="shared" ref="D40:D51" si="6">E40-C40</f>
        <v>0</v>
      </c>
      <c r="E40" s="26">
        <f>流动负债汇总!D6</f>
        <v>0</v>
      </c>
      <c r="F40" s="26">
        <f>流动负债汇总!E6</f>
        <v>0</v>
      </c>
      <c r="G40" s="26">
        <f t="shared" ref="G40:G51" si="7">F40-E40</f>
        <v>0</v>
      </c>
      <c r="H40" s="26" t="str">
        <f t="shared" si="0"/>
        <v/>
      </c>
      <c r="I40" s="288">
        <f>资产负债表!I7</f>
        <v>0</v>
      </c>
      <c r="J40" s="286">
        <f t="shared" si="1"/>
        <v>0</v>
      </c>
    </row>
    <row r="41" ht="14.25" customHeight="1" spans="1:10">
      <c r="A41" s="23">
        <v>37</v>
      </c>
      <c r="B41" s="287" t="s">
        <v>38</v>
      </c>
      <c r="C41" s="26">
        <f>流动负债汇总!C7</f>
        <v>0</v>
      </c>
      <c r="D41" s="26">
        <f t="shared" si="6"/>
        <v>0</v>
      </c>
      <c r="E41" s="26">
        <f>流动负债汇总!D7</f>
        <v>0</v>
      </c>
      <c r="F41" s="26">
        <f>流动负债汇总!E7</f>
        <v>0</v>
      </c>
      <c r="G41" s="26">
        <f t="shared" si="7"/>
        <v>0</v>
      </c>
      <c r="H41" s="26" t="str">
        <f t="shared" si="0"/>
        <v/>
      </c>
      <c r="I41" s="288">
        <f>资产负债表!I8</f>
        <v>0</v>
      </c>
      <c r="J41" s="286">
        <f t="shared" si="1"/>
        <v>0</v>
      </c>
    </row>
    <row r="42" ht="14.25" customHeight="1" spans="1:10">
      <c r="A42" s="23">
        <v>38</v>
      </c>
      <c r="B42" s="287" t="s">
        <v>40</v>
      </c>
      <c r="C42" s="26">
        <f>流动负债汇总!C8</f>
        <v>0</v>
      </c>
      <c r="D42" s="26">
        <f t="shared" si="6"/>
        <v>0</v>
      </c>
      <c r="E42" s="26">
        <f>流动负债汇总!D8</f>
        <v>0</v>
      </c>
      <c r="F42" s="26">
        <f>流动负债汇总!E8</f>
        <v>0</v>
      </c>
      <c r="G42" s="26">
        <f t="shared" si="7"/>
        <v>0</v>
      </c>
      <c r="H42" s="26" t="str">
        <f t="shared" si="0"/>
        <v/>
      </c>
      <c r="I42" s="288">
        <f>资产负债表!I9</f>
        <v>0</v>
      </c>
      <c r="J42" s="286">
        <f t="shared" si="1"/>
        <v>0</v>
      </c>
    </row>
    <row r="43" ht="14.25" customHeight="1" spans="1:10">
      <c r="A43" s="23">
        <v>39</v>
      </c>
      <c r="B43" s="287" t="s">
        <v>43</v>
      </c>
      <c r="C43" s="26">
        <f>流动负债汇总!C9</f>
        <v>0</v>
      </c>
      <c r="D43" s="26">
        <f t="shared" si="6"/>
        <v>0</v>
      </c>
      <c r="E43" s="26">
        <f>流动负债汇总!D9</f>
        <v>0</v>
      </c>
      <c r="F43" s="26">
        <f>流动负债汇总!E9</f>
        <v>0</v>
      </c>
      <c r="G43" s="26">
        <f t="shared" si="7"/>
        <v>0</v>
      </c>
      <c r="H43" s="26" t="str">
        <f t="shared" si="0"/>
        <v/>
      </c>
      <c r="I43" s="288">
        <f>资产负债表!I10</f>
        <v>0</v>
      </c>
      <c r="J43" s="286">
        <f t="shared" si="1"/>
        <v>0</v>
      </c>
    </row>
    <row r="44" ht="14.25" customHeight="1" spans="1:10">
      <c r="A44" s="23">
        <v>40</v>
      </c>
      <c r="B44" s="287" t="s">
        <v>45</v>
      </c>
      <c r="C44" s="26">
        <f>流动负债汇总!C10</f>
        <v>0</v>
      </c>
      <c r="D44" s="26">
        <f t="shared" si="6"/>
        <v>0</v>
      </c>
      <c r="E44" s="26">
        <f>流动负债汇总!D10</f>
        <v>0</v>
      </c>
      <c r="F44" s="26">
        <f>流动负债汇总!E10</f>
        <v>0</v>
      </c>
      <c r="G44" s="26">
        <f t="shared" si="7"/>
        <v>0</v>
      </c>
      <c r="H44" s="26" t="str">
        <f t="shared" si="0"/>
        <v/>
      </c>
      <c r="I44" s="288">
        <f>资产负债表!I11</f>
        <v>0</v>
      </c>
      <c r="J44" s="286">
        <f t="shared" si="1"/>
        <v>0</v>
      </c>
    </row>
    <row r="45" ht="14.25" customHeight="1" spans="1:10">
      <c r="A45" s="23">
        <v>41</v>
      </c>
      <c r="B45" s="287" t="s">
        <v>47</v>
      </c>
      <c r="C45" s="26">
        <f>流动负债汇总!C11</f>
        <v>0</v>
      </c>
      <c r="D45" s="26">
        <f t="shared" si="6"/>
        <v>0</v>
      </c>
      <c r="E45" s="26">
        <f>流动负债汇总!D11</f>
        <v>0</v>
      </c>
      <c r="F45" s="26">
        <f>流动负债汇总!E11</f>
        <v>0</v>
      </c>
      <c r="G45" s="26">
        <f t="shared" si="7"/>
        <v>0</v>
      </c>
      <c r="H45" s="26" t="str">
        <f t="shared" si="0"/>
        <v/>
      </c>
      <c r="I45" s="288">
        <f>资产负债表!I12</f>
        <v>0</v>
      </c>
      <c r="J45" s="286">
        <f t="shared" si="1"/>
        <v>0</v>
      </c>
    </row>
    <row r="46" ht="14.25" customHeight="1" spans="1:10">
      <c r="A46" s="23">
        <v>42</v>
      </c>
      <c r="B46" s="287" t="s">
        <v>49</v>
      </c>
      <c r="C46" s="26">
        <f>流动负债汇总!C12</f>
        <v>0</v>
      </c>
      <c r="D46" s="26">
        <f t="shared" si="6"/>
        <v>0</v>
      </c>
      <c r="E46" s="26">
        <f>流动负债汇总!D12</f>
        <v>0</v>
      </c>
      <c r="F46" s="26">
        <f>流动负债汇总!E12</f>
        <v>0</v>
      </c>
      <c r="G46" s="26">
        <f t="shared" si="7"/>
        <v>0</v>
      </c>
      <c r="H46" s="26" t="str">
        <f t="shared" si="0"/>
        <v/>
      </c>
      <c r="I46" s="288">
        <f>资产负债表!I13</f>
        <v>0</v>
      </c>
      <c r="J46" s="286">
        <f t="shared" si="1"/>
        <v>0</v>
      </c>
    </row>
    <row r="47" ht="14.25" customHeight="1" spans="1:10">
      <c r="A47" s="23">
        <v>43</v>
      </c>
      <c r="B47" s="287" t="s">
        <v>51</v>
      </c>
      <c r="C47" s="26">
        <f>流动负债汇总!C13</f>
        <v>0</v>
      </c>
      <c r="D47" s="26">
        <f t="shared" si="6"/>
        <v>0</v>
      </c>
      <c r="E47" s="26">
        <f>流动负债汇总!D13</f>
        <v>0</v>
      </c>
      <c r="F47" s="26">
        <f>流动负债汇总!E13</f>
        <v>0</v>
      </c>
      <c r="G47" s="26">
        <f t="shared" si="7"/>
        <v>0</v>
      </c>
      <c r="H47" s="26" t="str">
        <f t="shared" si="0"/>
        <v/>
      </c>
      <c r="I47" s="288">
        <f>资产负债表!I14</f>
        <v>0</v>
      </c>
      <c r="J47" s="286">
        <f t="shared" si="1"/>
        <v>0</v>
      </c>
    </row>
    <row r="48" ht="14.25" customHeight="1" spans="1:10">
      <c r="A48" s="23">
        <v>44</v>
      </c>
      <c r="B48" s="287" t="s">
        <v>149</v>
      </c>
      <c r="C48" s="26">
        <f>流动负债汇总!C14</f>
        <v>0</v>
      </c>
      <c r="D48" s="26">
        <f t="shared" si="6"/>
        <v>0</v>
      </c>
      <c r="E48" s="26">
        <f>流动负债汇总!D14</f>
        <v>0</v>
      </c>
      <c r="F48" s="26">
        <f>流动负债汇总!E14</f>
        <v>0</v>
      </c>
      <c r="G48" s="26">
        <f t="shared" si="7"/>
        <v>0</v>
      </c>
      <c r="H48" s="26" t="str">
        <f t="shared" si="0"/>
        <v/>
      </c>
      <c r="I48" s="288">
        <f>资产负债表!I15</f>
        <v>0</v>
      </c>
      <c r="J48" s="286">
        <f t="shared" si="1"/>
        <v>0</v>
      </c>
    </row>
    <row r="49" ht="14.25" customHeight="1" spans="1:10">
      <c r="A49" s="23">
        <v>45</v>
      </c>
      <c r="B49" s="287" t="s">
        <v>55</v>
      </c>
      <c r="C49" s="26">
        <f>流动负债汇总!C15</f>
        <v>0</v>
      </c>
      <c r="D49" s="26">
        <f t="shared" si="6"/>
        <v>0</v>
      </c>
      <c r="E49" s="26">
        <f>流动负债汇总!D15</f>
        <v>0</v>
      </c>
      <c r="F49" s="26">
        <f>流动负债汇总!E15</f>
        <v>0</v>
      </c>
      <c r="G49" s="26">
        <f t="shared" si="7"/>
        <v>0</v>
      </c>
      <c r="H49" s="26" t="str">
        <f t="shared" si="0"/>
        <v/>
      </c>
      <c r="I49" s="288">
        <f>资产负债表!I16</f>
        <v>0</v>
      </c>
      <c r="J49" s="286">
        <f t="shared" si="1"/>
        <v>0</v>
      </c>
    </row>
    <row r="50" ht="14.25" customHeight="1" spans="1:10">
      <c r="A50" s="23">
        <v>46</v>
      </c>
      <c r="B50" s="287" t="s">
        <v>57</v>
      </c>
      <c r="C50" s="26">
        <f>流动负债汇总!C16</f>
        <v>0</v>
      </c>
      <c r="D50" s="26">
        <f t="shared" si="6"/>
        <v>0</v>
      </c>
      <c r="E50" s="26">
        <f>流动负债汇总!D16</f>
        <v>0</v>
      </c>
      <c r="F50" s="26">
        <f>流动负债汇总!E16</f>
        <v>0</v>
      </c>
      <c r="G50" s="26">
        <f t="shared" si="7"/>
        <v>0</v>
      </c>
      <c r="H50" s="26" t="str">
        <f t="shared" si="0"/>
        <v/>
      </c>
      <c r="I50" s="288">
        <f>资产负债表!I17</f>
        <v>0</v>
      </c>
      <c r="J50" s="286">
        <f t="shared" si="1"/>
        <v>0</v>
      </c>
    </row>
    <row r="51" ht="14.25" customHeight="1" spans="1:10">
      <c r="A51" s="23">
        <v>47</v>
      </c>
      <c r="B51" s="287" t="s">
        <v>59</v>
      </c>
      <c r="C51" s="26">
        <f>流动负债汇总!C17</f>
        <v>0</v>
      </c>
      <c r="D51" s="26">
        <f t="shared" si="6"/>
        <v>0</v>
      </c>
      <c r="E51" s="26">
        <f>流动负债汇总!D17</f>
        <v>0</v>
      </c>
      <c r="F51" s="26">
        <f>流动负债汇总!E17</f>
        <v>0</v>
      </c>
      <c r="G51" s="26">
        <f t="shared" si="7"/>
        <v>0</v>
      </c>
      <c r="H51" s="26" t="str">
        <f t="shared" si="0"/>
        <v/>
      </c>
      <c r="I51" s="288">
        <f>资产负债表!I18</f>
        <v>0</v>
      </c>
      <c r="J51" s="286">
        <f t="shared" si="1"/>
        <v>0</v>
      </c>
    </row>
    <row r="52" ht="14.25" customHeight="1" spans="1:10">
      <c r="A52" s="23">
        <v>48</v>
      </c>
      <c r="B52" s="280"/>
      <c r="C52" s="26"/>
      <c r="D52" s="26"/>
      <c r="E52" s="26"/>
      <c r="F52" s="26"/>
      <c r="G52" s="26"/>
      <c r="H52" s="26" t="str">
        <f t="shared" si="0"/>
        <v/>
      </c>
      <c r="I52" s="288"/>
      <c r="J52" s="286">
        <f t="shared" si="1"/>
        <v>0</v>
      </c>
    </row>
    <row r="53" s="42" customFormat="1" ht="14.25" customHeight="1" spans="1:10">
      <c r="A53" s="283">
        <v>49</v>
      </c>
      <c r="B53" s="289" t="s">
        <v>222</v>
      </c>
      <c r="C53" s="285">
        <f>SUM(C54:C60)</f>
        <v>0</v>
      </c>
      <c r="D53" s="285">
        <f>SUM(D54:D60)</f>
        <v>0</v>
      </c>
      <c r="E53" s="285">
        <f>SUM(E54:E60)</f>
        <v>0</v>
      </c>
      <c r="F53" s="285">
        <f>SUM(F54:F60)</f>
        <v>0</v>
      </c>
      <c r="G53" s="285">
        <f>SUM(G54:G60)</f>
        <v>0</v>
      </c>
      <c r="H53" s="285" t="str">
        <f t="shared" si="0"/>
        <v/>
      </c>
      <c r="I53" s="286">
        <f>资产负债表!I28</f>
        <v>0</v>
      </c>
      <c r="J53" s="286">
        <f t="shared" si="1"/>
        <v>0</v>
      </c>
    </row>
    <row r="54" ht="14.25" customHeight="1" spans="1:10">
      <c r="A54" s="23">
        <v>50</v>
      </c>
      <c r="B54" s="287" t="s">
        <v>65</v>
      </c>
      <c r="C54" s="26">
        <f>'非流动负债汇总 '!C6</f>
        <v>0</v>
      </c>
      <c r="D54" s="26">
        <f t="shared" ref="D54:D60" si="8">E54-C54</f>
        <v>0</v>
      </c>
      <c r="E54" s="26">
        <f>'非流动负债汇总 '!D6</f>
        <v>0</v>
      </c>
      <c r="F54" s="26">
        <f>'非流动负债汇总 '!E6</f>
        <v>0</v>
      </c>
      <c r="G54" s="26">
        <f t="shared" ref="G54:G60" si="9">F54-E54</f>
        <v>0</v>
      </c>
      <c r="H54" s="26" t="str">
        <f t="shared" si="0"/>
        <v/>
      </c>
      <c r="I54" s="288">
        <f>资产负债表!I21</f>
        <v>0</v>
      </c>
      <c r="J54" s="286">
        <f t="shared" si="1"/>
        <v>0</v>
      </c>
    </row>
    <row r="55" ht="14.25" customHeight="1" spans="1:10">
      <c r="A55" s="23">
        <v>51</v>
      </c>
      <c r="B55" s="287" t="s">
        <v>67</v>
      </c>
      <c r="C55" s="26">
        <f>'非流动负债汇总 '!C7</f>
        <v>0</v>
      </c>
      <c r="D55" s="26">
        <f t="shared" si="8"/>
        <v>0</v>
      </c>
      <c r="E55" s="26">
        <f>'非流动负债汇总 '!D7</f>
        <v>0</v>
      </c>
      <c r="F55" s="26">
        <f>'非流动负债汇总 '!E7</f>
        <v>0</v>
      </c>
      <c r="G55" s="26">
        <f t="shared" si="9"/>
        <v>0</v>
      </c>
      <c r="H55" s="26" t="str">
        <f t="shared" si="0"/>
        <v/>
      </c>
      <c r="I55" s="288">
        <f>资产负债表!I22</f>
        <v>0</v>
      </c>
      <c r="J55" s="286">
        <f t="shared" si="1"/>
        <v>0</v>
      </c>
    </row>
    <row r="56" ht="14.25" customHeight="1" spans="1:10">
      <c r="A56" s="23">
        <v>52</v>
      </c>
      <c r="B56" s="287" t="s">
        <v>69</v>
      </c>
      <c r="C56" s="26">
        <f>'非流动负债汇总 '!C8</f>
        <v>0</v>
      </c>
      <c r="D56" s="26">
        <f t="shared" si="8"/>
        <v>0</v>
      </c>
      <c r="E56" s="26">
        <f>'非流动负债汇总 '!D8</f>
        <v>0</v>
      </c>
      <c r="F56" s="26">
        <f>'非流动负债汇总 '!E8</f>
        <v>0</v>
      </c>
      <c r="G56" s="26">
        <f t="shared" si="9"/>
        <v>0</v>
      </c>
      <c r="H56" s="26" t="str">
        <f t="shared" si="0"/>
        <v/>
      </c>
      <c r="I56" s="288">
        <f>资产负债表!I23</f>
        <v>0</v>
      </c>
      <c r="J56" s="286">
        <f t="shared" si="1"/>
        <v>0</v>
      </c>
    </row>
    <row r="57" ht="14.25" customHeight="1" spans="1:10">
      <c r="A57" s="23">
        <v>53</v>
      </c>
      <c r="B57" s="287" t="s">
        <v>71</v>
      </c>
      <c r="C57" s="26">
        <f>'非流动负债汇总 '!C10</f>
        <v>0</v>
      </c>
      <c r="D57" s="26">
        <f t="shared" si="8"/>
        <v>0</v>
      </c>
      <c r="E57" s="26">
        <f>'非流动负债汇总 '!D10</f>
        <v>0</v>
      </c>
      <c r="F57" s="26">
        <f>'非流动负债汇总 '!E10</f>
        <v>0</v>
      </c>
      <c r="G57" s="26">
        <f t="shared" si="9"/>
        <v>0</v>
      </c>
      <c r="H57" s="26" t="str">
        <f t="shared" si="0"/>
        <v/>
      </c>
      <c r="I57" s="288">
        <f>资产负债表!I24</f>
        <v>0</v>
      </c>
      <c r="J57" s="286">
        <f t="shared" si="1"/>
        <v>0</v>
      </c>
    </row>
    <row r="58" ht="14.25" customHeight="1" spans="1:10">
      <c r="A58" s="23">
        <v>54</v>
      </c>
      <c r="B58" s="287" t="s">
        <v>73</v>
      </c>
      <c r="C58" s="26">
        <f>'非流动负债汇总 '!C11</f>
        <v>0</v>
      </c>
      <c r="D58" s="26">
        <f t="shared" si="8"/>
        <v>0</v>
      </c>
      <c r="E58" s="26">
        <f>'非流动负债汇总 '!D11</f>
        <v>0</v>
      </c>
      <c r="F58" s="26">
        <f>'非流动负债汇总 '!E11</f>
        <v>0</v>
      </c>
      <c r="G58" s="26">
        <f t="shared" si="9"/>
        <v>0</v>
      </c>
      <c r="H58" s="26" t="str">
        <f t="shared" si="0"/>
        <v/>
      </c>
      <c r="I58" s="288">
        <f>资产负债表!I25</f>
        <v>0</v>
      </c>
      <c r="J58" s="286">
        <f t="shared" si="1"/>
        <v>0</v>
      </c>
    </row>
    <row r="59" ht="14.25" customHeight="1" spans="1:10">
      <c r="A59" s="23">
        <v>55</v>
      </c>
      <c r="B59" s="287" t="s">
        <v>75</v>
      </c>
      <c r="C59" s="26">
        <f>'非流动负债汇总 '!C12</f>
        <v>0</v>
      </c>
      <c r="D59" s="26">
        <f t="shared" si="8"/>
        <v>0</v>
      </c>
      <c r="E59" s="26">
        <f>'非流动负债汇总 '!D12</f>
        <v>0</v>
      </c>
      <c r="F59" s="26">
        <f>'非流动负债汇总 '!E12</f>
        <v>0</v>
      </c>
      <c r="G59" s="26">
        <f t="shared" si="9"/>
        <v>0</v>
      </c>
      <c r="H59" s="26" t="str">
        <f t="shared" si="0"/>
        <v/>
      </c>
      <c r="I59" s="288">
        <f>资产负债表!I26</f>
        <v>0</v>
      </c>
      <c r="J59" s="286">
        <f t="shared" si="1"/>
        <v>0</v>
      </c>
    </row>
    <row r="60" ht="14.25" customHeight="1" spans="1:10">
      <c r="A60" s="23">
        <v>56</v>
      </c>
      <c r="B60" s="287" t="s">
        <v>77</v>
      </c>
      <c r="C60" s="26">
        <f>'非流动负债汇总 '!C13</f>
        <v>0</v>
      </c>
      <c r="D60" s="26">
        <f t="shared" si="8"/>
        <v>0</v>
      </c>
      <c r="E60" s="26">
        <f>'非流动负债汇总 '!D13</f>
        <v>0</v>
      </c>
      <c r="F60" s="26">
        <f>'非流动负债汇总 '!E13</f>
        <v>0</v>
      </c>
      <c r="G60" s="26">
        <f t="shared" si="9"/>
        <v>0</v>
      </c>
      <c r="H60" s="26" t="str">
        <f t="shared" si="0"/>
        <v/>
      </c>
      <c r="I60" s="288">
        <f>资产负债表!I27</f>
        <v>0</v>
      </c>
      <c r="J60" s="286">
        <f t="shared" si="1"/>
        <v>0</v>
      </c>
    </row>
    <row r="61" ht="14.25" customHeight="1" spans="1:10">
      <c r="A61" s="23">
        <v>57</v>
      </c>
      <c r="B61" s="280"/>
      <c r="C61" s="26"/>
      <c r="D61" s="26"/>
      <c r="E61" s="26"/>
      <c r="F61" s="26"/>
      <c r="G61" s="26"/>
      <c r="H61" s="26" t="str">
        <f t="shared" si="0"/>
        <v/>
      </c>
      <c r="I61" s="288"/>
      <c r="J61" s="286">
        <f t="shared" si="1"/>
        <v>0</v>
      </c>
    </row>
    <row r="62" s="42" customFormat="1" ht="14.25" customHeight="1" spans="1:10">
      <c r="A62" s="283">
        <v>58</v>
      </c>
      <c r="B62" s="289" t="s">
        <v>223</v>
      </c>
      <c r="C62" s="285">
        <f>SUM(C39,C53)</f>
        <v>0</v>
      </c>
      <c r="D62" s="285">
        <f>SUM(D39,D53)</f>
        <v>0</v>
      </c>
      <c r="E62" s="285">
        <f>SUM(E39,E53)</f>
        <v>0</v>
      </c>
      <c r="F62" s="285">
        <f>SUM(F39,F53)</f>
        <v>0</v>
      </c>
      <c r="G62" s="285">
        <f>SUM(G39,G53)</f>
        <v>0</v>
      </c>
      <c r="H62" s="285" t="str">
        <f t="shared" si="0"/>
        <v/>
      </c>
      <c r="I62" s="286">
        <f>资产负债表!I29</f>
        <v>0</v>
      </c>
      <c r="J62" s="286">
        <f t="shared" si="1"/>
        <v>0</v>
      </c>
    </row>
    <row r="63" ht="14.25" customHeight="1" spans="1:10">
      <c r="A63" s="23">
        <v>59</v>
      </c>
      <c r="B63" s="280"/>
      <c r="C63" s="26"/>
      <c r="D63" s="26"/>
      <c r="E63" s="26"/>
      <c r="F63" s="26"/>
      <c r="G63" s="26"/>
      <c r="H63" s="26" t="str">
        <f t="shared" si="0"/>
        <v/>
      </c>
      <c r="I63" s="288"/>
      <c r="J63" s="286">
        <f t="shared" si="1"/>
        <v>0</v>
      </c>
    </row>
    <row r="64" s="42" customFormat="1" ht="14.25" customHeight="1" spans="1:10">
      <c r="A64" s="283">
        <v>60</v>
      </c>
      <c r="B64" s="289" t="s">
        <v>224</v>
      </c>
      <c r="C64" s="285">
        <f>C38-C62</f>
        <v>0</v>
      </c>
      <c r="D64" s="285">
        <f>D38-D62</f>
        <v>0</v>
      </c>
      <c r="E64" s="285">
        <f>E38-E62</f>
        <v>0</v>
      </c>
      <c r="F64" s="285">
        <f>F38-F62</f>
        <v>0</v>
      </c>
      <c r="G64" s="285">
        <f>G38-G62</f>
        <v>0</v>
      </c>
      <c r="H64" s="285" t="str">
        <f t="shared" si="0"/>
        <v/>
      </c>
      <c r="I64" s="286">
        <f>资产负债表!I36</f>
        <v>0</v>
      </c>
      <c r="J64" s="286">
        <f t="shared" si="1"/>
        <v>0</v>
      </c>
    </row>
    <row r="65" s="281" customFormat="1" ht="27.75" customHeight="1" spans="1:10">
      <c r="F65" s="290" t="s">
        <v>209</v>
      </c>
    </row>
    <row r="66" ht="15.5" customHeight="1"/>
    <row r="67" ht="15.5" customHeight="1" spans="1:10">
      <c r="B67" s="291" t="s">
        <v>225</v>
      </c>
      <c r="E67" s="292">
        <f>SUM(E15,E24,E25,E26,E27,E29,E30,-固定资产汇总!F19)/10000</f>
        <v>0</v>
      </c>
    </row>
    <row r="68" ht="15.5" customHeight="1" spans="1:10">
      <c r="B68" s="291" t="s">
        <v>226</v>
      </c>
      <c r="E68" s="293" t="e">
        <f>E67*10000/E38*100</f>
        <v>#DIV/0!</v>
      </c>
    </row>
    <row r="69" ht="15.5" customHeight="1"/>
    <row r="70" ht="15.5" customHeight="1"/>
    <row r="71" ht="15.5" customHeight="1" spans="1:10">
      <c r="A71" s="42" t="s">
        <v>227</v>
      </c>
    </row>
    <row r="72" s="12" customFormat="1" ht="14.25" customHeight="1" spans="1:10">
      <c r="A72" s="23" t="s">
        <v>141</v>
      </c>
      <c r="B72" s="275" t="s">
        <v>212</v>
      </c>
      <c r="C72" s="23" t="s">
        <v>175</v>
      </c>
      <c r="D72" s="23" t="s">
        <v>213</v>
      </c>
      <c r="E72" s="23" t="s">
        <v>176</v>
      </c>
      <c r="F72" s="23" t="s">
        <v>177</v>
      </c>
      <c r="G72" s="23" t="s">
        <v>214</v>
      </c>
      <c r="H72" s="23" t="s">
        <v>215</v>
      </c>
      <c r="I72" s="61" t="s">
        <v>216</v>
      </c>
      <c r="J72" s="61" t="s">
        <v>217</v>
      </c>
    </row>
    <row r="73" ht="14.25" customHeight="1" spans="1:10">
      <c r="A73" s="23" t="s">
        <v>228</v>
      </c>
      <c r="B73" s="294" t="s">
        <v>229</v>
      </c>
      <c r="C73" s="26">
        <f>SUM(C74:C76)</f>
        <v>0</v>
      </c>
      <c r="D73" s="26">
        <f>SUM(D74:D76)</f>
        <v>0</v>
      </c>
      <c r="E73" s="26">
        <f>SUM(E74:E76)</f>
        <v>0</v>
      </c>
      <c r="F73" s="26">
        <f>SUM(F74:F76)</f>
        <v>0</v>
      </c>
      <c r="G73" s="26">
        <f>SUM(G74:G76)</f>
        <v>0</v>
      </c>
      <c r="H73" s="26" t="str">
        <f t="shared" ref="H73:H91" si="10">IF(E73=0,"",G73/E73*100)</f>
        <v/>
      </c>
      <c r="I73" s="288">
        <f>SUM(I74:I76)</f>
        <v>0</v>
      </c>
      <c r="J73" s="288">
        <f>SUM(J74:J76)</f>
        <v>0</v>
      </c>
    </row>
    <row r="74" ht="14.25" customHeight="1" spans="1:10">
      <c r="A74" s="23">
        <v>1</v>
      </c>
      <c r="B74" s="287" t="s">
        <v>230</v>
      </c>
      <c r="C74" s="26">
        <f>应收账款!F25</f>
        <v>0</v>
      </c>
      <c r="D74" s="26">
        <f t="shared" ref="D74:D90" si="11">E74-C74</f>
        <v>0</v>
      </c>
      <c r="E74" s="26">
        <f>应收账款!P25</f>
        <v>0</v>
      </c>
      <c r="F74" s="26">
        <f>应收账款!Q25</f>
        <v>0</v>
      </c>
      <c r="G74" s="26">
        <f t="shared" ref="G74:G90" si="12">F74-E74</f>
        <v>0</v>
      </c>
      <c r="H74" s="26" t="str">
        <f t="shared" si="10"/>
        <v/>
      </c>
      <c r="I74" s="288"/>
      <c r="J74" s="288">
        <f t="shared" ref="J74:J90" si="13">ROUND(C74-I74,2)</f>
        <v>0</v>
      </c>
    </row>
    <row r="75" ht="14.25" customHeight="1" spans="1:10">
      <c r="A75" s="23">
        <v>2</v>
      </c>
      <c r="B75" s="295" t="s">
        <v>58</v>
      </c>
      <c r="C75" s="26">
        <f>其他应收款!F43</f>
        <v>0</v>
      </c>
      <c r="D75" s="26">
        <f t="shared" si="11"/>
        <v>0</v>
      </c>
      <c r="E75" s="26">
        <f>其他应收款!P43</f>
        <v>0</v>
      </c>
      <c r="F75" s="26">
        <f>其他应收款!Q43</f>
        <v>0</v>
      </c>
      <c r="G75" s="26">
        <f t="shared" si="12"/>
        <v>0</v>
      </c>
      <c r="H75" s="26" t="str">
        <f t="shared" si="10"/>
        <v/>
      </c>
      <c r="I75" s="288"/>
      <c r="J75" s="288">
        <f t="shared" si="13"/>
        <v>0</v>
      </c>
    </row>
    <row r="76" ht="14.25" customHeight="1" spans="1:10">
      <c r="A76" s="23">
        <v>3</v>
      </c>
      <c r="B76" s="295" t="s">
        <v>83</v>
      </c>
      <c r="C76" s="26">
        <f>长期应收!E25</f>
        <v>0</v>
      </c>
      <c r="D76" s="26">
        <f t="shared" si="11"/>
        <v>0</v>
      </c>
      <c r="E76" s="26">
        <f>长期应收!G25</f>
        <v>0</v>
      </c>
      <c r="F76" s="26">
        <f>长期应收!H25</f>
        <v>0</v>
      </c>
      <c r="G76" s="26">
        <f t="shared" si="12"/>
        <v>0</v>
      </c>
      <c r="H76" s="26" t="str">
        <f t="shared" si="10"/>
        <v/>
      </c>
      <c r="I76" s="288"/>
      <c r="J76" s="288">
        <f t="shared" si="13"/>
        <v>0</v>
      </c>
    </row>
    <row r="77" ht="14.25" customHeight="1" spans="1:10">
      <c r="A77" s="23" t="s">
        <v>231</v>
      </c>
      <c r="B77" s="294" t="s">
        <v>232</v>
      </c>
      <c r="C77" s="26">
        <f>存货汇总!C26</f>
        <v>0</v>
      </c>
      <c r="D77" s="26">
        <f t="shared" si="11"/>
        <v>0</v>
      </c>
      <c r="E77" s="26">
        <f>存货汇总!D26</f>
        <v>0</v>
      </c>
      <c r="F77" s="26">
        <f>存货汇总!E26</f>
        <v>0</v>
      </c>
      <c r="G77" s="26">
        <f t="shared" si="12"/>
        <v>0</v>
      </c>
      <c r="H77" s="26" t="str">
        <f t="shared" si="10"/>
        <v/>
      </c>
      <c r="I77" s="288"/>
      <c r="J77" s="288">
        <f t="shared" si="13"/>
        <v>0</v>
      </c>
    </row>
    <row r="78" ht="14.25" customHeight="1" spans="1:10">
      <c r="A78" s="23" t="s">
        <v>233</v>
      </c>
      <c r="B78" s="294" t="s">
        <v>234</v>
      </c>
      <c r="C78" s="26">
        <f>可供出售金融资产汇总!C26</f>
        <v>0</v>
      </c>
      <c r="D78" s="26">
        <f t="shared" si="11"/>
        <v>0</v>
      </c>
      <c r="E78" s="26">
        <f>可供出售金融资产汇总!E26</f>
        <v>0</v>
      </c>
      <c r="F78" s="26">
        <f>可供出售金融资产汇总!F26</f>
        <v>0</v>
      </c>
      <c r="G78" s="26">
        <f t="shared" si="12"/>
        <v>0</v>
      </c>
      <c r="H78" s="26" t="str">
        <f t="shared" si="10"/>
        <v/>
      </c>
      <c r="I78" s="288"/>
      <c r="J78" s="288">
        <f t="shared" si="13"/>
        <v>0</v>
      </c>
    </row>
    <row r="79" ht="14.25" customHeight="1" spans="1:10">
      <c r="A79" s="23" t="s">
        <v>235</v>
      </c>
      <c r="B79" s="294" t="s">
        <v>236</v>
      </c>
      <c r="C79" s="26">
        <f>持有到期投资!H26</f>
        <v>0</v>
      </c>
      <c r="D79" s="26">
        <f t="shared" si="11"/>
        <v>0</v>
      </c>
      <c r="E79" s="26">
        <f>持有到期投资!J26</f>
        <v>0</v>
      </c>
      <c r="F79" s="26">
        <f>持有到期投资!K26</f>
        <v>0</v>
      </c>
      <c r="G79" s="26">
        <f t="shared" si="12"/>
        <v>0</v>
      </c>
      <c r="H79" s="26" t="str">
        <f t="shared" si="10"/>
        <v/>
      </c>
      <c r="I79" s="288"/>
      <c r="J79" s="288">
        <f t="shared" si="13"/>
        <v>0</v>
      </c>
    </row>
    <row r="80" ht="14.25" customHeight="1" spans="1:10">
      <c r="A80" s="23" t="s">
        <v>237</v>
      </c>
      <c r="B80" s="294" t="s">
        <v>238</v>
      </c>
      <c r="C80" s="26">
        <f>股权投资!G26</f>
        <v>0</v>
      </c>
      <c r="D80" s="26">
        <f t="shared" si="11"/>
        <v>0</v>
      </c>
      <c r="E80" s="26">
        <f>股权投资!I26</f>
        <v>0</v>
      </c>
      <c r="F80" s="26">
        <f>股权投资!J26</f>
        <v>0</v>
      </c>
      <c r="G80" s="26">
        <f t="shared" si="12"/>
        <v>0</v>
      </c>
      <c r="H80" s="26" t="str">
        <f t="shared" si="10"/>
        <v/>
      </c>
      <c r="I80" s="288"/>
      <c r="J80" s="288">
        <f t="shared" si="13"/>
        <v>0</v>
      </c>
    </row>
    <row r="81" ht="14.25" customHeight="1" spans="1:10">
      <c r="A81" s="23" t="s">
        <v>239</v>
      </c>
      <c r="B81" s="294" t="s">
        <v>240</v>
      </c>
      <c r="C81" s="26">
        <f>'4-5-1投资性房地产'!K26+'4-5-3投资性地产'!M26</f>
        <v>0</v>
      </c>
      <c r="D81" s="26">
        <f t="shared" si="11"/>
        <v>0</v>
      </c>
      <c r="E81" s="26">
        <f>'4-5-1投资性房地产'!O26+'4-5-3投资性地产'!O26</f>
        <v>0</v>
      </c>
      <c r="F81" s="26">
        <f>'4-5-1投资性房地产'!R26+'4-5-3投资性地产'!P26</f>
        <v>0</v>
      </c>
      <c r="G81" s="26">
        <f t="shared" si="12"/>
        <v>0</v>
      </c>
      <c r="H81" s="26" t="str">
        <f t="shared" si="10"/>
        <v/>
      </c>
      <c r="I81" s="288"/>
      <c r="J81" s="288">
        <f t="shared" si="13"/>
        <v>0</v>
      </c>
    </row>
    <row r="82" ht="14.25" customHeight="1" spans="1:10">
      <c r="A82" s="23" t="s">
        <v>241</v>
      </c>
      <c r="B82" s="294" t="s">
        <v>242</v>
      </c>
      <c r="C82" s="26">
        <f>固定资产汇总!D21</f>
        <v>0</v>
      </c>
      <c r="D82" s="26">
        <f t="shared" si="11"/>
        <v>0</v>
      </c>
      <c r="E82" s="26">
        <f>固定资产汇总!F21</f>
        <v>0</v>
      </c>
      <c r="F82" s="26">
        <f>固定资产汇总!H21</f>
        <v>0</v>
      </c>
      <c r="G82" s="26">
        <f t="shared" si="12"/>
        <v>0</v>
      </c>
      <c r="H82" s="26" t="str">
        <f t="shared" si="10"/>
        <v/>
      </c>
      <c r="I82" s="288"/>
      <c r="J82" s="288">
        <f t="shared" si="13"/>
        <v>0</v>
      </c>
    </row>
    <row r="83" ht="14.25" customHeight="1" spans="1:10">
      <c r="A83" s="23" t="s">
        <v>243</v>
      </c>
      <c r="B83" s="294" t="s">
        <v>244</v>
      </c>
      <c r="C83" s="26">
        <f>工程物资!G26</f>
        <v>0</v>
      </c>
      <c r="D83" s="26">
        <f t="shared" si="11"/>
        <v>0</v>
      </c>
      <c r="E83" s="26">
        <f>工程物资!K26</f>
        <v>0</v>
      </c>
      <c r="F83" s="26">
        <f>工程物资!N26</f>
        <v>0</v>
      </c>
      <c r="G83" s="26">
        <f t="shared" si="12"/>
        <v>0</v>
      </c>
      <c r="H83" s="26" t="str">
        <f t="shared" si="10"/>
        <v/>
      </c>
      <c r="I83" s="288"/>
      <c r="J83" s="288">
        <f t="shared" si="13"/>
        <v>0</v>
      </c>
    </row>
    <row r="84" ht="14.25" customHeight="1" spans="1:10">
      <c r="A84" s="23" t="s">
        <v>245</v>
      </c>
      <c r="B84" s="294" t="s">
        <v>246</v>
      </c>
      <c r="C84" s="26">
        <f>在建工程汇总!C26</f>
        <v>0</v>
      </c>
      <c r="D84" s="26">
        <f t="shared" si="11"/>
        <v>0</v>
      </c>
      <c r="E84" s="26">
        <f>在建工程汇总!D26</f>
        <v>0</v>
      </c>
      <c r="F84" s="26">
        <f>在建工程汇总!E26</f>
        <v>0</v>
      </c>
      <c r="G84" s="26">
        <f t="shared" si="12"/>
        <v>0</v>
      </c>
      <c r="H84" s="26" t="str">
        <f t="shared" si="10"/>
        <v/>
      </c>
      <c r="I84" s="288"/>
      <c r="J84" s="288">
        <f t="shared" si="13"/>
        <v>0</v>
      </c>
    </row>
    <row r="85" ht="14.25" customHeight="1" spans="1:10">
      <c r="A85" s="23" t="s">
        <v>247</v>
      </c>
      <c r="B85" s="294" t="s">
        <v>248</v>
      </c>
      <c r="C85" s="26">
        <f>生产性生物资产!I26</f>
        <v>0</v>
      </c>
      <c r="D85" s="26">
        <f t="shared" si="11"/>
        <v>0</v>
      </c>
      <c r="E85" s="26">
        <f>生产性生物资产!M26</f>
        <v>0</v>
      </c>
      <c r="F85" s="26">
        <f>生产性生物资产!P26</f>
        <v>0</v>
      </c>
      <c r="G85" s="26">
        <f t="shared" si="12"/>
        <v>0</v>
      </c>
      <c r="H85" s="26" t="str">
        <f t="shared" si="10"/>
        <v/>
      </c>
      <c r="I85" s="288"/>
      <c r="J85" s="288">
        <f t="shared" si="13"/>
        <v>0</v>
      </c>
    </row>
    <row r="86" ht="14.25" customHeight="1" spans="1:10">
      <c r="A86" s="23">
        <v>1</v>
      </c>
      <c r="B86" s="287" t="s">
        <v>249</v>
      </c>
      <c r="C86" s="26"/>
      <c r="D86" s="26">
        <f t="shared" si="11"/>
        <v>0</v>
      </c>
      <c r="E86" s="26"/>
      <c r="F86" s="26"/>
      <c r="G86" s="26">
        <f t="shared" si="12"/>
        <v>0</v>
      </c>
      <c r="H86" s="26" t="str">
        <f t="shared" si="10"/>
        <v/>
      </c>
      <c r="I86" s="288"/>
      <c r="J86" s="288">
        <f t="shared" si="13"/>
        <v>0</v>
      </c>
    </row>
    <row r="87" ht="14.25" customHeight="1" spans="1:10">
      <c r="A87" s="23" t="s">
        <v>250</v>
      </c>
      <c r="B87" s="294" t="s">
        <v>251</v>
      </c>
      <c r="C87" s="26">
        <f>油气资产!J26</f>
        <v>0</v>
      </c>
      <c r="D87" s="26">
        <f t="shared" si="11"/>
        <v>0</v>
      </c>
      <c r="E87" s="26">
        <f>油气资产!N26</f>
        <v>0</v>
      </c>
      <c r="F87" s="26">
        <f>油气资产!Q26</f>
        <v>0</v>
      </c>
      <c r="G87" s="26">
        <f t="shared" si="12"/>
        <v>0</v>
      </c>
      <c r="H87" s="26" t="str">
        <f t="shared" si="10"/>
        <v/>
      </c>
      <c r="I87" s="288"/>
      <c r="J87" s="288">
        <f t="shared" si="13"/>
        <v>0</v>
      </c>
    </row>
    <row r="88" ht="14.25" customHeight="1" spans="1:10">
      <c r="A88" s="23" t="s">
        <v>252</v>
      </c>
      <c r="B88" s="294" t="s">
        <v>253</v>
      </c>
      <c r="C88" s="26">
        <f>无形资产汇总!C26</f>
        <v>0</v>
      </c>
      <c r="D88" s="26">
        <f t="shared" si="11"/>
        <v>0</v>
      </c>
      <c r="E88" s="26">
        <f>无形资产汇总!D26</f>
        <v>0</v>
      </c>
      <c r="F88" s="26">
        <f>无形资产汇总!E26</f>
        <v>0</v>
      </c>
      <c r="G88" s="26">
        <f t="shared" si="12"/>
        <v>0</v>
      </c>
      <c r="H88" s="26" t="str">
        <f t="shared" si="10"/>
        <v/>
      </c>
      <c r="I88" s="288"/>
      <c r="J88" s="288">
        <f t="shared" si="13"/>
        <v>0</v>
      </c>
    </row>
    <row r="89" ht="14.25" customHeight="1" spans="1:10">
      <c r="A89" s="23" t="s">
        <v>254</v>
      </c>
      <c r="B89" s="294" t="s">
        <v>255</v>
      </c>
      <c r="C89" s="26">
        <f>商誉!D26</f>
        <v>0</v>
      </c>
      <c r="D89" s="26">
        <f t="shared" si="11"/>
        <v>0</v>
      </c>
      <c r="E89" s="26">
        <f>商誉!F26</f>
        <v>0</v>
      </c>
      <c r="F89" s="26">
        <f>商誉!G26</f>
        <v>0</v>
      </c>
      <c r="G89" s="26">
        <f t="shared" si="12"/>
        <v>0</v>
      </c>
      <c r="H89" s="26" t="str">
        <f t="shared" si="10"/>
        <v/>
      </c>
      <c r="I89" s="288"/>
      <c r="J89" s="288">
        <f t="shared" si="13"/>
        <v>0</v>
      </c>
    </row>
    <row r="90" ht="14.25" customHeight="1" spans="1:10">
      <c r="A90" s="23" t="s">
        <v>256</v>
      </c>
      <c r="B90" s="294" t="s">
        <v>257</v>
      </c>
      <c r="C90" s="26"/>
      <c r="D90" s="26">
        <f t="shared" si="11"/>
        <v>0</v>
      </c>
      <c r="E90" s="26"/>
      <c r="F90" s="26"/>
      <c r="G90" s="26">
        <f t="shared" si="12"/>
        <v>0</v>
      </c>
      <c r="H90" s="26" t="str">
        <f t="shared" si="10"/>
        <v/>
      </c>
      <c r="I90" s="288"/>
      <c r="J90" s="288">
        <f t="shared" si="13"/>
        <v>0</v>
      </c>
    </row>
    <row r="91" ht="14.25" customHeight="1" spans="1:10">
      <c r="A91" s="23"/>
      <c r="B91" s="296" t="s">
        <v>258</v>
      </c>
      <c r="C91" s="26">
        <f>SUM(C73,C77:C85,C87:C90)</f>
        <v>0</v>
      </c>
      <c r="D91" s="26">
        <f>SUM(D73,D77:D85,D87:D90)</f>
        <v>0</v>
      </c>
      <c r="E91" s="26">
        <f>SUM(E73,E77:E85,E87:E90)</f>
        <v>0</v>
      </c>
      <c r="F91" s="26">
        <f>SUM(F73,F77:F85,F87:F90)</f>
        <v>0</v>
      </c>
      <c r="G91" s="26">
        <f>SUM(G73,G77:G85,G87:G90)</f>
        <v>0</v>
      </c>
      <c r="H91" s="26" t="str">
        <f t="shared" si="10"/>
        <v/>
      </c>
      <c r="I91" s="288">
        <f>SUM(I73,I77:I85,I87:I90)</f>
        <v>0</v>
      </c>
      <c r="J91" s="288">
        <f>SUM(J73,J77:J85,J87:J90)</f>
        <v>0</v>
      </c>
    </row>
  </sheetData>
  <mergeCells count="2">
    <mergeCell ref="A2:H2"/>
    <mergeCell ref="A3:H3"/>
  </mergeCells>
  <hyperlinks>
    <hyperlink ref="A1" location="索引目录!B6" display="返回索引页"/>
    <hyperlink ref="B1" location="汇总表!A1" display="返回"/>
    <hyperlink ref="B6" location="流动汇总!B1" display="一、流动资产合计"/>
    <hyperlink ref="B7" location="流动汇总!B6" display="货币资金"/>
    <hyperlink ref="B8" location="流动汇总!B7" display="交易性金融资产"/>
    <hyperlink ref="B9" location="流动汇总!B8" display="应收票据"/>
    <hyperlink ref="B10" location="流动汇总!B9" display="应收账款"/>
    <hyperlink ref="B11" location="流动汇总!B10" display="预付款项"/>
    <hyperlink ref="B12" location="流动汇总!B11" display="应收利息"/>
    <hyperlink ref="B13" location="流动汇总!B12" display="应收股利"/>
    <hyperlink ref="B14" location="流动汇总!B13" display="其他应收款"/>
    <hyperlink ref="B15" location="流动汇总!B14" display="存货"/>
    <hyperlink ref="B16" location="流动汇总!B15" display="一年内到期的非流动资产"/>
    <hyperlink ref="B17" location="流动汇总!B16" display="其他流动资产"/>
    <hyperlink ref="B20" location="非流动资产汇总!B6" display="可供出售金融资产"/>
    <hyperlink ref="B21" location="非流动资产汇总!B7" display="持有至到期投资"/>
    <hyperlink ref="B22" location="非流动资产汇总!B8" display="长期应收款"/>
    <hyperlink ref="B23" location="非流动资产汇总!B9" display="长期股权投资"/>
    <hyperlink ref="B24" location="非流动资产汇总!B10" display="投资性房地产"/>
    <hyperlink ref="B25" location="非流动资产汇总!B11" display="固定资产"/>
    <hyperlink ref="B26" location="非流动资产汇总!B12" display="在建工程"/>
    <hyperlink ref="B27" location="非流动资产汇总!B13" display="工程物资"/>
    <hyperlink ref="B28" location="非流动资产汇总!B14" display="固定资产清理"/>
    <hyperlink ref="B29" location="非流动资产汇总!B15" display="生产性生物资产"/>
    <hyperlink ref="B30" location="非流动资产汇总!B16" display="油气资产"/>
    <hyperlink ref="B31" location="非流动资产汇总!B17" display="无形资产"/>
    <hyperlink ref="B32" location="非流动资产汇总!B18" display="开发支出"/>
    <hyperlink ref="B33" location="非流动资产汇总!B19" display="商誉"/>
    <hyperlink ref="B34" location="非流动资产汇总!B20" display="长期待摊费用"/>
    <hyperlink ref="B35" location="非流动资产汇总!B21" display="递延所得税资产"/>
    <hyperlink ref="B36" location="非流动资产汇总!B22" display="其他非流动资产"/>
    <hyperlink ref="B39" location="流动负债汇总!B1" display="四、流动负债合计"/>
    <hyperlink ref="B40" location="流动负债汇总!B6" display="短期借款"/>
    <hyperlink ref="B41" location="流动负债汇总!B7" display="交易性金融负债"/>
    <hyperlink ref="B42" location="流动负债汇总!B8" display="应付票据"/>
    <hyperlink ref="B43" location="流动负债汇总!B9" display="应付账款"/>
    <hyperlink ref="B44" location="流动负债汇总!B10" display="预收款项"/>
    <hyperlink ref="B45" location="流动负债汇总!B11" display="应付职工薪酬"/>
    <hyperlink ref="B46" location="流动负债汇总!B12" display="应交税费"/>
    <hyperlink ref="B47" location="流动负债汇总!B13" display="应付利息"/>
    <hyperlink ref="B48" location="流动负债汇总!B14" display="应付股利"/>
    <hyperlink ref="B49" location="流动负债汇总!B15" display="其他应付款"/>
    <hyperlink ref="B50" location="流动负债汇总!B16" display="一年内到期的非流动负债"/>
    <hyperlink ref="B51" location="流动负债汇总!B17" display="其他流动负债"/>
    <hyperlink ref="B53" location="'非流动负债汇总 '!B1" display="五、非流动负债合计"/>
    <hyperlink ref="B54" location="'非流动负债汇总 '!B6" display="长期借款"/>
    <hyperlink ref="B55" location="'非流动负债汇总 '!B7" display="应付债券"/>
    <hyperlink ref="B56" location="'非流动负债汇总 '!B8" display="长期应付款"/>
    <hyperlink ref="B57" location="'非流动负债汇总 '!B9" display="专项应付款"/>
    <hyperlink ref="B58" location="'非流动负债汇总 '!B10" display="预计负债"/>
    <hyperlink ref="B59" location="'非流动负债汇总 '!B11" display="递延所得税负债"/>
    <hyperlink ref="B60" location="'非流动负债汇总 '!B12" display="其他非流动负债"/>
  </hyperlinks>
  <printOptions horizontalCentered="1"/>
  <pageMargins left="0.551181102362205" right="0.551181102362205" top="0.511811023622047" bottom="0.393700787401575" header="0.71" footer="0.236220472440945"/>
  <pageSetup paperSize="9" fitToHeight="0" orientation="landscape"/>
  <headerFooter alignWithMargins="0">
    <oddHeader>&amp;R&amp;"宋体,常规"共&amp;"Times New Roman,常规"&amp;N&amp;"宋体,常规"页第&amp;"Times New Roman,常规"&amp;P&amp;"宋体,常规"2
页</oddHeader>
  </headerFooter>
  <rowBreaks count="1" manualBreakCount="1">
    <brk id="38" max="7"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indexed="10"/>
    <pageSetUpPr fitToPage="1"/>
  </sheetPr>
  <dimension ref="A1:I29"/>
  <sheetViews>
    <sheetView view="pageBreakPreview" zoomScale="90" zoomScaleNormal="85" topLeftCell="A3" workbookViewId="0">
      <selection activeCell="G451" sqref="G451"/>
    </sheetView>
  </sheetViews>
  <sheetFormatPr defaultColWidth="9" defaultRowHeight="15.75" customHeight="1"/>
  <cols>
    <col min="1" max="1" width="7.75" style="13" customWidth="1"/>
    <col min="2" max="2" width="13.8333333333333" style="13" customWidth="1"/>
    <col min="3" max="3" width="6.83333333333333" style="13" customWidth="1"/>
    <col min="4" max="4" width="7.5" style="13" customWidth="1"/>
    <col min="5" max="5" width="19.0833333333333" style="13" hidden="1" customWidth="1" outlineLevel="1"/>
    <col min="6" max="6" width="21.5833333333333" style="13" customWidth="1" collapsed="1"/>
    <col min="7" max="9" width="21.5833333333333" style="13" customWidth="1"/>
    <col min="10" max="16384" width="9" style="13" customWidth="1"/>
  </cols>
  <sheetData>
    <row r="1" ht="12" customHeight="1" spans="1:9">
      <c r="A1" s="224" t="s">
        <v>111</v>
      </c>
      <c r="B1" s="52" t="s">
        <v>210</v>
      </c>
      <c r="C1" s="52"/>
      <c r="D1" s="52"/>
      <c r="E1" s="16"/>
      <c r="F1" s="16"/>
      <c r="G1" s="16"/>
      <c r="H1" s="16"/>
      <c r="I1" s="16"/>
    </row>
    <row r="2" s="11" customFormat="1" ht="30" customHeight="1" spans="1:9">
      <c r="A2" s="53" t="s">
        <v>259</v>
      </c>
    </row>
    <row r="3" ht="14.15" customHeight="1" spans="1:9">
      <c r="A3" s="18" t="str">
        <f>CONCATENATE(封面!D9,封面!F9,封面!G9,封面!H9,封面!I9,封面!J9,封面!K9)</f>
        <v>评估基准日：年月日</v>
      </c>
    </row>
    <row r="4" ht="15.5" customHeight="1" spans="1:9">
      <c r="A4" s="273" t="str">
        <f>封面!D7&amp;封面!F7</f>
        <v>被评估单位：</v>
      </c>
      <c r="I4" s="274" t="s">
        <v>139</v>
      </c>
    </row>
    <row r="5" s="12" customFormat="1" ht="13" customHeight="1" spans="1:9">
      <c r="A5" s="275" t="s">
        <v>260</v>
      </c>
      <c r="B5" s="276" t="s">
        <v>212</v>
      </c>
      <c r="C5" s="34"/>
      <c r="D5" s="35"/>
      <c r="E5" s="275" t="s">
        <v>175</v>
      </c>
      <c r="F5" s="275" t="s">
        <v>176</v>
      </c>
      <c r="G5" s="275" t="s">
        <v>177</v>
      </c>
      <c r="H5" s="275" t="s">
        <v>214</v>
      </c>
      <c r="I5" s="275" t="s">
        <v>215</v>
      </c>
    </row>
    <row r="6" ht="15.5" customHeight="1" spans="1:9">
      <c r="A6" s="46" t="s">
        <v>261</v>
      </c>
      <c r="B6" s="277" t="s">
        <v>262</v>
      </c>
      <c r="C6" s="278" t="s">
        <v>263</v>
      </c>
      <c r="D6" s="279" t="s">
        <v>264</v>
      </c>
      <c r="E6" s="26">
        <f>SUM(现金!F27,银行存款!G23,其他货币资金!G20)</f>
        <v>0</v>
      </c>
      <c r="F6" s="26">
        <f>SUM(现金!H27,银行存款!I23,其他货币资金!I20)</f>
        <v>0</v>
      </c>
      <c r="G6" s="26">
        <f>SUM(现金!I27,银行存款!J23,其他货币资金!J20)</f>
        <v>0</v>
      </c>
      <c r="H6" s="26">
        <f t="shared" ref="H6:H16" si="0">G6-F6</f>
        <v>0</v>
      </c>
      <c r="I6" s="26" t="str">
        <f t="shared" ref="I6:I25" si="1">IF(F6=0,"",H6/F6*100)</f>
        <v/>
      </c>
    </row>
    <row r="7" ht="15.5" customHeight="1" spans="1:9">
      <c r="A7" s="46" t="s">
        <v>265</v>
      </c>
      <c r="B7" s="280" t="s">
        <v>41</v>
      </c>
      <c r="C7" s="32"/>
      <c r="D7" s="28"/>
      <c r="E7" s="26">
        <f>交易性金融资产汇总!C27</f>
        <v>0</v>
      </c>
      <c r="F7" s="26">
        <f>交易性金融资产汇总!D27</f>
        <v>0</v>
      </c>
      <c r="G7" s="26">
        <f>交易性金融资产汇总!E27</f>
        <v>0</v>
      </c>
      <c r="H7" s="26">
        <f t="shared" si="0"/>
        <v>0</v>
      </c>
      <c r="I7" s="26" t="str">
        <f t="shared" si="1"/>
        <v/>
      </c>
    </row>
    <row r="8" ht="15.5" customHeight="1" spans="1:9">
      <c r="A8" s="46" t="s">
        <v>266</v>
      </c>
      <c r="B8" s="280" t="s">
        <v>48</v>
      </c>
      <c r="C8" s="32"/>
      <c r="D8" s="28"/>
      <c r="E8" s="26">
        <f>应收票据!F27</f>
        <v>0</v>
      </c>
      <c r="F8" s="26">
        <f>应收票据!H27</f>
        <v>0</v>
      </c>
      <c r="G8" s="26">
        <f>应收票据!I27</f>
        <v>0</v>
      </c>
      <c r="H8" s="26">
        <f t="shared" si="0"/>
        <v>0</v>
      </c>
      <c r="I8" s="26" t="str">
        <f t="shared" si="1"/>
        <v/>
      </c>
    </row>
    <row r="9" ht="15.5" customHeight="1" spans="1:9">
      <c r="A9" s="46" t="s">
        <v>267</v>
      </c>
      <c r="B9" s="280" t="s">
        <v>50</v>
      </c>
      <c r="C9" s="32"/>
      <c r="D9" s="28"/>
      <c r="E9" s="26">
        <f>应收账款!F27</f>
        <v>0</v>
      </c>
      <c r="F9" s="26">
        <f>应收账款!P27</f>
        <v>0</v>
      </c>
      <c r="G9" s="26">
        <f>应收账款!Q27</f>
        <v>0</v>
      </c>
      <c r="H9" s="26">
        <f t="shared" si="0"/>
        <v>0</v>
      </c>
      <c r="I9" s="26" t="str">
        <f t="shared" si="1"/>
        <v/>
      </c>
    </row>
    <row r="10" ht="15.5" customHeight="1" spans="1:9">
      <c r="A10" s="46" t="s">
        <v>268</v>
      </c>
      <c r="B10" s="280" t="s">
        <v>52</v>
      </c>
      <c r="C10" s="32"/>
      <c r="D10" s="28"/>
      <c r="E10" s="26">
        <f>预付账款!F27</f>
        <v>0</v>
      </c>
      <c r="F10" s="26">
        <f>预付账款!H27</f>
        <v>0</v>
      </c>
      <c r="G10" s="26">
        <f>预付账款!I27</f>
        <v>0</v>
      </c>
      <c r="H10" s="223">
        <f t="shared" si="0"/>
        <v>0</v>
      </c>
      <c r="I10" s="26" t="str">
        <f t="shared" si="1"/>
        <v/>
      </c>
    </row>
    <row r="11" ht="15.5" customHeight="1" spans="1:9">
      <c r="A11" s="46" t="s">
        <v>269</v>
      </c>
      <c r="B11" s="280" t="s">
        <v>54</v>
      </c>
      <c r="C11" s="32"/>
      <c r="D11" s="28"/>
      <c r="E11" s="26">
        <f>应收利息!G27</f>
        <v>0</v>
      </c>
      <c r="F11" s="26">
        <f>应收利息!I27</f>
        <v>0</v>
      </c>
      <c r="G11" s="26">
        <f>应收利息!J27</f>
        <v>0</v>
      </c>
      <c r="H11" s="26">
        <f t="shared" si="0"/>
        <v>0</v>
      </c>
      <c r="I11" s="26" t="str">
        <f t="shared" si="1"/>
        <v/>
      </c>
    </row>
    <row r="12" ht="15.5" customHeight="1" spans="1:9">
      <c r="A12" s="46" t="s">
        <v>270</v>
      </c>
      <c r="B12" s="280" t="s">
        <v>271</v>
      </c>
      <c r="C12" s="32"/>
      <c r="D12" s="28"/>
      <c r="E12" s="26">
        <f>'应收股利（利润）'!E27</f>
        <v>0</v>
      </c>
      <c r="F12" s="26">
        <f>'应收股利（利润）'!G27</f>
        <v>0</v>
      </c>
      <c r="G12" s="26">
        <f>'应收股利（利润）'!H27</f>
        <v>0</v>
      </c>
      <c r="H12" s="26">
        <f t="shared" si="0"/>
        <v>0</v>
      </c>
      <c r="I12" s="26" t="str">
        <f t="shared" si="1"/>
        <v/>
      </c>
    </row>
    <row r="13" ht="15.5" customHeight="1" spans="1:9">
      <c r="A13" s="46" t="s">
        <v>272</v>
      </c>
      <c r="B13" s="280" t="s">
        <v>58</v>
      </c>
      <c r="C13" s="32"/>
      <c r="D13" s="28"/>
      <c r="E13" s="26">
        <f>其他应收款!F45</f>
        <v>0</v>
      </c>
      <c r="F13" s="26">
        <f>其他应收款!P45</f>
        <v>0</v>
      </c>
      <c r="G13" s="26">
        <f>其他应收款!Q45</f>
        <v>0</v>
      </c>
      <c r="H13" s="26">
        <f t="shared" si="0"/>
        <v>0</v>
      </c>
      <c r="I13" s="26" t="str">
        <f t="shared" si="1"/>
        <v/>
      </c>
    </row>
    <row r="14" ht="15.5" customHeight="1" spans="1:9">
      <c r="A14" s="46" t="s">
        <v>273</v>
      </c>
      <c r="B14" s="280" t="s">
        <v>60</v>
      </c>
      <c r="C14" s="32"/>
      <c r="D14" s="28"/>
      <c r="E14" s="26">
        <f>存货汇总!C27</f>
        <v>0</v>
      </c>
      <c r="F14" s="26">
        <f>存货汇总!D27</f>
        <v>0</v>
      </c>
      <c r="G14" s="26">
        <f>存货汇总!E27</f>
        <v>0</v>
      </c>
      <c r="H14" s="26">
        <f t="shared" si="0"/>
        <v>0</v>
      </c>
      <c r="I14" s="26" t="str">
        <f t="shared" si="1"/>
        <v/>
      </c>
    </row>
    <row r="15" ht="15.5" customHeight="1" spans="1:9">
      <c r="A15" s="46" t="s">
        <v>274</v>
      </c>
      <c r="B15" s="280" t="s">
        <v>150</v>
      </c>
      <c r="C15" s="32"/>
      <c r="D15" s="28"/>
      <c r="E15" s="26">
        <f>一年到期非流动资产!E27</f>
        <v>0</v>
      </c>
      <c r="F15" s="26">
        <f>一年到期非流动资产!G27</f>
        <v>0</v>
      </c>
      <c r="G15" s="26">
        <f>一年到期非流动资产!H27</f>
        <v>0</v>
      </c>
      <c r="H15" s="26">
        <f t="shared" si="0"/>
        <v>0</v>
      </c>
      <c r="I15" s="26" t="str">
        <f t="shared" si="1"/>
        <v/>
      </c>
    </row>
    <row r="16" ht="15.5" customHeight="1" spans="1:9">
      <c r="A16" s="46" t="s">
        <v>275</v>
      </c>
      <c r="B16" s="280" t="s">
        <v>78</v>
      </c>
      <c r="C16" s="32"/>
      <c r="D16" s="28"/>
      <c r="E16" s="26">
        <f>其他流动资产!E27</f>
        <v>0</v>
      </c>
      <c r="F16" s="26">
        <f>其他流动资产!G27</f>
        <v>0</v>
      </c>
      <c r="G16" s="26">
        <f>其他流动资产!H27</f>
        <v>0</v>
      </c>
      <c r="H16" s="26">
        <f t="shared" si="0"/>
        <v>0</v>
      </c>
      <c r="I16" s="26" t="str">
        <f t="shared" si="1"/>
        <v/>
      </c>
    </row>
    <row r="17" ht="15.5" customHeight="1" spans="1:9">
      <c r="A17" s="45"/>
      <c r="B17" s="275"/>
      <c r="C17" s="32"/>
      <c r="D17" s="28"/>
      <c r="E17" s="26"/>
      <c r="F17" s="26"/>
      <c r="G17" s="26"/>
      <c r="H17" s="26"/>
      <c r="I17" s="26" t="str">
        <f t="shared" si="1"/>
        <v/>
      </c>
    </row>
    <row r="18" ht="15.5" customHeight="1" spans="1:9">
      <c r="A18" s="45"/>
      <c r="B18" s="275"/>
      <c r="C18" s="32"/>
      <c r="D18" s="28"/>
      <c r="E18" s="26"/>
      <c r="F18" s="26"/>
      <c r="G18" s="26"/>
      <c r="H18" s="26"/>
      <c r="I18" s="26" t="str">
        <f t="shared" si="1"/>
        <v/>
      </c>
    </row>
    <row r="19" ht="15.5" customHeight="1" spans="1:9">
      <c r="A19" s="45"/>
      <c r="B19" s="275"/>
      <c r="C19" s="32"/>
      <c r="D19" s="28"/>
      <c r="E19" s="26"/>
      <c r="F19" s="26"/>
      <c r="G19" s="26"/>
      <c r="H19" s="26"/>
      <c r="I19" s="26" t="str">
        <f t="shared" si="1"/>
        <v/>
      </c>
    </row>
    <row r="20" ht="15.5" customHeight="1" spans="1:9">
      <c r="A20" s="45"/>
      <c r="B20" s="275"/>
      <c r="C20" s="32"/>
      <c r="D20" s="28"/>
      <c r="E20" s="26"/>
      <c r="F20" s="26"/>
      <c r="G20" s="26"/>
      <c r="H20" s="26"/>
      <c r="I20" s="26" t="str">
        <f t="shared" si="1"/>
        <v/>
      </c>
    </row>
    <row r="21" ht="15.5" customHeight="1" spans="1:9">
      <c r="A21" s="45"/>
      <c r="B21" s="275"/>
      <c r="C21" s="32"/>
      <c r="D21" s="28"/>
      <c r="E21" s="26"/>
      <c r="F21" s="26"/>
      <c r="G21" s="26"/>
      <c r="H21" s="26"/>
      <c r="I21" s="26" t="str">
        <f t="shared" si="1"/>
        <v/>
      </c>
    </row>
    <row r="22" ht="15.5" customHeight="1" spans="1:9">
      <c r="A22" s="45"/>
      <c r="B22" s="275"/>
      <c r="C22" s="32"/>
      <c r="D22" s="28"/>
      <c r="E22" s="26"/>
      <c r="F22" s="26"/>
      <c r="G22" s="26"/>
      <c r="H22" s="26"/>
      <c r="I22" s="26" t="str">
        <f t="shared" si="1"/>
        <v/>
      </c>
    </row>
    <row r="23" ht="15.5" customHeight="1" spans="1:9">
      <c r="A23" s="45"/>
      <c r="B23" s="275"/>
      <c r="C23" s="32"/>
      <c r="D23" s="28"/>
      <c r="E23" s="26"/>
      <c r="F23" s="26"/>
      <c r="G23" s="26"/>
      <c r="H23" s="26"/>
      <c r="I23" s="26" t="str">
        <f t="shared" si="1"/>
        <v/>
      </c>
    </row>
    <row r="24" ht="15.5" customHeight="1" spans="1:9">
      <c r="A24" s="45"/>
      <c r="B24" s="275"/>
      <c r="C24" s="32"/>
      <c r="D24" s="28"/>
      <c r="E24" s="26"/>
      <c r="F24" s="26"/>
      <c r="G24" s="26"/>
      <c r="H24" s="26"/>
      <c r="I24" s="26" t="str">
        <f t="shared" si="1"/>
        <v/>
      </c>
    </row>
    <row r="25" ht="15.5" customHeight="1" spans="1:9">
      <c r="A25" s="45"/>
      <c r="B25" s="275"/>
      <c r="C25" s="32"/>
      <c r="D25" s="28"/>
      <c r="E25" s="26"/>
      <c r="F25" s="26"/>
      <c r="G25" s="26"/>
      <c r="H25" s="26"/>
      <c r="I25" s="26" t="str">
        <f t="shared" si="1"/>
        <v/>
      </c>
    </row>
    <row r="26" ht="15.5" customHeight="1" spans="1:9">
      <c r="A26" s="27"/>
      <c r="B26" s="275"/>
      <c r="C26" s="32"/>
      <c r="D26" s="28"/>
      <c r="E26" s="26"/>
      <c r="F26" s="26"/>
      <c r="G26" s="26"/>
      <c r="H26" s="26"/>
      <c r="I26" s="26"/>
    </row>
    <row r="27" ht="15.5" customHeight="1" spans="1:9">
      <c r="A27" s="23">
        <v>3</v>
      </c>
      <c r="B27" s="275" t="s">
        <v>151</v>
      </c>
      <c r="C27" s="32"/>
      <c r="D27" s="28"/>
      <c r="E27" s="26">
        <f>SUM(E6:E26)</f>
        <v>0</v>
      </c>
      <c r="F27" s="26">
        <f>SUM(F6:F26)</f>
        <v>0</v>
      </c>
      <c r="G27" s="26">
        <f>SUM(G6:G26)</f>
        <v>0</v>
      </c>
      <c r="H27" s="26">
        <f>SUM(H6:H26)</f>
        <v>0</v>
      </c>
      <c r="I27" s="26" t="str">
        <f>IF(F27=0,"",H27/F27*100)</f>
        <v/>
      </c>
    </row>
    <row r="28" ht="15.5" customHeight="1" spans="1:9">
      <c r="A28" s="29" t="str">
        <f>封面!D11&amp;封面!G11</f>
        <v>被评估单位填表人：</v>
      </c>
      <c r="G28" s="19" t="str">
        <f>"评估人员："&amp;封面!G20</f>
        <v>评估人员：</v>
      </c>
    </row>
    <row r="29" ht="15.5" customHeight="1" spans="1:9">
      <c r="A29" s="13" t="str">
        <f>CONCATENATE(封面!D13,封面!F13,封面!G13,封面!H13,封面!I13,封面!J13,封面!K13)</f>
        <v>填表日期：年月日</v>
      </c>
    </row>
  </sheetData>
  <mergeCells count="24">
    <mergeCell ref="A2:I2"/>
    <mergeCell ref="A3:I3"/>
    <mergeCell ref="B5:D5"/>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B24:D24"/>
    <mergeCell ref="B25:D25"/>
    <mergeCell ref="B26:D26"/>
    <mergeCell ref="B27:D27"/>
  </mergeCells>
  <hyperlinks>
    <hyperlink ref="A1" location="索引目录!C6" display="返回索引页"/>
    <hyperlink ref="B1" location="分类汇总!B6" display="返回"/>
    <hyperlink ref="B6" location="现金!A1" display="货币资金（现金"/>
    <hyperlink ref="C6" location="银行存款!A1" display="存款"/>
    <hyperlink ref="D6" location="其他货币资金!A1" display="他币）"/>
    <hyperlink ref="B7" location="交易性金融资产汇总!B1" display="交易性金融资产"/>
    <hyperlink ref="B8" location="应收票据!A1" display="应收票据"/>
    <hyperlink ref="B9" location="应收账款!B1" display="应收账款"/>
    <hyperlink ref="B10" location="预付账款!B1" display="预付账款"/>
    <hyperlink ref="B11" location="应收利息!B1" display="应收利息"/>
    <hyperlink ref="B12" location="'应收股利（利润）'!B1" display="应收股利（应收利润）"/>
    <hyperlink ref="B13" location="其他应收款!B1" display="其他应收款"/>
    <hyperlink ref="B14" location="存货汇总!B1" display="存货"/>
    <hyperlink ref="B15" location="一年到期非流动资产!B1" display="一年内到期的非流动资产"/>
    <hyperlink ref="B16" location="其他流动资产!B1" display="其他流动资产"/>
  </hyperlinks>
  <printOptions horizontalCentered="1"/>
  <pageMargins left="0.354330708661417" right="0.354330708661417" top="0.78740157480315" bottom="0.354330708661417" header="0.98" footer="0.236220472440945"/>
  <pageSetup paperSize="9" orientation="landscape"/>
  <headerFooter alignWithMargins="0">
    <oddHeader>&amp;R&amp;"宋体,常规"共&amp;"Times New Roman,常规"&amp;N&amp;"宋体,常规"页第&amp;"Times New Roman,常规"&amp;P&amp;"宋体,常规"3
页</oddHead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pageSetUpPr fitToPage="1"/>
  </sheetPr>
  <dimension ref="A1:J29"/>
  <sheetViews>
    <sheetView view="pageBreakPreview" zoomScale="90" zoomScaleNormal="100" workbookViewId="0">
      <selection activeCell="G451" sqref="G451"/>
    </sheetView>
  </sheetViews>
  <sheetFormatPr defaultColWidth="9" defaultRowHeight="15.75" customHeight="1"/>
  <cols>
    <col min="1" max="1" width="4.58333333333333" style="13" customWidth="1"/>
    <col min="2" max="2" width="27.75" style="13" customWidth="1"/>
    <col min="3" max="3" width="9.25" style="13" customWidth="1"/>
    <col min="4" max="4" width="13.5" style="13" customWidth="1"/>
    <col min="5" max="5" width="14" style="13" customWidth="1"/>
    <col min="6" max="7" width="15.3333333333333" style="13" hidden="1" customWidth="1" outlineLevel="1"/>
    <col min="8" max="8" width="17.75" style="13" customWidth="1" collapsed="1"/>
    <col min="9" max="9" width="19.25" style="13" customWidth="1"/>
    <col min="10" max="10" width="16.3333333333333" style="13" customWidth="1"/>
    <col min="11" max="16384" width="9" style="13" customWidth="1"/>
  </cols>
  <sheetData>
    <row r="1" ht="15.5" customHeight="1" spans="1:10">
      <c r="A1" s="272" t="s">
        <v>111</v>
      </c>
      <c r="B1" s="52" t="s">
        <v>210</v>
      </c>
      <c r="C1" s="16"/>
      <c r="D1" s="16"/>
      <c r="E1" s="16"/>
      <c r="F1" s="16"/>
      <c r="G1" s="16"/>
      <c r="H1" s="16"/>
      <c r="I1" s="16"/>
      <c r="J1" s="16"/>
    </row>
    <row r="2" s="11" customFormat="1" ht="30" customHeight="1" spans="1:10">
      <c r="A2" s="53" t="s">
        <v>276</v>
      </c>
    </row>
    <row r="3" ht="14.15" customHeight="1" spans="1:10">
      <c r="A3" s="18" t="str">
        <f>CONCATENATE(封面!D9,封面!F9,封面!G9,封面!H9,封面!I9,封面!J9,封面!K9)</f>
        <v>评估基准日：年月日</v>
      </c>
    </row>
    <row r="4" ht="15.5" customHeight="1" spans="1:10">
      <c r="A4" s="19" t="str">
        <f>封面!D7&amp;封面!F7</f>
        <v>被评估单位：</v>
      </c>
      <c r="J4" s="54" t="s">
        <v>139</v>
      </c>
    </row>
    <row r="5" s="12" customFormat="1" ht="13" customHeight="1" spans="1:10">
      <c r="A5" s="23" t="s">
        <v>141</v>
      </c>
      <c r="B5" s="23" t="s">
        <v>277</v>
      </c>
      <c r="C5" s="23" t="s">
        <v>278</v>
      </c>
      <c r="D5" s="23" t="s">
        <v>279</v>
      </c>
      <c r="E5" s="23" t="s">
        <v>280</v>
      </c>
      <c r="F5" s="23" t="s">
        <v>175</v>
      </c>
      <c r="G5" s="23" t="s">
        <v>281</v>
      </c>
      <c r="H5" s="23" t="s">
        <v>176</v>
      </c>
      <c r="I5" s="23" t="s">
        <v>177</v>
      </c>
      <c r="J5" s="23" t="s">
        <v>215</v>
      </c>
    </row>
    <row r="6" ht="15.5" customHeight="1" spans="1:10">
      <c r="A6" s="23">
        <v>1</v>
      </c>
      <c r="B6" s="24"/>
      <c r="C6" s="23"/>
      <c r="D6" s="26"/>
      <c r="E6" s="23"/>
      <c r="F6" s="26"/>
      <c r="G6" s="26"/>
      <c r="H6" s="26"/>
      <c r="I6" s="26">
        <f>H6</f>
        <v>0</v>
      </c>
      <c r="J6" s="26" t="str">
        <f t="shared" ref="J6:J25" si="0">IF(H6=0,"",(I6-H6)/H6*100)</f>
        <v/>
      </c>
    </row>
    <row r="7" ht="15.5" customHeight="1" spans="1:10">
      <c r="A7" s="23"/>
      <c r="B7" s="24"/>
      <c r="C7" s="23"/>
      <c r="D7" s="26"/>
      <c r="E7" s="23"/>
      <c r="F7" s="26"/>
      <c r="G7" s="26"/>
      <c r="H7" s="26"/>
      <c r="I7" s="26"/>
      <c r="J7" s="26" t="str">
        <f t="shared" si="0"/>
        <v/>
      </c>
    </row>
    <row r="8" ht="15.5" customHeight="1" spans="1:10">
      <c r="A8" s="23"/>
      <c r="B8" s="24"/>
      <c r="C8" s="23"/>
      <c r="D8" s="26"/>
      <c r="E8" s="23"/>
      <c r="F8" s="26"/>
      <c r="G8" s="26"/>
      <c r="H8" s="26"/>
      <c r="I8" s="26"/>
      <c r="J8" s="26" t="str">
        <f t="shared" si="0"/>
        <v/>
      </c>
    </row>
    <row r="9" ht="15.5" customHeight="1" spans="1:10">
      <c r="A9" s="27"/>
      <c r="B9" s="24"/>
      <c r="C9" s="23"/>
      <c r="D9" s="26"/>
      <c r="E9" s="23"/>
      <c r="F9" s="26"/>
      <c r="G9" s="26"/>
      <c r="H9" s="26"/>
      <c r="I9" s="26"/>
      <c r="J9" s="26" t="str">
        <f t="shared" si="0"/>
        <v/>
      </c>
    </row>
    <row r="10" ht="15.5" customHeight="1" spans="1:10">
      <c r="A10" s="27"/>
      <c r="B10" s="24"/>
      <c r="C10" s="23"/>
      <c r="D10" s="26"/>
      <c r="E10" s="23"/>
      <c r="F10" s="26"/>
      <c r="G10" s="26"/>
      <c r="H10" s="26"/>
      <c r="I10" s="26"/>
      <c r="J10" s="26" t="str">
        <f t="shared" si="0"/>
        <v/>
      </c>
    </row>
    <row r="11" ht="15.5" customHeight="1" spans="1:10">
      <c r="A11" s="27"/>
      <c r="B11" s="24"/>
      <c r="C11" s="23"/>
      <c r="D11" s="26"/>
      <c r="E11" s="23"/>
      <c r="F11" s="26"/>
      <c r="G11" s="26"/>
      <c r="H11" s="26"/>
      <c r="I11" s="26"/>
      <c r="J11" s="26" t="str">
        <f t="shared" si="0"/>
        <v/>
      </c>
    </row>
    <row r="12" ht="15.5" customHeight="1" spans="1:10">
      <c r="A12" s="27"/>
      <c r="B12" s="24"/>
      <c r="C12" s="23"/>
      <c r="D12" s="26"/>
      <c r="E12" s="23"/>
      <c r="F12" s="26"/>
      <c r="G12" s="26"/>
      <c r="H12" s="26"/>
      <c r="I12" s="26"/>
      <c r="J12" s="26" t="str">
        <f t="shared" si="0"/>
        <v/>
      </c>
    </row>
    <row r="13" ht="15.5" customHeight="1" spans="1:10">
      <c r="A13" s="27"/>
      <c r="B13" s="24"/>
      <c r="C13" s="23"/>
      <c r="D13" s="26"/>
      <c r="E13" s="23"/>
      <c r="F13" s="26"/>
      <c r="G13" s="26"/>
      <c r="H13" s="26"/>
      <c r="I13" s="26"/>
      <c r="J13" s="26" t="str">
        <f t="shared" si="0"/>
        <v/>
      </c>
    </row>
    <row r="14" ht="15.5" customHeight="1" spans="1:10">
      <c r="A14" s="27"/>
      <c r="B14" s="24"/>
      <c r="C14" s="23"/>
      <c r="D14" s="26"/>
      <c r="E14" s="23"/>
      <c r="F14" s="26"/>
      <c r="G14" s="26"/>
      <c r="H14" s="26"/>
      <c r="I14" s="26"/>
      <c r="J14" s="26" t="str">
        <f t="shared" si="0"/>
        <v/>
      </c>
    </row>
    <row r="15" ht="15.5" customHeight="1" spans="1:10">
      <c r="A15" s="27"/>
      <c r="B15" s="24"/>
      <c r="C15" s="23"/>
      <c r="D15" s="26"/>
      <c r="E15" s="23"/>
      <c r="F15" s="26"/>
      <c r="G15" s="26"/>
      <c r="H15" s="26"/>
      <c r="I15" s="26"/>
      <c r="J15" s="26" t="str">
        <f t="shared" si="0"/>
        <v/>
      </c>
    </row>
    <row r="16" ht="15.5" customHeight="1" spans="1:10">
      <c r="A16" s="27"/>
      <c r="B16" s="24"/>
      <c r="C16" s="23"/>
      <c r="D16" s="26"/>
      <c r="E16" s="23"/>
      <c r="F16" s="26"/>
      <c r="G16" s="26"/>
      <c r="H16" s="26"/>
      <c r="I16" s="26"/>
      <c r="J16" s="26" t="str">
        <f t="shared" si="0"/>
        <v/>
      </c>
    </row>
    <row r="17" ht="15.5" customHeight="1" spans="1:10">
      <c r="A17" s="27"/>
      <c r="B17" s="24"/>
      <c r="C17" s="23"/>
      <c r="D17" s="26"/>
      <c r="E17" s="23"/>
      <c r="F17" s="26"/>
      <c r="G17" s="26"/>
      <c r="H17" s="26"/>
      <c r="I17" s="26"/>
      <c r="J17" s="26" t="str">
        <f t="shared" si="0"/>
        <v/>
      </c>
    </row>
    <row r="18" ht="15.5" customHeight="1" spans="1:10">
      <c r="A18" s="27"/>
      <c r="B18" s="24"/>
      <c r="C18" s="23"/>
      <c r="D18" s="26"/>
      <c r="E18" s="23"/>
      <c r="F18" s="26"/>
      <c r="G18" s="26"/>
      <c r="H18" s="26"/>
      <c r="I18" s="26"/>
      <c r="J18" s="26" t="str">
        <f t="shared" si="0"/>
        <v/>
      </c>
    </row>
    <row r="19" ht="15.5" customHeight="1" spans="1:10">
      <c r="A19" s="27"/>
      <c r="B19" s="24"/>
      <c r="C19" s="23"/>
      <c r="D19" s="26"/>
      <c r="E19" s="23"/>
      <c r="F19" s="26"/>
      <c r="G19" s="26"/>
      <c r="H19" s="26"/>
      <c r="I19" s="26"/>
      <c r="J19" s="26" t="str">
        <f t="shared" si="0"/>
        <v/>
      </c>
    </row>
    <row r="20" ht="15.5" customHeight="1" spans="1:10">
      <c r="A20" s="27"/>
      <c r="B20" s="24"/>
      <c r="C20" s="23"/>
      <c r="D20" s="26"/>
      <c r="E20" s="23"/>
      <c r="F20" s="26"/>
      <c r="G20" s="26"/>
      <c r="H20" s="26"/>
      <c r="I20" s="26"/>
      <c r="J20" s="26" t="str">
        <f t="shared" si="0"/>
        <v/>
      </c>
    </row>
    <row r="21" ht="15.5" customHeight="1" spans="1:10">
      <c r="A21" s="27"/>
      <c r="B21" s="24"/>
      <c r="C21" s="23"/>
      <c r="D21" s="26"/>
      <c r="E21" s="23"/>
      <c r="F21" s="26"/>
      <c r="G21" s="26"/>
      <c r="H21" s="26"/>
      <c r="I21" s="26"/>
      <c r="J21" s="26" t="str">
        <f t="shared" si="0"/>
        <v/>
      </c>
    </row>
    <row r="22" ht="15.5" customHeight="1" spans="1:10">
      <c r="A22" s="27"/>
      <c r="B22" s="24"/>
      <c r="C22" s="23"/>
      <c r="D22" s="26"/>
      <c r="E22" s="23"/>
      <c r="F22" s="26"/>
      <c r="G22" s="26"/>
      <c r="H22" s="26"/>
      <c r="I22" s="26"/>
      <c r="J22" s="26" t="str">
        <f t="shared" si="0"/>
        <v/>
      </c>
    </row>
    <row r="23" ht="15.5" customHeight="1" spans="1:10">
      <c r="A23" s="27"/>
      <c r="B23" s="24"/>
      <c r="C23" s="23"/>
      <c r="D23" s="26"/>
      <c r="E23" s="23"/>
      <c r="F23" s="26"/>
      <c r="G23" s="26"/>
      <c r="H23" s="26"/>
      <c r="I23" s="26"/>
      <c r="J23" s="26" t="str">
        <f t="shared" si="0"/>
        <v/>
      </c>
    </row>
    <row r="24" ht="15.5" customHeight="1" spans="1:10">
      <c r="A24" s="27"/>
      <c r="B24" s="24"/>
      <c r="C24" s="23"/>
      <c r="D24" s="26"/>
      <c r="E24" s="23"/>
      <c r="F24" s="26"/>
      <c r="G24" s="26"/>
      <c r="H24" s="26"/>
      <c r="I24" s="26"/>
      <c r="J24" s="26" t="str">
        <f t="shared" si="0"/>
        <v/>
      </c>
    </row>
    <row r="25" ht="15.5" customHeight="1" spans="1:10">
      <c r="A25" s="27"/>
      <c r="B25" s="24"/>
      <c r="C25" s="23"/>
      <c r="D25" s="26"/>
      <c r="E25" s="23"/>
      <c r="F25" s="26"/>
      <c r="G25" s="26"/>
      <c r="H25" s="26"/>
      <c r="I25" s="26"/>
      <c r="J25" s="26" t="str">
        <f t="shared" si="0"/>
        <v/>
      </c>
    </row>
    <row r="26" ht="15.5" customHeight="1" spans="1:10">
      <c r="A26" s="27"/>
      <c r="B26" s="24"/>
      <c r="C26" s="23"/>
      <c r="D26" s="26"/>
      <c r="E26" s="23"/>
      <c r="F26" s="26"/>
      <c r="G26" s="26"/>
      <c r="H26" s="26"/>
      <c r="I26" s="26"/>
      <c r="J26" s="26"/>
    </row>
    <row r="27" ht="15.5" customHeight="1" spans="1:10">
      <c r="A27" s="23" t="s">
        <v>282</v>
      </c>
      <c r="B27" s="28"/>
      <c r="C27" s="27"/>
      <c r="D27" s="26"/>
      <c r="E27" s="23"/>
      <c r="F27" s="26">
        <f>SUM(F6:F26)</f>
        <v>0</v>
      </c>
      <c r="G27" s="26"/>
      <c r="H27" s="26">
        <f>SUM(H6:H26)</f>
        <v>0</v>
      </c>
      <c r="I27" s="26">
        <f>SUM(I6:I26)</f>
        <v>0</v>
      </c>
      <c r="J27" s="26" t="str">
        <f>IF(H27=0,"",(I27-H27)/H27*100)</f>
        <v/>
      </c>
    </row>
    <row r="28" ht="15.5" customHeight="1" spans="1:10">
      <c r="A28" s="29" t="str">
        <f>封面!D11&amp;封面!G11</f>
        <v>被评估单位填表人：</v>
      </c>
      <c r="H28" s="19" t="str">
        <f>"评估人员："&amp;封面!G20</f>
        <v>评估人员：</v>
      </c>
    </row>
    <row r="29" ht="15.5" customHeight="1" spans="1:10">
      <c r="A29" s="29" t="str">
        <f>CONCATENATE(封面!D13,封面!F13,封面!G13,封面!H13,封面!I13,封面!J13,封面!K13)</f>
        <v>填表日期：年月日</v>
      </c>
    </row>
  </sheetData>
  <mergeCells count="3">
    <mergeCell ref="A2:J2"/>
    <mergeCell ref="A3:J3"/>
    <mergeCell ref="A27:B27"/>
  </mergeCells>
  <hyperlinks>
    <hyperlink ref="A1" location="索引目录!E6" display="返回索引页"/>
    <hyperlink ref="B1" location="流动汇总!B6" display="返回"/>
  </hyperlinks>
  <printOptions horizontalCentered="1"/>
  <pageMargins left="0.354330708661417" right="0.354330708661417" top="0.78740157480315" bottom="0.78740157480315" header="0.96" footer="0.511811023622047"/>
  <pageSetup paperSize="9" fitToHeight="0" orientation="landscape"/>
  <headerFooter alignWithMargins="0">
    <oddHeader>&amp;R&amp;"宋体,常规"共&amp;"Times New Roman,常规"&amp;N&amp;"宋体,常规"页第&amp;"Times New Roman,常规"&amp;P&amp;"宋体,常规"3-1-1
页</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pageSetUpPr fitToPage="1"/>
  </sheetPr>
  <dimension ref="A1:K25"/>
  <sheetViews>
    <sheetView view="pageBreakPreview" zoomScale="85" zoomScaleNormal="100" workbookViewId="0">
      <selection activeCell="G451" sqref="G451"/>
    </sheetView>
  </sheetViews>
  <sheetFormatPr defaultColWidth="9" defaultRowHeight="15.75" customHeight="1"/>
  <cols>
    <col min="1" max="1" width="4.75" style="13" customWidth="1"/>
    <col min="2" max="2" width="44.0833333333333" style="13" customWidth="1"/>
    <col min="3" max="3" width="12.5833333333333" style="13" customWidth="1"/>
    <col min="4" max="4" width="6.75" style="13" customWidth="1"/>
    <col min="5" max="5" width="11" style="13" hidden="1" customWidth="1"/>
    <col min="6" max="6" width="13.5" style="13" hidden="1" customWidth="1"/>
    <col min="7" max="8" width="15.5" style="13" hidden="1" customWidth="1" outlineLevel="1"/>
    <col min="9" max="9" width="13.8333333333333" style="13" customWidth="1" collapsed="1"/>
    <col min="10" max="10" width="12.3333333333333" style="13" customWidth="1"/>
    <col min="11" max="11" width="12.0833333333333" style="13" customWidth="1"/>
    <col min="12" max="16384" width="9" style="13" customWidth="1"/>
  </cols>
  <sheetData>
    <row r="1" ht="15.5" customHeight="1" spans="1:11">
      <c r="A1" s="224" t="s">
        <v>111</v>
      </c>
      <c r="B1" s="52" t="s">
        <v>210</v>
      </c>
      <c r="C1" s="16"/>
      <c r="D1" s="16"/>
      <c r="E1" s="16"/>
      <c r="F1" s="16"/>
      <c r="G1" s="16"/>
      <c r="H1" s="16"/>
      <c r="I1" s="16"/>
      <c r="J1" s="16"/>
      <c r="K1" s="16"/>
    </row>
    <row r="2" s="11" customFormat="1" ht="30" customHeight="1" spans="1:11">
      <c r="A2" s="53" t="s">
        <v>283</v>
      </c>
    </row>
    <row r="3" ht="14.15" customHeight="1" spans="1:11">
      <c r="A3" s="18" t="str">
        <f>CONCATENATE(封面!D9,封面!F9,封面!G9,封面!H9,封面!I9,封面!J9,封面!K9)</f>
        <v>评估基准日：年月日</v>
      </c>
    </row>
    <row r="4" ht="15.5" customHeight="1" spans="1:11">
      <c r="A4" s="19" t="str">
        <f>封面!D7&amp;封面!F7</f>
        <v>被评估单位：</v>
      </c>
      <c r="K4" s="54" t="s">
        <v>139</v>
      </c>
    </row>
    <row r="5" s="12" customFormat="1" ht="13" customHeight="1" spans="1:11">
      <c r="A5" s="23" t="s">
        <v>141</v>
      </c>
      <c r="B5" s="23" t="s">
        <v>284</v>
      </c>
      <c r="C5" s="23" t="s">
        <v>285</v>
      </c>
      <c r="D5" s="23" t="s">
        <v>278</v>
      </c>
      <c r="E5" s="23" t="s">
        <v>279</v>
      </c>
      <c r="F5" s="23" t="s">
        <v>280</v>
      </c>
      <c r="G5" s="23" t="s">
        <v>175</v>
      </c>
      <c r="H5" s="23" t="s">
        <v>281</v>
      </c>
      <c r="I5" s="23" t="s">
        <v>176</v>
      </c>
      <c r="J5" s="23" t="s">
        <v>177</v>
      </c>
      <c r="K5" s="23" t="s">
        <v>215</v>
      </c>
    </row>
    <row r="6" ht="15.5" customHeight="1" spans="1:11">
      <c r="A6" s="23">
        <v>1</v>
      </c>
      <c r="B6" s="59"/>
      <c r="C6" s="271"/>
      <c r="D6" s="270"/>
      <c r="E6" s="26"/>
      <c r="F6" s="23"/>
      <c r="G6" s="26"/>
      <c r="H6" s="26"/>
      <c r="I6" s="26"/>
      <c r="J6" s="26">
        <f t="shared" ref="J6:J11" si="0">I6</f>
        <v>0</v>
      </c>
      <c r="K6" s="26" t="str">
        <f t="shared" ref="K6:K11" si="1">IF(I6=0,"",(J6-I6)/I6*100)</f>
        <v/>
      </c>
    </row>
    <row r="7" ht="15.5" customHeight="1" spans="1:11">
      <c r="A7" s="23"/>
      <c r="B7" s="67"/>
      <c r="C7" s="26"/>
      <c r="D7" s="270"/>
      <c r="E7" s="26"/>
      <c r="F7" s="23"/>
      <c r="G7" s="26"/>
      <c r="H7" s="26"/>
      <c r="I7" s="26"/>
      <c r="J7" s="26">
        <f t="shared" si="0"/>
        <v>0</v>
      </c>
      <c r="K7" s="26" t="str">
        <f t="shared" si="1"/>
        <v/>
      </c>
    </row>
    <row r="8" ht="15.5" customHeight="1" spans="1:11">
      <c r="A8" s="23"/>
      <c r="B8" s="67"/>
      <c r="C8" s="26"/>
      <c r="D8" s="270"/>
      <c r="E8" s="26"/>
      <c r="F8" s="23"/>
      <c r="G8" s="26"/>
      <c r="H8" s="26"/>
      <c r="I8" s="26"/>
      <c r="J8" s="26">
        <f t="shared" si="0"/>
        <v>0</v>
      </c>
      <c r="K8" s="26" t="str">
        <f t="shared" si="1"/>
        <v/>
      </c>
    </row>
    <row r="9" ht="15.5" customHeight="1" spans="1:11">
      <c r="A9" s="23"/>
      <c r="B9" s="67"/>
      <c r="C9" s="26"/>
      <c r="D9" s="270"/>
      <c r="E9" s="26"/>
      <c r="F9" s="23"/>
      <c r="G9" s="26"/>
      <c r="H9" s="26"/>
      <c r="I9" s="26"/>
      <c r="J9" s="26">
        <f t="shared" si="0"/>
        <v>0</v>
      </c>
      <c r="K9" s="26" t="str">
        <f t="shared" si="1"/>
        <v/>
      </c>
    </row>
    <row r="10" ht="15.5" customHeight="1" spans="1:11">
      <c r="A10" s="23"/>
      <c r="B10" s="67"/>
      <c r="C10" s="26"/>
      <c r="D10" s="270"/>
      <c r="E10" s="26"/>
      <c r="F10" s="23"/>
      <c r="G10" s="26"/>
      <c r="H10" s="26"/>
      <c r="I10" s="26"/>
      <c r="J10" s="26">
        <f t="shared" si="0"/>
        <v>0</v>
      </c>
      <c r="K10" s="26" t="str">
        <f t="shared" si="1"/>
        <v/>
      </c>
    </row>
    <row r="11" ht="15.5" customHeight="1" spans="1:11">
      <c r="A11" s="23"/>
      <c r="B11" s="67"/>
      <c r="C11" s="26"/>
      <c r="D11" s="270"/>
      <c r="E11" s="26"/>
      <c r="F11" s="23"/>
      <c r="G11" s="26"/>
      <c r="H11" s="26"/>
      <c r="I11" s="26"/>
      <c r="J11" s="26">
        <f t="shared" si="0"/>
        <v>0</v>
      </c>
      <c r="K11" s="26" t="str">
        <f t="shared" si="1"/>
        <v/>
      </c>
    </row>
    <row r="12" ht="15.5" customHeight="1" spans="1:11">
      <c r="A12" s="23"/>
      <c r="B12" s="67"/>
      <c r="C12" s="98"/>
      <c r="D12" s="270"/>
      <c r="E12" s="26"/>
      <c r="F12" s="23"/>
      <c r="G12" s="26"/>
      <c r="H12" s="26"/>
      <c r="I12" s="26"/>
      <c r="J12" s="26"/>
      <c r="K12" s="26"/>
    </row>
    <row r="13" ht="15.5" customHeight="1" spans="1:11">
      <c r="A13" s="23"/>
      <c r="B13" s="67"/>
      <c r="C13" s="98"/>
      <c r="D13" s="270"/>
      <c r="E13" s="26"/>
      <c r="F13" s="23"/>
      <c r="G13" s="26"/>
      <c r="H13" s="26"/>
      <c r="I13" s="26"/>
      <c r="J13" s="26">
        <f t="shared" ref="J13:J20" si="2">I13</f>
        <v>0</v>
      </c>
      <c r="K13" s="26" t="str">
        <f t="shared" ref="K13:K21" si="3">IF(I13=0,"",(J13-I13)/I13*100)</f>
        <v/>
      </c>
    </row>
    <row r="14" ht="15.5" customHeight="1" spans="1:11">
      <c r="A14" s="23"/>
      <c r="B14" s="67"/>
      <c r="C14" s="98"/>
      <c r="D14" s="270"/>
      <c r="E14" s="26"/>
      <c r="F14" s="23"/>
      <c r="G14" s="26"/>
      <c r="H14" s="26"/>
      <c r="I14" s="26"/>
      <c r="J14" s="26">
        <f t="shared" si="2"/>
        <v>0</v>
      </c>
      <c r="K14" s="26" t="str">
        <f t="shared" si="3"/>
        <v/>
      </c>
    </row>
    <row r="15" ht="15.5" customHeight="1" spans="1:11">
      <c r="A15" s="23"/>
      <c r="B15" s="67"/>
      <c r="C15" s="98"/>
      <c r="D15" s="270"/>
      <c r="E15" s="26"/>
      <c r="F15" s="23"/>
      <c r="G15" s="26"/>
      <c r="H15" s="26"/>
      <c r="I15" s="26"/>
      <c r="J15" s="26">
        <f t="shared" si="2"/>
        <v>0</v>
      </c>
      <c r="K15" s="26" t="str">
        <f t="shared" si="3"/>
        <v/>
      </c>
    </row>
    <row r="16" ht="15.5" customHeight="1" spans="1:11">
      <c r="A16" s="23"/>
      <c r="B16" s="67"/>
      <c r="C16" s="98"/>
      <c r="D16" s="270"/>
      <c r="E16" s="26"/>
      <c r="F16" s="23"/>
      <c r="G16" s="26"/>
      <c r="H16" s="26"/>
      <c r="I16" s="26"/>
      <c r="J16" s="26">
        <f t="shared" si="2"/>
        <v>0</v>
      </c>
      <c r="K16" s="26" t="str">
        <f t="shared" si="3"/>
        <v/>
      </c>
    </row>
    <row r="17" ht="15.5" customHeight="1" spans="1:11">
      <c r="A17" s="23"/>
      <c r="B17" s="67"/>
      <c r="C17" s="98"/>
      <c r="D17" s="270"/>
      <c r="E17" s="26"/>
      <c r="F17" s="23"/>
      <c r="G17" s="26"/>
      <c r="H17" s="26"/>
      <c r="I17" s="26"/>
      <c r="J17" s="26">
        <f t="shared" si="2"/>
        <v>0</v>
      </c>
      <c r="K17" s="26" t="str">
        <f t="shared" si="3"/>
        <v/>
      </c>
    </row>
    <row r="18" ht="15.5" customHeight="1" spans="1:11">
      <c r="A18" s="23"/>
      <c r="B18" s="67"/>
      <c r="C18" s="98"/>
      <c r="D18" s="270"/>
      <c r="E18" s="26"/>
      <c r="F18" s="23"/>
      <c r="G18" s="26"/>
      <c r="H18" s="26"/>
      <c r="I18" s="26"/>
      <c r="J18" s="26">
        <f t="shared" si="2"/>
        <v>0</v>
      </c>
      <c r="K18" s="26" t="str">
        <f t="shared" si="3"/>
        <v/>
      </c>
    </row>
    <row r="19" ht="15.5" customHeight="1" spans="1:11">
      <c r="A19" s="23"/>
      <c r="B19" s="67"/>
      <c r="C19" s="98"/>
      <c r="D19" s="270"/>
      <c r="E19" s="26"/>
      <c r="F19" s="23"/>
      <c r="G19" s="26"/>
      <c r="H19" s="26"/>
      <c r="I19" s="26"/>
      <c r="J19" s="26">
        <f t="shared" si="2"/>
        <v>0</v>
      </c>
      <c r="K19" s="26" t="str">
        <f t="shared" si="3"/>
        <v/>
      </c>
    </row>
    <row r="20" ht="15.5" customHeight="1" spans="1:11">
      <c r="A20" s="23"/>
      <c r="B20" s="67"/>
      <c r="C20" s="98"/>
      <c r="D20" s="270"/>
      <c r="E20" s="26"/>
      <c r="F20" s="23"/>
      <c r="G20" s="26"/>
      <c r="H20" s="26"/>
      <c r="I20" s="26"/>
      <c r="J20" s="26">
        <f t="shared" si="2"/>
        <v>0</v>
      </c>
      <c r="K20" s="26" t="str">
        <f t="shared" si="3"/>
        <v/>
      </c>
    </row>
    <row r="21" ht="15.5" customHeight="1" spans="1:11">
      <c r="A21" s="23"/>
      <c r="B21" s="24"/>
      <c r="C21" s="98"/>
      <c r="D21" s="98"/>
      <c r="E21" s="26"/>
      <c r="F21" s="23"/>
      <c r="G21" s="26"/>
      <c r="H21" s="26"/>
      <c r="I21" s="26"/>
      <c r="J21" s="26"/>
      <c r="K21" s="26" t="str">
        <f t="shared" si="3"/>
        <v/>
      </c>
    </row>
    <row r="22" ht="15.5" customHeight="1" spans="1:11">
      <c r="A22" s="23"/>
      <c r="B22" s="24"/>
      <c r="C22" s="98"/>
      <c r="D22" s="98"/>
      <c r="E22" s="26"/>
      <c r="F22" s="23"/>
      <c r="G22" s="26"/>
      <c r="H22" s="26"/>
      <c r="I22" s="26"/>
      <c r="J22" s="26"/>
      <c r="K22" s="26"/>
    </row>
    <row r="23" ht="15.5" customHeight="1" spans="1:11">
      <c r="A23" s="23" t="s">
        <v>282</v>
      </c>
      <c r="B23" s="28"/>
      <c r="C23" s="27"/>
      <c r="D23" s="27"/>
      <c r="E23" s="26"/>
      <c r="F23" s="23"/>
      <c r="G23" s="26">
        <f>SUM(G6:G22)</f>
        <v>0</v>
      </c>
      <c r="H23" s="26"/>
      <c r="I23" s="26">
        <f>SUM(I6:I22)</f>
        <v>0</v>
      </c>
      <c r="J23" s="26">
        <f>SUM(J6:J22)</f>
        <v>0</v>
      </c>
      <c r="K23" s="26" t="str">
        <f>IF(I23=0,"",(J23-I23)/I23*100)</f>
        <v/>
      </c>
    </row>
    <row r="24" ht="15.5" customHeight="1" spans="1:11">
      <c r="A24" s="29" t="str">
        <f>封面!D11&amp;封面!G11</f>
        <v>被评估单位填表人：</v>
      </c>
      <c r="I24" s="19" t="str">
        <f>"评估人员："&amp;封面!G20</f>
        <v>评估人员：</v>
      </c>
    </row>
    <row r="25" ht="15.5" customHeight="1" spans="1:11">
      <c r="A25" s="29" t="str">
        <f>CONCATENATE(封面!D13,封面!F13,封面!G13,封面!H13,封面!I13,封面!J13,封面!K13)</f>
        <v>填表日期：年月日</v>
      </c>
    </row>
  </sheetData>
  <mergeCells count="3">
    <mergeCell ref="A2:K2"/>
    <mergeCell ref="A3:K3"/>
    <mergeCell ref="A23:B23"/>
  </mergeCells>
  <hyperlinks>
    <hyperlink ref="A1" location="索引目录!E7" display="返回索引页"/>
    <hyperlink ref="B1" location="流动汇总!B6" display="返回"/>
  </hyperlinks>
  <printOptions horizontalCentered="1"/>
  <pageMargins left="0.354330708661417" right="0.354330708661417" top="0.78740157480315" bottom="0.78740157480315" header="1.02" footer="0.511811023622047"/>
  <pageSetup paperSize="9" fitToHeight="0" orientation="landscape"/>
  <headerFooter alignWithMargins="0">
    <oddHeader>&amp;R&amp;"宋体,常规"共&amp;"Times New Roman,常规"&amp;N&amp;"宋体,常规"页第&amp;"Times New Roman,常规"&amp;P&amp;"宋体,常规"3-1-2
页</oddHead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pageSetUpPr fitToPage="1"/>
  </sheetPr>
  <dimension ref="A1:L22"/>
  <sheetViews>
    <sheetView view="pageBreakPreview" zoomScale="85" zoomScaleNormal="100" workbookViewId="0">
      <selection activeCell="G451" sqref="G451"/>
    </sheetView>
  </sheetViews>
  <sheetFormatPr defaultColWidth="9" defaultRowHeight="15.75" customHeight="1"/>
  <cols>
    <col min="1" max="1" width="5.33333333333333" style="13" customWidth="1"/>
    <col min="2" max="2" width="44.5833333333333" style="13" customWidth="1"/>
    <col min="3" max="3" width="4.91666666666667" style="13" customWidth="1"/>
    <col min="4" max="4" width="6.5" style="13" customWidth="1"/>
    <col min="5" max="5" width="12" style="13" hidden="1" customWidth="1"/>
    <col min="6" max="6" width="12.25" style="13" hidden="1" customWidth="1"/>
    <col min="7" max="8" width="14.25" style="13" hidden="1" customWidth="1" outlineLevel="1"/>
    <col min="9" max="9" width="12.8333333333333" style="13" customWidth="1" collapsed="1"/>
    <col min="10" max="10" width="12.8333333333333" style="13" customWidth="1"/>
    <col min="11" max="11" width="7.83333333333333" style="13" customWidth="1"/>
    <col min="12" max="12" width="8.33333333333333" style="13" customWidth="1"/>
    <col min="13" max="16384" width="9" style="13" customWidth="1"/>
  </cols>
  <sheetData>
    <row r="1" ht="15.5" customHeight="1" spans="1:12">
      <c r="A1" s="224" t="s">
        <v>111</v>
      </c>
      <c r="B1" s="52" t="s">
        <v>210</v>
      </c>
      <c r="C1" s="16"/>
      <c r="D1" s="16"/>
      <c r="E1" s="16"/>
      <c r="F1" s="16"/>
      <c r="G1" s="16"/>
      <c r="H1" s="16"/>
      <c r="I1" s="16"/>
      <c r="J1" s="16"/>
      <c r="K1" s="16"/>
      <c r="L1" s="16"/>
    </row>
    <row r="2" s="11" customFormat="1" ht="30" customHeight="1" spans="1:12">
      <c r="A2" s="53" t="s">
        <v>286</v>
      </c>
    </row>
    <row r="3" ht="14.15" customHeight="1" spans="1:12">
      <c r="A3" s="18" t="str">
        <f>CONCATENATE(封面!D9,封面!F9,封面!G9,封面!H9,封面!I9,封面!J9,封面!K9)</f>
        <v>评估基准日：年月日</v>
      </c>
    </row>
    <row r="4" ht="15.5" customHeight="1" spans="1:12">
      <c r="A4" s="19" t="str">
        <f>封面!D7&amp;封面!F7</f>
        <v>被评估单位：</v>
      </c>
      <c r="L4" s="54" t="s">
        <v>139</v>
      </c>
    </row>
    <row r="5" s="12" customFormat="1" ht="13" customHeight="1" spans="1:12">
      <c r="A5" s="23" t="s">
        <v>141</v>
      </c>
      <c r="B5" s="23" t="s">
        <v>287</v>
      </c>
      <c r="C5" s="23" t="s">
        <v>288</v>
      </c>
      <c r="D5" s="23" t="s">
        <v>278</v>
      </c>
      <c r="E5" s="23" t="s">
        <v>279</v>
      </c>
      <c r="F5" s="23" t="s">
        <v>280</v>
      </c>
      <c r="G5" s="23" t="s">
        <v>175</v>
      </c>
      <c r="H5" s="23" t="s">
        <v>281</v>
      </c>
      <c r="I5" s="23" t="s">
        <v>176</v>
      </c>
      <c r="J5" s="23" t="s">
        <v>177</v>
      </c>
      <c r="K5" s="23" t="s">
        <v>215</v>
      </c>
      <c r="L5" s="23" t="s">
        <v>144</v>
      </c>
    </row>
    <row r="6" ht="15.5" customHeight="1" spans="1:12">
      <c r="A6" s="23">
        <v>1</v>
      </c>
      <c r="B6" s="67"/>
      <c r="C6" s="270"/>
      <c r="D6" s="270"/>
      <c r="E6" s="26"/>
      <c r="F6" s="23"/>
      <c r="G6" s="26"/>
      <c r="H6" s="26"/>
      <c r="I6" s="26"/>
      <c r="J6" s="26"/>
      <c r="K6" s="26" t="str">
        <f t="shared" ref="K6:K11" si="0">IF(I6=0,"",(J6-I6)/I6*100)</f>
        <v/>
      </c>
      <c r="L6" s="27"/>
    </row>
    <row r="7" ht="15.5" customHeight="1" spans="1:12">
      <c r="A7" s="23">
        <v>2</v>
      </c>
      <c r="B7" s="67"/>
      <c r="C7" s="270"/>
      <c r="D7" s="270"/>
      <c r="E7" s="26"/>
      <c r="F7" s="23"/>
      <c r="G7" s="26"/>
      <c r="H7" s="26"/>
      <c r="I7" s="26"/>
      <c r="J7" s="26"/>
      <c r="K7" s="26" t="str">
        <f t="shared" si="0"/>
        <v/>
      </c>
      <c r="L7" s="27"/>
    </row>
    <row r="8" ht="15.5" customHeight="1" spans="1:12">
      <c r="A8" s="23">
        <v>3</v>
      </c>
      <c r="B8" s="67"/>
      <c r="C8" s="270"/>
      <c r="D8" s="270"/>
      <c r="E8" s="26"/>
      <c r="F8" s="23"/>
      <c r="G8" s="26"/>
      <c r="H8" s="26"/>
      <c r="I8" s="26"/>
      <c r="J8" s="26"/>
      <c r="K8" s="26" t="str">
        <f t="shared" si="0"/>
        <v/>
      </c>
      <c r="L8" s="27"/>
    </row>
    <row r="9" ht="15.5" customHeight="1" spans="1:12">
      <c r="A9" s="23">
        <v>4</v>
      </c>
      <c r="B9" s="67"/>
      <c r="C9" s="270"/>
      <c r="D9" s="270"/>
      <c r="E9" s="26"/>
      <c r="F9" s="23"/>
      <c r="G9" s="26"/>
      <c r="H9" s="26"/>
      <c r="I9" s="26"/>
      <c r="J9" s="26"/>
      <c r="K9" s="26" t="str">
        <f t="shared" si="0"/>
        <v/>
      </c>
      <c r="L9" s="27"/>
    </row>
    <row r="10" ht="15.5" customHeight="1" spans="1:12">
      <c r="A10" s="23">
        <v>5</v>
      </c>
      <c r="B10" s="67"/>
      <c r="C10" s="270"/>
      <c r="D10" s="270"/>
      <c r="E10" s="26"/>
      <c r="F10" s="23"/>
      <c r="G10" s="26"/>
      <c r="H10" s="26"/>
      <c r="I10" s="26"/>
      <c r="J10" s="26"/>
      <c r="K10" s="26" t="str">
        <f t="shared" si="0"/>
        <v/>
      </c>
      <c r="L10" s="27"/>
    </row>
    <row r="11" ht="15.5" customHeight="1" spans="1:12">
      <c r="A11" s="23">
        <v>6</v>
      </c>
      <c r="B11" s="67"/>
      <c r="C11" s="270"/>
      <c r="D11" s="270"/>
      <c r="E11" s="26"/>
      <c r="F11" s="23"/>
      <c r="G11" s="26"/>
      <c r="H11" s="26"/>
      <c r="I11" s="26"/>
      <c r="J11" s="26"/>
      <c r="K11" s="26" t="str">
        <f t="shared" si="0"/>
        <v/>
      </c>
      <c r="L11" s="27"/>
    </row>
    <row r="12" ht="15.5" customHeight="1" spans="1:12">
      <c r="A12" s="23"/>
      <c r="B12" s="67"/>
      <c r="C12" s="270"/>
      <c r="D12" s="270"/>
      <c r="E12" s="26"/>
      <c r="F12" s="23"/>
      <c r="G12" s="26"/>
      <c r="H12" s="26"/>
      <c r="I12" s="26"/>
      <c r="J12" s="26"/>
      <c r="K12" s="26"/>
      <c r="L12" s="27"/>
    </row>
    <row r="13" ht="15.5" customHeight="1" spans="1:12">
      <c r="A13" s="23"/>
      <c r="B13" s="67"/>
      <c r="C13" s="270"/>
      <c r="D13" s="270"/>
      <c r="E13" s="26"/>
      <c r="F13" s="23"/>
      <c r="G13" s="26"/>
      <c r="H13" s="26"/>
      <c r="I13" s="26"/>
      <c r="J13" s="26"/>
      <c r="K13" s="26"/>
      <c r="L13" s="27"/>
    </row>
    <row r="14" ht="15.5" customHeight="1" spans="1:12">
      <c r="A14" s="23"/>
      <c r="B14" s="67"/>
      <c r="C14" s="270"/>
      <c r="D14" s="270"/>
      <c r="E14" s="26"/>
      <c r="F14" s="23"/>
      <c r="G14" s="26"/>
      <c r="H14" s="26"/>
      <c r="I14" s="26"/>
      <c r="J14" s="26"/>
      <c r="K14" s="26"/>
      <c r="L14" s="27"/>
    </row>
    <row r="15" ht="15.5" customHeight="1" spans="1:12">
      <c r="A15" s="23"/>
      <c r="B15" s="67"/>
      <c r="C15" s="270"/>
      <c r="D15" s="270"/>
      <c r="E15" s="26"/>
      <c r="F15" s="23"/>
      <c r="G15" s="26"/>
      <c r="H15" s="26"/>
      <c r="I15" s="26"/>
      <c r="J15" s="26"/>
      <c r="K15" s="26"/>
      <c r="L15" s="27"/>
    </row>
    <row r="16" ht="15.5" customHeight="1" spans="1:12">
      <c r="A16" s="23"/>
      <c r="B16" s="67"/>
      <c r="C16" s="270"/>
      <c r="D16" s="270"/>
      <c r="E16" s="26"/>
      <c r="F16" s="23"/>
      <c r="G16" s="26"/>
      <c r="H16" s="26"/>
      <c r="I16" s="26"/>
      <c r="J16" s="26"/>
      <c r="K16" s="26"/>
      <c r="L16" s="27"/>
    </row>
    <row r="17" ht="15.5" customHeight="1" spans="1:12">
      <c r="A17" s="23"/>
      <c r="B17" s="24"/>
      <c r="C17" s="24"/>
      <c r="D17" s="23"/>
      <c r="E17" s="26"/>
      <c r="F17" s="23"/>
      <c r="G17" s="26"/>
      <c r="H17" s="26"/>
      <c r="I17" s="26"/>
      <c r="J17" s="26"/>
      <c r="K17" s="26" t="str">
        <f>IF(I17=0,"",(J17-I17)/I17*100)</f>
        <v/>
      </c>
      <c r="L17" s="27"/>
    </row>
    <row r="18" ht="15.5" customHeight="1" spans="1:12">
      <c r="A18" s="23"/>
      <c r="B18" s="24"/>
      <c r="C18" s="24"/>
      <c r="D18" s="23"/>
      <c r="E18" s="26"/>
      <c r="F18" s="23"/>
      <c r="G18" s="26"/>
      <c r="H18" s="26"/>
      <c r="I18" s="26"/>
      <c r="J18" s="26"/>
      <c r="K18" s="26" t="str">
        <f>IF(I18=0,"",(J18-I18)/I18*100)</f>
        <v/>
      </c>
      <c r="L18" s="27"/>
    </row>
    <row r="19" ht="15.5" customHeight="1" spans="1:12">
      <c r="A19" s="23"/>
      <c r="B19" s="24"/>
      <c r="C19" s="24"/>
      <c r="D19" s="23"/>
      <c r="E19" s="26"/>
      <c r="F19" s="23"/>
      <c r="G19" s="26"/>
      <c r="H19" s="26"/>
      <c r="I19" s="26"/>
      <c r="J19" s="26"/>
      <c r="K19" s="26"/>
      <c r="L19" s="27"/>
    </row>
    <row r="20" ht="15.5" customHeight="1" spans="1:12">
      <c r="A20" s="23" t="s">
        <v>282</v>
      </c>
      <c r="B20" s="28"/>
      <c r="C20" s="27"/>
      <c r="D20" s="27"/>
      <c r="E20" s="26"/>
      <c r="F20" s="27"/>
      <c r="G20" s="26">
        <f>SUM(G6:G19)</f>
        <v>0</v>
      </c>
      <c r="H20" s="26"/>
      <c r="I20" s="26">
        <f>SUM(I6:I19)</f>
        <v>0</v>
      </c>
      <c r="J20" s="26">
        <f>SUM(J6:J19)</f>
        <v>0</v>
      </c>
      <c r="K20" s="26" t="str">
        <f>IF(I20=0,"",(J20-I20)/I20*100)</f>
        <v/>
      </c>
      <c r="L20" s="27"/>
    </row>
    <row r="21" ht="15.5" customHeight="1" spans="1:12">
      <c r="A21" s="29" t="str">
        <f>封面!D11&amp;封面!G11</f>
        <v>被评估单位填表人：</v>
      </c>
      <c r="I21" s="19" t="str">
        <f>"评估人员："&amp;封面!G20</f>
        <v>评估人员：</v>
      </c>
    </row>
    <row r="22" ht="15.5" customHeight="1" spans="1:12">
      <c r="A22" s="29" t="str">
        <f>CONCATENATE(封面!D13,封面!F13,封面!G13,封面!H13,封面!I13,封面!J13,封面!K13)</f>
        <v>填表日期：年月日</v>
      </c>
    </row>
  </sheetData>
  <mergeCells count="3">
    <mergeCell ref="A2:L2"/>
    <mergeCell ref="A3:L3"/>
    <mergeCell ref="A20:B20"/>
  </mergeCells>
  <hyperlinks>
    <hyperlink ref="A1" location="索引目录!E8" display="返回索引页"/>
    <hyperlink ref="B1" location="流动汇总!B6" display="返回"/>
  </hyperlinks>
  <printOptions horizontalCentered="1"/>
  <pageMargins left="0.354330708661417" right="0.354330708661417" top="0.78740157480315" bottom="0.78740157480315" header="1.02" footer="0.511811023622047"/>
  <pageSetup paperSize="9" fitToHeight="0" orientation="landscape"/>
  <headerFooter alignWithMargins="0">
    <oddHeader>&amp;R&amp;"宋体,常规"共&amp;"Times New Roman,常规"&amp;N&amp;"宋体,常规"页第&amp;"Times New Roman,常规"&amp;P&amp;"宋体,常规"3-1-3
页</oddHead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indexed="15"/>
    <pageSetUpPr fitToPage="1"/>
  </sheetPr>
  <dimension ref="A1:G29"/>
  <sheetViews>
    <sheetView view="pageBreakPreview" zoomScale="60" zoomScaleNormal="85" workbookViewId="0">
      <selection activeCell="G451" sqref="G451"/>
    </sheetView>
  </sheetViews>
  <sheetFormatPr defaultColWidth="9" defaultRowHeight="15.75" customHeight="1" outlineLevelCol="6"/>
  <cols>
    <col min="1" max="1" width="7.83333333333333" style="13" customWidth="1"/>
    <col min="2" max="2" width="26.3333333333333" style="13" customWidth="1"/>
    <col min="3" max="3" width="19.0833333333333" style="13" hidden="1" customWidth="1" outlineLevel="1"/>
    <col min="4" max="4" width="24.25" style="13" customWidth="1" collapsed="1"/>
    <col min="5" max="6" width="24.25" style="13" customWidth="1"/>
    <col min="7" max="7" width="15.25" style="13" customWidth="1"/>
    <col min="8" max="16384" width="9" style="13" customWidth="1"/>
  </cols>
  <sheetData>
    <row r="1" ht="15.5" customHeight="1" spans="1:7">
      <c r="A1" s="68" t="s">
        <v>111</v>
      </c>
      <c r="B1" s="15" t="s">
        <v>210</v>
      </c>
      <c r="C1" s="16"/>
      <c r="D1" s="16"/>
      <c r="E1" s="16"/>
      <c r="F1" s="16"/>
      <c r="G1" s="16"/>
    </row>
    <row r="2" s="11" customFormat="1" ht="30" customHeight="1" spans="1:7">
      <c r="A2" s="17" t="s">
        <v>289</v>
      </c>
    </row>
    <row r="3" ht="14.15" customHeight="1" spans="1:7">
      <c r="A3" s="18" t="str">
        <f>CONCATENATE(封面!D9,封面!F9,封面!G9,封面!H9,封面!I9,封面!J9,封面!K9)</f>
        <v>评估基准日：年月日</v>
      </c>
    </row>
    <row r="4" ht="15.5" customHeight="1" spans="1:7">
      <c r="A4" s="19" t="str">
        <f>封面!D7&amp;封面!F7</f>
        <v>被评估单位：</v>
      </c>
      <c r="G4" s="44" t="s">
        <v>139</v>
      </c>
    </row>
    <row r="5" s="43" customFormat="1" ht="13" customHeight="1" spans="1:7">
      <c r="A5" s="45" t="s">
        <v>260</v>
      </c>
      <c r="B5" s="45" t="s">
        <v>212</v>
      </c>
      <c r="C5" s="45" t="s">
        <v>175</v>
      </c>
      <c r="D5" s="45" t="s">
        <v>176</v>
      </c>
      <c r="E5" s="45" t="s">
        <v>177</v>
      </c>
      <c r="F5" s="46" t="s">
        <v>214</v>
      </c>
      <c r="G5" s="45" t="s">
        <v>215</v>
      </c>
    </row>
    <row r="6" ht="15.5" customHeight="1" spans="1:7">
      <c r="A6" s="45" t="s">
        <v>290</v>
      </c>
      <c r="B6" s="50" t="s">
        <v>291</v>
      </c>
      <c r="C6" s="26">
        <f>'交易性-股票'!G27</f>
        <v>0</v>
      </c>
      <c r="D6" s="26">
        <f>'交易性-股票'!I27</f>
        <v>0</v>
      </c>
      <c r="E6" s="26">
        <f>'交易性-股票'!K27</f>
        <v>0</v>
      </c>
      <c r="F6" s="26">
        <f>E6-D6</f>
        <v>0</v>
      </c>
      <c r="G6" s="48" t="str">
        <f>IF(D6=0,"",F6/D6*100)</f>
        <v/>
      </c>
    </row>
    <row r="7" ht="15.5" customHeight="1" spans="1:7">
      <c r="A7" s="45" t="s">
        <v>292</v>
      </c>
      <c r="B7" s="50" t="s">
        <v>293</v>
      </c>
      <c r="C7" s="26">
        <f>'交易性-债券'!H27</f>
        <v>0</v>
      </c>
      <c r="D7" s="26">
        <f>'交易性-债券'!J27</f>
        <v>0</v>
      </c>
      <c r="E7" s="26">
        <f>'交易性-债券'!K27</f>
        <v>0</v>
      </c>
      <c r="F7" s="26">
        <f>E7-D7</f>
        <v>0</v>
      </c>
      <c r="G7" s="26" t="str">
        <f>IF(D7=0,"",F7/D7*100)</f>
        <v/>
      </c>
    </row>
    <row r="8" ht="15.5" customHeight="1" spans="1:7">
      <c r="A8" s="45" t="s">
        <v>294</v>
      </c>
      <c r="B8" s="50" t="s">
        <v>295</v>
      </c>
      <c r="C8" s="26">
        <f>'交易性-基金'!H27</f>
        <v>0</v>
      </c>
      <c r="D8" s="26">
        <f>'交易性-基金'!J27</f>
        <v>0</v>
      </c>
      <c r="E8" s="26">
        <f>'交易性-基金'!L27</f>
        <v>0</v>
      </c>
      <c r="F8" s="26">
        <f>E8-D8</f>
        <v>0</v>
      </c>
      <c r="G8" s="26" t="str">
        <f>IF(D8=0,"",F8/D8*100)</f>
        <v/>
      </c>
    </row>
    <row r="9" ht="15.5" customHeight="1" spans="1:7">
      <c r="A9" s="23"/>
      <c r="B9" s="27"/>
      <c r="C9" s="26"/>
      <c r="D9" s="26"/>
      <c r="E9" s="26"/>
      <c r="F9" s="26"/>
      <c r="G9" s="26"/>
    </row>
    <row r="10" ht="15.5" customHeight="1" spans="1:7">
      <c r="A10" s="23"/>
      <c r="B10" s="27"/>
      <c r="C10" s="26"/>
      <c r="D10" s="26"/>
      <c r="E10" s="26"/>
      <c r="F10" s="26"/>
      <c r="G10" s="26"/>
    </row>
    <row r="11" ht="15.5" customHeight="1" spans="1:7">
      <c r="A11" s="23"/>
      <c r="B11" s="27"/>
      <c r="C11" s="26"/>
      <c r="D11" s="26"/>
      <c r="E11" s="26"/>
      <c r="F11" s="26"/>
      <c r="G11" s="26"/>
    </row>
    <row r="12" ht="15.5" customHeight="1" spans="1:7">
      <c r="A12" s="23"/>
      <c r="B12" s="27"/>
      <c r="C12" s="26"/>
      <c r="D12" s="26"/>
      <c r="E12" s="26"/>
      <c r="F12" s="26"/>
      <c r="G12" s="26"/>
    </row>
    <row r="13" ht="15.5" customHeight="1" spans="1:7">
      <c r="A13" s="23"/>
      <c r="B13" s="27"/>
      <c r="C13" s="26"/>
      <c r="D13" s="26"/>
      <c r="E13" s="26"/>
      <c r="F13" s="26"/>
      <c r="G13" s="26"/>
    </row>
    <row r="14" ht="15.5" customHeight="1" spans="1:7">
      <c r="A14" s="23"/>
      <c r="B14" s="27"/>
      <c r="C14" s="26"/>
      <c r="D14" s="26"/>
      <c r="E14" s="26"/>
      <c r="F14" s="26"/>
      <c r="G14" s="26"/>
    </row>
    <row r="15" ht="15.5" customHeight="1" spans="1:7">
      <c r="A15" s="23"/>
      <c r="B15" s="27"/>
      <c r="C15" s="26"/>
      <c r="D15" s="26"/>
      <c r="E15" s="26"/>
      <c r="F15" s="26"/>
      <c r="G15" s="26"/>
    </row>
    <row r="16" ht="15.5" customHeight="1" spans="1:7">
      <c r="A16" s="23"/>
      <c r="B16" s="27"/>
      <c r="C16" s="26"/>
      <c r="D16" s="26"/>
      <c r="E16" s="26"/>
      <c r="F16" s="26"/>
      <c r="G16" s="26"/>
    </row>
    <row r="17" ht="15.5" customHeight="1" spans="1:7">
      <c r="A17" s="23"/>
      <c r="B17" s="27"/>
      <c r="C17" s="26"/>
      <c r="D17" s="26"/>
      <c r="E17" s="26"/>
      <c r="F17" s="26"/>
      <c r="G17" s="26"/>
    </row>
    <row r="18" ht="15.5" customHeight="1" spans="1:7">
      <c r="A18" s="23"/>
      <c r="B18" s="27"/>
      <c r="C18" s="26"/>
      <c r="D18" s="26"/>
      <c r="E18" s="26"/>
      <c r="F18" s="26"/>
      <c r="G18" s="26"/>
    </row>
    <row r="19" ht="15.5" customHeight="1" spans="1:7">
      <c r="A19" s="23"/>
      <c r="B19" s="27"/>
      <c r="C19" s="26"/>
      <c r="D19" s="26"/>
      <c r="E19" s="26"/>
      <c r="F19" s="26"/>
      <c r="G19" s="26"/>
    </row>
    <row r="20" ht="15.5" customHeight="1" spans="1:7">
      <c r="A20" s="23"/>
      <c r="B20" s="27"/>
      <c r="C20" s="26"/>
      <c r="D20" s="26"/>
      <c r="E20" s="26"/>
      <c r="F20" s="26"/>
      <c r="G20" s="26"/>
    </row>
    <row r="21" ht="15.5" customHeight="1" spans="1:7">
      <c r="A21" s="23"/>
      <c r="B21" s="27"/>
      <c r="C21" s="26"/>
      <c r="D21" s="26"/>
      <c r="E21" s="26"/>
      <c r="F21" s="26"/>
      <c r="G21" s="26"/>
    </row>
    <row r="22" ht="15.5" customHeight="1" spans="1:7">
      <c r="A22" s="23"/>
      <c r="B22" s="27"/>
      <c r="C22" s="26"/>
      <c r="D22" s="26"/>
      <c r="E22" s="26"/>
      <c r="F22" s="26"/>
      <c r="G22" s="26"/>
    </row>
    <row r="23" ht="15.5" customHeight="1" spans="1:7">
      <c r="A23" s="23"/>
      <c r="B23" s="27"/>
      <c r="C23" s="26"/>
      <c r="D23" s="26"/>
      <c r="E23" s="26"/>
      <c r="F23" s="26"/>
      <c r="G23" s="26"/>
    </row>
    <row r="24" ht="15.5" customHeight="1" spans="1:7">
      <c r="A24" s="23"/>
      <c r="B24" s="27"/>
      <c r="C24" s="26"/>
      <c r="D24" s="26"/>
      <c r="E24" s="26"/>
      <c r="F24" s="26"/>
      <c r="G24" s="26"/>
    </row>
    <row r="25" ht="15.5" customHeight="1" spans="1:7">
      <c r="A25" s="23"/>
      <c r="B25" s="27"/>
      <c r="C25" s="26"/>
      <c r="D25" s="26"/>
      <c r="E25" s="26"/>
      <c r="F25" s="26"/>
      <c r="G25" s="26"/>
    </row>
    <row r="26" ht="15.5" customHeight="1" spans="1:7">
      <c r="A26" s="23"/>
      <c r="B26" s="27"/>
      <c r="C26" s="26"/>
      <c r="D26" s="26"/>
      <c r="E26" s="26"/>
      <c r="F26" s="26"/>
      <c r="G26" s="26"/>
    </row>
    <row r="27" ht="15.5" customHeight="1" spans="1:7">
      <c r="A27" s="45" t="s">
        <v>265</v>
      </c>
      <c r="B27" s="45" t="s">
        <v>296</v>
      </c>
      <c r="C27" s="26">
        <f>SUM(C6:C26)</f>
        <v>0</v>
      </c>
      <c r="D27" s="26">
        <f>SUM(D6:D26)</f>
        <v>0</v>
      </c>
      <c r="E27" s="26">
        <f>SUM(E6:E26)</f>
        <v>0</v>
      </c>
      <c r="F27" s="26">
        <f>SUM(F6:F26)</f>
        <v>0</v>
      </c>
      <c r="G27" s="26" t="str">
        <f>IF(D27=0,"",F27/D27*100)</f>
        <v/>
      </c>
    </row>
    <row r="28" ht="15.5" customHeight="1" spans="1:7">
      <c r="A28" s="29" t="str">
        <f>封面!D11&amp;封面!G11</f>
        <v>被评估单位填表人：</v>
      </c>
      <c r="D28" s="19"/>
      <c r="E28" s="13" t="str">
        <f>"评估人员："&amp;封面!G20</f>
        <v>评估人员：</v>
      </c>
    </row>
    <row r="29" ht="15.5" customHeight="1" spans="1:7">
      <c r="A29" s="29" t="str">
        <f>CONCATENATE(封面!D13,封面!F13,封面!G13,封面!H13,封面!I13,封面!J13,封面!K13)</f>
        <v>填表日期：年月日</v>
      </c>
    </row>
  </sheetData>
  <mergeCells count="2">
    <mergeCell ref="A2:G2"/>
    <mergeCell ref="A3:G3"/>
  </mergeCells>
  <hyperlinks>
    <hyperlink ref="A1" location="索引目录!D9" display="返回索引页"/>
    <hyperlink ref="B1" location="流动汇总!B7" display="返回"/>
    <hyperlink ref="B6" location="'交易性-股票'!B1" display="交易性金融资产-股票投资"/>
    <hyperlink ref="B7" location="'交易性-债券'!B1" display="交易性金融资产-债券投资"/>
    <hyperlink ref="B8" location="'交易性-基金'!B1" display="交易性金融资产-基金投资"/>
  </hyperlinks>
  <printOptions horizontalCentered="1"/>
  <pageMargins left="0.354330708661417" right="0.354330708661417" top="0.78740157480315" bottom="0.78740157480315" header="1.01" footer="0.511811023622047"/>
  <pageSetup paperSize="9" fitToHeight="0" orientation="landscape"/>
  <headerFooter alignWithMargins="0">
    <oddHeader>&amp;R&amp;"宋体,常规"共&amp;"Times New Roman,常规"&amp;N&amp;"宋体,常规"页第&amp;"Times New Roman,常规"&amp;P&amp;"宋体,常规"3-2
页</oddHead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pageSetUpPr fitToPage="1"/>
  </sheetPr>
  <dimension ref="A1:L29"/>
  <sheetViews>
    <sheetView view="pageBreakPreview" zoomScale="60" zoomScaleNormal="100" workbookViewId="0">
      <selection activeCell="G451" sqref="G451"/>
    </sheetView>
  </sheetViews>
  <sheetFormatPr defaultColWidth="9" defaultRowHeight="15.75" customHeight="1"/>
  <cols>
    <col min="1" max="1" width="5.83333333333333" style="13" customWidth="1"/>
    <col min="2" max="2" width="16.5833333333333" style="13" customWidth="1"/>
    <col min="3" max="3" width="12.5" style="13" customWidth="1"/>
    <col min="4" max="5" width="10.0833333333333" style="13" customWidth="1"/>
    <col min="6" max="6" width="10.5" style="13" customWidth="1"/>
    <col min="7" max="8" width="15.5" style="13" hidden="1" customWidth="1" outlineLevel="1"/>
    <col min="9" max="9" width="15.5" style="13" customWidth="1" collapsed="1"/>
    <col min="10" max="10" width="12.8333333333333" style="13" customWidth="1"/>
    <col min="11" max="11" width="14.8333333333333" style="13" customWidth="1"/>
    <col min="12" max="12" width="12.8333333333333" style="13" customWidth="1"/>
    <col min="13" max="16384" width="9" style="13" customWidth="1"/>
  </cols>
  <sheetData>
    <row r="1" ht="15.5" customHeight="1" spans="1:12">
      <c r="A1" s="68" t="s">
        <v>111</v>
      </c>
      <c r="B1" s="15" t="s">
        <v>210</v>
      </c>
      <c r="C1" s="16"/>
      <c r="D1" s="16"/>
      <c r="E1" s="16"/>
      <c r="F1" s="16"/>
      <c r="G1" s="16"/>
      <c r="H1" s="16"/>
      <c r="I1" s="16"/>
      <c r="J1" s="16"/>
      <c r="K1" s="16"/>
      <c r="L1" s="16"/>
    </row>
    <row r="2" s="11" customFormat="1" ht="30" customHeight="1" spans="1:12">
      <c r="A2" s="17" t="s">
        <v>297</v>
      </c>
    </row>
    <row r="3" ht="14.15" customHeight="1" spans="1:12">
      <c r="A3" s="18" t="str">
        <f>CONCATENATE(封面!D9,封面!F9,封面!G9,封面!H9,封面!I9,封面!J9,封面!K9)</f>
        <v>评估基准日：年月日</v>
      </c>
    </row>
    <row r="4" ht="15.5" customHeight="1" spans="1:12">
      <c r="A4" s="19" t="str">
        <f>封面!D7&amp;封面!F7</f>
        <v>被评估单位：</v>
      </c>
      <c r="L4" s="20" t="s">
        <v>139</v>
      </c>
    </row>
    <row r="5" s="12" customFormat="1" ht="13" customHeight="1" spans="1:12">
      <c r="A5" s="21" t="s">
        <v>141</v>
      </c>
      <c r="B5" s="21" t="s">
        <v>298</v>
      </c>
      <c r="C5" s="21" t="s">
        <v>299</v>
      </c>
      <c r="D5" s="21" t="s">
        <v>300</v>
      </c>
      <c r="E5" s="21" t="s">
        <v>301</v>
      </c>
      <c r="F5" s="21" t="s">
        <v>302</v>
      </c>
      <c r="G5" s="21" t="s">
        <v>175</v>
      </c>
      <c r="H5" s="21" t="s">
        <v>281</v>
      </c>
      <c r="I5" s="21" t="s">
        <v>176</v>
      </c>
      <c r="J5" s="21" t="s">
        <v>303</v>
      </c>
      <c r="K5" s="21" t="s">
        <v>177</v>
      </c>
      <c r="L5" s="21" t="s">
        <v>215</v>
      </c>
    </row>
    <row r="6" ht="15.5" customHeight="1" spans="1:12">
      <c r="A6" s="23"/>
      <c r="B6" s="24"/>
      <c r="C6" s="23"/>
      <c r="D6" s="25"/>
      <c r="E6" s="38"/>
      <c r="F6" s="23"/>
      <c r="G6" s="26"/>
      <c r="H6" s="26"/>
      <c r="I6" s="26"/>
      <c r="J6" s="26"/>
      <c r="K6" s="26"/>
      <c r="L6" s="26" t="str">
        <f t="shared" ref="L6:L25" si="0">IF(I6=0,"",(K6-I6)/I6*100)</f>
        <v/>
      </c>
    </row>
    <row r="7" ht="15.5" customHeight="1" spans="1:12">
      <c r="A7" s="23"/>
      <c r="B7" s="24"/>
      <c r="C7" s="23"/>
      <c r="D7" s="25"/>
      <c r="E7" s="38"/>
      <c r="F7" s="23"/>
      <c r="G7" s="26"/>
      <c r="H7" s="26"/>
      <c r="I7" s="26"/>
      <c r="J7" s="26"/>
      <c r="K7" s="26"/>
      <c r="L7" s="26" t="str">
        <f t="shared" si="0"/>
        <v/>
      </c>
    </row>
    <row r="8" ht="15.5" customHeight="1" spans="1:12">
      <c r="A8" s="23"/>
      <c r="B8" s="24"/>
      <c r="C8" s="23"/>
      <c r="D8" s="25"/>
      <c r="E8" s="38"/>
      <c r="F8" s="23"/>
      <c r="G8" s="26"/>
      <c r="H8" s="26"/>
      <c r="I8" s="26"/>
      <c r="J8" s="26"/>
      <c r="K8" s="26"/>
      <c r="L8" s="26" t="str">
        <f t="shared" si="0"/>
        <v/>
      </c>
    </row>
    <row r="9" ht="15.5" customHeight="1" spans="1:12">
      <c r="A9" s="23"/>
      <c r="B9" s="24"/>
      <c r="C9" s="23"/>
      <c r="D9" s="25"/>
      <c r="E9" s="38"/>
      <c r="F9" s="23"/>
      <c r="G9" s="26"/>
      <c r="H9" s="26"/>
      <c r="I9" s="26"/>
      <c r="J9" s="26"/>
      <c r="K9" s="26"/>
      <c r="L9" s="26" t="str">
        <f t="shared" si="0"/>
        <v/>
      </c>
    </row>
    <row r="10" ht="15.5" customHeight="1" spans="1:12">
      <c r="A10" s="23"/>
      <c r="B10" s="24"/>
      <c r="C10" s="23"/>
      <c r="D10" s="25"/>
      <c r="E10" s="38"/>
      <c r="F10" s="23"/>
      <c r="G10" s="26"/>
      <c r="H10" s="26"/>
      <c r="I10" s="26"/>
      <c r="J10" s="26"/>
      <c r="K10" s="26"/>
      <c r="L10" s="26" t="str">
        <f t="shared" si="0"/>
        <v/>
      </c>
    </row>
    <row r="11" ht="15.5" customHeight="1" spans="1:12">
      <c r="A11" s="23"/>
      <c r="B11" s="24"/>
      <c r="C11" s="23"/>
      <c r="D11" s="25"/>
      <c r="E11" s="38"/>
      <c r="F11" s="23"/>
      <c r="G11" s="26"/>
      <c r="H11" s="26"/>
      <c r="I11" s="26"/>
      <c r="J11" s="26"/>
      <c r="K11" s="26"/>
      <c r="L11" s="26" t="str">
        <f t="shared" si="0"/>
        <v/>
      </c>
    </row>
    <row r="12" ht="15.5" customHeight="1" spans="1:12">
      <c r="A12" s="23"/>
      <c r="B12" s="24"/>
      <c r="C12" s="23"/>
      <c r="D12" s="25"/>
      <c r="E12" s="38"/>
      <c r="F12" s="23"/>
      <c r="G12" s="26"/>
      <c r="H12" s="26"/>
      <c r="I12" s="26"/>
      <c r="J12" s="26"/>
      <c r="K12" s="26"/>
      <c r="L12" s="26" t="str">
        <f t="shared" si="0"/>
        <v/>
      </c>
    </row>
    <row r="13" ht="15.5" customHeight="1" spans="1:12">
      <c r="A13" s="23"/>
      <c r="B13" s="24"/>
      <c r="C13" s="23"/>
      <c r="D13" s="25"/>
      <c r="E13" s="38"/>
      <c r="F13" s="23"/>
      <c r="G13" s="26"/>
      <c r="H13" s="26"/>
      <c r="I13" s="26"/>
      <c r="J13" s="26"/>
      <c r="K13" s="26"/>
      <c r="L13" s="26" t="str">
        <f t="shared" si="0"/>
        <v/>
      </c>
    </row>
    <row r="14" ht="15.5" customHeight="1" spans="1:12">
      <c r="A14" s="23"/>
      <c r="B14" s="24"/>
      <c r="C14" s="23"/>
      <c r="D14" s="25"/>
      <c r="E14" s="38"/>
      <c r="F14" s="23"/>
      <c r="G14" s="26"/>
      <c r="H14" s="26"/>
      <c r="I14" s="26"/>
      <c r="J14" s="26"/>
      <c r="K14" s="26"/>
      <c r="L14" s="26" t="str">
        <f t="shared" si="0"/>
        <v/>
      </c>
    </row>
    <row r="15" ht="15.5" customHeight="1" spans="1:12">
      <c r="A15" s="23"/>
      <c r="B15" s="24"/>
      <c r="C15" s="23"/>
      <c r="D15" s="25"/>
      <c r="E15" s="38"/>
      <c r="F15" s="23"/>
      <c r="G15" s="26"/>
      <c r="H15" s="26"/>
      <c r="I15" s="26"/>
      <c r="J15" s="26"/>
      <c r="K15" s="26"/>
      <c r="L15" s="26" t="str">
        <f t="shared" si="0"/>
        <v/>
      </c>
    </row>
    <row r="16" ht="15.5" customHeight="1" spans="1:12">
      <c r="A16" s="23"/>
      <c r="B16" s="24"/>
      <c r="C16" s="23"/>
      <c r="D16" s="25"/>
      <c r="E16" s="38"/>
      <c r="F16" s="23"/>
      <c r="G16" s="26"/>
      <c r="H16" s="26"/>
      <c r="I16" s="26"/>
      <c r="J16" s="26"/>
      <c r="K16" s="26"/>
      <c r="L16" s="26" t="str">
        <f t="shared" si="0"/>
        <v/>
      </c>
    </row>
    <row r="17" ht="15.5" customHeight="1" spans="1:12">
      <c r="A17" s="23"/>
      <c r="B17" s="24"/>
      <c r="C17" s="23"/>
      <c r="D17" s="25"/>
      <c r="E17" s="38"/>
      <c r="F17" s="23"/>
      <c r="G17" s="26"/>
      <c r="H17" s="26"/>
      <c r="I17" s="26"/>
      <c r="J17" s="26"/>
      <c r="K17" s="26"/>
      <c r="L17" s="26" t="str">
        <f t="shared" si="0"/>
        <v/>
      </c>
    </row>
    <row r="18" ht="15.5" customHeight="1" spans="1:12">
      <c r="A18" s="23"/>
      <c r="B18" s="24"/>
      <c r="C18" s="23"/>
      <c r="D18" s="25"/>
      <c r="E18" s="38"/>
      <c r="F18" s="23"/>
      <c r="G18" s="26"/>
      <c r="H18" s="26"/>
      <c r="I18" s="26"/>
      <c r="J18" s="26"/>
      <c r="K18" s="26"/>
      <c r="L18" s="26" t="str">
        <f t="shared" si="0"/>
        <v/>
      </c>
    </row>
    <row r="19" ht="15.5" customHeight="1" spans="1:12">
      <c r="A19" s="23"/>
      <c r="B19" s="24"/>
      <c r="C19" s="23"/>
      <c r="D19" s="25"/>
      <c r="E19" s="38"/>
      <c r="F19" s="23"/>
      <c r="G19" s="26"/>
      <c r="H19" s="26"/>
      <c r="I19" s="26"/>
      <c r="J19" s="26"/>
      <c r="K19" s="26"/>
      <c r="L19" s="26" t="str">
        <f t="shared" si="0"/>
        <v/>
      </c>
    </row>
    <row r="20" ht="15.5" customHeight="1" spans="1:12">
      <c r="A20" s="23"/>
      <c r="B20" s="24"/>
      <c r="C20" s="23"/>
      <c r="D20" s="25"/>
      <c r="E20" s="38"/>
      <c r="F20" s="23"/>
      <c r="G20" s="26"/>
      <c r="H20" s="26"/>
      <c r="I20" s="26"/>
      <c r="J20" s="26"/>
      <c r="K20" s="26"/>
      <c r="L20" s="26" t="str">
        <f t="shared" si="0"/>
        <v/>
      </c>
    </row>
    <row r="21" ht="15.5" customHeight="1" spans="1:12">
      <c r="A21" s="23"/>
      <c r="B21" s="24"/>
      <c r="C21" s="23"/>
      <c r="D21" s="25"/>
      <c r="E21" s="38"/>
      <c r="F21" s="23"/>
      <c r="G21" s="26"/>
      <c r="H21" s="26"/>
      <c r="I21" s="26"/>
      <c r="J21" s="26"/>
      <c r="K21" s="26"/>
      <c r="L21" s="26" t="str">
        <f t="shared" si="0"/>
        <v/>
      </c>
    </row>
    <row r="22" ht="15.5" customHeight="1" spans="1:12">
      <c r="A22" s="23"/>
      <c r="B22" s="24"/>
      <c r="C22" s="23"/>
      <c r="D22" s="25"/>
      <c r="E22" s="38"/>
      <c r="F22" s="23"/>
      <c r="G22" s="26"/>
      <c r="H22" s="26"/>
      <c r="I22" s="26"/>
      <c r="J22" s="26"/>
      <c r="K22" s="26"/>
      <c r="L22" s="26" t="str">
        <f t="shared" si="0"/>
        <v/>
      </c>
    </row>
    <row r="23" ht="15.5" customHeight="1" spans="1:12">
      <c r="A23" s="23"/>
      <c r="B23" s="24"/>
      <c r="C23" s="23"/>
      <c r="D23" s="25"/>
      <c r="E23" s="38"/>
      <c r="F23" s="23"/>
      <c r="G23" s="26"/>
      <c r="H23" s="26"/>
      <c r="I23" s="26"/>
      <c r="J23" s="26"/>
      <c r="K23" s="26"/>
      <c r="L23" s="26" t="str">
        <f t="shared" si="0"/>
        <v/>
      </c>
    </row>
    <row r="24" ht="15.5" customHeight="1" spans="1:12">
      <c r="A24" s="23"/>
      <c r="B24" s="24"/>
      <c r="C24" s="23"/>
      <c r="D24" s="25"/>
      <c r="E24" s="38"/>
      <c r="F24" s="23"/>
      <c r="G24" s="26"/>
      <c r="H24" s="26"/>
      <c r="I24" s="26"/>
      <c r="J24" s="26"/>
      <c r="K24" s="26"/>
      <c r="L24" s="26" t="str">
        <f t="shared" si="0"/>
        <v/>
      </c>
    </row>
    <row r="25" ht="15.5" customHeight="1" spans="1:12">
      <c r="A25" s="23"/>
      <c r="B25" s="24"/>
      <c r="C25" s="23"/>
      <c r="D25" s="25"/>
      <c r="E25" s="38"/>
      <c r="F25" s="23"/>
      <c r="G25" s="26"/>
      <c r="H25" s="26"/>
      <c r="I25" s="26"/>
      <c r="J25" s="26"/>
      <c r="K25" s="26"/>
      <c r="L25" s="26" t="str">
        <f t="shared" si="0"/>
        <v/>
      </c>
    </row>
    <row r="26" ht="15.5" customHeight="1" spans="1:12">
      <c r="A26" s="23"/>
      <c r="B26" s="24"/>
      <c r="C26" s="23"/>
      <c r="D26" s="25"/>
      <c r="E26" s="38"/>
      <c r="F26" s="23"/>
      <c r="G26" s="26"/>
      <c r="H26" s="26"/>
      <c r="I26" s="26"/>
      <c r="J26" s="26"/>
      <c r="K26" s="26"/>
      <c r="L26" s="26"/>
    </row>
    <row r="27" ht="15.5" customHeight="1" spans="1:12">
      <c r="A27" s="21" t="s">
        <v>304</v>
      </c>
      <c r="B27" s="28"/>
      <c r="C27" s="27"/>
      <c r="D27" s="25"/>
      <c r="E27" s="27"/>
      <c r="F27" s="27"/>
      <c r="G27" s="26">
        <f>SUM(G6:G26)</f>
        <v>0</v>
      </c>
      <c r="H27" s="26"/>
      <c r="I27" s="26">
        <f>SUM(I6:I26)</f>
        <v>0</v>
      </c>
      <c r="J27" s="26"/>
      <c r="K27" s="26">
        <f>SUM(K6:K26)</f>
        <v>0</v>
      </c>
      <c r="L27" s="26" t="str">
        <f>IF(I27=0,"",(K27-I27)/I27*100)</f>
        <v/>
      </c>
    </row>
    <row r="28" ht="15.5" customHeight="1" spans="1:12">
      <c r="A28" s="29" t="str">
        <f>封面!D11&amp;封面!G11</f>
        <v>被评估单位填表人：</v>
      </c>
      <c r="I28" s="19" t="str">
        <f>"评估人员："&amp;封面!G20</f>
        <v>评估人员：</v>
      </c>
    </row>
    <row r="29" ht="15.5" customHeight="1" spans="1:12">
      <c r="A29" s="29" t="str">
        <f>CONCATENATE(封面!D13,封面!F13,封面!G13,封面!H13,封面!I13,封面!J13,封面!K13)</f>
        <v>填表日期：年月日</v>
      </c>
    </row>
  </sheetData>
  <mergeCells count="3">
    <mergeCell ref="A2:L2"/>
    <mergeCell ref="A3:L3"/>
    <mergeCell ref="A27:B27"/>
  </mergeCells>
  <hyperlinks>
    <hyperlink ref="A1" location="索引目录!E9" display="返回索引页"/>
    <hyperlink ref="B1" location="交易性金融资产汇总!B6" display="返回"/>
  </hyperlinks>
  <printOptions horizontalCentered="1"/>
  <pageMargins left="0.354330708661417" right="0.354330708661417" top="0.78740157480315" bottom="0.78740157480315" header="1.01" footer="0.511811023622047"/>
  <pageSetup paperSize="9" fitToHeight="0" orientation="landscape"/>
  <headerFooter alignWithMargins="0">
    <oddHeader>&amp;R&amp;"宋体,常规"共&amp;"Times New Roman,常规"&amp;N&amp;"宋体,常规"页第&amp;"Times New Roman,常规"&amp;P&amp;"宋体,常规"3-2-1
页</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pageSetUpPr fitToPage="1"/>
  </sheetPr>
  <dimension ref="A1:L29"/>
  <sheetViews>
    <sheetView view="pageBreakPreview" zoomScale="60" zoomScaleNormal="100" workbookViewId="0">
      <selection activeCell="G451" sqref="G451"/>
    </sheetView>
  </sheetViews>
  <sheetFormatPr defaultColWidth="9" defaultRowHeight="15.75" customHeight="1"/>
  <cols>
    <col min="1" max="1" width="5.5" style="13" customWidth="1"/>
    <col min="2" max="2" width="21" style="13" customWidth="1"/>
    <col min="3" max="3" width="13.25" style="13" customWidth="1"/>
    <col min="4" max="4" width="11.5833333333333" style="13" customWidth="1"/>
    <col min="5" max="5" width="11.3333333333333" style="13" customWidth="1"/>
    <col min="6" max="6" width="9" style="13" customWidth="1"/>
    <col min="7" max="7" width="10" style="13" customWidth="1"/>
    <col min="8" max="9" width="14.5" style="13" hidden="1" customWidth="1" outlineLevel="1"/>
    <col min="10" max="10" width="14.5" style="13" customWidth="1" collapsed="1"/>
    <col min="11" max="11" width="14.5" style="13" customWidth="1"/>
    <col min="12" max="12" width="11.75" style="13" customWidth="1"/>
    <col min="13" max="16384" width="9" style="13" customWidth="1"/>
  </cols>
  <sheetData>
    <row r="1" ht="15.5" customHeight="1" spans="1:12">
      <c r="A1" s="68" t="s">
        <v>111</v>
      </c>
      <c r="B1" s="15" t="s">
        <v>210</v>
      </c>
      <c r="C1" s="16"/>
      <c r="D1" s="16"/>
      <c r="E1" s="16"/>
      <c r="F1" s="16"/>
      <c r="G1" s="16"/>
      <c r="H1" s="16"/>
      <c r="I1" s="16"/>
      <c r="J1" s="16"/>
      <c r="K1" s="16"/>
      <c r="L1" s="16"/>
    </row>
    <row r="2" s="11" customFormat="1" ht="30" customHeight="1" spans="1:12">
      <c r="A2" s="17" t="s">
        <v>305</v>
      </c>
    </row>
    <row r="3" ht="14.15" customHeight="1" spans="1:12">
      <c r="A3" s="18" t="str">
        <f>CONCATENATE(封面!D9,封面!F9,封面!G9,封面!H9,封面!I9,封面!J9,封面!K9)</f>
        <v>评估基准日：年月日</v>
      </c>
    </row>
    <row r="4" ht="15.5" customHeight="1" spans="1:12">
      <c r="A4" s="19" t="str">
        <f>封面!D7&amp;封面!F7</f>
        <v>被评估单位：</v>
      </c>
      <c r="L4" s="20" t="s">
        <v>139</v>
      </c>
    </row>
    <row r="5" s="12" customFormat="1" ht="13" customHeight="1" spans="1:12">
      <c r="A5" s="21" t="s">
        <v>141</v>
      </c>
      <c r="B5" s="21" t="s">
        <v>298</v>
      </c>
      <c r="C5" s="21" t="s">
        <v>306</v>
      </c>
      <c r="D5" s="21" t="s">
        <v>307</v>
      </c>
      <c r="E5" s="21" t="s">
        <v>300</v>
      </c>
      <c r="F5" s="21" t="s">
        <v>308</v>
      </c>
      <c r="G5" s="21" t="s">
        <v>302</v>
      </c>
      <c r="H5" s="21" t="s">
        <v>175</v>
      </c>
      <c r="I5" s="21" t="s">
        <v>281</v>
      </c>
      <c r="J5" s="21" t="s">
        <v>176</v>
      </c>
      <c r="K5" s="21" t="s">
        <v>177</v>
      </c>
      <c r="L5" s="21" t="s">
        <v>215</v>
      </c>
    </row>
    <row r="6" ht="15.5" customHeight="1" spans="1:12">
      <c r="A6" s="23"/>
      <c r="B6" s="24"/>
      <c r="C6" s="23"/>
      <c r="D6" s="25"/>
      <c r="E6" s="25"/>
      <c r="F6" s="23"/>
      <c r="G6" s="23"/>
      <c r="H6" s="26"/>
      <c r="I6" s="26"/>
      <c r="J6" s="26"/>
      <c r="K6" s="26"/>
      <c r="L6" s="26" t="str">
        <f t="shared" ref="L6:L25" si="0">IF(J6=0,"",(K6-J6)/J6*100)</f>
        <v/>
      </c>
    </row>
    <row r="7" ht="15.5" customHeight="1" spans="1:12">
      <c r="A7" s="23"/>
      <c r="B7" s="24"/>
      <c r="C7" s="23"/>
      <c r="D7" s="25"/>
      <c r="E7" s="25"/>
      <c r="F7" s="23"/>
      <c r="G7" s="23"/>
      <c r="H7" s="26"/>
      <c r="I7" s="26"/>
      <c r="J7" s="26"/>
      <c r="K7" s="26"/>
      <c r="L7" s="26" t="str">
        <f t="shared" si="0"/>
        <v/>
      </c>
    </row>
    <row r="8" ht="15.5" customHeight="1" spans="1:12">
      <c r="A8" s="23"/>
      <c r="B8" s="24"/>
      <c r="C8" s="23"/>
      <c r="D8" s="25"/>
      <c r="E8" s="25"/>
      <c r="F8" s="23"/>
      <c r="G8" s="23"/>
      <c r="H8" s="26"/>
      <c r="I8" s="26"/>
      <c r="J8" s="26"/>
      <c r="K8" s="26"/>
      <c r="L8" s="26" t="str">
        <f t="shared" si="0"/>
        <v/>
      </c>
    </row>
    <row r="9" ht="15.5" customHeight="1" spans="1:12">
      <c r="A9" s="23"/>
      <c r="B9" s="24"/>
      <c r="C9" s="23"/>
      <c r="D9" s="25"/>
      <c r="E9" s="25"/>
      <c r="F9" s="23"/>
      <c r="G9" s="23"/>
      <c r="H9" s="26"/>
      <c r="I9" s="26"/>
      <c r="J9" s="26"/>
      <c r="K9" s="26"/>
      <c r="L9" s="26" t="str">
        <f t="shared" si="0"/>
        <v/>
      </c>
    </row>
    <row r="10" ht="15.5" customHeight="1" spans="1:12">
      <c r="A10" s="23"/>
      <c r="B10" s="24"/>
      <c r="C10" s="23"/>
      <c r="D10" s="25"/>
      <c r="E10" s="25"/>
      <c r="F10" s="23"/>
      <c r="G10" s="23"/>
      <c r="H10" s="26"/>
      <c r="I10" s="26"/>
      <c r="J10" s="26"/>
      <c r="K10" s="26"/>
      <c r="L10" s="26" t="str">
        <f t="shared" si="0"/>
        <v/>
      </c>
    </row>
    <row r="11" ht="15.5" customHeight="1" spans="1:12">
      <c r="A11" s="23"/>
      <c r="B11" s="24"/>
      <c r="C11" s="23"/>
      <c r="D11" s="25"/>
      <c r="E11" s="25"/>
      <c r="F11" s="23"/>
      <c r="G11" s="23"/>
      <c r="H11" s="26"/>
      <c r="I11" s="26"/>
      <c r="J11" s="26"/>
      <c r="K11" s="26"/>
      <c r="L11" s="26" t="str">
        <f t="shared" si="0"/>
        <v/>
      </c>
    </row>
    <row r="12" ht="15.5" customHeight="1" spans="1:12">
      <c r="A12" s="23"/>
      <c r="B12" s="24"/>
      <c r="C12" s="23"/>
      <c r="D12" s="25"/>
      <c r="E12" s="25"/>
      <c r="F12" s="23"/>
      <c r="G12" s="23"/>
      <c r="H12" s="26"/>
      <c r="I12" s="26"/>
      <c r="J12" s="26"/>
      <c r="K12" s="26"/>
      <c r="L12" s="26" t="str">
        <f t="shared" si="0"/>
        <v/>
      </c>
    </row>
    <row r="13" ht="15.5" customHeight="1" spans="1:12">
      <c r="A13" s="23"/>
      <c r="B13" s="24"/>
      <c r="C13" s="23"/>
      <c r="D13" s="25"/>
      <c r="E13" s="25"/>
      <c r="F13" s="23"/>
      <c r="G13" s="23"/>
      <c r="H13" s="26"/>
      <c r="I13" s="26"/>
      <c r="J13" s="26"/>
      <c r="K13" s="26"/>
      <c r="L13" s="26" t="str">
        <f t="shared" si="0"/>
        <v/>
      </c>
    </row>
    <row r="14" ht="15.5" customHeight="1" spans="1:12">
      <c r="A14" s="23"/>
      <c r="B14" s="24"/>
      <c r="C14" s="23"/>
      <c r="D14" s="25"/>
      <c r="E14" s="25"/>
      <c r="F14" s="23"/>
      <c r="G14" s="23"/>
      <c r="H14" s="26"/>
      <c r="I14" s="26"/>
      <c r="J14" s="26"/>
      <c r="K14" s="26"/>
      <c r="L14" s="26" t="str">
        <f t="shared" si="0"/>
        <v/>
      </c>
    </row>
    <row r="15" ht="15.5" customHeight="1" spans="1:12">
      <c r="A15" s="23"/>
      <c r="B15" s="24"/>
      <c r="C15" s="23"/>
      <c r="D15" s="25"/>
      <c r="E15" s="25"/>
      <c r="F15" s="23"/>
      <c r="G15" s="23"/>
      <c r="H15" s="26"/>
      <c r="I15" s="26"/>
      <c r="J15" s="26"/>
      <c r="K15" s="26"/>
      <c r="L15" s="26" t="str">
        <f t="shared" si="0"/>
        <v/>
      </c>
    </row>
    <row r="16" ht="15.5" customHeight="1" spans="1:12">
      <c r="A16" s="23"/>
      <c r="B16" s="24"/>
      <c r="C16" s="23"/>
      <c r="D16" s="25"/>
      <c r="E16" s="25"/>
      <c r="F16" s="23"/>
      <c r="G16" s="23"/>
      <c r="H16" s="26"/>
      <c r="I16" s="26"/>
      <c r="J16" s="26"/>
      <c r="K16" s="26"/>
      <c r="L16" s="26" t="str">
        <f t="shared" si="0"/>
        <v/>
      </c>
    </row>
    <row r="17" ht="15.5" customHeight="1" spans="1:12">
      <c r="A17" s="23"/>
      <c r="B17" s="24"/>
      <c r="C17" s="23"/>
      <c r="D17" s="25"/>
      <c r="E17" s="25"/>
      <c r="F17" s="23"/>
      <c r="G17" s="23"/>
      <c r="H17" s="26"/>
      <c r="I17" s="26"/>
      <c r="J17" s="26"/>
      <c r="K17" s="26"/>
      <c r="L17" s="26" t="str">
        <f t="shared" si="0"/>
        <v/>
      </c>
    </row>
    <row r="18" ht="15.5" customHeight="1" spans="1:12">
      <c r="A18" s="23"/>
      <c r="B18" s="24"/>
      <c r="C18" s="23"/>
      <c r="D18" s="25"/>
      <c r="E18" s="25"/>
      <c r="F18" s="23"/>
      <c r="G18" s="23"/>
      <c r="H18" s="26"/>
      <c r="I18" s="26"/>
      <c r="J18" s="26"/>
      <c r="K18" s="26"/>
      <c r="L18" s="26" t="str">
        <f t="shared" si="0"/>
        <v/>
      </c>
    </row>
    <row r="19" ht="15.5" customHeight="1" spans="1:12">
      <c r="A19" s="23"/>
      <c r="B19" s="24"/>
      <c r="C19" s="23"/>
      <c r="D19" s="25"/>
      <c r="E19" s="25"/>
      <c r="F19" s="23"/>
      <c r="G19" s="23"/>
      <c r="H19" s="26"/>
      <c r="I19" s="26"/>
      <c r="J19" s="26"/>
      <c r="K19" s="26"/>
      <c r="L19" s="26" t="str">
        <f t="shared" si="0"/>
        <v/>
      </c>
    </row>
    <row r="20" ht="15.5" customHeight="1" spans="1:12">
      <c r="A20" s="23"/>
      <c r="B20" s="24"/>
      <c r="C20" s="23"/>
      <c r="D20" s="25"/>
      <c r="E20" s="25"/>
      <c r="F20" s="23"/>
      <c r="G20" s="23"/>
      <c r="H20" s="26"/>
      <c r="I20" s="26"/>
      <c r="J20" s="26"/>
      <c r="K20" s="26"/>
      <c r="L20" s="26" t="str">
        <f t="shared" si="0"/>
        <v/>
      </c>
    </row>
    <row r="21" ht="15.5" customHeight="1" spans="1:12">
      <c r="A21" s="23"/>
      <c r="B21" s="24"/>
      <c r="C21" s="23"/>
      <c r="D21" s="25"/>
      <c r="E21" s="25"/>
      <c r="F21" s="23"/>
      <c r="G21" s="23"/>
      <c r="H21" s="26"/>
      <c r="I21" s="26"/>
      <c r="J21" s="26"/>
      <c r="K21" s="26"/>
      <c r="L21" s="26" t="str">
        <f t="shared" si="0"/>
        <v/>
      </c>
    </row>
    <row r="22" ht="15.5" customHeight="1" spans="1:12">
      <c r="A22" s="23"/>
      <c r="B22" s="24"/>
      <c r="C22" s="23"/>
      <c r="D22" s="25"/>
      <c r="E22" s="25"/>
      <c r="F22" s="23"/>
      <c r="G22" s="23"/>
      <c r="H22" s="26"/>
      <c r="I22" s="26"/>
      <c r="J22" s="26"/>
      <c r="K22" s="26"/>
      <c r="L22" s="26" t="str">
        <f t="shared" si="0"/>
        <v/>
      </c>
    </row>
    <row r="23" ht="15.5" customHeight="1" spans="1:12">
      <c r="A23" s="23"/>
      <c r="B23" s="24"/>
      <c r="C23" s="23"/>
      <c r="D23" s="25"/>
      <c r="E23" s="25"/>
      <c r="F23" s="23"/>
      <c r="G23" s="23"/>
      <c r="H23" s="26"/>
      <c r="I23" s="26"/>
      <c r="J23" s="26"/>
      <c r="K23" s="26"/>
      <c r="L23" s="26" t="str">
        <f t="shared" si="0"/>
        <v/>
      </c>
    </row>
    <row r="24" ht="15.5" customHeight="1" spans="1:12">
      <c r="A24" s="23"/>
      <c r="B24" s="24"/>
      <c r="C24" s="23"/>
      <c r="D24" s="25"/>
      <c r="E24" s="25"/>
      <c r="F24" s="23"/>
      <c r="G24" s="23"/>
      <c r="H24" s="26"/>
      <c r="I24" s="26"/>
      <c r="J24" s="26"/>
      <c r="K24" s="26"/>
      <c r="L24" s="26" t="str">
        <f t="shared" si="0"/>
        <v/>
      </c>
    </row>
    <row r="25" ht="15.5" customHeight="1" spans="1:12">
      <c r="A25" s="23"/>
      <c r="B25" s="24"/>
      <c r="C25" s="23"/>
      <c r="D25" s="25"/>
      <c r="E25" s="25"/>
      <c r="F25" s="23"/>
      <c r="G25" s="23"/>
      <c r="H25" s="26"/>
      <c r="I25" s="26"/>
      <c r="J25" s="26"/>
      <c r="K25" s="26"/>
      <c r="L25" s="26" t="str">
        <f t="shared" si="0"/>
        <v/>
      </c>
    </row>
    <row r="26" ht="15.5" customHeight="1" spans="1:12">
      <c r="A26" s="23"/>
      <c r="B26" s="24"/>
      <c r="C26" s="23"/>
      <c r="D26" s="25"/>
      <c r="E26" s="25"/>
      <c r="F26" s="23"/>
      <c r="G26" s="23"/>
      <c r="H26" s="26"/>
      <c r="I26" s="26"/>
      <c r="J26" s="26"/>
      <c r="K26" s="26"/>
      <c r="L26" s="26"/>
    </row>
    <row r="27" ht="15.5" customHeight="1" spans="1:12">
      <c r="A27" s="21" t="s">
        <v>304</v>
      </c>
      <c r="B27" s="28"/>
      <c r="C27" s="27"/>
      <c r="D27" s="25"/>
      <c r="E27" s="25"/>
      <c r="F27" s="27"/>
      <c r="G27" s="27"/>
      <c r="H27" s="26">
        <f>SUM(H6:H26)</f>
        <v>0</v>
      </c>
      <c r="I27" s="26"/>
      <c r="J27" s="26">
        <f>SUM(J6:J26)</f>
        <v>0</v>
      </c>
      <c r="K27" s="26">
        <f>SUM(K6:K26)</f>
        <v>0</v>
      </c>
      <c r="L27" s="26" t="str">
        <f>IF(J27=0,"",(K27-J27)/J27*100)</f>
        <v/>
      </c>
    </row>
    <row r="28" ht="15.5" customHeight="1" spans="1:12">
      <c r="A28" s="29" t="str">
        <f>封面!D11&amp;封面!G11</f>
        <v>被评估单位填表人：</v>
      </c>
      <c r="J28" s="19" t="str">
        <f>"评估人员："&amp;封面!G20</f>
        <v>评估人员：</v>
      </c>
    </row>
    <row r="29" ht="15.5" customHeight="1" spans="1:12">
      <c r="A29" s="29" t="str">
        <f>CONCATENATE(封面!D13,封面!F13,封面!G13,封面!H13,封面!I13,封面!J13,封面!K13)</f>
        <v>填表日期：年月日</v>
      </c>
    </row>
  </sheetData>
  <mergeCells count="3">
    <mergeCell ref="A2:L2"/>
    <mergeCell ref="A3:L3"/>
    <mergeCell ref="A27:B27"/>
  </mergeCells>
  <hyperlinks>
    <hyperlink ref="A1" location="索引目录!E10" display="返回索引页"/>
    <hyperlink ref="B1" location="交易性金融资产汇总!B7" display="返回"/>
  </hyperlinks>
  <printOptions horizontalCentered="1"/>
  <pageMargins left="0.354330708661417" right="0.354330708661417" top="0.78740157480315" bottom="0.78740157480315" header="1.03" footer="0.511811023622047"/>
  <pageSetup paperSize="9" fitToHeight="0" orientation="landscape"/>
  <headerFooter alignWithMargins="0">
    <oddHeader>&amp;R&amp;"宋体,常规"共&amp;"Times New Roman,常规"&amp;N&amp;"宋体,常规"页第&amp;"Times New Roman,常规"&amp;P&amp;"宋体,常规"3-2-2
页</oddHead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pageSetUpPr fitToPage="1"/>
  </sheetPr>
  <dimension ref="A1:M29"/>
  <sheetViews>
    <sheetView view="pageBreakPreview" zoomScale="60" zoomScaleNormal="100" workbookViewId="0">
      <selection activeCell="G451" sqref="G451"/>
    </sheetView>
  </sheetViews>
  <sheetFormatPr defaultColWidth="9" defaultRowHeight="15.75" customHeight="1"/>
  <cols>
    <col min="1" max="1" width="5.33333333333333" style="13" customWidth="1"/>
    <col min="2" max="2" width="16.5833333333333" style="13" customWidth="1"/>
    <col min="3" max="3" width="13.75" style="13" customWidth="1"/>
    <col min="4" max="5" width="8.25" style="13" customWidth="1"/>
    <col min="6" max="7" width="9.33333333333333" style="13" customWidth="1"/>
    <col min="8" max="9" width="15.25" style="13" hidden="1" customWidth="1" outlineLevel="1"/>
    <col min="10" max="10" width="15.25" style="13" customWidth="1" collapsed="1"/>
    <col min="11" max="11" width="12.8333333333333" style="13" customWidth="1"/>
    <col min="12" max="12" width="14.8333333333333" style="13" customWidth="1"/>
    <col min="13" max="13" width="10.5833333333333" style="13" customWidth="1"/>
    <col min="14" max="16384" width="9" style="13" customWidth="1"/>
  </cols>
  <sheetData>
    <row r="1" ht="15.5" customHeight="1" spans="1:13">
      <c r="A1" s="68" t="s">
        <v>111</v>
      </c>
      <c r="B1" s="15" t="s">
        <v>210</v>
      </c>
      <c r="C1" s="16"/>
      <c r="D1" s="16"/>
      <c r="E1" s="16"/>
      <c r="F1" s="16"/>
      <c r="G1" s="16"/>
      <c r="H1" s="16"/>
      <c r="I1" s="16"/>
      <c r="J1" s="16"/>
      <c r="K1" s="16"/>
      <c r="L1" s="16"/>
      <c r="M1" s="16"/>
    </row>
    <row r="2" s="11" customFormat="1" ht="30" customHeight="1" spans="1:13">
      <c r="A2" s="17" t="s">
        <v>309</v>
      </c>
    </row>
    <row r="3" ht="14.15" customHeight="1" spans="1:13">
      <c r="A3" s="18" t="str">
        <f>CONCATENATE(封面!D9,封面!F9,封面!G9,封面!H9,封面!I9,封面!J9,封面!K9)</f>
        <v>评估基准日：年月日</v>
      </c>
    </row>
    <row r="4" ht="15.5" customHeight="1" spans="1:13">
      <c r="A4" s="19" t="str">
        <f>封面!D7&amp;封面!F7</f>
        <v>被评估单位：</v>
      </c>
      <c r="M4" s="20" t="s">
        <v>139</v>
      </c>
    </row>
    <row r="5" s="12" customFormat="1" ht="13" customHeight="1" spans="1:13">
      <c r="A5" s="21" t="s">
        <v>141</v>
      </c>
      <c r="B5" s="21" t="s">
        <v>310</v>
      </c>
      <c r="C5" s="21" t="s">
        <v>311</v>
      </c>
      <c r="D5" s="21" t="s">
        <v>312</v>
      </c>
      <c r="E5" s="21" t="s">
        <v>300</v>
      </c>
      <c r="F5" s="21" t="s">
        <v>313</v>
      </c>
      <c r="G5" s="21" t="s">
        <v>302</v>
      </c>
      <c r="H5" s="21" t="s">
        <v>175</v>
      </c>
      <c r="I5" s="21" t="s">
        <v>281</v>
      </c>
      <c r="J5" s="21" t="s">
        <v>176</v>
      </c>
      <c r="K5" s="21" t="s">
        <v>314</v>
      </c>
      <c r="L5" s="21" t="s">
        <v>177</v>
      </c>
      <c r="M5" s="21" t="s">
        <v>215</v>
      </c>
    </row>
    <row r="6" ht="15.5" customHeight="1" spans="1:13">
      <c r="A6" s="23"/>
      <c r="B6" s="24"/>
      <c r="C6" s="23"/>
      <c r="D6" s="25"/>
      <c r="E6" s="25"/>
      <c r="F6" s="23"/>
      <c r="G6" s="23"/>
      <c r="H6" s="26"/>
      <c r="I6" s="26"/>
      <c r="J6" s="26"/>
      <c r="K6" s="26"/>
      <c r="L6" s="26"/>
      <c r="M6" s="26" t="str">
        <f t="shared" ref="M6:M25" si="0">IF(J6=0,"",(L6-J6)/J6*100)</f>
        <v/>
      </c>
    </row>
    <row r="7" ht="15.5" customHeight="1" spans="1:13">
      <c r="A7" s="23"/>
      <c r="B7" s="24"/>
      <c r="C7" s="23"/>
      <c r="D7" s="25"/>
      <c r="E7" s="38"/>
      <c r="F7" s="23"/>
      <c r="G7" s="23"/>
      <c r="H7" s="26"/>
      <c r="I7" s="26"/>
      <c r="J7" s="26"/>
      <c r="K7" s="26"/>
      <c r="L7" s="26"/>
      <c r="M7" s="26" t="str">
        <f t="shared" si="0"/>
        <v/>
      </c>
    </row>
    <row r="8" ht="15.5" customHeight="1" spans="1:13">
      <c r="A8" s="23"/>
      <c r="B8" s="24"/>
      <c r="C8" s="23"/>
      <c r="D8" s="25"/>
      <c r="E8" s="38"/>
      <c r="F8" s="23"/>
      <c r="G8" s="23"/>
      <c r="H8" s="26"/>
      <c r="I8" s="26"/>
      <c r="J8" s="26"/>
      <c r="K8" s="26"/>
      <c r="L8" s="26"/>
      <c r="M8" s="26" t="str">
        <f t="shared" si="0"/>
        <v/>
      </c>
    </row>
    <row r="9" ht="15.5" customHeight="1" spans="1:13">
      <c r="A9" s="23"/>
      <c r="B9" s="24"/>
      <c r="C9" s="23"/>
      <c r="D9" s="25"/>
      <c r="E9" s="38"/>
      <c r="F9" s="23"/>
      <c r="G9" s="23"/>
      <c r="H9" s="26"/>
      <c r="I9" s="26"/>
      <c r="J9" s="26"/>
      <c r="K9" s="26"/>
      <c r="L9" s="26"/>
      <c r="M9" s="26" t="str">
        <f t="shared" si="0"/>
        <v/>
      </c>
    </row>
    <row r="10" ht="15.5" customHeight="1" spans="1:13">
      <c r="A10" s="23"/>
      <c r="B10" s="24"/>
      <c r="C10" s="23"/>
      <c r="D10" s="25"/>
      <c r="E10" s="38"/>
      <c r="F10" s="23"/>
      <c r="G10" s="23"/>
      <c r="H10" s="26"/>
      <c r="I10" s="26"/>
      <c r="J10" s="26"/>
      <c r="K10" s="26"/>
      <c r="L10" s="26"/>
      <c r="M10" s="26" t="str">
        <f t="shared" si="0"/>
        <v/>
      </c>
    </row>
    <row r="11" ht="15.5" customHeight="1" spans="1:13">
      <c r="A11" s="23"/>
      <c r="B11" s="24"/>
      <c r="C11" s="23"/>
      <c r="D11" s="25"/>
      <c r="E11" s="38"/>
      <c r="F11" s="23"/>
      <c r="G11" s="23"/>
      <c r="H11" s="26"/>
      <c r="I11" s="26"/>
      <c r="J11" s="26"/>
      <c r="K11" s="26"/>
      <c r="L11" s="26"/>
      <c r="M11" s="26" t="str">
        <f t="shared" si="0"/>
        <v/>
      </c>
    </row>
    <row r="12" ht="15.5" customHeight="1" spans="1:13">
      <c r="A12" s="23"/>
      <c r="B12" s="24"/>
      <c r="C12" s="23"/>
      <c r="D12" s="25"/>
      <c r="E12" s="38"/>
      <c r="F12" s="23"/>
      <c r="G12" s="23"/>
      <c r="H12" s="26"/>
      <c r="I12" s="26"/>
      <c r="J12" s="26"/>
      <c r="K12" s="26"/>
      <c r="L12" s="26"/>
      <c r="M12" s="26" t="str">
        <f t="shared" si="0"/>
        <v/>
      </c>
    </row>
    <row r="13" ht="15.5" customHeight="1" spans="1:13">
      <c r="A13" s="23"/>
      <c r="B13" s="24"/>
      <c r="C13" s="23"/>
      <c r="D13" s="25"/>
      <c r="E13" s="38"/>
      <c r="F13" s="23"/>
      <c r="G13" s="23"/>
      <c r="H13" s="26"/>
      <c r="I13" s="26"/>
      <c r="J13" s="26"/>
      <c r="K13" s="26"/>
      <c r="L13" s="26"/>
      <c r="M13" s="26" t="str">
        <f t="shared" si="0"/>
        <v/>
      </c>
    </row>
    <row r="14" ht="15.5" customHeight="1" spans="1:13">
      <c r="A14" s="23"/>
      <c r="B14" s="24"/>
      <c r="C14" s="23"/>
      <c r="D14" s="25"/>
      <c r="E14" s="38"/>
      <c r="F14" s="23"/>
      <c r="G14" s="23"/>
      <c r="H14" s="26"/>
      <c r="I14" s="26"/>
      <c r="J14" s="26"/>
      <c r="K14" s="26"/>
      <c r="L14" s="26"/>
      <c r="M14" s="26" t="str">
        <f t="shared" si="0"/>
        <v/>
      </c>
    </row>
    <row r="15" ht="15.5" customHeight="1" spans="1:13">
      <c r="A15" s="23"/>
      <c r="B15" s="24"/>
      <c r="C15" s="23"/>
      <c r="D15" s="25"/>
      <c r="E15" s="38"/>
      <c r="F15" s="23"/>
      <c r="G15" s="23"/>
      <c r="H15" s="26"/>
      <c r="I15" s="26"/>
      <c r="J15" s="26"/>
      <c r="K15" s="26"/>
      <c r="L15" s="26"/>
      <c r="M15" s="26" t="str">
        <f t="shared" si="0"/>
        <v/>
      </c>
    </row>
    <row r="16" ht="15.5" customHeight="1" spans="1:13">
      <c r="A16" s="23"/>
      <c r="B16" s="24"/>
      <c r="C16" s="23"/>
      <c r="D16" s="25"/>
      <c r="E16" s="38"/>
      <c r="F16" s="23"/>
      <c r="G16" s="23"/>
      <c r="H16" s="26"/>
      <c r="I16" s="26"/>
      <c r="J16" s="26"/>
      <c r="K16" s="26"/>
      <c r="L16" s="26"/>
      <c r="M16" s="26" t="str">
        <f t="shared" si="0"/>
        <v/>
      </c>
    </row>
    <row r="17" ht="15.5" customHeight="1" spans="1:13">
      <c r="A17" s="23"/>
      <c r="B17" s="24"/>
      <c r="C17" s="23"/>
      <c r="D17" s="25"/>
      <c r="E17" s="38"/>
      <c r="F17" s="23"/>
      <c r="G17" s="23"/>
      <c r="H17" s="26"/>
      <c r="I17" s="26"/>
      <c r="J17" s="26"/>
      <c r="K17" s="26"/>
      <c r="L17" s="26"/>
      <c r="M17" s="26" t="str">
        <f t="shared" si="0"/>
        <v/>
      </c>
    </row>
    <row r="18" ht="15.5" customHeight="1" spans="1:13">
      <c r="A18" s="23"/>
      <c r="B18" s="24"/>
      <c r="C18" s="23"/>
      <c r="D18" s="25"/>
      <c r="E18" s="38"/>
      <c r="F18" s="23"/>
      <c r="G18" s="23"/>
      <c r="H18" s="26"/>
      <c r="I18" s="26"/>
      <c r="J18" s="26"/>
      <c r="K18" s="26"/>
      <c r="L18" s="26"/>
      <c r="M18" s="26" t="str">
        <f t="shared" si="0"/>
        <v/>
      </c>
    </row>
    <row r="19" ht="15.5" customHeight="1" spans="1:13">
      <c r="A19" s="23"/>
      <c r="B19" s="24"/>
      <c r="C19" s="23"/>
      <c r="D19" s="25"/>
      <c r="E19" s="38"/>
      <c r="F19" s="23"/>
      <c r="G19" s="23"/>
      <c r="H19" s="26"/>
      <c r="I19" s="26"/>
      <c r="J19" s="26"/>
      <c r="K19" s="26"/>
      <c r="L19" s="26"/>
      <c r="M19" s="26" t="str">
        <f t="shared" si="0"/>
        <v/>
      </c>
    </row>
    <row r="20" ht="15.5" customHeight="1" spans="1:13">
      <c r="A20" s="23"/>
      <c r="B20" s="24"/>
      <c r="C20" s="23"/>
      <c r="D20" s="25"/>
      <c r="E20" s="38"/>
      <c r="F20" s="23"/>
      <c r="G20" s="23"/>
      <c r="H20" s="26"/>
      <c r="I20" s="26"/>
      <c r="J20" s="26"/>
      <c r="K20" s="26"/>
      <c r="L20" s="26"/>
      <c r="M20" s="26" t="str">
        <f t="shared" si="0"/>
        <v/>
      </c>
    </row>
    <row r="21" ht="15.5" customHeight="1" spans="1:13">
      <c r="A21" s="23"/>
      <c r="B21" s="24"/>
      <c r="C21" s="23"/>
      <c r="D21" s="25"/>
      <c r="E21" s="38"/>
      <c r="F21" s="23"/>
      <c r="G21" s="23"/>
      <c r="H21" s="26"/>
      <c r="I21" s="26"/>
      <c r="J21" s="26"/>
      <c r="K21" s="26"/>
      <c r="L21" s="26"/>
      <c r="M21" s="26" t="str">
        <f t="shared" si="0"/>
        <v/>
      </c>
    </row>
    <row r="22" ht="15.5" customHeight="1" spans="1:13">
      <c r="A22" s="23"/>
      <c r="B22" s="24"/>
      <c r="C22" s="23"/>
      <c r="D22" s="25"/>
      <c r="E22" s="38"/>
      <c r="F22" s="23"/>
      <c r="G22" s="23"/>
      <c r="H22" s="26"/>
      <c r="I22" s="26"/>
      <c r="J22" s="26"/>
      <c r="K22" s="26"/>
      <c r="L22" s="26"/>
      <c r="M22" s="26" t="str">
        <f t="shared" si="0"/>
        <v/>
      </c>
    </row>
    <row r="23" ht="15.5" customHeight="1" spans="1:13">
      <c r="A23" s="23"/>
      <c r="B23" s="24"/>
      <c r="C23" s="23"/>
      <c r="D23" s="25"/>
      <c r="E23" s="38"/>
      <c r="F23" s="23"/>
      <c r="G23" s="23"/>
      <c r="H23" s="26"/>
      <c r="I23" s="26"/>
      <c r="J23" s="26"/>
      <c r="K23" s="26"/>
      <c r="L23" s="26"/>
      <c r="M23" s="26" t="str">
        <f t="shared" si="0"/>
        <v/>
      </c>
    </row>
    <row r="24" ht="15.5" customHeight="1" spans="1:13">
      <c r="A24" s="23"/>
      <c r="B24" s="24"/>
      <c r="C24" s="23"/>
      <c r="D24" s="25"/>
      <c r="E24" s="38"/>
      <c r="F24" s="23"/>
      <c r="G24" s="23"/>
      <c r="H24" s="26"/>
      <c r="I24" s="26"/>
      <c r="J24" s="26"/>
      <c r="K24" s="26"/>
      <c r="L24" s="26"/>
      <c r="M24" s="26" t="str">
        <f t="shared" si="0"/>
        <v/>
      </c>
    </row>
    <row r="25" ht="15.5" customHeight="1" spans="1:13">
      <c r="A25" s="23"/>
      <c r="B25" s="24"/>
      <c r="C25" s="23"/>
      <c r="D25" s="25"/>
      <c r="E25" s="38"/>
      <c r="F25" s="23"/>
      <c r="G25" s="23"/>
      <c r="H25" s="26"/>
      <c r="I25" s="26"/>
      <c r="J25" s="26"/>
      <c r="K25" s="26"/>
      <c r="L25" s="26"/>
      <c r="M25" s="26" t="str">
        <f t="shared" si="0"/>
        <v/>
      </c>
    </row>
    <row r="26" ht="15.5" customHeight="1" spans="1:13">
      <c r="A26" s="23"/>
      <c r="B26" s="24"/>
      <c r="C26" s="23"/>
      <c r="D26" s="25"/>
      <c r="E26" s="38"/>
      <c r="F26" s="23"/>
      <c r="G26" s="23"/>
      <c r="H26" s="26"/>
      <c r="I26" s="26"/>
      <c r="J26" s="26"/>
      <c r="K26" s="26"/>
      <c r="L26" s="26"/>
      <c r="M26" s="26"/>
    </row>
    <row r="27" ht="15.5" customHeight="1" spans="1:13">
      <c r="A27" s="21" t="s">
        <v>304</v>
      </c>
      <c r="B27" s="28"/>
      <c r="C27" s="27"/>
      <c r="D27" s="25"/>
      <c r="E27" s="27"/>
      <c r="F27" s="27"/>
      <c r="G27" s="27"/>
      <c r="H27" s="26">
        <f>SUM(H6:H26)</f>
        <v>0</v>
      </c>
      <c r="I27" s="26"/>
      <c r="J27" s="26">
        <f>SUM(J6:J26)</f>
        <v>0</v>
      </c>
      <c r="K27" s="26"/>
      <c r="L27" s="26">
        <f>SUM(L6:L26)</f>
        <v>0</v>
      </c>
      <c r="M27" s="26" t="str">
        <f>IF(J27=0,"",(L27-J27)/J27*100)</f>
        <v/>
      </c>
    </row>
    <row r="28" ht="15.5" customHeight="1" spans="1:13">
      <c r="A28" s="29" t="str">
        <f>封面!D11&amp;封面!G11</f>
        <v>被评估单位填表人：</v>
      </c>
      <c r="J28" s="19" t="str">
        <f>"评估人员："&amp;封面!G20</f>
        <v>评估人员：</v>
      </c>
    </row>
    <row r="29" ht="15.5" customHeight="1" spans="1:13">
      <c r="A29" s="29" t="str">
        <f>CONCATENATE(封面!D13,封面!F13,封面!G13,封面!H13,封面!I13,封面!J13,封面!K13)</f>
        <v>填表日期：年月日</v>
      </c>
    </row>
  </sheetData>
  <mergeCells count="3">
    <mergeCell ref="A2:M2"/>
    <mergeCell ref="A3:M3"/>
    <mergeCell ref="A27:B27"/>
  </mergeCells>
  <hyperlinks>
    <hyperlink ref="A1" location="索引目录!E11" display="返回索引页"/>
    <hyperlink ref="B1" location="交易性金融资产汇总!B8" display="返回"/>
  </hyperlinks>
  <printOptions horizontalCentered="1"/>
  <pageMargins left="0.354330708661417" right="0.354330708661417" top="0.78740157480315" bottom="0.78740157480315" header="1.01" footer="0.511811023622047"/>
  <pageSetup paperSize="9" fitToHeight="0" orientation="landscape"/>
  <headerFooter alignWithMargins="0">
    <oddHeader>&amp;R&amp;"宋体,常规"共&amp;"Times New Roman,常规"&amp;N&amp;"宋体,常规"页第&amp;"Times New Roman,常规"&amp;P&amp;"宋体,常规"3-2-3
页</oddHead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pageSetUpPr fitToPage="1"/>
  </sheetPr>
  <dimension ref="A1:K29"/>
  <sheetViews>
    <sheetView view="pageBreakPreview" zoomScale="60" zoomScaleNormal="100" workbookViewId="0">
      <selection activeCell="G451" sqref="G451"/>
    </sheetView>
  </sheetViews>
  <sheetFormatPr defaultColWidth="9" defaultRowHeight="15.75" customHeight="1"/>
  <cols>
    <col min="1" max="1" width="5.25" style="13" customWidth="1"/>
    <col min="2" max="2" width="26.3333333333333" style="13" customWidth="1"/>
    <col min="3" max="4" width="9.58333333333333" style="13" customWidth="1"/>
    <col min="5" max="5" width="10.3333333333333" style="13" customWidth="1"/>
    <col min="6" max="7" width="13.0833333333333" style="78" hidden="1" customWidth="1" outlineLevel="1"/>
    <col min="8" max="8" width="16.5833333333333" style="78" customWidth="1" collapsed="1"/>
    <col min="9" max="10" width="14.5833333333333" style="78" customWidth="1"/>
    <col min="11" max="11" width="14.5833333333333" style="13" customWidth="1"/>
    <col min="12" max="16384" width="9" style="13" customWidth="1"/>
  </cols>
  <sheetData>
    <row r="1" ht="15.5" customHeight="1" spans="1:11">
      <c r="A1" s="68" t="s">
        <v>111</v>
      </c>
      <c r="B1" s="15" t="s">
        <v>210</v>
      </c>
      <c r="C1" s="16"/>
      <c r="D1" s="16"/>
      <c r="E1" s="16"/>
      <c r="F1" s="16"/>
      <c r="G1" s="16"/>
      <c r="H1" s="16"/>
      <c r="I1" s="16"/>
      <c r="J1" s="16"/>
      <c r="K1" s="16"/>
    </row>
    <row r="2" s="11" customFormat="1" ht="30" customHeight="1" spans="1:11">
      <c r="A2" s="17" t="s">
        <v>315</v>
      </c>
    </row>
    <row r="3" ht="14.15" customHeight="1" spans="1:11">
      <c r="A3" s="18" t="str">
        <f>CONCATENATE(封面!D9,封面!F9,封面!G9,封面!H9,封面!I9,封面!J9,封面!K9)</f>
        <v>评估基准日：年月日</v>
      </c>
    </row>
    <row r="4" ht="15.5" customHeight="1" spans="1:11">
      <c r="A4" s="19" t="str">
        <f>封面!D7&amp;封面!F7</f>
        <v>被评估单位：</v>
      </c>
      <c r="K4" s="20" t="s">
        <v>139</v>
      </c>
    </row>
    <row r="5" s="12" customFormat="1" ht="13" customHeight="1" spans="1:11">
      <c r="A5" s="21" t="s">
        <v>141</v>
      </c>
      <c r="B5" s="21" t="s">
        <v>316</v>
      </c>
      <c r="C5" s="21" t="s">
        <v>317</v>
      </c>
      <c r="D5" s="21" t="s">
        <v>318</v>
      </c>
      <c r="E5" s="21" t="s">
        <v>308</v>
      </c>
      <c r="F5" s="21" t="s">
        <v>175</v>
      </c>
      <c r="G5" s="21" t="s">
        <v>281</v>
      </c>
      <c r="H5" s="269" t="s">
        <v>176</v>
      </c>
      <c r="I5" s="269" t="s">
        <v>177</v>
      </c>
      <c r="J5" s="269" t="s">
        <v>215</v>
      </c>
      <c r="K5" s="21" t="s">
        <v>144</v>
      </c>
    </row>
    <row r="6" ht="15.5" customHeight="1" spans="1:11">
      <c r="A6" s="23"/>
      <c r="B6" s="24"/>
      <c r="C6" s="25"/>
      <c r="D6" s="25"/>
      <c r="E6" s="27"/>
      <c r="F6" s="26"/>
      <c r="G6" s="26"/>
      <c r="H6" s="26"/>
      <c r="I6" s="26"/>
      <c r="J6" s="26" t="str">
        <f t="shared" ref="J6:J27" si="0">IF(H6=0,"",(I6-H6)/H6*100)</f>
        <v/>
      </c>
      <c r="K6" s="27"/>
    </row>
    <row r="7" ht="15.5" customHeight="1" spans="1:11">
      <c r="A7" s="23"/>
      <c r="B7" s="24"/>
      <c r="C7" s="25"/>
      <c r="D7" s="25"/>
      <c r="E7" s="27"/>
      <c r="F7" s="26"/>
      <c r="G7" s="26"/>
      <c r="H7" s="26"/>
      <c r="I7" s="26"/>
      <c r="J7" s="26" t="str">
        <f t="shared" si="0"/>
        <v/>
      </c>
      <c r="K7" s="27"/>
    </row>
    <row r="8" ht="15.5" customHeight="1" spans="1:11">
      <c r="A8" s="23"/>
      <c r="B8" s="24"/>
      <c r="C8" s="25"/>
      <c r="D8" s="25"/>
      <c r="E8" s="27"/>
      <c r="F8" s="26"/>
      <c r="G8" s="26"/>
      <c r="H8" s="26"/>
      <c r="I8" s="26"/>
      <c r="J8" s="26" t="str">
        <f t="shared" si="0"/>
        <v/>
      </c>
      <c r="K8" s="27"/>
    </row>
    <row r="9" ht="15.5" customHeight="1" spans="1:11">
      <c r="A9" s="23"/>
      <c r="B9" s="24"/>
      <c r="C9" s="25"/>
      <c r="D9" s="25"/>
      <c r="E9" s="27"/>
      <c r="F9" s="26"/>
      <c r="G9" s="26"/>
      <c r="H9" s="26"/>
      <c r="I9" s="26"/>
      <c r="J9" s="26" t="str">
        <f t="shared" si="0"/>
        <v/>
      </c>
      <c r="K9" s="27"/>
    </row>
    <row r="10" ht="15.5" customHeight="1" spans="1:11">
      <c r="A10" s="23"/>
      <c r="B10" s="24"/>
      <c r="C10" s="25"/>
      <c r="D10" s="25"/>
      <c r="E10" s="27"/>
      <c r="F10" s="26"/>
      <c r="G10" s="26"/>
      <c r="H10" s="26"/>
      <c r="I10" s="26"/>
      <c r="J10" s="26" t="str">
        <f t="shared" si="0"/>
        <v/>
      </c>
      <c r="K10" s="27"/>
    </row>
    <row r="11" ht="15.5" customHeight="1" spans="1:11">
      <c r="A11" s="23"/>
      <c r="B11" s="24"/>
      <c r="C11" s="25"/>
      <c r="D11" s="25"/>
      <c r="E11" s="27"/>
      <c r="F11" s="26"/>
      <c r="G11" s="26"/>
      <c r="H11" s="26"/>
      <c r="I11" s="26"/>
      <c r="J11" s="26" t="str">
        <f t="shared" si="0"/>
        <v/>
      </c>
      <c r="K11" s="27"/>
    </row>
    <row r="12" ht="15.5" customHeight="1" spans="1:11">
      <c r="A12" s="23"/>
      <c r="B12" s="24"/>
      <c r="C12" s="25"/>
      <c r="D12" s="25"/>
      <c r="E12" s="27"/>
      <c r="F12" s="26"/>
      <c r="G12" s="26"/>
      <c r="H12" s="26"/>
      <c r="I12" s="26"/>
      <c r="J12" s="26" t="str">
        <f t="shared" si="0"/>
        <v/>
      </c>
      <c r="K12" s="27"/>
    </row>
    <row r="13" ht="15.5" customHeight="1" spans="1:11">
      <c r="A13" s="23"/>
      <c r="B13" s="24"/>
      <c r="C13" s="25"/>
      <c r="D13" s="25"/>
      <c r="E13" s="27"/>
      <c r="F13" s="26"/>
      <c r="G13" s="26"/>
      <c r="H13" s="26"/>
      <c r="I13" s="26"/>
      <c r="J13" s="26" t="str">
        <f t="shared" si="0"/>
        <v/>
      </c>
      <c r="K13" s="27"/>
    </row>
    <row r="14" ht="15.5" customHeight="1" spans="1:11">
      <c r="A14" s="23"/>
      <c r="B14" s="24"/>
      <c r="C14" s="25"/>
      <c r="D14" s="25"/>
      <c r="E14" s="27"/>
      <c r="F14" s="26"/>
      <c r="G14" s="26"/>
      <c r="H14" s="26"/>
      <c r="I14" s="26"/>
      <c r="J14" s="26" t="str">
        <f t="shared" si="0"/>
        <v/>
      </c>
      <c r="K14" s="27"/>
    </row>
    <row r="15" ht="15.5" customHeight="1" spans="1:11">
      <c r="A15" s="23"/>
      <c r="B15" s="24"/>
      <c r="C15" s="25"/>
      <c r="D15" s="25"/>
      <c r="E15" s="27"/>
      <c r="F15" s="26"/>
      <c r="G15" s="26"/>
      <c r="H15" s="26"/>
      <c r="I15" s="26"/>
      <c r="J15" s="26" t="str">
        <f t="shared" si="0"/>
        <v/>
      </c>
      <c r="K15" s="27"/>
    </row>
    <row r="16" ht="15.5" customHeight="1" spans="1:11">
      <c r="A16" s="23"/>
      <c r="B16" s="24"/>
      <c r="C16" s="25"/>
      <c r="D16" s="25"/>
      <c r="E16" s="27"/>
      <c r="F16" s="26"/>
      <c r="G16" s="26"/>
      <c r="H16" s="26"/>
      <c r="I16" s="26"/>
      <c r="J16" s="26" t="str">
        <f t="shared" si="0"/>
        <v/>
      </c>
      <c r="K16" s="27"/>
    </row>
    <row r="17" ht="15.5" customHeight="1" spans="1:11">
      <c r="A17" s="23"/>
      <c r="B17" s="24"/>
      <c r="C17" s="25"/>
      <c r="D17" s="25"/>
      <c r="E17" s="27"/>
      <c r="F17" s="26"/>
      <c r="G17" s="26"/>
      <c r="H17" s="26"/>
      <c r="I17" s="26"/>
      <c r="J17" s="26" t="str">
        <f t="shared" si="0"/>
        <v/>
      </c>
      <c r="K17" s="27"/>
    </row>
    <row r="18" ht="15.5" customHeight="1" spans="1:11">
      <c r="A18" s="23"/>
      <c r="B18" s="24"/>
      <c r="C18" s="25"/>
      <c r="D18" s="25"/>
      <c r="E18" s="27"/>
      <c r="F18" s="26"/>
      <c r="G18" s="26"/>
      <c r="H18" s="26"/>
      <c r="I18" s="26"/>
      <c r="J18" s="26" t="str">
        <f t="shared" si="0"/>
        <v/>
      </c>
      <c r="K18" s="27"/>
    </row>
    <row r="19" ht="15.5" customHeight="1" spans="1:11">
      <c r="A19" s="23"/>
      <c r="B19" s="24"/>
      <c r="C19" s="25"/>
      <c r="D19" s="25"/>
      <c r="E19" s="27"/>
      <c r="F19" s="26"/>
      <c r="G19" s="26"/>
      <c r="H19" s="26"/>
      <c r="I19" s="26"/>
      <c r="J19" s="26" t="str">
        <f t="shared" si="0"/>
        <v/>
      </c>
      <c r="K19" s="27"/>
    </row>
    <row r="20" ht="15.5" customHeight="1" spans="1:11">
      <c r="A20" s="23"/>
      <c r="B20" s="24"/>
      <c r="C20" s="25"/>
      <c r="D20" s="25"/>
      <c r="E20" s="27"/>
      <c r="F20" s="26"/>
      <c r="G20" s="26"/>
      <c r="H20" s="26"/>
      <c r="I20" s="26"/>
      <c r="J20" s="26" t="str">
        <f t="shared" si="0"/>
        <v/>
      </c>
      <c r="K20" s="27"/>
    </row>
    <row r="21" ht="15.5" customHeight="1" spans="1:11">
      <c r="A21" s="23"/>
      <c r="B21" s="24"/>
      <c r="C21" s="25"/>
      <c r="D21" s="25"/>
      <c r="E21" s="27"/>
      <c r="F21" s="26"/>
      <c r="G21" s="26"/>
      <c r="H21" s="26"/>
      <c r="I21" s="26"/>
      <c r="J21" s="26" t="str">
        <f t="shared" si="0"/>
        <v/>
      </c>
      <c r="K21" s="27"/>
    </row>
    <row r="22" ht="15.5" customHeight="1" spans="1:11">
      <c r="A22" s="23"/>
      <c r="B22" s="24"/>
      <c r="C22" s="25"/>
      <c r="D22" s="25"/>
      <c r="E22" s="27"/>
      <c r="F22" s="26"/>
      <c r="G22" s="26"/>
      <c r="H22" s="26"/>
      <c r="I22" s="26"/>
      <c r="J22" s="26" t="str">
        <f t="shared" si="0"/>
        <v/>
      </c>
      <c r="K22" s="27"/>
    </row>
    <row r="23" ht="15.5" customHeight="1" spans="1:11">
      <c r="A23" s="23"/>
      <c r="B23" s="24"/>
      <c r="C23" s="25"/>
      <c r="D23" s="25"/>
      <c r="E23" s="27"/>
      <c r="F23" s="26"/>
      <c r="G23" s="26"/>
      <c r="H23" s="26"/>
      <c r="I23" s="26"/>
      <c r="J23" s="26" t="str">
        <f t="shared" si="0"/>
        <v/>
      </c>
      <c r="K23" s="27"/>
    </row>
    <row r="24" ht="15.5" customHeight="1" spans="1:11">
      <c r="A24" s="23"/>
      <c r="B24" s="24"/>
      <c r="C24" s="25"/>
      <c r="D24" s="25"/>
      <c r="E24" s="27"/>
      <c r="F24" s="26"/>
      <c r="G24" s="26"/>
      <c r="H24" s="26"/>
      <c r="I24" s="26"/>
      <c r="J24" s="26" t="str">
        <f t="shared" si="0"/>
        <v/>
      </c>
      <c r="K24" s="27"/>
    </row>
    <row r="25" ht="15.5" customHeight="1" spans="1:11">
      <c r="A25" s="23"/>
      <c r="B25" s="24"/>
      <c r="C25" s="25"/>
      <c r="D25" s="25"/>
      <c r="E25" s="27"/>
      <c r="F25" s="26"/>
      <c r="G25" s="26"/>
      <c r="H25" s="26"/>
      <c r="I25" s="26"/>
      <c r="J25" s="26" t="str">
        <f t="shared" si="0"/>
        <v/>
      </c>
      <c r="K25" s="27"/>
    </row>
    <row r="26" ht="15.5" customHeight="1" spans="1:11">
      <c r="A26" s="23"/>
      <c r="B26" s="24"/>
      <c r="C26" s="25"/>
      <c r="D26" s="25"/>
      <c r="E26" s="27"/>
      <c r="F26" s="26"/>
      <c r="G26" s="26"/>
      <c r="H26" s="26"/>
      <c r="I26" s="26"/>
      <c r="J26" s="26" t="str">
        <f t="shared" si="0"/>
        <v/>
      </c>
      <c r="K26" s="27"/>
    </row>
    <row r="27" ht="15.5" customHeight="1" spans="1:11">
      <c r="A27" s="21" t="s">
        <v>319</v>
      </c>
      <c r="B27" s="28"/>
      <c r="C27" s="25"/>
      <c r="D27" s="25"/>
      <c r="E27" s="27"/>
      <c r="F27" s="26">
        <f>SUM(F6:F26)</f>
        <v>0</v>
      </c>
      <c r="G27" s="26"/>
      <c r="H27" s="26">
        <f>SUM(H6:H26)</f>
        <v>0</v>
      </c>
      <c r="I27" s="26">
        <f>SUM(I6:I26)</f>
        <v>0</v>
      </c>
      <c r="J27" s="26" t="str">
        <f t="shared" si="0"/>
        <v/>
      </c>
      <c r="K27" s="27"/>
    </row>
    <row r="28" ht="15.5" customHeight="1" spans="1:11">
      <c r="A28" s="29" t="str">
        <f>封面!D11&amp;封面!G11</f>
        <v>被评估单位填表人：</v>
      </c>
      <c r="H28" s="19" t="str">
        <f>"评估人员："&amp;封面!G20</f>
        <v>评估人员：</v>
      </c>
    </row>
    <row r="29" ht="15.5" customHeight="1" spans="1:11">
      <c r="A29" s="29" t="str">
        <f>CONCATENATE(封面!D13,封面!F13,封面!G13,封面!H13,封面!I13,封面!J13,封面!K13)</f>
        <v>填表日期：年月日</v>
      </c>
    </row>
  </sheetData>
  <mergeCells count="3">
    <mergeCell ref="A2:K2"/>
    <mergeCell ref="A3:K3"/>
    <mergeCell ref="A27:B27"/>
  </mergeCells>
  <hyperlinks>
    <hyperlink ref="A1" location="索引目录!D12" display="返回索引页"/>
    <hyperlink ref="B1" location="流动汇总!B8" display="返回"/>
  </hyperlinks>
  <printOptions horizontalCentered="1"/>
  <pageMargins left="0.354330708661417" right="0.354330708661417" top="0.78740157480315" bottom="0.78740157480315" header="1.02" footer="0.511811023622047"/>
  <pageSetup paperSize="9" fitToHeight="0" orientation="landscape"/>
  <headerFooter alignWithMargins="0">
    <oddHeader>&amp;R&amp;"宋体,常规"共&amp;"Times New Roman,常规"&amp;N&amp;"宋体,常规"页第&amp;"Times New Roman,常规"&amp;P&amp;"宋体,常规"3-3
页</oddHead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pageSetUpPr fitToPage="1"/>
  </sheetPr>
  <dimension ref="A1:S34"/>
  <sheetViews>
    <sheetView view="pageBreakPreview" zoomScale="90" zoomScaleNormal="100" workbookViewId="0">
      <selection activeCell="G451" sqref="G451"/>
    </sheetView>
  </sheetViews>
  <sheetFormatPr defaultColWidth="9" defaultRowHeight="15.75" customHeight="1"/>
  <cols>
    <col min="1" max="1" width="5.25" style="13" customWidth="1"/>
    <col min="2" max="2" width="24.0833333333333" style="13" customWidth="1"/>
    <col min="3" max="3" width="19.8333333333333" style="13" customWidth="1"/>
    <col min="4" max="4" width="9.5" style="13" customWidth="1"/>
    <col min="5" max="5" width="8" style="13" customWidth="1"/>
    <col min="6" max="6" width="13.0833333333333" style="13" hidden="1" customWidth="1" outlineLevel="1"/>
    <col min="7" max="7" width="10.3333333333333" style="78" hidden="1" customWidth="1" outlineLevel="1"/>
    <col min="8" max="11" width="8.75" style="78" hidden="1" customWidth="1" outlineLevel="1"/>
    <col min="12" max="12" width="10.3333333333333" style="78" hidden="1" customWidth="1" outlineLevel="1"/>
    <col min="13" max="13" width="8.25" style="78" hidden="1" customWidth="1" outlineLevel="1"/>
    <col min="14" max="15" width="10.75" style="146" hidden="1" customWidth="1" outlineLevel="1"/>
    <col min="16" max="16" width="16.6666666666667" style="13" customWidth="1" collapsed="1"/>
    <col min="17" max="17" width="16.3333333333333" style="13" customWidth="1"/>
    <col min="18" max="18" width="11.1666666666667" style="13" customWidth="1"/>
    <col min="19" max="19" width="11.5" style="13" customWidth="1"/>
    <col min="20" max="16384" width="9" style="13" customWidth="1"/>
  </cols>
  <sheetData>
    <row r="1" ht="15.5" customHeight="1" spans="1:19">
      <c r="A1" s="51" t="s">
        <v>111</v>
      </c>
      <c r="B1" s="52" t="s">
        <v>320</v>
      </c>
      <c r="C1" s="16"/>
      <c r="D1" s="16"/>
      <c r="E1" s="16"/>
      <c r="F1" s="16"/>
      <c r="G1" s="16"/>
      <c r="H1" s="16"/>
      <c r="I1" s="16"/>
      <c r="J1" s="16"/>
      <c r="K1" s="16"/>
      <c r="L1" s="16"/>
      <c r="M1" s="16"/>
      <c r="N1" s="16"/>
      <c r="O1" s="16"/>
      <c r="P1" s="16"/>
      <c r="Q1" s="16"/>
      <c r="R1" s="16"/>
      <c r="S1" s="16"/>
    </row>
    <row r="2" s="11" customFormat="1" ht="30" customHeight="1" spans="1:19">
      <c r="A2" s="53" t="s">
        <v>321</v>
      </c>
    </row>
    <row r="3" ht="14.15" customHeight="1" spans="1:19">
      <c r="A3" s="18" t="str">
        <f>CONCATENATE(封面!D9,封面!F9,封面!G9,封面!H9,封面!I9,封面!J9,封面!K9)</f>
        <v>评估基准日：年月日</v>
      </c>
    </row>
    <row r="4" ht="15.5" customHeight="1" spans="1:19">
      <c r="A4" s="19" t="str">
        <f>封面!D7&amp;封面!F7</f>
        <v>被评估单位：</v>
      </c>
      <c r="M4" s="259" t="s">
        <v>322</v>
      </c>
      <c r="N4" s="260" t="s">
        <v>323</v>
      </c>
      <c r="O4" s="261"/>
      <c r="S4" s="54" t="s">
        <v>139</v>
      </c>
    </row>
    <row r="5" s="12" customFormat="1" ht="13" customHeight="1" spans="1:19">
      <c r="A5" s="23" t="s">
        <v>141</v>
      </c>
      <c r="B5" s="63" t="s">
        <v>324</v>
      </c>
      <c r="C5" s="63" t="s">
        <v>325</v>
      </c>
      <c r="D5" s="23" t="s">
        <v>326</v>
      </c>
      <c r="E5" s="23" t="s">
        <v>327</v>
      </c>
      <c r="F5" s="23" t="s">
        <v>175</v>
      </c>
      <c r="G5" s="262" t="s">
        <v>328</v>
      </c>
      <c r="H5" s="263" t="s">
        <v>329</v>
      </c>
      <c r="I5" s="262" t="s">
        <v>330</v>
      </c>
      <c r="J5" s="262" t="s">
        <v>331</v>
      </c>
      <c r="K5" s="262" t="s">
        <v>332</v>
      </c>
      <c r="L5" s="262" t="s">
        <v>333</v>
      </c>
      <c r="M5" s="36"/>
      <c r="N5" s="36"/>
      <c r="O5" s="260" t="s">
        <v>281</v>
      </c>
      <c r="P5" s="23" t="s">
        <v>176</v>
      </c>
      <c r="Q5" s="23" t="s">
        <v>177</v>
      </c>
      <c r="R5" s="23" t="s">
        <v>215</v>
      </c>
      <c r="S5" s="23" t="s">
        <v>144</v>
      </c>
    </row>
    <row r="6" ht="15.5" customHeight="1" spans="1:19">
      <c r="A6" s="23">
        <v>1</v>
      </c>
      <c r="B6" s="267"/>
      <c r="C6" s="268"/>
      <c r="D6" s="264"/>
      <c r="E6" s="26"/>
      <c r="F6" s="26"/>
      <c r="G6" s="265"/>
      <c r="H6" s="265"/>
      <c r="I6" s="265"/>
      <c r="J6" s="265"/>
      <c r="K6" s="265"/>
      <c r="L6" s="265"/>
      <c r="M6" s="265"/>
      <c r="N6" s="266"/>
      <c r="O6" s="266"/>
      <c r="P6" s="26"/>
      <c r="Q6" s="26">
        <f>P6</f>
        <v>0</v>
      </c>
      <c r="R6" s="26" t="str">
        <f>IF(P6=0,"",(Q6-P6)/P6*100)</f>
        <v/>
      </c>
      <c r="S6" s="27"/>
    </row>
    <row r="7" ht="15.5" customHeight="1" spans="1:19">
      <c r="A7" s="23"/>
      <c r="B7" s="267"/>
      <c r="C7" s="268"/>
      <c r="D7" s="121"/>
      <c r="E7" s="26"/>
      <c r="F7" s="26"/>
      <c r="G7" s="265"/>
      <c r="H7" s="265"/>
      <c r="I7" s="265"/>
      <c r="J7" s="265"/>
      <c r="K7" s="265"/>
      <c r="L7" s="265"/>
      <c r="M7" s="265"/>
      <c r="N7" s="266"/>
      <c r="O7" s="266"/>
      <c r="P7" s="26"/>
      <c r="Q7" s="26"/>
      <c r="R7" s="26"/>
      <c r="S7" s="27"/>
    </row>
    <row r="8" ht="15.5" customHeight="1" spans="1:19">
      <c r="A8" s="23"/>
      <c r="B8" s="267"/>
      <c r="C8" s="268"/>
      <c r="D8" s="121"/>
      <c r="E8" s="26"/>
      <c r="F8" s="26"/>
      <c r="G8" s="265"/>
      <c r="H8" s="265"/>
      <c r="I8" s="265"/>
      <c r="J8" s="265"/>
      <c r="K8" s="265"/>
      <c r="L8" s="265"/>
      <c r="M8" s="265"/>
      <c r="N8" s="266"/>
      <c r="O8" s="266"/>
      <c r="P8" s="26"/>
      <c r="Q8" s="26"/>
      <c r="R8" s="26"/>
      <c r="S8" s="27"/>
    </row>
    <row r="9" ht="15.5" customHeight="1" spans="1:19">
      <c r="A9" s="23"/>
      <c r="B9" s="267"/>
      <c r="C9" s="268"/>
      <c r="D9" s="121"/>
      <c r="E9" s="26"/>
      <c r="F9" s="26"/>
      <c r="G9" s="265"/>
      <c r="H9" s="265"/>
      <c r="I9" s="265"/>
      <c r="J9" s="265"/>
      <c r="K9" s="265"/>
      <c r="L9" s="265"/>
      <c r="M9" s="265"/>
      <c r="N9" s="266"/>
      <c r="O9" s="266"/>
      <c r="P9" s="26"/>
      <c r="Q9" s="26"/>
      <c r="R9" s="26"/>
      <c r="S9" s="27"/>
    </row>
    <row r="10" ht="15.5" customHeight="1" spans="1:19">
      <c r="A10" s="23"/>
      <c r="B10" s="267"/>
      <c r="C10" s="268"/>
      <c r="D10" s="121"/>
      <c r="E10" s="26"/>
      <c r="F10" s="26"/>
      <c r="G10" s="265"/>
      <c r="H10" s="265"/>
      <c r="I10" s="265"/>
      <c r="J10" s="265"/>
      <c r="K10" s="265"/>
      <c r="L10" s="265"/>
      <c r="M10" s="265"/>
      <c r="N10" s="266"/>
      <c r="O10" s="266"/>
      <c r="P10" s="26"/>
      <c r="Q10" s="26"/>
      <c r="R10" s="26"/>
      <c r="S10" s="27"/>
    </row>
    <row r="11" ht="15.5" customHeight="1" spans="1:19">
      <c r="A11" s="23"/>
      <c r="B11" s="267"/>
      <c r="C11" s="268"/>
      <c r="D11" s="121"/>
      <c r="E11" s="26"/>
      <c r="F11" s="26"/>
      <c r="G11" s="265"/>
      <c r="H11" s="265"/>
      <c r="I11" s="265"/>
      <c r="J11" s="265"/>
      <c r="K11" s="265"/>
      <c r="L11" s="265"/>
      <c r="M11" s="265"/>
      <c r="N11" s="266"/>
      <c r="O11" s="266"/>
      <c r="P11" s="26"/>
      <c r="Q11" s="26"/>
      <c r="R11" s="26"/>
      <c r="S11" s="27"/>
    </row>
    <row r="12" ht="15.5" customHeight="1" spans="1:19">
      <c r="A12" s="23"/>
      <c r="B12" s="267"/>
      <c r="C12" s="268"/>
      <c r="D12" s="121"/>
      <c r="E12" s="26"/>
      <c r="F12" s="26"/>
      <c r="G12" s="265"/>
      <c r="H12" s="265"/>
      <c r="I12" s="265"/>
      <c r="J12" s="265"/>
      <c r="K12" s="265"/>
      <c r="L12" s="265"/>
      <c r="M12" s="265"/>
      <c r="N12" s="266"/>
      <c r="O12" s="266"/>
      <c r="P12" s="26"/>
      <c r="Q12" s="26"/>
      <c r="R12" s="26"/>
      <c r="S12" s="27"/>
    </row>
    <row r="13" ht="15.5" customHeight="1" spans="1:19">
      <c r="A13" s="23"/>
      <c r="B13" s="26"/>
      <c r="C13" s="26"/>
      <c r="D13" s="26"/>
      <c r="E13" s="26"/>
      <c r="F13" s="26"/>
      <c r="G13" s="265"/>
      <c r="H13" s="265"/>
      <c r="I13" s="265"/>
      <c r="J13" s="265"/>
      <c r="K13" s="265"/>
      <c r="L13" s="265"/>
      <c r="M13" s="265"/>
      <c r="N13" s="266"/>
      <c r="O13" s="266"/>
      <c r="P13" s="26"/>
      <c r="Q13" s="26"/>
      <c r="R13" s="26"/>
      <c r="S13" s="27"/>
    </row>
    <row r="14" ht="15.5" customHeight="1" spans="1:19">
      <c r="A14" s="23"/>
      <c r="B14" s="26"/>
      <c r="C14" s="26"/>
      <c r="D14" s="26"/>
      <c r="E14" s="26"/>
      <c r="F14" s="26"/>
      <c r="G14" s="265"/>
      <c r="H14" s="265"/>
      <c r="I14" s="265"/>
      <c r="J14" s="265"/>
      <c r="K14" s="265"/>
      <c r="L14" s="265"/>
      <c r="M14" s="265"/>
      <c r="N14" s="266"/>
      <c r="O14" s="266"/>
      <c r="P14" s="26"/>
      <c r="Q14" s="26"/>
      <c r="R14" s="26"/>
      <c r="S14" s="27"/>
    </row>
    <row r="15" ht="15.5" customHeight="1" spans="1:19">
      <c r="A15" s="23"/>
      <c r="B15" s="26"/>
      <c r="C15" s="26"/>
      <c r="D15" s="26"/>
      <c r="E15" s="26"/>
      <c r="F15" s="26"/>
      <c r="G15" s="265"/>
      <c r="H15" s="265"/>
      <c r="I15" s="265"/>
      <c r="J15" s="265"/>
      <c r="K15" s="265"/>
      <c r="L15" s="265"/>
      <c r="M15" s="265"/>
      <c r="N15" s="266"/>
      <c r="O15" s="266"/>
      <c r="P15" s="26"/>
      <c r="Q15" s="26"/>
      <c r="R15" s="26"/>
      <c r="S15" s="27"/>
    </row>
    <row r="16" ht="15.5" customHeight="1" spans="1:19">
      <c r="A16" s="23"/>
      <c r="B16" s="26"/>
      <c r="C16" s="26"/>
      <c r="D16" s="26"/>
      <c r="E16" s="26"/>
      <c r="F16" s="26"/>
      <c r="G16" s="265"/>
      <c r="H16" s="265"/>
      <c r="I16" s="265"/>
      <c r="J16" s="265"/>
      <c r="K16" s="265"/>
      <c r="L16" s="265"/>
      <c r="M16" s="265"/>
      <c r="N16" s="266"/>
      <c r="O16" s="266"/>
      <c r="P16" s="26"/>
      <c r="Q16" s="26"/>
      <c r="R16" s="26"/>
      <c r="S16" s="27"/>
    </row>
    <row r="17" ht="15.5" customHeight="1" spans="1:19">
      <c r="A17" s="23"/>
      <c r="B17" s="24"/>
      <c r="C17" s="23"/>
      <c r="D17" s="25"/>
      <c r="E17" s="23"/>
      <c r="F17" s="26"/>
      <c r="G17" s="265"/>
      <c r="H17" s="265"/>
      <c r="I17" s="265"/>
      <c r="J17" s="265"/>
      <c r="K17" s="265"/>
      <c r="L17" s="265"/>
      <c r="M17" s="265"/>
      <c r="N17" s="266"/>
      <c r="O17" s="266"/>
      <c r="P17" s="26"/>
      <c r="Q17" s="26"/>
      <c r="R17" s="26"/>
      <c r="S17" s="27"/>
    </row>
    <row r="18" ht="15.5" customHeight="1" spans="1:19">
      <c r="A18" s="23"/>
      <c r="B18" s="24"/>
      <c r="C18" s="23"/>
      <c r="D18" s="25"/>
      <c r="E18" s="23"/>
      <c r="F18" s="26"/>
      <c r="G18" s="265"/>
      <c r="H18" s="265"/>
      <c r="I18" s="265"/>
      <c r="J18" s="265"/>
      <c r="K18" s="265"/>
      <c r="L18" s="265"/>
      <c r="M18" s="265"/>
      <c r="N18" s="266"/>
      <c r="O18" s="266"/>
      <c r="P18" s="26"/>
      <c r="Q18" s="26"/>
      <c r="R18" s="26"/>
      <c r="S18" s="27"/>
    </row>
    <row r="19" ht="15.5" customHeight="1" spans="1:19">
      <c r="A19" s="23"/>
      <c r="B19" s="24"/>
      <c r="C19" s="23"/>
      <c r="D19" s="25"/>
      <c r="E19" s="23"/>
      <c r="F19" s="26"/>
      <c r="G19" s="265"/>
      <c r="H19" s="265"/>
      <c r="I19" s="265"/>
      <c r="J19" s="265"/>
      <c r="K19" s="265"/>
      <c r="L19" s="265"/>
      <c r="M19" s="265"/>
      <c r="N19" s="266"/>
      <c r="O19" s="266"/>
      <c r="P19" s="26"/>
      <c r="Q19" s="26"/>
      <c r="R19" s="26"/>
      <c r="S19" s="27"/>
    </row>
    <row r="20" ht="15.5" customHeight="1" spans="1:19">
      <c r="A20" s="23"/>
      <c r="B20" s="24"/>
      <c r="C20" s="23"/>
      <c r="D20" s="25"/>
      <c r="E20" s="23"/>
      <c r="F20" s="26"/>
      <c r="G20" s="265"/>
      <c r="H20" s="265"/>
      <c r="I20" s="265"/>
      <c r="J20" s="265"/>
      <c r="K20" s="265"/>
      <c r="L20" s="265"/>
      <c r="M20" s="265"/>
      <c r="N20" s="266"/>
      <c r="O20" s="266"/>
      <c r="P20" s="26"/>
      <c r="Q20" s="26"/>
      <c r="R20" s="26"/>
      <c r="S20" s="27"/>
    </row>
    <row r="21" ht="15.5" customHeight="1" spans="1:19">
      <c r="A21" s="23"/>
      <c r="B21" s="24"/>
      <c r="C21" s="23"/>
      <c r="D21" s="25"/>
      <c r="E21" s="23"/>
      <c r="F21" s="26"/>
      <c r="G21" s="265"/>
      <c r="H21" s="265"/>
      <c r="I21" s="265"/>
      <c r="J21" s="265"/>
      <c r="K21" s="265"/>
      <c r="L21" s="265"/>
      <c r="M21" s="265"/>
      <c r="N21" s="266"/>
      <c r="O21" s="266"/>
      <c r="P21" s="26"/>
      <c r="Q21" s="26"/>
      <c r="R21" s="26"/>
      <c r="S21" s="27"/>
    </row>
    <row r="22" ht="15.5" customHeight="1" spans="1:19">
      <c r="A22" s="23"/>
      <c r="B22" s="24"/>
      <c r="C22" s="23"/>
      <c r="D22" s="25"/>
      <c r="E22" s="23"/>
      <c r="F22" s="26"/>
      <c r="G22" s="265"/>
      <c r="H22" s="265"/>
      <c r="I22" s="265"/>
      <c r="J22" s="265"/>
      <c r="K22" s="265"/>
      <c r="L22" s="265"/>
      <c r="M22" s="265"/>
      <c r="N22" s="266"/>
      <c r="O22" s="266"/>
      <c r="P22" s="26"/>
      <c r="Q22" s="26"/>
      <c r="R22" s="26"/>
      <c r="S22" s="27"/>
    </row>
    <row r="23" ht="15.5" customHeight="1" spans="1:19">
      <c r="A23" s="23"/>
      <c r="B23" s="24"/>
      <c r="C23" s="23"/>
      <c r="D23" s="25"/>
      <c r="E23" s="23"/>
      <c r="F23" s="26"/>
      <c r="G23" s="265"/>
      <c r="H23" s="265"/>
      <c r="I23" s="265"/>
      <c r="J23" s="265"/>
      <c r="K23" s="265"/>
      <c r="L23" s="265"/>
      <c r="M23" s="265"/>
      <c r="N23" s="266"/>
      <c r="O23" s="266"/>
      <c r="P23" s="26"/>
      <c r="Q23" s="26"/>
      <c r="R23" s="26"/>
      <c r="S23" s="27"/>
    </row>
    <row r="24" ht="15.5" customHeight="1" spans="1:19">
      <c r="A24" s="23" t="s">
        <v>319</v>
      </c>
      <c r="B24" s="28"/>
      <c r="C24" s="23"/>
      <c r="D24" s="25"/>
      <c r="E24" s="23"/>
      <c r="F24" s="26">
        <f t="shared" ref="F24:N24" si="0">SUM(F6:F23)</f>
        <v>0</v>
      </c>
      <c r="G24" s="265">
        <f t="shared" si="0"/>
        <v>0</v>
      </c>
      <c r="H24" s="265">
        <f t="shared" si="0"/>
        <v>0</v>
      </c>
      <c r="I24" s="265">
        <f t="shared" si="0"/>
        <v>0</v>
      </c>
      <c r="J24" s="265">
        <f t="shared" si="0"/>
        <v>0</v>
      </c>
      <c r="K24" s="265">
        <f t="shared" si="0"/>
        <v>0</v>
      </c>
      <c r="L24" s="265">
        <f t="shared" si="0"/>
        <v>0</v>
      </c>
      <c r="M24" s="265">
        <f t="shared" si="0"/>
        <v>0</v>
      </c>
      <c r="N24" s="266">
        <f t="shared" si="0"/>
        <v>0</v>
      </c>
      <c r="O24" s="266"/>
      <c r="P24" s="26">
        <f>SUM(P6:P23)</f>
        <v>0</v>
      </c>
      <c r="Q24" s="26">
        <f>SUM(Q6:Q23)</f>
        <v>0</v>
      </c>
      <c r="R24" s="26" t="str">
        <f>IF(P24=0,"",(Q24-P24)/P24*100)</f>
        <v/>
      </c>
      <c r="S24" s="27"/>
    </row>
    <row r="25" ht="15.5" customHeight="1" spans="1:19">
      <c r="A25" s="23" t="s">
        <v>334</v>
      </c>
      <c r="B25" s="28"/>
      <c r="C25" s="23"/>
      <c r="D25" s="25"/>
      <c r="E25" s="23"/>
      <c r="F25" s="26"/>
      <c r="G25" s="265"/>
      <c r="H25" s="265"/>
      <c r="I25" s="265"/>
      <c r="J25" s="265"/>
      <c r="K25" s="265"/>
      <c r="L25" s="265"/>
      <c r="M25" s="265">
        <f>SUM(G25:L25)-F25</f>
        <v>0</v>
      </c>
      <c r="N25" s="266"/>
      <c r="O25" s="266"/>
      <c r="P25" s="26">
        <f>F24</f>
        <v>0</v>
      </c>
      <c r="Q25" s="26"/>
      <c r="R25" s="26" t="str">
        <f>IF(P25=0,"",(Q25-P25)/P25*100)</f>
        <v/>
      </c>
      <c r="S25" s="27"/>
    </row>
    <row r="26" ht="15.5" customHeight="1" spans="1:19">
      <c r="A26" s="23" t="s">
        <v>335</v>
      </c>
      <c r="B26" s="28"/>
      <c r="C26" s="23"/>
      <c r="D26" s="25"/>
      <c r="E26" s="23"/>
      <c r="F26" s="26"/>
      <c r="G26" s="265"/>
      <c r="H26" s="265"/>
      <c r="I26" s="265"/>
      <c r="J26" s="265"/>
      <c r="K26" s="265"/>
      <c r="L26" s="265"/>
      <c r="M26" s="265"/>
      <c r="N26" s="266"/>
      <c r="O26" s="266"/>
      <c r="P26" s="26"/>
      <c r="Q26" s="26"/>
      <c r="R26" s="26" t="str">
        <f>IF(P26=0,"",(Q26-P26)/P26*100)</f>
        <v/>
      </c>
      <c r="S26" s="27"/>
    </row>
    <row r="27" ht="15.5" customHeight="1" spans="1:19">
      <c r="A27" s="23" t="s">
        <v>336</v>
      </c>
      <c r="B27" s="28"/>
      <c r="C27" s="27"/>
      <c r="D27" s="25"/>
      <c r="E27" s="27"/>
      <c r="F27" s="26">
        <f t="shared" ref="F27:N27" si="1">F24-F25-F26</f>
        <v>0</v>
      </c>
      <c r="G27" s="265">
        <f t="shared" si="1"/>
        <v>0</v>
      </c>
      <c r="H27" s="265">
        <f t="shared" si="1"/>
        <v>0</v>
      </c>
      <c r="I27" s="265">
        <f t="shared" si="1"/>
        <v>0</v>
      </c>
      <c r="J27" s="265">
        <f t="shared" si="1"/>
        <v>0</v>
      </c>
      <c r="K27" s="265">
        <f t="shared" si="1"/>
        <v>0</v>
      </c>
      <c r="L27" s="265">
        <f t="shared" si="1"/>
        <v>0</v>
      </c>
      <c r="M27" s="265">
        <f t="shared" si="1"/>
        <v>0</v>
      </c>
      <c r="N27" s="266">
        <f t="shared" si="1"/>
        <v>0</v>
      </c>
      <c r="O27" s="266"/>
      <c r="P27" s="26">
        <f>P24-P25-P26</f>
        <v>0</v>
      </c>
      <c r="Q27" s="26">
        <f>Q24-Q25-Q26</f>
        <v>0</v>
      </c>
      <c r="R27" s="26" t="str">
        <f>IF(P27=0,"",(Q27-P27)/P27*100)</f>
        <v/>
      </c>
      <c r="S27" s="27"/>
    </row>
    <row r="28" ht="15.5" customHeight="1" spans="1:19">
      <c r="A28" s="29" t="str">
        <f>封面!D11&amp;封面!G11</f>
        <v>被评估单位填表人：</v>
      </c>
      <c r="G28" s="13"/>
      <c r="P28" s="19" t="str">
        <f>"评估人员："&amp;封面!G20</f>
        <v>评估人员：</v>
      </c>
    </row>
    <row r="29" ht="15.5" customHeight="1" spans="1:19">
      <c r="A29" s="29" t="str">
        <f>CONCATENATE(封面!D13,封面!F13,封面!G13,封面!H13,封面!I13,封面!J13,封面!K13)</f>
        <v>填表日期：年月日</v>
      </c>
    </row>
    <row r="30" ht="15.5" customHeight="1" spans="1:19">
      <c r="B30" s="54" t="s">
        <v>337</v>
      </c>
      <c r="C30" s="13" t="s">
        <v>338</v>
      </c>
    </row>
    <row r="31" ht="15.5" customHeight="1" spans="1:19">
      <c r="B31" s="54" t="s">
        <v>339</v>
      </c>
      <c r="C31" s="13" t="s">
        <v>340</v>
      </c>
    </row>
    <row r="32" ht="15.5" customHeight="1" spans="1:19">
      <c r="C32" s="13" t="s">
        <v>341</v>
      </c>
    </row>
    <row r="33" ht="15.5" customHeight="1" spans="3:3">
      <c r="C33" s="13" t="s">
        <v>342</v>
      </c>
    </row>
    <row r="34" ht="15.5" customHeight="1" spans="3:3">
      <c r="C34" s="13" t="s">
        <v>343</v>
      </c>
    </row>
  </sheetData>
  <mergeCells count="8">
    <mergeCell ref="A2:S2"/>
    <mergeCell ref="A3:S3"/>
    <mergeCell ref="A24:B24"/>
    <mergeCell ref="A25:B25"/>
    <mergeCell ref="A26:B26"/>
    <mergeCell ref="A27:B27"/>
    <mergeCell ref="M4:M5"/>
    <mergeCell ref="N4:N5"/>
  </mergeCells>
  <hyperlinks>
    <hyperlink ref="A1" location="索引目录!D13" display="返回索引页"/>
    <hyperlink ref="B1" location="流动汇总!B9" display="返回 "/>
  </hyperlinks>
  <printOptions horizontalCentered="1"/>
  <pageMargins left="0.354330708661417" right="0.354330708661417" top="0.78740157480315" bottom="0.78740157480315" header="0.99" footer="0.511811023622047"/>
  <pageSetup paperSize="9" fitToHeight="0" orientation="landscape"/>
  <headerFooter alignWithMargins="0">
    <oddHeader>&amp;R&amp;"宋体,常规"共&amp;"Times New Roman,常规"&amp;N&amp;"宋体,常规"页第&amp;"Times New Roman,常规"&amp;P&amp;"宋体,常规"3-4
页</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pageSetUpPr fitToPage="1"/>
  </sheetPr>
  <dimension ref="A1:K29"/>
  <sheetViews>
    <sheetView view="pageBreakPreview" zoomScale="90" zoomScaleNormal="100" workbookViewId="0">
      <selection activeCell="G451" sqref="G451"/>
    </sheetView>
  </sheetViews>
  <sheetFormatPr defaultColWidth="9" defaultRowHeight="15.75" customHeight="1"/>
  <cols>
    <col min="1" max="1" width="6.33333333333333" style="13" customWidth="1"/>
    <col min="2" max="2" width="24.8333333333333" style="13" customWidth="1"/>
    <col min="3" max="3" width="23.8333333333333" style="13" customWidth="1"/>
    <col min="4" max="5" width="9.08333333333333" style="13" customWidth="1"/>
    <col min="6" max="6" width="13.0833333333333" style="13" hidden="1" customWidth="1" outlineLevel="1"/>
    <col min="7" max="7" width="15.75" style="13" hidden="1" customWidth="1" outlineLevel="1"/>
    <col min="8" max="8" width="13.8333333333333" style="13" customWidth="1" collapsed="1"/>
    <col min="9" max="9" width="13.6666666666667" style="13" customWidth="1"/>
    <col min="10" max="10" width="9.41666666666667" style="13" customWidth="1"/>
    <col min="11" max="11" width="12.0833333333333" style="13" customWidth="1"/>
    <col min="12" max="16384" width="9" style="13" customWidth="1"/>
  </cols>
  <sheetData>
    <row r="1" ht="15.5" customHeight="1" spans="1:11">
      <c r="A1" s="51" t="s">
        <v>111</v>
      </c>
      <c r="B1" s="52" t="s">
        <v>210</v>
      </c>
      <c r="C1" s="16"/>
      <c r="D1" s="16"/>
      <c r="E1" s="16"/>
      <c r="F1" s="16"/>
      <c r="G1" s="16"/>
      <c r="H1" s="16"/>
      <c r="I1" s="16"/>
      <c r="J1" s="16"/>
      <c r="K1" s="16"/>
    </row>
    <row r="2" s="11" customFormat="1" ht="30" customHeight="1" spans="1:11">
      <c r="A2" s="53" t="s">
        <v>344</v>
      </c>
    </row>
    <row r="3" ht="14.15" customHeight="1" spans="1:11">
      <c r="A3" s="18" t="str">
        <f>CONCATENATE(封面!D9,封面!F9,封面!G9,封面!H9,封面!I9,封面!J9,封面!K9)</f>
        <v>评估基准日：年月日</v>
      </c>
    </row>
    <row r="4" ht="15.5" customHeight="1" spans="1:11">
      <c r="A4" s="19" t="str">
        <f>封面!D7&amp;封面!F7</f>
        <v>被评估单位：</v>
      </c>
      <c r="K4" s="54" t="s">
        <v>139</v>
      </c>
    </row>
    <row r="5" s="12" customFormat="1" ht="13" customHeight="1" spans="1:11">
      <c r="A5" s="23" t="s">
        <v>141</v>
      </c>
      <c r="B5" s="23" t="s">
        <v>345</v>
      </c>
      <c r="C5" s="23" t="s">
        <v>325</v>
      </c>
      <c r="D5" s="23" t="s">
        <v>326</v>
      </c>
      <c r="E5" s="23" t="s">
        <v>327</v>
      </c>
      <c r="F5" s="23" t="s">
        <v>175</v>
      </c>
      <c r="G5" s="23" t="s">
        <v>281</v>
      </c>
      <c r="H5" s="23" t="s">
        <v>176</v>
      </c>
      <c r="I5" s="23" t="s">
        <v>177</v>
      </c>
      <c r="J5" s="23" t="s">
        <v>215</v>
      </c>
      <c r="K5" s="23" t="s">
        <v>144</v>
      </c>
    </row>
    <row r="6" ht="15.5" customHeight="1" spans="1:11">
      <c r="A6" s="23">
        <v>1</v>
      </c>
      <c r="B6" s="56"/>
      <c r="C6" s="63"/>
      <c r="D6" s="264"/>
      <c r="E6" s="23"/>
      <c r="F6" s="26"/>
      <c r="G6" s="26"/>
      <c r="H6" s="26"/>
      <c r="I6" s="26">
        <f>H6</f>
        <v>0</v>
      </c>
      <c r="J6" s="26" t="str">
        <f>IF(H6=0,"",(I6-H6)/H6*100)</f>
        <v/>
      </c>
      <c r="K6" s="27"/>
    </row>
    <row r="7" ht="15.5" customHeight="1" spans="1:11">
      <c r="A7" s="23">
        <v>2</v>
      </c>
      <c r="B7" s="56"/>
      <c r="C7" s="63"/>
      <c r="D7" s="264"/>
      <c r="E7" s="23"/>
      <c r="F7" s="26"/>
      <c r="G7" s="26"/>
      <c r="H7" s="26"/>
      <c r="I7" s="26">
        <f>H7</f>
        <v>0</v>
      </c>
      <c r="J7" s="26" t="str">
        <f>IF(H7=0,"",(I7-H7)/H7*100)</f>
        <v/>
      </c>
      <c r="K7" s="27"/>
    </row>
    <row r="8" ht="15.5" customHeight="1" spans="1:11">
      <c r="A8" s="23"/>
      <c r="B8" s="56"/>
      <c r="C8" s="63"/>
      <c r="D8" s="25"/>
      <c r="E8" s="23"/>
      <c r="F8" s="26"/>
      <c r="G8" s="26"/>
      <c r="H8" s="26"/>
      <c r="I8" s="26"/>
      <c r="J8" s="26"/>
      <c r="K8" s="27"/>
    </row>
    <row r="9" ht="15.5" customHeight="1" spans="1:11">
      <c r="A9" s="23"/>
      <c r="B9" s="56"/>
      <c r="C9" s="63"/>
      <c r="D9" s="25"/>
      <c r="E9" s="23"/>
      <c r="F9" s="26"/>
      <c r="G9" s="26"/>
      <c r="H9" s="26"/>
      <c r="I9" s="26"/>
      <c r="J9" s="26"/>
      <c r="K9" s="27"/>
    </row>
    <row r="10" ht="15.5" customHeight="1" spans="1:11">
      <c r="A10" s="23"/>
      <c r="B10" s="56"/>
      <c r="C10" s="63"/>
      <c r="D10" s="25"/>
      <c r="E10" s="23"/>
      <c r="F10" s="26"/>
      <c r="G10" s="26"/>
      <c r="H10" s="26"/>
      <c r="I10" s="26"/>
      <c r="J10" s="26"/>
      <c r="K10" s="27"/>
    </row>
    <row r="11" ht="15.5" customHeight="1" spans="1:11">
      <c r="A11" s="23"/>
      <c r="B11" s="56"/>
      <c r="C11" s="63"/>
      <c r="D11" s="25"/>
      <c r="E11" s="23"/>
      <c r="F11" s="26"/>
      <c r="G11" s="26"/>
      <c r="H11" s="26"/>
      <c r="I11" s="26"/>
      <c r="J11" s="26"/>
      <c r="K11" s="27"/>
    </row>
    <row r="12" ht="15.5" customHeight="1" spans="1:11">
      <c r="A12" s="23"/>
      <c r="B12" s="56"/>
      <c r="C12" s="63"/>
      <c r="D12" s="25"/>
      <c r="E12" s="23"/>
      <c r="F12" s="26"/>
      <c r="G12" s="26"/>
      <c r="H12" s="26"/>
      <c r="I12" s="26"/>
      <c r="J12" s="26"/>
      <c r="K12" s="27"/>
    </row>
    <row r="13" ht="15.5" customHeight="1" spans="1:11">
      <c r="A13" s="23"/>
      <c r="B13" s="56"/>
      <c r="C13" s="63"/>
      <c r="D13" s="25"/>
      <c r="E13" s="23"/>
      <c r="F13" s="26"/>
      <c r="G13" s="26"/>
      <c r="H13" s="26"/>
      <c r="I13" s="26"/>
      <c r="J13" s="26"/>
      <c r="K13" s="27"/>
    </row>
    <row r="14" ht="15.5" customHeight="1" spans="1:11">
      <c r="A14" s="23"/>
      <c r="B14" s="56"/>
      <c r="C14" s="63"/>
      <c r="D14" s="25"/>
      <c r="E14" s="23"/>
      <c r="F14" s="26"/>
      <c r="G14" s="26"/>
      <c r="H14" s="26"/>
      <c r="I14" s="26"/>
      <c r="J14" s="26"/>
      <c r="K14" s="27"/>
    </row>
    <row r="15" ht="15.5" customHeight="1" spans="1:11">
      <c r="A15" s="23"/>
      <c r="B15" s="24"/>
      <c r="C15" s="23"/>
      <c r="D15" s="25"/>
      <c r="E15" s="27"/>
      <c r="F15" s="26"/>
      <c r="G15" s="26"/>
      <c r="H15" s="26"/>
      <c r="I15" s="26"/>
      <c r="J15" s="26"/>
      <c r="K15" s="27"/>
    </row>
    <row r="16" ht="15.5" customHeight="1" spans="1:11">
      <c r="A16" s="23"/>
      <c r="B16" s="24"/>
      <c r="C16" s="23"/>
      <c r="D16" s="25"/>
      <c r="E16" s="27"/>
      <c r="F16" s="26"/>
      <c r="G16" s="26"/>
      <c r="H16" s="26"/>
      <c r="I16" s="26"/>
      <c r="J16" s="26"/>
      <c r="K16" s="27"/>
    </row>
    <row r="17" ht="15.5" customHeight="1" spans="1:11">
      <c r="A17" s="23"/>
      <c r="B17" s="24"/>
      <c r="C17" s="23"/>
      <c r="D17" s="25"/>
      <c r="E17" s="27"/>
      <c r="F17" s="26"/>
      <c r="G17" s="26"/>
      <c r="H17" s="26"/>
      <c r="I17" s="26"/>
      <c r="J17" s="26"/>
      <c r="K17" s="27"/>
    </row>
    <row r="18" ht="15.5" customHeight="1" spans="1:11">
      <c r="A18" s="23"/>
      <c r="B18" s="24"/>
      <c r="C18" s="23"/>
      <c r="D18" s="25"/>
      <c r="E18" s="27"/>
      <c r="F18" s="26"/>
      <c r="G18" s="26"/>
      <c r="H18" s="26"/>
      <c r="I18" s="26"/>
      <c r="J18" s="26"/>
      <c r="K18" s="27"/>
    </row>
    <row r="19" ht="15.5" customHeight="1" spans="1:11">
      <c r="A19" s="23"/>
      <c r="B19" s="24"/>
      <c r="C19" s="23"/>
      <c r="D19" s="25"/>
      <c r="E19" s="27"/>
      <c r="F19" s="26"/>
      <c r="G19" s="26"/>
      <c r="H19" s="26"/>
      <c r="I19" s="26"/>
      <c r="J19" s="26"/>
      <c r="K19" s="27"/>
    </row>
    <row r="20" ht="15.5" customHeight="1" spans="1:11">
      <c r="A20" s="23"/>
      <c r="B20" s="24"/>
      <c r="C20" s="23"/>
      <c r="D20" s="25"/>
      <c r="E20" s="27"/>
      <c r="F20" s="26"/>
      <c r="G20" s="26"/>
      <c r="H20" s="26"/>
      <c r="I20" s="26"/>
      <c r="J20" s="26"/>
      <c r="K20" s="27"/>
    </row>
    <row r="21" ht="15.5" customHeight="1" spans="1:11">
      <c r="A21" s="23"/>
      <c r="B21" s="24"/>
      <c r="C21" s="23"/>
      <c r="D21" s="25"/>
      <c r="E21" s="27"/>
      <c r="F21" s="26"/>
      <c r="G21" s="26"/>
      <c r="H21" s="26"/>
      <c r="I21" s="26"/>
      <c r="J21" s="26"/>
      <c r="K21" s="27"/>
    </row>
    <row r="22" ht="15.5" customHeight="1" spans="1:11">
      <c r="A22" s="23"/>
      <c r="B22" s="24"/>
      <c r="C22" s="23"/>
      <c r="D22" s="25"/>
      <c r="E22" s="27"/>
      <c r="F22" s="26"/>
      <c r="G22" s="26"/>
      <c r="H22" s="26"/>
      <c r="I22" s="26"/>
      <c r="J22" s="26"/>
      <c r="K22" s="27"/>
    </row>
    <row r="23" ht="15.5" customHeight="1" spans="1:11">
      <c r="A23" s="23"/>
      <c r="B23" s="24"/>
      <c r="C23" s="23"/>
      <c r="D23" s="25"/>
      <c r="E23" s="27"/>
      <c r="F23" s="26"/>
      <c r="G23" s="26"/>
      <c r="H23" s="26"/>
      <c r="I23" s="26"/>
      <c r="J23" s="26"/>
      <c r="K23" s="27"/>
    </row>
    <row r="24" ht="15.5" customHeight="1" spans="1:11">
      <c r="A24" s="23"/>
      <c r="B24" s="24"/>
      <c r="C24" s="23"/>
      <c r="D24" s="25"/>
      <c r="E24" s="27"/>
      <c r="F24" s="26"/>
      <c r="G24" s="26"/>
      <c r="H24" s="26"/>
      <c r="I24" s="26"/>
      <c r="J24" s="26"/>
      <c r="K24" s="27"/>
    </row>
    <row r="25" ht="15.5" customHeight="1" spans="1:11">
      <c r="A25" s="23"/>
      <c r="B25" s="24"/>
      <c r="C25" s="23"/>
      <c r="D25" s="25"/>
      <c r="E25" s="27"/>
      <c r="F25" s="26"/>
      <c r="G25" s="26"/>
      <c r="H25" s="26"/>
      <c r="I25" s="26"/>
      <c r="J25" s="26"/>
      <c r="K25" s="27"/>
    </row>
    <row r="26" ht="15.5" customHeight="1" spans="1:11">
      <c r="A26" s="23"/>
      <c r="B26" s="24"/>
      <c r="C26" s="23"/>
      <c r="D26" s="25"/>
      <c r="E26" s="27"/>
      <c r="F26" s="26"/>
      <c r="G26" s="26"/>
      <c r="H26" s="26"/>
      <c r="I26" s="26"/>
      <c r="J26" s="26"/>
      <c r="K26" s="27"/>
    </row>
    <row r="27" ht="15.5" customHeight="1" spans="1:11">
      <c r="A27" s="23" t="s">
        <v>319</v>
      </c>
      <c r="B27" s="28"/>
      <c r="C27" s="27"/>
      <c r="D27" s="25"/>
      <c r="E27" s="27"/>
      <c r="F27" s="26">
        <f>SUM(F6:F26)</f>
        <v>0</v>
      </c>
      <c r="G27" s="26"/>
      <c r="H27" s="26">
        <f>SUM(H6:H26)</f>
        <v>0</v>
      </c>
      <c r="I27" s="26">
        <f>SUM(I6:I26)</f>
        <v>0</v>
      </c>
      <c r="J27" s="26" t="str">
        <f>IF(H27=0,"",(I27-H27)/H27*100)</f>
        <v/>
      </c>
      <c r="K27" s="27"/>
    </row>
    <row r="28" ht="15.5" customHeight="1" spans="1:11">
      <c r="A28" s="29" t="str">
        <f>封面!D11&amp;封面!G11</f>
        <v>被评估单位填表人：</v>
      </c>
      <c r="H28" s="19" t="str">
        <f>"评估人员："&amp;封面!G20</f>
        <v>评估人员：</v>
      </c>
    </row>
    <row r="29" ht="15.5" customHeight="1" spans="1:11">
      <c r="A29" s="29" t="str">
        <f>CONCATENATE(封面!D13,封面!F13,封面!G13,封面!H13,封面!I13,封面!J13,封面!K13)</f>
        <v>填表日期：年月日</v>
      </c>
    </row>
  </sheetData>
  <mergeCells count="3">
    <mergeCell ref="A2:K2"/>
    <mergeCell ref="A3:K3"/>
    <mergeCell ref="A27:B27"/>
  </mergeCells>
  <hyperlinks>
    <hyperlink ref="A1" location="索引目录!D14" display="返回索引页"/>
    <hyperlink ref="B1" location="流动汇总!B10" display="返回"/>
  </hyperlinks>
  <printOptions horizontalCentered="1"/>
  <pageMargins left="0.354330708661417" right="0.354330708661417" top="0.78740157480315" bottom="0.78740157480315" header="0.98" footer="0.511811023622047"/>
  <pageSetup paperSize="9" fitToHeight="0" orientation="landscape"/>
  <headerFooter alignWithMargins="0">
    <oddHeader>&amp;R&amp;"宋体,常规"共&amp;"Times New Roman,常规"&amp;N&amp;"宋体,常规"页第&amp;"Times New Roman,常规"&amp;P&amp;"宋体,常规"3-5
页</oddHead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pageSetUpPr fitToPage="1"/>
  </sheetPr>
  <dimension ref="A1:L29"/>
  <sheetViews>
    <sheetView view="pageBreakPreview" zoomScale="60" zoomScaleNormal="100" workbookViewId="0">
      <selection activeCell="G451" sqref="G451"/>
    </sheetView>
  </sheetViews>
  <sheetFormatPr defaultColWidth="9" defaultRowHeight="15.75" customHeight="1"/>
  <cols>
    <col min="1" max="1" width="5" style="13" customWidth="1"/>
    <col min="2" max="2" width="24.3333333333333" style="13" customWidth="1"/>
    <col min="3" max="3" width="9" style="13" customWidth="1"/>
    <col min="4" max="4" width="11" style="13" customWidth="1"/>
    <col min="5" max="5" width="13" style="13" customWidth="1"/>
    <col min="6" max="6" width="7" style="13" customWidth="1"/>
    <col min="7" max="8" width="14" style="13" hidden="1" customWidth="1" outlineLevel="1"/>
    <col min="9" max="9" width="15.75" style="13" customWidth="1" collapsed="1"/>
    <col min="10" max="10" width="15.75" style="13" customWidth="1"/>
    <col min="11" max="11" width="12.5833333333333" style="13" customWidth="1"/>
    <col min="12" max="16384" width="9" style="13" customWidth="1"/>
  </cols>
  <sheetData>
    <row r="1" ht="15.5" customHeight="1" spans="1:12">
      <c r="A1" s="14" t="s">
        <v>111</v>
      </c>
      <c r="B1" s="15" t="s">
        <v>210</v>
      </c>
      <c r="C1" s="16"/>
      <c r="D1" s="16"/>
      <c r="E1" s="16"/>
      <c r="F1" s="16"/>
      <c r="G1" s="16"/>
      <c r="H1" s="16"/>
      <c r="I1" s="16"/>
      <c r="J1" s="16"/>
      <c r="K1" s="16"/>
      <c r="L1" s="16"/>
    </row>
    <row r="2" s="11" customFormat="1" ht="30" customHeight="1" spans="1:12">
      <c r="A2" s="17" t="s">
        <v>346</v>
      </c>
    </row>
    <row r="3" ht="14.15" customHeight="1" spans="1:12">
      <c r="A3" s="18" t="str">
        <f>CONCATENATE(封面!D9,封面!F9,封面!G9,封面!H9,封面!I9,封面!J9,封面!K9)</f>
        <v>评估基准日：年月日</v>
      </c>
    </row>
    <row r="4" ht="15.5" customHeight="1" spans="1:12">
      <c r="A4" s="19" t="str">
        <f>封面!D7&amp;封面!F7</f>
        <v>被评估单位：</v>
      </c>
      <c r="L4" s="20" t="s">
        <v>139</v>
      </c>
    </row>
    <row r="5" s="12" customFormat="1" ht="13" customHeight="1" spans="1:12">
      <c r="A5" s="21" t="s">
        <v>141</v>
      </c>
      <c r="B5" s="21" t="s">
        <v>324</v>
      </c>
      <c r="C5" s="21" t="s">
        <v>326</v>
      </c>
      <c r="D5" s="21" t="s">
        <v>347</v>
      </c>
      <c r="E5" s="21" t="s">
        <v>348</v>
      </c>
      <c r="F5" s="21" t="s">
        <v>349</v>
      </c>
      <c r="G5" s="21" t="s">
        <v>175</v>
      </c>
      <c r="H5" s="21" t="s">
        <v>281</v>
      </c>
      <c r="I5" s="21" t="s">
        <v>176</v>
      </c>
      <c r="J5" s="21" t="s">
        <v>177</v>
      </c>
      <c r="K5" s="21" t="s">
        <v>215</v>
      </c>
      <c r="L5" s="21" t="s">
        <v>144</v>
      </c>
    </row>
    <row r="6" ht="15.5" customHeight="1" spans="1:12">
      <c r="A6" s="23"/>
      <c r="B6" s="24"/>
      <c r="C6" s="25"/>
      <c r="D6" s="26"/>
      <c r="E6" s="23"/>
      <c r="F6" s="23"/>
      <c r="G6" s="26"/>
      <c r="H6" s="26"/>
      <c r="I6" s="26"/>
      <c r="J6" s="26"/>
      <c r="K6" s="26" t="str">
        <f t="shared" ref="K6:K25" si="0">IF(I6=0,"",(J6-I6)/I6*100)</f>
        <v/>
      </c>
      <c r="L6" s="27"/>
    </row>
    <row r="7" ht="15.5" customHeight="1" spans="1:12">
      <c r="A7" s="23"/>
      <c r="B7" s="24"/>
      <c r="C7" s="25"/>
      <c r="D7" s="26"/>
      <c r="E7" s="23"/>
      <c r="F7" s="23"/>
      <c r="G7" s="26"/>
      <c r="H7" s="26"/>
      <c r="I7" s="26"/>
      <c r="J7" s="26"/>
      <c r="K7" s="26" t="str">
        <f t="shared" si="0"/>
        <v/>
      </c>
      <c r="L7" s="27"/>
    </row>
    <row r="8" ht="15.5" customHeight="1" spans="1:12">
      <c r="A8" s="23"/>
      <c r="B8" s="24"/>
      <c r="C8" s="25"/>
      <c r="D8" s="26"/>
      <c r="E8" s="23"/>
      <c r="F8" s="23"/>
      <c r="G8" s="26"/>
      <c r="H8" s="26"/>
      <c r="I8" s="26"/>
      <c r="J8" s="26"/>
      <c r="K8" s="26" t="str">
        <f t="shared" si="0"/>
        <v/>
      </c>
      <c r="L8" s="27"/>
    </row>
    <row r="9" ht="15.5" customHeight="1" spans="1:12">
      <c r="A9" s="23"/>
      <c r="B9" s="24"/>
      <c r="C9" s="25"/>
      <c r="D9" s="26"/>
      <c r="E9" s="23"/>
      <c r="F9" s="23"/>
      <c r="G9" s="26"/>
      <c r="H9" s="26"/>
      <c r="I9" s="26"/>
      <c r="J9" s="26"/>
      <c r="K9" s="26" t="str">
        <f t="shared" si="0"/>
        <v/>
      </c>
      <c r="L9" s="27"/>
    </row>
    <row r="10" ht="15.5" customHeight="1" spans="1:12">
      <c r="A10" s="23"/>
      <c r="B10" s="24"/>
      <c r="C10" s="25"/>
      <c r="D10" s="26"/>
      <c r="E10" s="23"/>
      <c r="F10" s="23"/>
      <c r="G10" s="26"/>
      <c r="H10" s="26"/>
      <c r="I10" s="26"/>
      <c r="J10" s="26"/>
      <c r="K10" s="26" t="str">
        <f t="shared" si="0"/>
        <v/>
      </c>
      <c r="L10" s="27"/>
    </row>
    <row r="11" ht="15.5" customHeight="1" spans="1:12">
      <c r="A11" s="23"/>
      <c r="B11" s="24"/>
      <c r="C11" s="25"/>
      <c r="D11" s="26"/>
      <c r="E11" s="23"/>
      <c r="F11" s="23"/>
      <c r="G11" s="26"/>
      <c r="H11" s="26"/>
      <c r="I11" s="26"/>
      <c r="J11" s="26"/>
      <c r="K11" s="26" t="str">
        <f t="shared" si="0"/>
        <v/>
      </c>
      <c r="L11" s="27"/>
    </row>
    <row r="12" ht="15.5" customHeight="1" spans="1:12">
      <c r="A12" s="23"/>
      <c r="B12" s="24"/>
      <c r="C12" s="25"/>
      <c r="D12" s="26"/>
      <c r="E12" s="23"/>
      <c r="F12" s="23"/>
      <c r="G12" s="26"/>
      <c r="H12" s="26"/>
      <c r="I12" s="26"/>
      <c r="J12" s="26"/>
      <c r="K12" s="26" t="str">
        <f t="shared" si="0"/>
        <v/>
      </c>
      <c r="L12" s="27"/>
    </row>
    <row r="13" ht="15.5" customHeight="1" spans="1:12">
      <c r="A13" s="23"/>
      <c r="B13" s="24"/>
      <c r="C13" s="25"/>
      <c r="D13" s="26"/>
      <c r="E13" s="23"/>
      <c r="F13" s="23"/>
      <c r="G13" s="26"/>
      <c r="H13" s="26"/>
      <c r="I13" s="26"/>
      <c r="J13" s="26"/>
      <c r="K13" s="26" t="str">
        <f t="shared" si="0"/>
        <v/>
      </c>
      <c r="L13" s="27"/>
    </row>
    <row r="14" ht="15.5" customHeight="1" spans="1:12">
      <c r="A14" s="23"/>
      <c r="B14" s="24"/>
      <c r="C14" s="25"/>
      <c r="D14" s="26"/>
      <c r="E14" s="23"/>
      <c r="F14" s="23"/>
      <c r="G14" s="26"/>
      <c r="H14" s="26"/>
      <c r="I14" s="26"/>
      <c r="J14" s="26"/>
      <c r="K14" s="26" t="str">
        <f t="shared" si="0"/>
        <v/>
      </c>
      <c r="L14" s="27"/>
    </row>
    <row r="15" ht="15.5" customHeight="1" spans="1:12">
      <c r="A15" s="23"/>
      <c r="B15" s="24"/>
      <c r="C15" s="25"/>
      <c r="D15" s="26"/>
      <c r="E15" s="23"/>
      <c r="F15" s="23"/>
      <c r="G15" s="26"/>
      <c r="H15" s="26"/>
      <c r="I15" s="26"/>
      <c r="J15" s="26"/>
      <c r="K15" s="26" t="str">
        <f t="shared" si="0"/>
        <v/>
      </c>
      <c r="L15" s="27"/>
    </row>
    <row r="16" ht="15.5" customHeight="1" spans="1:12">
      <c r="A16" s="23"/>
      <c r="B16" s="24"/>
      <c r="C16" s="25"/>
      <c r="D16" s="26"/>
      <c r="E16" s="23"/>
      <c r="F16" s="23"/>
      <c r="G16" s="26"/>
      <c r="H16" s="26"/>
      <c r="I16" s="26"/>
      <c r="J16" s="26"/>
      <c r="K16" s="26" t="str">
        <f t="shared" si="0"/>
        <v/>
      </c>
      <c r="L16" s="27"/>
    </row>
    <row r="17" ht="15.5" customHeight="1" spans="1:12">
      <c r="A17" s="23"/>
      <c r="B17" s="24"/>
      <c r="C17" s="25"/>
      <c r="D17" s="26"/>
      <c r="E17" s="23"/>
      <c r="F17" s="23"/>
      <c r="G17" s="26"/>
      <c r="H17" s="26"/>
      <c r="I17" s="26"/>
      <c r="J17" s="26"/>
      <c r="K17" s="26" t="str">
        <f t="shared" si="0"/>
        <v/>
      </c>
      <c r="L17" s="27"/>
    </row>
    <row r="18" ht="15.5" customHeight="1" spans="1:12">
      <c r="A18" s="23"/>
      <c r="B18" s="24"/>
      <c r="C18" s="25"/>
      <c r="D18" s="26"/>
      <c r="E18" s="23"/>
      <c r="F18" s="23"/>
      <c r="G18" s="26"/>
      <c r="H18" s="26"/>
      <c r="I18" s="26"/>
      <c r="J18" s="26"/>
      <c r="K18" s="26" t="str">
        <f t="shared" si="0"/>
        <v/>
      </c>
      <c r="L18" s="27"/>
    </row>
    <row r="19" ht="15.5" customHeight="1" spans="1:12">
      <c r="A19" s="23"/>
      <c r="B19" s="24"/>
      <c r="C19" s="25"/>
      <c r="D19" s="26"/>
      <c r="E19" s="23"/>
      <c r="F19" s="23"/>
      <c r="G19" s="26"/>
      <c r="H19" s="26"/>
      <c r="I19" s="26"/>
      <c r="J19" s="26"/>
      <c r="K19" s="26" t="str">
        <f t="shared" si="0"/>
        <v/>
      </c>
      <c r="L19" s="27"/>
    </row>
    <row r="20" ht="15.5" customHeight="1" spans="1:12">
      <c r="A20" s="23"/>
      <c r="B20" s="24"/>
      <c r="C20" s="25"/>
      <c r="D20" s="26"/>
      <c r="E20" s="23"/>
      <c r="F20" s="23"/>
      <c r="G20" s="26"/>
      <c r="H20" s="26"/>
      <c r="I20" s="26"/>
      <c r="J20" s="26"/>
      <c r="K20" s="26" t="str">
        <f t="shared" si="0"/>
        <v/>
      </c>
      <c r="L20" s="27"/>
    </row>
    <row r="21" ht="15.5" customHeight="1" spans="1:12">
      <c r="A21" s="23"/>
      <c r="B21" s="24"/>
      <c r="C21" s="25"/>
      <c r="D21" s="26"/>
      <c r="E21" s="23"/>
      <c r="F21" s="23"/>
      <c r="G21" s="26"/>
      <c r="H21" s="26"/>
      <c r="I21" s="26"/>
      <c r="J21" s="26"/>
      <c r="K21" s="26" t="str">
        <f t="shared" si="0"/>
        <v/>
      </c>
      <c r="L21" s="27"/>
    </row>
    <row r="22" ht="15.5" customHeight="1" spans="1:12">
      <c r="A22" s="23"/>
      <c r="B22" s="24"/>
      <c r="C22" s="25"/>
      <c r="D22" s="26"/>
      <c r="E22" s="23"/>
      <c r="F22" s="23"/>
      <c r="G22" s="26"/>
      <c r="H22" s="26"/>
      <c r="I22" s="26"/>
      <c r="J22" s="26"/>
      <c r="K22" s="26" t="str">
        <f t="shared" si="0"/>
        <v/>
      </c>
      <c r="L22" s="27"/>
    </row>
    <row r="23" ht="15.5" customHeight="1" spans="1:12">
      <c r="A23" s="23"/>
      <c r="B23" s="24"/>
      <c r="C23" s="25"/>
      <c r="D23" s="26"/>
      <c r="E23" s="23"/>
      <c r="F23" s="23"/>
      <c r="G23" s="26"/>
      <c r="H23" s="26"/>
      <c r="I23" s="26"/>
      <c r="J23" s="26"/>
      <c r="K23" s="26" t="str">
        <f t="shared" si="0"/>
        <v/>
      </c>
      <c r="L23" s="27"/>
    </row>
    <row r="24" ht="15.5" customHeight="1" spans="1:12">
      <c r="A24" s="23"/>
      <c r="B24" s="24"/>
      <c r="C24" s="25"/>
      <c r="D24" s="26"/>
      <c r="E24" s="23"/>
      <c r="F24" s="23"/>
      <c r="G24" s="26"/>
      <c r="H24" s="26"/>
      <c r="I24" s="26"/>
      <c r="J24" s="26"/>
      <c r="K24" s="26" t="str">
        <f t="shared" si="0"/>
        <v/>
      </c>
      <c r="L24" s="27"/>
    </row>
    <row r="25" ht="15.5" customHeight="1" spans="1:12">
      <c r="A25" s="23"/>
      <c r="B25" s="24"/>
      <c r="C25" s="25"/>
      <c r="D25" s="26"/>
      <c r="E25" s="23"/>
      <c r="F25" s="23"/>
      <c r="G25" s="26"/>
      <c r="H25" s="26"/>
      <c r="I25" s="26"/>
      <c r="J25" s="26"/>
      <c r="K25" s="26" t="str">
        <f t="shared" si="0"/>
        <v/>
      </c>
      <c r="L25" s="27"/>
    </row>
    <row r="26" ht="15.5" customHeight="1" spans="1:12">
      <c r="A26" s="23"/>
      <c r="B26" s="24"/>
      <c r="C26" s="25"/>
      <c r="D26" s="26"/>
      <c r="E26" s="23"/>
      <c r="F26" s="23"/>
      <c r="G26" s="26"/>
      <c r="H26" s="26"/>
      <c r="I26" s="26"/>
      <c r="J26" s="26"/>
      <c r="K26" s="26"/>
      <c r="L26" s="27"/>
    </row>
    <row r="27" ht="15.5" customHeight="1" spans="1:12">
      <c r="A27" s="21" t="s">
        <v>319</v>
      </c>
      <c r="B27" s="28"/>
      <c r="C27" s="27"/>
      <c r="D27" s="26">
        <f>SUM(D6:D26)</f>
        <v>0</v>
      </c>
      <c r="E27" s="27"/>
      <c r="F27" s="27"/>
      <c r="G27" s="26">
        <f>SUM(G6:G26)</f>
        <v>0</v>
      </c>
      <c r="H27" s="26"/>
      <c r="I27" s="26">
        <f>SUM(I6:I26)</f>
        <v>0</v>
      </c>
      <c r="J27" s="26">
        <f>SUM(J6:J26)</f>
        <v>0</v>
      </c>
      <c r="K27" s="26" t="str">
        <f>IF(I27=0,"",(J27-I27)/I27*100)</f>
        <v/>
      </c>
      <c r="L27" s="27"/>
    </row>
    <row r="28" ht="15.5" customHeight="1" spans="1:12">
      <c r="A28" s="29" t="str">
        <f>封面!D11&amp;封面!G11</f>
        <v>被评估单位填表人：</v>
      </c>
      <c r="I28" s="19" t="str">
        <f>"评估人员："&amp;封面!G20</f>
        <v>评估人员：</v>
      </c>
    </row>
    <row r="29" ht="15.5" customHeight="1" spans="1:12">
      <c r="A29" s="29" t="str">
        <f>CONCATENATE(封面!D13,封面!F13,封面!G13,封面!H13,封面!I13,封面!J13,封面!K13)</f>
        <v>填表日期：年月日</v>
      </c>
    </row>
  </sheetData>
  <mergeCells count="3">
    <mergeCell ref="A2:L2"/>
    <mergeCell ref="A3:L3"/>
    <mergeCell ref="A27:B27"/>
  </mergeCells>
  <hyperlinks>
    <hyperlink ref="A1" location="索引目录!D15" display="返回索引页"/>
    <hyperlink ref="B1" location="流动汇总!B11" display="返回"/>
  </hyperlinks>
  <printOptions horizontalCentered="1"/>
  <pageMargins left="0.354330708661417" right="0.354330708661417" top="0.78740157480315" bottom="0.78740157480315" header="1.05" footer="0.511811023622047"/>
  <pageSetup paperSize="9" fitToHeight="0" orientation="landscape"/>
  <headerFooter alignWithMargins="0">
    <oddHeader>&amp;R&amp;"宋体,常规"共&amp;"Times New Roman,常规"&amp;N&amp;"宋体,常规"页第&amp;"Times New Roman,常规"&amp;P&amp;"宋体,常规"3-6
页</oddHead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pageSetUpPr fitToPage="1"/>
  </sheetPr>
  <dimension ref="A1:J29"/>
  <sheetViews>
    <sheetView view="pageBreakPreview" zoomScale="60" zoomScaleNormal="100" workbookViewId="0">
      <selection activeCell="G451" sqref="G451"/>
    </sheetView>
  </sheetViews>
  <sheetFormatPr defaultColWidth="9" defaultRowHeight="15.75" customHeight="1"/>
  <cols>
    <col min="1" max="1" width="5.5" style="13" customWidth="1"/>
    <col min="2" max="2" width="24.8333333333333" style="13" customWidth="1"/>
    <col min="3" max="3" width="10" style="13" customWidth="1"/>
    <col min="4" max="4" width="12.5" style="13" customWidth="1"/>
    <col min="5" max="6" width="15.8333333333333" style="13" hidden="1" customWidth="1" outlineLevel="1"/>
    <col min="7" max="7" width="17.5" style="13" customWidth="1" collapsed="1"/>
    <col min="8" max="8" width="18.25" style="13" customWidth="1"/>
    <col min="9" max="9" width="15.5833333333333" style="13" customWidth="1"/>
    <col min="10" max="10" width="17.5" style="13" customWidth="1"/>
    <col min="11" max="16384" width="9" style="13" customWidth="1"/>
  </cols>
  <sheetData>
    <row r="1" ht="15.5" customHeight="1" spans="1:10">
      <c r="A1" s="14" t="s">
        <v>111</v>
      </c>
      <c r="B1" s="15" t="s">
        <v>210</v>
      </c>
      <c r="C1" s="16"/>
      <c r="D1" s="16"/>
      <c r="E1" s="16"/>
      <c r="F1" s="16"/>
      <c r="G1" s="16"/>
      <c r="H1" s="16"/>
      <c r="I1" s="16"/>
      <c r="J1" s="16"/>
    </row>
    <row r="2" s="11" customFormat="1" ht="30" customHeight="1" spans="1:10">
      <c r="A2" s="17" t="s">
        <v>350</v>
      </c>
    </row>
    <row r="3" ht="14.15" customHeight="1" spans="1:10">
      <c r="A3" s="18" t="str">
        <f>CONCATENATE(封面!D9,封面!F9,封面!G9,封面!H9,封面!I9,封面!J9,封面!K9)</f>
        <v>评估基准日：年月日</v>
      </c>
    </row>
    <row r="4" ht="15.5" customHeight="1" spans="1:10">
      <c r="A4" s="19" t="str">
        <f>封面!D7&amp;封面!F7</f>
        <v>被评估单位：</v>
      </c>
      <c r="J4" s="20" t="s">
        <v>139</v>
      </c>
    </row>
    <row r="5" s="12" customFormat="1" ht="13" customHeight="1" spans="1:10">
      <c r="A5" s="21" t="s">
        <v>141</v>
      </c>
      <c r="B5" s="21" t="s">
        <v>316</v>
      </c>
      <c r="C5" s="21" t="s">
        <v>326</v>
      </c>
      <c r="D5" s="21" t="s">
        <v>351</v>
      </c>
      <c r="E5" s="77" t="s">
        <v>175</v>
      </c>
      <c r="F5" s="77" t="s">
        <v>281</v>
      </c>
      <c r="G5" s="21" t="s">
        <v>176</v>
      </c>
      <c r="H5" s="21" t="s">
        <v>177</v>
      </c>
      <c r="I5" s="21" t="s">
        <v>215</v>
      </c>
      <c r="J5" s="21" t="s">
        <v>144</v>
      </c>
    </row>
    <row r="6" ht="15.5" customHeight="1" spans="1:10">
      <c r="A6" s="23"/>
      <c r="B6" s="24"/>
      <c r="C6" s="25"/>
      <c r="D6" s="27"/>
      <c r="E6" s="223"/>
      <c r="F6" s="223"/>
      <c r="G6" s="26"/>
      <c r="H6" s="26"/>
      <c r="I6" s="26" t="str">
        <f t="shared" ref="I6:I25" si="0">IF(G6=0,"",(H6-G6)/G6*100)</f>
        <v/>
      </c>
      <c r="J6" s="27"/>
    </row>
    <row r="7" ht="15.5" customHeight="1" spans="1:10">
      <c r="A7" s="23"/>
      <c r="B7" s="24"/>
      <c r="C7" s="25"/>
      <c r="D7" s="27"/>
      <c r="E7" s="223"/>
      <c r="F7" s="223"/>
      <c r="G7" s="26"/>
      <c r="H7" s="26"/>
      <c r="I7" s="26" t="str">
        <f t="shared" si="0"/>
        <v/>
      </c>
      <c r="J7" s="27"/>
    </row>
    <row r="8" ht="15.5" customHeight="1" spans="1:10">
      <c r="A8" s="23"/>
      <c r="B8" s="24"/>
      <c r="C8" s="25"/>
      <c r="D8" s="27"/>
      <c r="E8" s="223"/>
      <c r="F8" s="223"/>
      <c r="G8" s="26"/>
      <c r="H8" s="26"/>
      <c r="I8" s="26" t="str">
        <f t="shared" si="0"/>
        <v/>
      </c>
      <c r="J8" s="27"/>
    </row>
    <row r="9" ht="15.5" customHeight="1" spans="1:10">
      <c r="A9" s="23"/>
      <c r="B9" s="24"/>
      <c r="C9" s="25"/>
      <c r="D9" s="27"/>
      <c r="E9" s="223"/>
      <c r="F9" s="223"/>
      <c r="G9" s="26"/>
      <c r="H9" s="26"/>
      <c r="I9" s="26" t="str">
        <f t="shared" si="0"/>
        <v/>
      </c>
      <c r="J9" s="27"/>
    </row>
    <row r="10" ht="15.5" customHeight="1" spans="1:10">
      <c r="A10" s="23"/>
      <c r="B10" s="24"/>
      <c r="C10" s="25"/>
      <c r="D10" s="27"/>
      <c r="E10" s="223"/>
      <c r="F10" s="223"/>
      <c r="G10" s="26"/>
      <c r="H10" s="26"/>
      <c r="I10" s="26" t="str">
        <f t="shared" si="0"/>
        <v/>
      </c>
      <c r="J10" s="27"/>
    </row>
    <row r="11" ht="15.5" customHeight="1" spans="1:10">
      <c r="A11" s="23"/>
      <c r="B11" s="24"/>
      <c r="C11" s="25"/>
      <c r="D11" s="27"/>
      <c r="E11" s="223"/>
      <c r="F11" s="223"/>
      <c r="G11" s="26"/>
      <c r="H11" s="26"/>
      <c r="I11" s="26" t="str">
        <f t="shared" si="0"/>
        <v/>
      </c>
      <c r="J11" s="27"/>
    </row>
    <row r="12" ht="15.5" customHeight="1" spans="1:10">
      <c r="A12" s="23"/>
      <c r="B12" s="24"/>
      <c r="C12" s="25"/>
      <c r="D12" s="27"/>
      <c r="E12" s="223"/>
      <c r="F12" s="223"/>
      <c r="G12" s="26"/>
      <c r="H12" s="26"/>
      <c r="I12" s="26" t="str">
        <f t="shared" si="0"/>
        <v/>
      </c>
      <c r="J12" s="27"/>
    </row>
    <row r="13" ht="15.5" customHeight="1" spans="1:10">
      <c r="A13" s="23"/>
      <c r="B13" s="24"/>
      <c r="C13" s="25"/>
      <c r="D13" s="27"/>
      <c r="E13" s="223"/>
      <c r="F13" s="223"/>
      <c r="G13" s="26"/>
      <c r="H13" s="26"/>
      <c r="I13" s="26" t="str">
        <f t="shared" si="0"/>
        <v/>
      </c>
      <c r="J13" s="27"/>
    </row>
    <row r="14" ht="15.5" customHeight="1" spans="1:10">
      <c r="A14" s="23"/>
      <c r="B14" s="24"/>
      <c r="C14" s="25"/>
      <c r="D14" s="27"/>
      <c r="E14" s="223"/>
      <c r="F14" s="223"/>
      <c r="G14" s="26"/>
      <c r="H14" s="26"/>
      <c r="I14" s="26" t="str">
        <f t="shared" si="0"/>
        <v/>
      </c>
      <c r="J14" s="27"/>
    </row>
    <row r="15" ht="15.5" customHeight="1" spans="1:10">
      <c r="A15" s="23"/>
      <c r="B15" s="24"/>
      <c r="C15" s="25"/>
      <c r="D15" s="27"/>
      <c r="E15" s="223"/>
      <c r="F15" s="223"/>
      <c r="G15" s="26"/>
      <c r="H15" s="26"/>
      <c r="I15" s="26" t="str">
        <f t="shared" si="0"/>
        <v/>
      </c>
      <c r="J15" s="27"/>
    </row>
    <row r="16" ht="15.5" customHeight="1" spans="1:10">
      <c r="A16" s="23"/>
      <c r="B16" s="24"/>
      <c r="C16" s="25"/>
      <c r="D16" s="27"/>
      <c r="E16" s="223"/>
      <c r="F16" s="223"/>
      <c r="G16" s="26"/>
      <c r="H16" s="26"/>
      <c r="I16" s="26" t="str">
        <f t="shared" si="0"/>
        <v/>
      </c>
      <c r="J16" s="27"/>
    </row>
    <row r="17" ht="15.5" customHeight="1" spans="1:10">
      <c r="A17" s="23"/>
      <c r="B17" s="24"/>
      <c r="C17" s="25"/>
      <c r="D17" s="27"/>
      <c r="E17" s="223"/>
      <c r="F17" s="223"/>
      <c r="G17" s="26"/>
      <c r="H17" s="26"/>
      <c r="I17" s="26" t="str">
        <f t="shared" si="0"/>
        <v/>
      </c>
      <c r="J17" s="27"/>
    </row>
    <row r="18" ht="15.5" customHeight="1" spans="1:10">
      <c r="A18" s="23"/>
      <c r="B18" s="24"/>
      <c r="C18" s="25"/>
      <c r="D18" s="27"/>
      <c r="E18" s="223"/>
      <c r="F18" s="223"/>
      <c r="G18" s="26"/>
      <c r="H18" s="26"/>
      <c r="I18" s="26" t="str">
        <f t="shared" si="0"/>
        <v/>
      </c>
      <c r="J18" s="27"/>
    </row>
    <row r="19" ht="15.5" customHeight="1" spans="1:10">
      <c r="A19" s="23"/>
      <c r="B19" s="24"/>
      <c r="C19" s="25"/>
      <c r="D19" s="27"/>
      <c r="E19" s="223"/>
      <c r="F19" s="223"/>
      <c r="G19" s="26"/>
      <c r="H19" s="26"/>
      <c r="I19" s="26" t="str">
        <f t="shared" si="0"/>
        <v/>
      </c>
      <c r="J19" s="27"/>
    </row>
    <row r="20" ht="15.5" customHeight="1" spans="1:10">
      <c r="A20" s="23"/>
      <c r="B20" s="24"/>
      <c r="C20" s="25"/>
      <c r="D20" s="27"/>
      <c r="E20" s="223"/>
      <c r="F20" s="223"/>
      <c r="G20" s="26"/>
      <c r="H20" s="26"/>
      <c r="I20" s="26" t="str">
        <f t="shared" si="0"/>
        <v/>
      </c>
      <c r="J20" s="27"/>
    </row>
    <row r="21" ht="15.5" customHeight="1" spans="1:10">
      <c r="A21" s="23"/>
      <c r="B21" s="24"/>
      <c r="C21" s="25"/>
      <c r="D21" s="27"/>
      <c r="E21" s="223"/>
      <c r="F21" s="223"/>
      <c r="G21" s="26"/>
      <c r="H21" s="26"/>
      <c r="I21" s="26" t="str">
        <f t="shared" si="0"/>
        <v/>
      </c>
      <c r="J21" s="27"/>
    </row>
    <row r="22" ht="15.5" customHeight="1" spans="1:10">
      <c r="A22" s="23"/>
      <c r="B22" s="24"/>
      <c r="C22" s="25"/>
      <c r="D22" s="27"/>
      <c r="E22" s="223"/>
      <c r="F22" s="223"/>
      <c r="G22" s="26"/>
      <c r="H22" s="26"/>
      <c r="I22" s="26" t="str">
        <f t="shared" si="0"/>
        <v/>
      </c>
      <c r="J22" s="27"/>
    </row>
    <row r="23" ht="15.5" customHeight="1" spans="1:10">
      <c r="A23" s="23"/>
      <c r="B23" s="24"/>
      <c r="C23" s="25"/>
      <c r="D23" s="27"/>
      <c r="E23" s="223"/>
      <c r="F23" s="223"/>
      <c r="G23" s="26"/>
      <c r="H23" s="26"/>
      <c r="I23" s="26" t="str">
        <f t="shared" si="0"/>
        <v/>
      </c>
      <c r="J23" s="27"/>
    </row>
    <row r="24" ht="15.5" customHeight="1" spans="1:10">
      <c r="A24" s="23"/>
      <c r="B24" s="24"/>
      <c r="C24" s="25"/>
      <c r="D24" s="27"/>
      <c r="E24" s="223"/>
      <c r="F24" s="223"/>
      <c r="G24" s="26"/>
      <c r="H24" s="26"/>
      <c r="I24" s="26" t="str">
        <f t="shared" si="0"/>
        <v/>
      </c>
      <c r="J24" s="27"/>
    </row>
    <row r="25" ht="15.5" customHeight="1" spans="1:10">
      <c r="A25" s="23"/>
      <c r="B25" s="24"/>
      <c r="C25" s="25"/>
      <c r="D25" s="27"/>
      <c r="E25" s="223"/>
      <c r="F25" s="223"/>
      <c r="G25" s="26"/>
      <c r="H25" s="26"/>
      <c r="I25" s="26" t="str">
        <f t="shared" si="0"/>
        <v/>
      </c>
      <c r="J25" s="27"/>
    </row>
    <row r="26" ht="15.5" customHeight="1" spans="1:10">
      <c r="A26" s="23"/>
      <c r="B26" s="24"/>
      <c r="C26" s="25"/>
      <c r="D26" s="27"/>
      <c r="E26" s="223"/>
      <c r="F26" s="223"/>
      <c r="G26" s="26"/>
      <c r="H26" s="26"/>
      <c r="I26" s="26"/>
      <c r="J26" s="27"/>
    </row>
    <row r="27" ht="15.5" customHeight="1" spans="1:10">
      <c r="A27" s="21" t="s">
        <v>319</v>
      </c>
      <c r="B27" s="28"/>
      <c r="C27" s="25"/>
      <c r="D27" s="27"/>
      <c r="E27" s="223">
        <f>SUM(E6:E26)</f>
        <v>0</v>
      </c>
      <c r="F27" s="223"/>
      <c r="G27" s="26">
        <f>SUM(G6:G26)</f>
        <v>0</v>
      </c>
      <c r="H27" s="26">
        <f>SUM(H6:H26)</f>
        <v>0</v>
      </c>
      <c r="I27" s="26" t="str">
        <f>IF(G27=0,"",(H27-G27)/G27*100)</f>
        <v/>
      </c>
      <c r="J27" s="27"/>
    </row>
    <row r="28" ht="15.5" customHeight="1" spans="1:10">
      <c r="A28" s="29" t="str">
        <f>封面!D11&amp;封面!G11</f>
        <v>被评估单位填表人：</v>
      </c>
      <c r="G28" s="19" t="str">
        <f>"评估人员："&amp;封面!G20</f>
        <v>评估人员：</v>
      </c>
    </row>
    <row r="29" ht="15.5" customHeight="1" spans="1:10">
      <c r="A29" s="29" t="str">
        <f>CONCATENATE(封面!D13,封面!F13,封面!G13,封面!H13,封面!I13,封面!J13,封面!K13)</f>
        <v>填表日期：年月日</v>
      </c>
    </row>
  </sheetData>
  <mergeCells count="3">
    <mergeCell ref="A2:J2"/>
    <mergeCell ref="A3:J3"/>
    <mergeCell ref="A27:B27"/>
  </mergeCells>
  <hyperlinks>
    <hyperlink ref="A1" location="索引目录!D16" display="返回索引页"/>
    <hyperlink ref="B1" location="流动汇总!B12" display="返回"/>
  </hyperlinks>
  <printOptions horizontalCentered="1"/>
  <pageMargins left="0.354330708661417" right="0.354330708661417" top="0.78740157480315" bottom="0.78740157480315" header="1.02" footer="0.511811023622047"/>
  <pageSetup paperSize="9" fitToHeight="0" orientation="landscape"/>
  <headerFooter alignWithMargins="0">
    <oddHeader>&amp;R&amp;"宋体,常规"共&amp;"Times New Roman,常规"&amp;N&amp;"宋体,常规"页第&amp;"Times New Roman,常规"&amp;P&amp;"宋体,常规"3-7
页</oddHead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pageSetUpPr fitToPage="1"/>
  </sheetPr>
  <dimension ref="A1:S52"/>
  <sheetViews>
    <sheetView view="pageBreakPreview" zoomScale="90" zoomScaleNormal="100" workbookViewId="0">
      <selection activeCell="G451" sqref="G451"/>
    </sheetView>
  </sheetViews>
  <sheetFormatPr defaultColWidth="9" defaultRowHeight="15.75" customHeight="1"/>
  <cols>
    <col min="1" max="1" width="5.25" style="13" customWidth="1"/>
    <col min="2" max="2" width="28" style="13" customWidth="1"/>
    <col min="3" max="3" width="13.5" style="13" customWidth="1"/>
    <col min="4" max="4" width="9.75" style="13" customWidth="1"/>
    <col min="5" max="5" width="7.75" style="13" customWidth="1"/>
    <col min="6" max="6" width="13.0833333333333" style="13" hidden="1" customWidth="1" outlineLevel="1"/>
    <col min="7" max="7" width="10.3333333333333" style="78" hidden="1" customWidth="1" outlineLevel="1"/>
    <col min="8" max="11" width="8.75" style="78" hidden="1" customWidth="1" outlineLevel="1"/>
    <col min="12" max="12" width="10.3333333333333" style="78" hidden="1" customWidth="1" outlineLevel="1"/>
    <col min="13" max="13" width="8.25" style="78" hidden="1" customWidth="1" outlineLevel="1"/>
    <col min="14" max="15" width="10.75" style="146" hidden="1" customWidth="1" outlineLevel="1"/>
    <col min="16" max="16" width="18.5" style="13" customWidth="1" collapsed="1"/>
    <col min="17" max="17" width="18.5" style="13" customWidth="1"/>
    <col min="18" max="18" width="9.58333333333333" style="13" customWidth="1"/>
    <col min="19" max="19" width="11.0833333333333" style="13" customWidth="1"/>
    <col min="20" max="16384" width="9" style="13" customWidth="1"/>
  </cols>
  <sheetData>
    <row r="1" s="64" customFormat="1" ht="15" customHeight="1" spans="1:19">
      <c r="A1" s="51" t="s">
        <v>111</v>
      </c>
      <c r="B1" s="52" t="s">
        <v>320</v>
      </c>
      <c r="C1" s="65"/>
      <c r="D1" s="65"/>
      <c r="E1" s="65"/>
      <c r="F1" s="65"/>
      <c r="G1" s="65"/>
      <c r="H1" s="65"/>
      <c r="I1" s="65"/>
      <c r="J1" s="65"/>
      <c r="K1" s="65"/>
      <c r="L1" s="65"/>
      <c r="M1" s="65"/>
      <c r="N1" s="65"/>
      <c r="O1" s="65"/>
      <c r="P1" s="65"/>
      <c r="Q1" s="65"/>
      <c r="R1" s="65"/>
      <c r="S1" s="65"/>
    </row>
    <row r="2" s="11" customFormat="1" ht="30" customHeight="1" spans="1:19">
      <c r="A2" s="53" t="s">
        <v>352</v>
      </c>
    </row>
    <row r="3" ht="14.15" customHeight="1" spans="1:19">
      <c r="A3" s="18" t="str">
        <f>CONCATENATE(封面!D9,封面!F9,封面!G9,封面!H9,封面!I9,封面!J9,封面!K9)</f>
        <v>评估基准日：年月日</v>
      </c>
    </row>
    <row r="4" ht="15.5" customHeight="1" spans="1:19">
      <c r="A4" s="19" t="str">
        <f>封面!D7&amp;封面!F7</f>
        <v>被评估单位：</v>
      </c>
      <c r="M4" s="259" t="s">
        <v>322</v>
      </c>
      <c r="N4" s="260" t="s">
        <v>323</v>
      </c>
      <c r="O4" s="261"/>
      <c r="S4" s="54" t="s">
        <v>139</v>
      </c>
    </row>
    <row r="5" s="12" customFormat="1" ht="13" customHeight="1" spans="1:19">
      <c r="A5" s="63" t="s">
        <v>141</v>
      </c>
      <c r="B5" s="63" t="s">
        <v>324</v>
      </c>
      <c r="C5" s="63" t="s">
        <v>325</v>
      </c>
      <c r="D5" s="23" t="s">
        <v>326</v>
      </c>
      <c r="E5" s="23" t="s">
        <v>327</v>
      </c>
      <c r="F5" s="23" t="s">
        <v>175</v>
      </c>
      <c r="G5" s="262" t="s">
        <v>328</v>
      </c>
      <c r="H5" s="263" t="s">
        <v>329</v>
      </c>
      <c r="I5" s="262" t="s">
        <v>330</v>
      </c>
      <c r="J5" s="262" t="s">
        <v>331</v>
      </c>
      <c r="K5" s="262" t="s">
        <v>332</v>
      </c>
      <c r="L5" s="262" t="s">
        <v>333</v>
      </c>
      <c r="M5" s="36"/>
      <c r="N5" s="36"/>
      <c r="O5" s="260" t="s">
        <v>281</v>
      </c>
      <c r="P5" s="23" t="s">
        <v>176</v>
      </c>
      <c r="Q5" s="23" t="s">
        <v>177</v>
      </c>
      <c r="R5" s="23" t="s">
        <v>215</v>
      </c>
      <c r="S5" s="23" t="s">
        <v>144</v>
      </c>
    </row>
    <row r="6" ht="14" customHeight="1" spans="1:19">
      <c r="A6" s="63">
        <v>1</v>
      </c>
      <c r="B6" s="59"/>
      <c r="C6" s="58"/>
      <c r="D6" s="264"/>
      <c r="E6" s="23"/>
      <c r="F6" s="26"/>
      <c r="G6" s="265"/>
      <c r="H6" s="265"/>
      <c r="I6" s="265"/>
      <c r="J6" s="265"/>
      <c r="K6" s="265"/>
      <c r="L6" s="265"/>
      <c r="M6" s="265"/>
      <c r="N6" s="266"/>
      <c r="O6" s="266"/>
      <c r="P6" s="26"/>
      <c r="Q6" s="26">
        <f t="shared" ref="Q6:Q41" si="0">P6</f>
        <v>0</v>
      </c>
      <c r="R6" s="26" t="str">
        <f t="shared" ref="R6:R41" si="1">IF(P6=0,"",(Q6-P6)/P6*100)</f>
        <v/>
      </c>
      <c r="S6" s="27"/>
    </row>
    <row r="7" ht="14" customHeight="1" spans="1:19">
      <c r="A7" s="63">
        <v>2</v>
      </c>
      <c r="B7" s="59"/>
      <c r="C7" s="58"/>
      <c r="D7" s="264"/>
      <c r="E7" s="23"/>
      <c r="F7" s="26"/>
      <c r="G7" s="265"/>
      <c r="H7" s="265"/>
      <c r="I7" s="265"/>
      <c r="J7" s="265"/>
      <c r="K7" s="265"/>
      <c r="L7" s="265"/>
      <c r="M7" s="265"/>
      <c r="N7" s="266"/>
      <c r="O7" s="266"/>
      <c r="P7" s="26"/>
      <c r="Q7" s="26">
        <f t="shared" si="0"/>
        <v>0</v>
      </c>
      <c r="R7" s="26" t="str">
        <f t="shared" si="1"/>
        <v/>
      </c>
      <c r="S7" s="27"/>
    </row>
    <row r="8" ht="14" customHeight="1" spans="1:19">
      <c r="A8" s="63">
        <v>3</v>
      </c>
      <c r="B8" s="59"/>
      <c r="C8" s="58"/>
      <c r="D8" s="264"/>
      <c r="E8" s="23"/>
      <c r="F8" s="26"/>
      <c r="G8" s="265"/>
      <c r="H8" s="265"/>
      <c r="I8" s="265"/>
      <c r="J8" s="265"/>
      <c r="K8" s="265"/>
      <c r="L8" s="265"/>
      <c r="M8" s="265"/>
      <c r="N8" s="266"/>
      <c r="O8" s="266"/>
      <c r="P8" s="26"/>
      <c r="Q8" s="26">
        <f t="shared" si="0"/>
        <v>0</v>
      </c>
      <c r="R8" s="26" t="str">
        <f t="shared" si="1"/>
        <v/>
      </c>
      <c r="S8" s="27"/>
    </row>
    <row r="9" ht="14" customHeight="1" spans="1:19">
      <c r="A9" s="63">
        <v>4</v>
      </c>
      <c r="B9" s="59"/>
      <c r="C9" s="58"/>
      <c r="D9" s="264"/>
      <c r="E9" s="23"/>
      <c r="F9" s="26"/>
      <c r="G9" s="265"/>
      <c r="H9" s="265"/>
      <c r="I9" s="265"/>
      <c r="J9" s="265"/>
      <c r="K9" s="265"/>
      <c r="L9" s="265"/>
      <c r="M9" s="265"/>
      <c r="N9" s="266"/>
      <c r="O9" s="266"/>
      <c r="P9" s="26"/>
      <c r="Q9" s="26">
        <f t="shared" si="0"/>
        <v>0</v>
      </c>
      <c r="R9" s="26" t="str">
        <f t="shared" si="1"/>
        <v/>
      </c>
      <c r="S9" s="27"/>
    </row>
    <row r="10" ht="14" customHeight="1" spans="1:19">
      <c r="A10" s="63">
        <v>5</v>
      </c>
      <c r="B10" s="59"/>
      <c r="C10" s="58"/>
      <c r="D10" s="264"/>
      <c r="E10" s="23"/>
      <c r="F10" s="26"/>
      <c r="G10" s="265"/>
      <c r="H10" s="265"/>
      <c r="I10" s="265"/>
      <c r="J10" s="265"/>
      <c r="K10" s="265"/>
      <c r="L10" s="265"/>
      <c r="M10" s="265"/>
      <c r="N10" s="266"/>
      <c r="O10" s="266"/>
      <c r="P10" s="26"/>
      <c r="Q10" s="26">
        <f t="shared" si="0"/>
        <v>0</v>
      </c>
      <c r="R10" s="26" t="str">
        <f t="shared" si="1"/>
        <v/>
      </c>
      <c r="S10" s="27"/>
    </row>
    <row r="11" ht="14" customHeight="1" spans="1:19">
      <c r="A11" s="63">
        <v>6</v>
      </c>
      <c r="B11" s="59"/>
      <c r="C11" s="58"/>
      <c r="D11" s="264"/>
      <c r="E11" s="23"/>
      <c r="F11" s="26"/>
      <c r="G11" s="265"/>
      <c r="H11" s="265"/>
      <c r="I11" s="265"/>
      <c r="J11" s="265"/>
      <c r="K11" s="265"/>
      <c r="L11" s="265"/>
      <c r="M11" s="265"/>
      <c r="N11" s="266"/>
      <c r="O11" s="266"/>
      <c r="P11" s="26"/>
      <c r="Q11" s="26">
        <f t="shared" si="0"/>
        <v>0</v>
      </c>
      <c r="R11" s="26" t="str">
        <f t="shared" si="1"/>
        <v/>
      </c>
      <c r="S11" s="27"/>
    </row>
    <row r="12" ht="14" customHeight="1" spans="1:19">
      <c r="A12" s="63">
        <v>7</v>
      </c>
      <c r="B12" s="59"/>
      <c r="C12" s="58"/>
      <c r="D12" s="264"/>
      <c r="E12" s="23"/>
      <c r="F12" s="26"/>
      <c r="G12" s="265"/>
      <c r="H12" s="265"/>
      <c r="I12" s="265"/>
      <c r="J12" s="265"/>
      <c r="K12" s="265"/>
      <c r="L12" s="265"/>
      <c r="M12" s="265"/>
      <c r="N12" s="266"/>
      <c r="O12" s="266"/>
      <c r="P12" s="26"/>
      <c r="Q12" s="26">
        <f t="shared" si="0"/>
        <v>0</v>
      </c>
      <c r="R12" s="26" t="str">
        <f t="shared" si="1"/>
        <v/>
      </c>
      <c r="S12" s="27"/>
    </row>
    <row r="13" ht="14" customHeight="1" spans="1:19">
      <c r="A13" s="63">
        <v>8</v>
      </c>
      <c r="B13" s="59"/>
      <c r="C13" s="58"/>
      <c r="D13" s="264"/>
      <c r="E13" s="23"/>
      <c r="F13" s="26"/>
      <c r="G13" s="265"/>
      <c r="H13" s="265"/>
      <c r="I13" s="265"/>
      <c r="J13" s="265"/>
      <c r="K13" s="265"/>
      <c r="L13" s="265"/>
      <c r="M13" s="265"/>
      <c r="N13" s="266"/>
      <c r="O13" s="266"/>
      <c r="P13" s="26"/>
      <c r="Q13" s="26">
        <f t="shared" si="0"/>
        <v>0</v>
      </c>
      <c r="R13" s="26" t="str">
        <f t="shared" si="1"/>
        <v/>
      </c>
      <c r="S13" s="27"/>
    </row>
    <row r="14" ht="14" customHeight="1" spans="1:19">
      <c r="A14" s="63">
        <v>9</v>
      </c>
      <c r="B14" s="59"/>
      <c r="C14" s="58"/>
      <c r="D14" s="264"/>
      <c r="E14" s="23"/>
      <c r="F14" s="26"/>
      <c r="G14" s="265"/>
      <c r="H14" s="265"/>
      <c r="I14" s="265"/>
      <c r="J14" s="265"/>
      <c r="K14" s="265"/>
      <c r="L14" s="265"/>
      <c r="M14" s="265"/>
      <c r="N14" s="266"/>
      <c r="O14" s="266"/>
      <c r="P14" s="26"/>
      <c r="Q14" s="26">
        <f t="shared" si="0"/>
        <v>0</v>
      </c>
      <c r="R14" s="26" t="str">
        <f t="shared" si="1"/>
        <v/>
      </c>
      <c r="S14" s="27"/>
    </row>
    <row r="15" ht="14" customHeight="1" spans="1:19">
      <c r="A15" s="63">
        <v>10</v>
      </c>
      <c r="B15" s="59"/>
      <c r="C15" s="58"/>
      <c r="D15" s="264"/>
      <c r="E15" s="23"/>
      <c r="F15" s="26"/>
      <c r="G15" s="265"/>
      <c r="H15" s="265"/>
      <c r="I15" s="265"/>
      <c r="J15" s="265"/>
      <c r="K15" s="265"/>
      <c r="L15" s="265"/>
      <c r="M15" s="265"/>
      <c r="N15" s="266"/>
      <c r="O15" s="266"/>
      <c r="P15" s="26"/>
      <c r="Q15" s="26">
        <f t="shared" si="0"/>
        <v>0</v>
      </c>
      <c r="R15" s="26" t="str">
        <f t="shared" si="1"/>
        <v/>
      </c>
      <c r="S15" s="27"/>
    </row>
    <row r="16" ht="14" customHeight="1" spans="1:19">
      <c r="A16" s="63">
        <v>11</v>
      </c>
      <c r="B16" s="59"/>
      <c r="C16" s="58"/>
      <c r="D16" s="264"/>
      <c r="E16" s="23"/>
      <c r="F16" s="26"/>
      <c r="G16" s="265"/>
      <c r="H16" s="265"/>
      <c r="I16" s="265"/>
      <c r="J16" s="265"/>
      <c r="K16" s="265"/>
      <c r="L16" s="265"/>
      <c r="M16" s="265"/>
      <c r="N16" s="266"/>
      <c r="O16" s="266"/>
      <c r="P16" s="26"/>
      <c r="Q16" s="26">
        <f t="shared" si="0"/>
        <v>0</v>
      </c>
      <c r="R16" s="26" t="str">
        <f t="shared" si="1"/>
        <v/>
      </c>
      <c r="S16" s="27"/>
    </row>
    <row r="17" ht="14" customHeight="1" spans="1:19">
      <c r="A17" s="63">
        <v>12</v>
      </c>
      <c r="B17" s="59"/>
      <c r="C17" s="58"/>
      <c r="D17" s="264"/>
      <c r="E17" s="23"/>
      <c r="F17" s="26"/>
      <c r="G17" s="265"/>
      <c r="H17" s="265"/>
      <c r="I17" s="265"/>
      <c r="J17" s="265"/>
      <c r="K17" s="265"/>
      <c r="L17" s="265"/>
      <c r="M17" s="265"/>
      <c r="N17" s="266"/>
      <c r="O17" s="266"/>
      <c r="P17" s="26"/>
      <c r="Q17" s="26">
        <f t="shared" si="0"/>
        <v>0</v>
      </c>
      <c r="R17" s="26" t="str">
        <f t="shared" si="1"/>
        <v/>
      </c>
      <c r="S17" s="27"/>
    </row>
    <row r="18" ht="14" customHeight="1" spans="1:19">
      <c r="A18" s="63">
        <v>13</v>
      </c>
      <c r="B18" s="59"/>
      <c r="C18" s="58"/>
      <c r="D18" s="264"/>
      <c r="E18" s="23"/>
      <c r="F18" s="26"/>
      <c r="G18" s="265"/>
      <c r="H18" s="265"/>
      <c r="I18" s="265"/>
      <c r="J18" s="265"/>
      <c r="K18" s="265"/>
      <c r="L18" s="265"/>
      <c r="M18" s="265"/>
      <c r="N18" s="266"/>
      <c r="O18" s="266"/>
      <c r="P18" s="26"/>
      <c r="Q18" s="26">
        <f t="shared" si="0"/>
        <v>0</v>
      </c>
      <c r="R18" s="26" t="str">
        <f t="shared" si="1"/>
        <v/>
      </c>
      <c r="S18" s="27"/>
    </row>
    <row r="19" ht="14" customHeight="1" spans="1:19">
      <c r="A19" s="63">
        <v>14</v>
      </c>
      <c r="B19" s="59"/>
      <c r="C19" s="58"/>
      <c r="D19" s="264"/>
      <c r="E19" s="23"/>
      <c r="F19" s="26"/>
      <c r="G19" s="265"/>
      <c r="H19" s="265"/>
      <c r="I19" s="265"/>
      <c r="J19" s="265"/>
      <c r="K19" s="265"/>
      <c r="L19" s="265"/>
      <c r="M19" s="265"/>
      <c r="N19" s="266"/>
      <c r="O19" s="266"/>
      <c r="P19" s="26"/>
      <c r="Q19" s="26">
        <f t="shared" si="0"/>
        <v>0</v>
      </c>
      <c r="R19" s="26" t="str">
        <f t="shared" si="1"/>
        <v/>
      </c>
      <c r="S19" s="27"/>
    </row>
    <row r="20" ht="14" customHeight="1" spans="1:19">
      <c r="A20" s="63">
        <v>15</v>
      </c>
      <c r="B20" s="59"/>
      <c r="C20" s="58"/>
      <c r="D20" s="264"/>
      <c r="E20" s="23"/>
      <c r="F20" s="26"/>
      <c r="G20" s="265"/>
      <c r="H20" s="265"/>
      <c r="I20" s="265"/>
      <c r="J20" s="265"/>
      <c r="K20" s="265"/>
      <c r="L20" s="265"/>
      <c r="M20" s="265"/>
      <c r="N20" s="266"/>
      <c r="O20" s="266"/>
      <c r="P20" s="26"/>
      <c r="Q20" s="26">
        <f t="shared" si="0"/>
        <v>0</v>
      </c>
      <c r="R20" s="26" t="str">
        <f t="shared" si="1"/>
        <v/>
      </c>
      <c r="S20" s="27"/>
    </row>
    <row r="21" ht="14" customHeight="1" spans="1:19">
      <c r="A21" s="63">
        <v>16</v>
      </c>
      <c r="B21" s="59"/>
      <c r="C21" s="58"/>
      <c r="D21" s="264"/>
      <c r="E21" s="23"/>
      <c r="F21" s="26"/>
      <c r="G21" s="265"/>
      <c r="H21" s="265"/>
      <c r="I21" s="265"/>
      <c r="J21" s="265"/>
      <c r="K21" s="265"/>
      <c r="L21" s="265"/>
      <c r="M21" s="265"/>
      <c r="N21" s="266"/>
      <c r="O21" s="266"/>
      <c r="P21" s="26"/>
      <c r="Q21" s="26">
        <f t="shared" si="0"/>
        <v>0</v>
      </c>
      <c r="R21" s="26" t="str">
        <f t="shared" si="1"/>
        <v/>
      </c>
      <c r="S21" s="27"/>
    </row>
    <row r="22" ht="14" customHeight="1" spans="1:19">
      <c r="A22" s="63">
        <v>17</v>
      </c>
      <c r="B22" s="59"/>
      <c r="C22" s="58"/>
      <c r="D22" s="264"/>
      <c r="E22" s="23"/>
      <c r="F22" s="26"/>
      <c r="G22" s="265"/>
      <c r="H22" s="265"/>
      <c r="I22" s="265"/>
      <c r="J22" s="265"/>
      <c r="K22" s="265"/>
      <c r="L22" s="265"/>
      <c r="M22" s="265"/>
      <c r="N22" s="266"/>
      <c r="O22" s="266"/>
      <c r="P22" s="26"/>
      <c r="Q22" s="26">
        <f t="shared" si="0"/>
        <v>0</v>
      </c>
      <c r="R22" s="26" t="str">
        <f t="shared" si="1"/>
        <v/>
      </c>
      <c r="S22" s="27"/>
    </row>
    <row r="23" ht="14" customHeight="1" spans="1:19">
      <c r="A23" s="63">
        <v>18</v>
      </c>
      <c r="B23" s="59"/>
      <c r="C23" s="58"/>
      <c r="D23" s="264"/>
      <c r="E23" s="23"/>
      <c r="F23" s="26"/>
      <c r="G23" s="265"/>
      <c r="H23" s="265"/>
      <c r="I23" s="265"/>
      <c r="J23" s="265"/>
      <c r="K23" s="265"/>
      <c r="L23" s="265"/>
      <c r="M23" s="265"/>
      <c r="N23" s="266"/>
      <c r="O23" s="266"/>
      <c r="P23" s="26"/>
      <c r="Q23" s="26">
        <f t="shared" si="0"/>
        <v>0</v>
      </c>
      <c r="R23" s="26" t="str">
        <f t="shared" si="1"/>
        <v/>
      </c>
      <c r="S23" s="27"/>
    </row>
    <row r="24" ht="14" customHeight="1" spans="1:19">
      <c r="A24" s="63">
        <v>19</v>
      </c>
      <c r="B24" s="59"/>
      <c r="C24" s="58"/>
      <c r="D24" s="264"/>
      <c r="E24" s="23"/>
      <c r="F24" s="26"/>
      <c r="G24" s="265"/>
      <c r="H24" s="265"/>
      <c r="I24" s="265"/>
      <c r="J24" s="265"/>
      <c r="K24" s="265"/>
      <c r="L24" s="265"/>
      <c r="M24" s="265"/>
      <c r="N24" s="266"/>
      <c r="O24" s="266"/>
      <c r="P24" s="26"/>
      <c r="Q24" s="26">
        <f t="shared" si="0"/>
        <v>0</v>
      </c>
      <c r="R24" s="26" t="str">
        <f t="shared" si="1"/>
        <v/>
      </c>
      <c r="S24" s="27"/>
    </row>
    <row r="25" ht="14" customHeight="1" spans="1:19">
      <c r="A25" s="63">
        <v>20</v>
      </c>
      <c r="B25" s="59"/>
      <c r="C25" s="58"/>
      <c r="D25" s="264"/>
      <c r="E25" s="23"/>
      <c r="F25" s="26"/>
      <c r="G25" s="265"/>
      <c r="H25" s="265"/>
      <c r="I25" s="265"/>
      <c r="J25" s="265"/>
      <c r="K25" s="265"/>
      <c r="L25" s="265"/>
      <c r="M25" s="265"/>
      <c r="N25" s="266"/>
      <c r="O25" s="266"/>
      <c r="P25" s="26"/>
      <c r="Q25" s="26">
        <f t="shared" si="0"/>
        <v>0</v>
      </c>
      <c r="R25" s="26" t="str">
        <f t="shared" si="1"/>
        <v/>
      </c>
      <c r="S25" s="27"/>
    </row>
    <row r="26" ht="14" customHeight="1" spans="1:19">
      <c r="A26" s="63">
        <v>21</v>
      </c>
      <c r="B26" s="59"/>
      <c r="C26" s="58"/>
      <c r="D26" s="264"/>
      <c r="E26" s="23"/>
      <c r="F26" s="26"/>
      <c r="G26" s="265"/>
      <c r="H26" s="265"/>
      <c r="I26" s="265"/>
      <c r="J26" s="265"/>
      <c r="K26" s="265"/>
      <c r="L26" s="265"/>
      <c r="M26" s="265"/>
      <c r="N26" s="266"/>
      <c r="O26" s="266"/>
      <c r="P26" s="26"/>
      <c r="Q26" s="26">
        <f t="shared" si="0"/>
        <v>0</v>
      </c>
      <c r="R26" s="26" t="str">
        <f t="shared" si="1"/>
        <v/>
      </c>
      <c r="S26" s="27"/>
    </row>
    <row r="27" ht="14" customHeight="1" spans="1:19">
      <c r="A27" s="63">
        <v>22</v>
      </c>
      <c r="B27" s="59"/>
      <c r="C27" s="58"/>
      <c r="D27" s="264"/>
      <c r="E27" s="23"/>
      <c r="F27" s="26"/>
      <c r="G27" s="265"/>
      <c r="H27" s="265"/>
      <c r="I27" s="265"/>
      <c r="J27" s="265"/>
      <c r="K27" s="265"/>
      <c r="L27" s="265"/>
      <c r="M27" s="265"/>
      <c r="N27" s="266"/>
      <c r="O27" s="266"/>
      <c r="P27" s="26"/>
      <c r="Q27" s="26">
        <f t="shared" si="0"/>
        <v>0</v>
      </c>
      <c r="R27" s="26" t="str">
        <f t="shared" si="1"/>
        <v/>
      </c>
      <c r="S27" s="27"/>
    </row>
    <row r="28" ht="14" customHeight="1" spans="1:19">
      <c r="A28" s="63">
        <v>23</v>
      </c>
      <c r="B28" s="59"/>
      <c r="C28" s="58"/>
      <c r="D28" s="264"/>
      <c r="E28" s="23"/>
      <c r="F28" s="26"/>
      <c r="G28" s="265"/>
      <c r="H28" s="265"/>
      <c r="I28" s="265"/>
      <c r="J28" s="265"/>
      <c r="K28" s="265"/>
      <c r="L28" s="265"/>
      <c r="M28" s="265"/>
      <c r="N28" s="266"/>
      <c r="O28" s="266"/>
      <c r="P28" s="26"/>
      <c r="Q28" s="26">
        <f t="shared" si="0"/>
        <v>0</v>
      </c>
      <c r="R28" s="26" t="str">
        <f t="shared" si="1"/>
        <v/>
      </c>
      <c r="S28" s="27"/>
    </row>
    <row r="29" ht="14" customHeight="1" spans="1:19">
      <c r="A29" s="63">
        <v>24</v>
      </c>
      <c r="B29" s="59"/>
      <c r="C29" s="58"/>
      <c r="D29" s="264"/>
      <c r="E29" s="23"/>
      <c r="F29" s="26"/>
      <c r="G29" s="265"/>
      <c r="H29" s="265"/>
      <c r="I29" s="265"/>
      <c r="J29" s="265"/>
      <c r="K29" s="265"/>
      <c r="L29" s="265"/>
      <c r="M29" s="265"/>
      <c r="N29" s="266"/>
      <c r="O29" s="266"/>
      <c r="P29" s="26"/>
      <c r="Q29" s="26">
        <f t="shared" si="0"/>
        <v>0</v>
      </c>
      <c r="R29" s="26" t="str">
        <f t="shared" si="1"/>
        <v/>
      </c>
      <c r="S29" s="27"/>
    </row>
    <row r="30" ht="14" customHeight="1" spans="1:19">
      <c r="A30" s="63">
        <v>25</v>
      </c>
      <c r="B30"/>
      <c r="C30" s="58"/>
      <c r="D30" s="264"/>
      <c r="E30" s="23"/>
      <c r="F30" s="26"/>
      <c r="G30" s="265"/>
      <c r="H30" s="265"/>
      <c r="I30" s="265"/>
      <c r="J30" s="265"/>
      <c r="K30" s="265"/>
      <c r="L30" s="265"/>
      <c r="M30" s="265"/>
      <c r="N30" s="266"/>
      <c r="O30" s="266"/>
      <c r="P30" s="26"/>
      <c r="Q30" s="26">
        <f t="shared" si="0"/>
        <v>0</v>
      </c>
      <c r="R30" s="26" t="str">
        <f t="shared" si="1"/>
        <v/>
      </c>
      <c r="S30" s="27"/>
    </row>
    <row r="31" ht="14" customHeight="1" spans="1:19">
      <c r="A31" s="63">
        <v>26</v>
      </c>
      <c r="B31"/>
      <c r="C31" s="58"/>
      <c r="D31" s="264"/>
      <c r="E31" s="23"/>
      <c r="F31" s="26"/>
      <c r="G31" s="265"/>
      <c r="H31" s="265"/>
      <c r="I31" s="265"/>
      <c r="J31" s="265"/>
      <c r="K31" s="265"/>
      <c r="L31" s="265"/>
      <c r="M31" s="265"/>
      <c r="N31" s="266"/>
      <c r="O31" s="266"/>
      <c r="P31" s="26"/>
      <c r="Q31" s="26">
        <f t="shared" si="0"/>
        <v>0</v>
      </c>
      <c r="R31" s="26" t="str">
        <f t="shared" si="1"/>
        <v/>
      </c>
      <c r="S31" s="27"/>
    </row>
    <row r="32" ht="14" customHeight="1" spans="1:19">
      <c r="A32" s="63">
        <v>27</v>
      </c>
      <c r="B32"/>
      <c r="C32" s="58"/>
      <c r="D32" s="264"/>
      <c r="E32" s="23"/>
      <c r="F32" s="26"/>
      <c r="G32" s="265"/>
      <c r="H32" s="265"/>
      <c r="I32" s="265"/>
      <c r="J32" s="265"/>
      <c r="K32" s="265"/>
      <c r="L32" s="265"/>
      <c r="M32" s="265"/>
      <c r="N32" s="266"/>
      <c r="O32" s="266"/>
      <c r="P32" s="26"/>
      <c r="Q32" s="26">
        <f t="shared" si="0"/>
        <v>0</v>
      </c>
      <c r="R32" s="26" t="str">
        <f t="shared" si="1"/>
        <v/>
      </c>
      <c r="S32" s="27"/>
    </row>
    <row r="33" ht="14" customHeight="1" spans="1:19">
      <c r="A33" s="63">
        <v>28</v>
      </c>
      <c r="B33"/>
      <c r="C33" s="58"/>
      <c r="D33" s="264"/>
      <c r="E33" s="23"/>
      <c r="F33" s="26"/>
      <c r="G33" s="265"/>
      <c r="H33" s="265"/>
      <c r="I33" s="265"/>
      <c r="J33" s="265"/>
      <c r="K33" s="265"/>
      <c r="L33" s="265"/>
      <c r="M33" s="265"/>
      <c r="N33" s="266"/>
      <c r="O33" s="266"/>
      <c r="P33" s="26"/>
      <c r="Q33" s="26">
        <f t="shared" si="0"/>
        <v>0</v>
      </c>
      <c r="R33" s="26" t="str">
        <f t="shared" si="1"/>
        <v/>
      </c>
      <c r="S33" s="27"/>
    </row>
    <row r="34" ht="14" customHeight="1" spans="1:19">
      <c r="A34" s="63">
        <v>29</v>
      </c>
      <c r="B34" s="59"/>
      <c r="C34" s="58"/>
      <c r="D34" s="264"/>
      <c r="E34" s="23"/>
      <c r="F34" s="26"/>
      <c r="G34" s="265"/>
      <c r="H34" s="265"/>
      <c r="I34" s="265"/>
      <c r="J34" s="265"/>
      <c r="K34" s="265"/>
      <c r="L34" s="265"/>
      <c r="M34" s="265"/>
      <c r="N34" s="266"/>
      <c r="O34" s="266"/>
      <c r="P34" s="26"/>
      <c r="Q34" s="26">
        <f t="shared" si="0"/>
        <v>0</v>
      </c>
      <c r="R34" s="26" t="str">
        <f t="shared" si="1"/>
        <v/>
      </c>
      <c r="S34" s="27"/>
    </row>
    <row r="35" ht="14" customHeight="1" spans="1:19">
      <c r="A35" s="63">
        <v>30</v>
      </c>
      <c r="B35" s="59"/>
      <c r="C35" s="58"/>
      <c r="D35" s="264"/>
      <c r="E35" s="23"/>
      <c r="F35" s="26"/>
      <c r="G35" s="265"/>
      <c r="H35" s="265"/>
      <c r="I35" s="265"/>
      <c r="J35" s="265"/>
      <c r="K35" s="265"/>
      <c r="L35" s="265"/>
      <c r="M35" s="265"/>
      <c r="N35" s="266"/>
      <c r="O35" s="266"/>
      <c r="P35" s="26"/>
      <c r="Q35" s="26">
        <f t="shared" si="0"/>
        <v>0</v>
      </c>
      <c r="R35" s="26" t="str">
        <f t="shared" si="1"/>
        <v/>
      </c>
      <c r="S35" s="27"/>
    </row>
    <row r="36" ht="14" customHeight="1" spans="1:19">
      <c r="A36" s="63">
        <v>31</v>
      </c>
      <c r="B36" s="59"/>
      <c r="C36" s="58"/>
      <c r="D36" s="264"/>
      <c r="E36" s="23"/>
      <c r="F36" s="26"/>
      <c r="G36" s="265"/>
      <c r="H36" s="265"/>
      <c r="I36" s="265"/>
      <c r="J36" s="265"/>
      <c r="K36" s="265"/>
      <c r="L36" s="265"/>
      <c r="M36" s="265"/>
      <c r="N36" s="266"/>
      <c r="O36" s="266"/>
      <c r="P36" s="26"/>
      <c r="Q36" s="26">
        <f t="shared" si="0"/>
        <v>0</v>
      </c>
      <c r="R36" s="26" t="str">
        <f t="shared" si="1"/>
        <v/>
      </c>
      <c r="S36" s="27"/>
    </row>
    <row r="37" ht="14" customHeight="1" spans="1:19">
      <c r="A37" s="63">
        <v>32</v>
      </c>
      <c r="B37" s="59"/>
      <c r="C37" s="58"/>
      <c r="D37" s="264"/>
      <c r="E37" s="23"/>
      <c r="F37" s="26"/>
      <c r="G37" s="265"/>
      <c r="H37" s="265"/>
      <c r="I37" s="265"/>
      <c r="J37" s="265"/>
      <c r="K37" s="265"/>
      <c r="L37" s="265"/>
      <c r="M37" s="265"/>
      <c r="N37" s="266"/>
      <c r="O37" s="266"/>
      <c r="P37" s="26"/>
      <c r="Q37" s="26">
        <f t="shared" si="0"/>
        <v>0</v>
      </c>
      <c r="R37" s="26" t="str">
        <f t="shared" si="1"/>
        <v/>
      </c>
      <c r="S37" s="27"/>
    </row>
    <row r="38" ht="14" customHeight="1" spans="1:19">
      <c r="A38" s="63">
        <v>33</v>
      </c>
      <c r="B38" s="59"/>
      <c r="C38" s="58"/>
      <c r="D38" s="264"/>
      <c r="E38" s="23"/>
      <c r="F38" s="26"/>
      <c r="G38" s="265"/>
      <c r="H38" s="265"/>
      <c r="I38" s="265"/>
      <c r="J38" s="265"/>
      <c r="K38" s="265"/>
      <c r="L38" s="265"/>
      <c r="M38" s="265"/>
      <c r="N38" s="266"/>
      <c r="O38" s="266"/>
      <c r="P38" s="26"/>
      <c r="Q38" s="26">
        <f t="shared" si="0"/>
        <v>0</v>
      </c>
      <c r="R38" s="26" t="str">
        <f t="shared" si="1"/>
        <v/>
      </c>
      <c r="S38" s="27"/>
    </row>
    <row r="39" ht="14" customHeight="1" spans="1:19">
      <c r="A39" s="63">
        <v>34</v>
      </c>
      <c r="B39" s="59"/>
      <c r="C39" s="58"/>
      <c r="D39" s="264"/>
      <c r="E39" s="23"/>
      <c r="F39" s="26"/>
      <c r="G39" s="265"/>
      <c r="H39" s="265"/>
      <c r="I39" s="265"/>
      <c r="J39" s="265"/>
      <c r="K39" s="265"/>
      <c r="L39" s="265"/>
      <c r="M39" s="265"/>
      <c r="N39" s="266"/>
      <c r="O39" s="266"/>
      <c r="P39" s="26"/>
      <c r="Q39" s="26">
        <f t="shared" si="0"/>
        <v>0</v>
      </c>
      <c r="R39" s="26" t="str">
        <f t="shared" si="1"/>
        <v/>
      </c>
      <c r="S39" s="27"/>
    </row>
    <row r="40" ht="14" customHeight="1" spans="1:19">
      <c r="A40" s="63">
        <v>35</v>
      </c>
      <c r="B40" s="59"/>
      <c r="C40" s="58"/>
      <c r="D40" s="264"/>
      <c r="E40" s="23"/>
      <c r="F40" s="26"/>
      <c r="G40" s="265"/>
      <c r="H40" s="265"/>
      <c r="I40" s="265"/>
      <c r="J40" s="265"/>
      <c r="K40" s="265"/>
      <c r="L40" s="265"/>
      <c r="M40" s="265"/>
      <c r="N40" s="266"/>
      <c r="O40" s="266"/>
      <c r="P40" s="26"/>
      <c r="Q40" s="26">
        <f t="shared" si="0"/>
        <v>0</v>
      </c>
      <c r="R40" s="26" t="str">
        <f t="shared" si="1"/>
        <v/>
      </c>
      <c r="S40" s="27"/>
    </row>
    <row r="41" ht="14" customHeight="1" spans="1:19">
      <c r="A41" s="63">
        <v>36</v>
      </c>
      <c r="B41" s="59"/>
      <c r="C41" s="58"/>
      <c r="D41" s="264"/>
      <c r="E41" s="23"/>
      <c r="F41" s="26"/>
      <c r="G41" s="265"/>
      <c r="H41" s="265"/>
      <c r="I41" s="265"/>
      <c r="J41" s="265"/>
      <c r="K41" s="265"/>
      <c r="L41" s="265"/>
      <c r="M41" s="265"/>
      <c r="N41" s="266"/>
      <c r="O41" s="266"/>
      <c r="P41" s="26"/>
      <c r="Q41" s="26">
        <f t="shared" si="0"/>
        <v>0</v>
      </c>
      <c r="R41" s="26" t="str">
        <f t="shared" si="1"/>
        <v/>
      </c>
      <c r="S41" s="27"/>
    </row>
    <row r="42" ht="14" customHeight="1" spans="1:19">
      <c r="A42" s="23" t="s">
        <v>319</v>
      </c>
      <c r="B42" s="28"/>
      <c r="C42" s="23"/>
      <c r="D42" s="25"/>
      <c r="E42" s="23"/>
      <c r="F42" s="26">
        <f t="shared" ref="F42:N42" si="2">SUM(F6:F41)</f>
        <v>0</v>
      </c>
      <c r="G42" s="265">
        <f t="shared" si="2"/>
        <v>0</v>
      </c>
      <c r="H42" s="265">
        <f t="shared" si="2"/>
        <v>0</v>
      </c>
      <c r="I42" s="265">
        <f t="shared" si="2"/>
        <v>0</v>
      </c>
      <c r="J42" s="265">
        <f t="shared" si="2"/>
        <v>0</v>
      </c>
      <c r="K42" s="265">
        <f t="shared" si="2"/>
        <v>0</v>
      </c>
      <c r="L42" s="265">
        <f t="shared" si="2"/>
        <v>0</v>
      </c>
      <c r="M42" s="265">
        <f t="shared" si="2"/>
        <v>0</v>
      </c>
      <c r="N42" s="266">
        <f t="shared" si="2"/>
        <v>0</v>
      </c>
      <c r="O42" s="266"/>
      <c r="P42" s="26">
        <f>SUM(P6:P41)</f>
        <v>0</v>
      </c>
      <c r="Q42" s="26">
        <f>SUM(Q6:Q41)</f>
        <v>0</v>
      </c>
      <c r="R42" s="26" t="str">
        <f>IF(P30=0,"",(Q30-P30)/P30*100)</f>
        <v/>
      </c>
      <c r="S42" s="27"/>
    </row>
    <row r="43" ht="14" customHeight="1" spans="1:19">
      <c r="A43" s="23" t="s">
        <v>334</v>
      </c>
      <c r="B43" s="28"/>
      <c r="C43" s="23"/>
      <c r="D43" s="25"/>
      <c r="E43" s="23"/>
      <c r="F43" s="26"/>
      <c r="G43" s="265"/>
      <c r="H43" s="265"/>
      <c r="I43" s="265"/>
      <c r="J43" s="265"/>
      <c r="K43" s="265"/>
      <c r="L43" s="265"/>
      <c r="M43" s="265">
        <f>SUM(G31:L31)-F31</f>
        <v>0</v>
      </c>
      <c r="N43" s="266"/>
      <c r="O43" s="266"/>
      <c r="P43" s="26">
        <f>F31</f>
        <v>0</v>
      </c>
      <c r="Q43" s="26"/>
      <c r="R43" s="26" t="str">
        <f>IF(P31=0,"",(Q31-P31)/P31*100)</f>
        <v/>
      </c>
      <c r="S43" s="27"/>
    </row>
    <row r="44" ht="14" customHeight="1" spans="1:19">
      <c r="A44" s="23" t="s">
        <v>335</v>
      </c>
      <c r="B44" s="28"/>
      <c r="C44" s="23"/>
      <c r="D44" s="25"/>
      <c r="E44" s="23"/>
      <c r="F44" s="26"/>
      <c r="G44" s="265"/>
      <c r="H44" s="265"/>
      <c r="I44" s="265"/>
      <c r="J44" s="265"/>
      <c r="K44" s="265"/>
      <c r="L44" s="265"/>
      <c r="M44" s="265"/>
      <c r="N44" s="266"/>
      <c r="O44" s="266"/>
      <c r="P44" s="26"/>
      <c r="Q44" s="26"/>
      <c r="R44" s="26" t="str">
        <f>IF(P32=0,"",(Q32-P32)/P32*100)</f>
        <v/>
      </c>
      <c r="S44" s="27"/>
    </row>
    <row r="45" ht="14" customHeight="1" spans="1:19">
      <c r="A45" s="23" t="s">
        <v>336</v>
      </c>
      <c r="B45" s="28"/>
      <c r="C45" s="27"/>
      <c r="D45" s="25"/>
      <c r="E45" s="27"/>
      <c r="F45" s="26">
        <f t="shared" ref="F45:N45" si="3">F30-F31-F32</f>
        <v>0</v>
      </c>
      <c r="G45" s="265">
        <f t="shared" si="3"/>
        <v>0</v>
      </c>
      <c r="H45" s="265">
        <f t="shared" si="3"/>
        <v>0</v>
      </c>
      <c r="I45" s="265">
        <f t="shared" si="3"/>
        <v>0</v>
      </c>
      <c r="J45" s="265">
        <f t="shared" si="3"/>
        <v>0</v>
      </c>
      <c r="K45" s="265">
        <f t="shared" si="3"/>
        <v>0</v>
      </c>
      <c r="L45" s="265">
        <f t="shared" si="3"/>
        <v>0</v>
      </c>
      <c r="M45" s="265">
        <f t="shared" si="3"/>
        <v>0</v>
      </c>
      <c r="N45" s="266">
        <f t="shared" si="3"/>
        <v>0</v>
      </c>
      <c r="O45" s="266"/>
      <c r="P45" s="26">
        <f>P42-P43</f>
        <v>0</v>
      </c>
      <c r="Q45" s="26">
        <f>Q42-Q44</f>
        <v>0</v>
      </c>
      <c r="R45" s="26" t="str">
        <f>IF(P33=0,"",(Q33-P33)/P33*100)</f>
        <v/>
      </c>
      <c r="S45" s="27"/>
    </row>
    <row r="46" ht="14" customHeight="1" spans="1:19">
      <c r="A46" s="29" t="str">
        <f>封面!D11&amp;封面!G11</f>
        <v>被评估单位填表人：</v>
      </c>
      <c r="G46" s="13"/>
      <c r="P46" s="19" t="str">
        <f>"评估人员："&amp;封面!G20</f>
        <v>评估人员：</v>
      </c>
    </row>
    <row r="47" ht="14" customHeight="1" spans="1:19">
      <c r="A47" s="29" t="str">
        <f>CONCATENATE(封面!D13,封面!F13,封面!G13,封面!H13,封面!I13,封面!J13,封面!K13)</f>
        <v>填表日期：年月日</v>
      </c>
    </row>
    <row r="48" ht="15.5" customHeight="1" spans="1:19">
      <c r="B48" s="54" t="s">
        <v>337</v>
      </c>
      <c r="C48" s="13" t="s">
        <v>338</v>
      </c>
    </row>
    <row r="49" ht="15.5" customHeight="1" spans="2:3">
      <c r="B49" s="54" t="s">
        <v>339</v>
      </c>
      <c r="C49" s="13" t="s">
        <v>340</v>
      </c>
    </row>
    <row r="50" ht="15.5" customHeight="1" spans="2:3">
      <c r="C50" s="13" t="s">
        <v>341</v>
      </c>
    </row>
    <row r="51" ht="15.5" customHeight="1" spans="2:3">
      <c r="C51" s="13" t="s">
        <v>342</v>
      </c>
    </row>
    <row r="52" ht="15.5" customHeight="1" spans="2:3">
      <c r="C52" s="13" t="s">
        <v>343</v>
      </c>
    </row>
  </sheetData>
  <mergeCells count="8">
    <mergeCell ref="A2:S2"/>
    <mergeCell ref="A3:S3"/>
    <mergeCell ref="A42:B42"/>
    <mergeCell ref="A43:B43"/>
    <mergeCell ref="A44:B44"/>
    <mergeCell ref="A45:B45"/>
    <mergeCell ref="M4:M5"/>
    <mergeCell ref="N4:N5"/>
  </mergeCells>
  <hyperlinks>
    <hyperlink ref="A1" location="索引目录!D17" display="返回索引页"/>
    <hyperlink ref="B1" location="流动汇总!B13" display="返回 "/>
  </hyperlinks>
  <printOptions horizontalCentered="1"/>
  <pageMargins left="0.354166666666667" right="0.354166666666667" top="0.786805555555556" bottom="0.786805555555556" header="1.01944444444444" footer="0.511805555555556"/>
  <pageSetup paperSize="9" fitToHeight="0" orientation="landscape"/>
  <headerFooter alignWithMargins="0">
    <oddHeader>&amp;R&amp;"宋体,常规"共&amp;"Times New Roman,常规"&amp;N&amp;"宋体,常规"页第&amp;"Times New Roman,常规"&amp;P&amp;"宋体,常规"3-8
页</oddHead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tabColor indexed="15"/>
    <pageSetUpPr fitToPage="1"/>
  </sheetPr>
  <dimension ref="A1:G29"/>
  <sheetViews>
    <sheetView view="pageBreakPreview" zoomScale="90" zoomScaleNormal="85" topLeftCell="B1" workbookViewId="0">
      <selection activeCell="G451" sqref="G451"/>
    </sheetView>
  </sheetViews>
  <sheetFormatPr defaultColWidth="9" defaultRowHeight="15.75" customHeight="1" outlineLevelCol="6"/>
  <cols>
    <col min="1" max="1" width="8.5" style="13" customWidth="1"/>
    <col min="2" max="2" width="24.25" style="13" customWidth="1"/>
    <col min="3" max="3" width="19.0833333333333" style="13" hidden="1" customWidth="1" outlineLevel="1"/>
    <col min="4" max="4" width="24" style="13" customWidth="1" collapsed="1"/>
    <col min="5" max="5" width="25.3333333333333" style="13" customWidth="1"/>
    <col min="6" max="6" width="24" style="13" customWidth="1"/>
    <col min="7" max="7" width="15.8333333333333" style="13" customWidth="1"/>
    <col min="8" max="16384" width="9" style="13" customWidth="1"/>
  </cols>
  <sheetData>
    <row r="1" ht="15.5" customHeight="1" spans="1:7">
      <c r="A1" s="51" t="s">
        <v>111</v>
      </c>
      <c r="B1" s="52" t="s">
        <v>210</v>
      </c>
      <c r="C1" s="16"/>
      <c r="D1" s="16"/>
      <c r="E1" s="16"/>
      <c r="F1" s="16"/>
      <c r="G1" s="16"/>
    </row>
    <row r="2" s="11" customFormat="1" ht="30" customHeight="1" spans="1:7">
      <c r="A2" s="53" t="s">
        <v>353</v>
      </c>
    </row>
    <row r="3" ht="14.15" customHeight="1" spans="1:7">
      <c r="A3" s="18" t="str">
        <f>CONCATENATE(封面!D9,封面!F9,封面!G9,封面!H9,封面!I9,封面!J9,封面!K9)</f>
        <v>评估基准日：年月日</v>
      </c>
    </row>
    <row r="4" ht="15.5" customHeight="1" spans="1:7">
      <c r="A4" s="19" t="str">
        <f>封面!D7&amp;封面!F7</f>
        <v>被评估单位：</v>
      </c>
      <c r="G4" s="44" t="s">
        <v>139</v>
      </c>
    </row>
    <row r="5" s="12" customFormat="1" ht="13" customHeight="1" spans="1:7">
      <c r="A5" s="45" t="s">
        <v>260</v>
      </c>
      <c r="B5" s="45" t="s">
        <v>212</v>
      </c>
      <c r="C5" s="45" t="s">
        <v>175</v>
      </c>
      <c r="D5" s="45" t="s">
        <v>176</v>
      </c>
      <c r="E5" s="45" t="s">
        <v>177</v>
      </c>
      <c r="F5" s="46" t="s">
        <v>214</v>
      </c>
      <c r="G5" s="45" t="s">
        <v>215</v>
      </c>
    </row>
    <row r="6" ht="15.5" customHeight="1" spans="1:7">
      <c r="A6" s="45" t="s">
        <v>354</v>
      </c>
      <c r="B6" s="27" t="s">
        <v>61</v>
      </c>
      <c r="C6" s="26">
        <f>'材料采购（在途物资）'!F27</f>
        <v>0</v>
      </c>
      <c r="D6" s="26">
        <f>'材料采购（在途物资）'!J27</f>
        <v>0</v>
      </c>
      <c r="E6" s="26">
        <f>'材料采购（在途物资）'!M27</f>
        <v>0</v>
      </c>
      <c r="F6" s="26">
        <f t="shared" ref="F6:F13" si="0">E6-D6</f>
        <v>0</v>
      </c>
      <c r="G6" s="48" t="str">
        <f t="shared" ref="G6:G13" si="1">IF(D6=0,"",F6/D6*100)</f>
        <v/>
      </c>
    </row>
    <row r="7" ht="15.5" customHeight="1" spans="1:7">
      <c r="A7" s="45" t="s">
        <v>355</v>
      </c>
      <c r="B7" s="98" t="s">
        <v>62</v>
      </c>
      <c r="C7" s="26">
        <f>原材料!F277</f>
        <v>0</v>
      </c>
      <c r="D7" s="26">
        <f>原材料!J277</f>
        <v>0</v>
      </c>
      <c r="E7" s="26">
        <f>原材料!M277</f>
        <v>0</v>
      </c>
      <c r="F7" s="26">
        <f t="shared" si="0"/>
        <v>0</v>
      </c>
      <c r="G7" s="48" t="str">
        <f t="shared" si="1"/>
        <v/>
      </c>
    </row>
    <row r="8" ht="15.5" customHeight="1" spans="1:7">
      <c r="A8" s="45" t="s">
        <v>356</v>
      </c>
      <c r="B8" s="98" t="s">
        <v>63</v>
      </c>
      <c r="C8" s="26">
        <f>在库周转材料!F27</f>
        <v>0</v>
      </c>
      <c r="D8" s="26">
        <f>在库周转材料!J27</f>
        <v>0</v>
      </c>
      <c r="E8" s="26">
        <f>在库周转材料!M27</f>
        <v>0</v>
      </c>
      <c r="F8" s="26">
        <f t="shared" si="0"/>
        <v>0</v>
      </c>
      <c r="G8" s="48" t="str">
        <f t="shared" si="1"/>
        <v/>
      </c>
    </row>
    <row r="9" ht="15.5" customHeight="1" spans="1:7">
      <c r="A9" s="45" t="s">
        <v>357</v>
      </c>
      <c r="B9" s="98" t="s">
        <v>66</v>
      </c>
      <c r="C9" s="26">
        <f>委托加工物资!G27</f>
        <v>0</v>
      </c>
      <c r="D9" s="26">
        <f>委托加工物资!K27</f>
        <v>0</v>
      </c>
      <c r="E9" s="26">
        <f>委托加工物资!N27</f>
        <v>0</v>
      </c>
      <c r="F9" s="26">
        <f t="shared" si="0"/>
        <v>0</v>
      </c>
      <c r="G9" s="48" t="str">
        <f t="shared" si="1"/>
        <v/>
      </c>
    </row>
    <row r="10" ht="15.5" customHeight="1" spans="1:7">
      <c r="A10" s="45" t="s">
        <v>358</v>
      </c>
      <c r="B10" s="98" t="s">
        <v>68</v>
      </c>
      <c r="C10" s="26">
        <f>'产成品（库存商品）'!F27</f>
        <v>0</v>
      </c>
      <c r="D10" s="26">
        <f>'产成品（库存商品）'!J27</f>
        <v>0</v>
      </c>
      <c r="E10" s="26">
        <f>'产成品（库存商品）'!M27</f>
        <v>0</v>
      </c>
      <c r="F10" s="26">
        <f t="shared" si="0"/>
        <v>0</v>
      </c>
      <c r="G10" s="48" t="str">
        <f t="shared" si="1"/>
        <v/>
      </c>
    </row>
    <row r="11" ht="15.5" customHeight="1" spans="1:7">
      <c r="A11" s="45" t="s">
        <v>359</v>
      </c>
      <c r="B11" s="98" t="s">
        <v>70</v>
      </c>
      <c r="C11" s="26">
        <f>'在产品（自制半成品）'!F27</f>
        <v>0</v>
      </c>
      <c r="D11" s="26">
        <f>'在产品（自制半成品）'!J27</f>
        <v>0</v>
      </c>
      <c r="E11" s="26">
        <f>'在产品（自制半成品）'!M27</f>
        <v>0</v>
      </c>
      <c r="F11" s="26">
        <f t="shared" si="0"/>
        <v>0</v>
      </c>
      <c r="G11" s="48" t="str">
        <f t="shared" si="1"/>
        <v/>
      </c>
    </row>
    <row r="12" ht="15.5" customHeight="1" spans="1:7">
      <c r="A12" s="45" t="s">
        <v>360</v>
      </c>
      <c r="B12" s="98" t="s">
        <v>72</v>
      </c>
      <c r="C12" s="26">
        <f>发出商品!G37</f>
        <v>0</v>
      </c>
      <c r="D12" s="26">
        <f>发出商品!K37</f>
        <v>0</v>
      </c>
      <c r="E12" s="26">
        <f>发出商品!N37</f>
        <v>0</v>
      </c>
      <c r="F12" s="26">
        <f t="shared" si="0"/>
        <v>0</v>
      </c>
      <c r="G12" s="48" t="str">
        <f t="shared" si="1"/>
        <v/>
      </c>
    </row>
    <row r="13" ht="15.5" customHeight="1" spans="1:7">
      <c r="A13" s="45" t="s">
        <v>361</v>
      </c>
      <c r="B13" s="98" t="s">
        <v>74</v>
      </c>
      <c r="C13" s="26">
        <f>在用周转材料!G27</f>
        <v>0</v>
      </c>
      <c r="D13" s="26">
        <f>在用周转材料!J27</f>
        <v>0</v>
      </c>
      <c r="E13" s="26">
        <f>在用周转材料!N27</f>
        <v>0</v>
      </c>
      <c r="F13" s="26">
        <f t="shared" si="0"/>
        <v>0</v>
      </c>
      <c r="G13" s="48" t="str">
        <f t="shared" si="1"/>
        <v/>
      </c>
    </row>
    <row r="14" ht="15.5" customHeight="1" spans="1:7">
      <c r="A14" s="45"/>
      <c r="B14" s="27"/>
      <c r="C14" s="26"/>
      <c r="D14" s="26"/>
      <c r="E14" s="26"/>
      <c r="F14" s="26"/>
      <c r="G14" s="48"/>
    </row>
    <row r="15" ht="15.5" customHeight="1" spans="1:7">
      <c r="A15" s="45"/>
      <c r="B15" s="27"/>
      <c r="C15" s="26"/>
      <c r="D15" s="26"/>
      <c r="E15" s="26"/>
      <c r="F15" s="26"/>
      <c r="G15" s="48"/>
    </row>
    <row r="16" ht="15.5" customHeight="1" spans="1:7">
      <c r="A16" s="45"/>
      <c r="B16" s="27"/>
      <c r="C16" s="26"/>
      <c r="D16" s="26"/>
      <c r="E16" s="26"/>
      <c r="F16" s="26"/>
      <c r="G16" s="48"/>
    </row>
    <row r="17" ht="15.5" customHeight="1" spans="1:7">
      <c r="A17" s="23"/>
      <c r="B17" s="27"/>
      <c r="C17" s="26"/>
      <c r="D17" s="26"/>
      <c r="E17" s="26"/>
      <c r="F17" s="26"/>
      <c r="G17" s="48"/>
    </row>
    <row r="18" ht="15.5" customHeight="1" spans="1:7">
      <c r="A18" s="23"/>
      <c r="B18" s="27"/>
      <c r="C18" s="26"/>
      <c r="D18" s="26"/>
      <c r="E18" s="26"/>
      <c r="F18" s="26"/>
      <c r="G18" s="48"/>
    </row>
    <row r="19" ht="15.5" customHeight="1" spans="1:7">
      <c r="A19" s="23"/>
      <c r="B19" s="27"/>
      <c r="C19" s="26"/>
      <c r="D19" s="26"/>
      <c r="E19" s="26"/>
      <c r="F19" s="26"/>
      <c r="G19" s="48"/>
    </row>
    <row r="20" ht="15.5" customHeight="1" spans="1:7">
      <c r="A20" s="23"/>
      <c r="B20" s="27"/>
      <c r="C20" s="26"/>
      <c r="D20" s="26"/>
      <c r="E20" s="26"/>
      <c r="F20" s="26"/>
      <c r="G20" s="48"/>
    </row>
    <row r="21" ht="15.5" customHeight="1" spans="1:7">
      <c r="A21" s="23"/>
      <c r="B21" s="27"/>
      <c r="C21" s="26"/>
      <c r="D21" s="26"/>
      <c r="E21" s="26"/>
      <c r="F21" s="26"/>
      <c r="G21" s="48"/>
    </row>
    <row r="22" ht="15.5" customHeight="1" spans="1:7">
      <c r="A22" s="23"/>
      <c r="B22" s="27"/>
      <c r="C22" s="26"/>
      <c r="D22" s="26"/>
      <c r="E22" s="26"/>
      <c r="F22" s="26"/>
      <c r="G22" s="48"/>
    </row>
    <row r="23" ht="15.5" customHeight="1" spans="1:7">
      <c r="A23" s="23"/>
      <c r="B23" s="27"/>
      <c r="C23" s="26"/>
      <c r="D23" s="26"/>
      <c r="E23" s="26"/>
      <c r="F23" s="26"/>
      <c r="G23" s="48"/>
    </row>
    <row r="24" ht="15.5" customHeight="1" spans="1:7">
      <c r="A24" s="23"/>
      <c r="B24" s="27"/>
      <c r="C24" s="26"/>
      <c r="D24" s="26"/>
      <c r="E24" s="26"/>
      <c r="F24" s="26"/>
      <c r="G24" s="48"/>
    </row>
    <row r="25" ht="15.5" customHeight="1" spans="1:7">
      <c r="A25" s="45" t="s">
        <v>274</v>
      </c>
      <c r="B25" s="45" t="s">
        <v>362</v>
      </c>
      <c r="C25" s="26">
        <f>SUM(C6:C24)</f>
        <v>0</v>
      </c>
      <c r="D25" s="26">
        <f>SUM(D6:D24)</f>
        <v>0</v>
      </c>
      <c r="E25" s="26">
        <f>SUM(E6:E24)</f>
        <v>0</v>
      </c>
      <c r="F25" s="26">
        <f>SUM(F6:F24)</f>
        <v>0</v>
      </c>
      <c r="G25" s="48" t="str">
        <f>IF(D25=0,"",F25/D25*100)</f>
        <v/>
      </c>
    </row>
    <row r="26" ht="15.5" customHeight="1" spans="1:7">
      <c r="A26" s="45" t="s">
        <v>274</v>
      </c>
      <c r="B26" s="45" t="s">
        <v>363</v>
      </c>
      <c r="C26" s="26"/>
      <c r="D26" s="26">
        <f>C26</f>
        <v>0</v>
      </c>
      <c r="E26" s="26">
        <v>0</v>
      </c>
      <c r="F26" s="26">
        <f>E26-D26</f>
        <v>0</v>
      </c>
      <c r="G26" s="48" t="str">
        <f>IF(D26=0,"",F26/D26*100)</f>
        <v/>
      </c>
    </row>
    <row r="27" ht="15.5" customHeight="1" spans="1:7">
      <c r="A27" s="45" t="s">
        <v>274</v>
      </c>
      <c r="B27" s="45" t="s">
        <v>364</v>
      </c>
      <c r="C27" s="26">
        <f>C25-C26</f>
        <v>0</v>
      </c>
      <c r="D27" s="26">
        <f>D25-D26</f>
        <v>0</v>
      </c>
      <c r="E27" s="26">
        <f>E25-E26</f>
        <v>0</v>
      </c>
      <c r="F27" s="26">
        <f>F25-F26</f>
        <v>0</v>
      </c>
      <c r="G27" s="48" t="str">
        <f>IF(D27=0,"",F27/D27*100)</f>
        <v/>
      </c>
    </row>
    <row r="28" ht="15.5" customHeight="1" spans="1:7">
      <c r="A28" s="29" t="str">
        <f>封面!D11&amp;封面!G11</f>
        <v>被评估单位填表人：</v>
      </c>
      <c r="E28" s="13" t="str">
        <f>"评估人员："&amp;封面!G20</f>
        <v>评估人员：</v>
      </c>
    </row>
    <row r="29" ht="15.5" customHeight="1" spans="1:7">
      <c r="A29" s="29" t="str">
        <f>CONCATENATE(封面!D13,封面!F13,封面!G13,封面!H13,封面!I13,封面!J13,封面!K13)</f>
        <v>填表日期：年月日</v>
      </c>
    </row>
  </sheetData>
  <mergeCells count="2">
    <mergeCell ref="A2:G2"/>
    <mergeCell ref="A3:G3"/>
  </mergeCells>
  <hyperlinks>
    <hyperlink ref="A1" location="索引目录!D18" display="返回索引页"/>
    <hyperlink ref="B1" location="流动汇总!B14" display="返回"/>
    <hyperlink ref="B6" location="'材料采购（在途物资）'!A1" display="材料采购（在途物资）"/>
    <hyperlink ref="B7" location="原材料!A1" display="原材料"/>
    <hyperlink ref="B8" location="在库周转材料!B1" display="在库周转材料"/>
    <hyperlink ref="B9" location="委托加工物资!B1" display="委托加工物资"/>
    <hyperlink ref="B10" location="'产成品（库存商品）'!A1" display="产成品（库存商品）"/>
    <hyperlink ref="B11" location="'在产品（自制半成品）'!A1" display="在产品（自制半成品）"/>
    <hyperlink ref="B12" location="发出商品!B1" display="发出商品"/>
    <hyperlink ref="B13" location="在用周转材料!B1" display="在用周转材料"/>
  </hyperlinks>
  <printOptions horizontalCentered="1"/>
  <pageMargins left="0.354330708661417" right="0.354330708661417" top="0.78740157480315" bottom="0.78740157480315" header="0.98" footer="0.511811023622047"/>
  <pageSetup paperSize="9" fitToHeight="0" orientation="landscape"/>
  <headerFooter alignWithMargins="0">
    <oddHeader>&amp;R&amp;"宋体,常规"共&amp;"Times New Roman,常规"&amp;N&amp;"宋体,常规"页第&amp;"Times New Roman,常规"&amp;P&amp;"宋体,常规"3-9
页</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pageSetUpPr fitToPage="1"/>
  </sheetPr>
  <dimension ref="A1:O29"/>
  <sheetViews>
    <sheetView view="pageBreakPreview" zoomScale="60" zoomScaleNormal="100" workbookViewId="0">
      <selection activeCell="G451" sqref="G451"/>
    </sheetView>
  </sheetViews>
  <sheetFormatPr defaultColWidth="9" defaultRowHeight="15.75" customHeight="1"/>
  <cols>
    <col min="1" max="1" width="5.5" style="13" customWidth="1"/>
    <col min="2" max="2" width="20.25" style="13" customWidth="1"/>
    <col min="3" max="3" width="5.33333333333333" style="13" customWidth="1"/>
    <col min="4" max="4" width="9.58333333333333" style="13" hidden="1" customWidth="1" outlineLevel="1"/>
    <col min="5" max="5" width="7.58333333333333" style="13" hidden="1" customWidth="1" outlineLevel="1"/>
    <col min="6" max="6" width="13.0833333333333" style="13" hidden="1" customWidth="1" outlineLevel="1"/>
    <col min="7" max="7" width="12" style="13" hidden="1" customWidth="1" outlineLevel="1"/>
    <col min="8" max="8" width="10.8333333333333" style="13" customWidth="1" collapsed="1"/>
    <col min="9" max="9" width="10.3333333333333" style="13" customWidth="1"/>
    <col min="10" max="10" width="14.3333333333333" style="13" customWidth="1"/>
    <col min="11" max="11" width="9.58333333333333" style="13" customWidth="1"/>
    <col min="12" max="12" width="8.58333333333333" style="13" customWidth="1"/>
    <col min="13" max="13" width="14.3333333333333" style="13" customWidth="1"/>
    <col min="14" max="14" width="8.25" style="13" customWidth="1"/>
    <col min="15" max="15" width="13.75" style="13" customWidth="1"/>
    <col min="16" max="16384" width="9" style="13" customWidth="1"/>
  </cols>
  <sheetData>
    <row r="1" ht="15.5" customHeight="1" spans="1:15">
      <c r="A1" s="68" t="s">
        <v>111</v>
      </c>
      <c r="B1" s="15" t="s">
        <v>210</v>
      </c>
      <c r="C1" s="16"/>
      <c r="D1" s="16"/>
      <c r="E1" s="16"/>
      <c r="F1" s="16"/>
      <c r="G1" s="16"/>
      <c r="H1" s="16"/>
      <c r="I1" s="16"/>
      <c r="J1" s="16"/>
      <c r="K1" s="16"/>
      <c r="L1" s="16"/>
      <c r="M1" s="16"/>
      <c r="N1" s="16"/>
      <c r="O1" s="16"/>
    </row>
    <row r="2" s="11" customFormat="1" ht="30" customHeight="1" spans="1:15">
      <c r="A2" s="17" t="s">
        <v>365</v>
      </c>
    </row>
    <row r="3" ht="14.15" customHeight="1" spans="1:15">
      <c r="A3" s="18" t="str">
        <f>CONCATENATE(封面!D9,封面!F9,封面!G9,封面!H9,封面!I9,封面!J9,封面!K9)</f>
        <v>评估基准日：年月日</v>
      </c>
    </row>
    <row r="4" ht="15.5" customHeight="1" spans="1:15">
      <c r="A4" s="19" t="str">
        <f>封面!D7&amp;封面!F7</f>
        <v>被评估单位：</v>
      </c>
      <c r="O4" s="20" t="s">
        <v>139</v>
      </c>
    </row>
    <row r="5" s="12" customFormat="1" ht="13" customHeight="1" spans="1:15">
      <c r="A5" s="21" t="s">
        <v>141</v>
      </c>
      <c r="B5" s="21" t="s">
        <v>366</v>
      </c>
      <c r="C5" s="22" t="s">
        <v>367</v>
      </c>
      <c r="D5" s="21" t="s">
        <v>175</v>
      </c>
      <c r="E5" s="32"/>
      <c r="F5" s="28"/>
      <c r="G5" s="21" t="s">
        <v>281</v>
      </c>
      <c r="H5" s="21" t="s">
        <v>176</v>
      </c>
      <c r="I5" s="32"/>
      <c r="J5" s="28"/>
      <c r="K5" s="21" t="s">
        <v>177</v>
      </c>
      <c r="L5" s="32"/>
      <c r="M5" s="28"/>
      <c r="N5" s="21" t="s">
        <v>215</v>
      </c>
      <c r="O5" s="21" t="s">
        <v>144</v>
      </c>
    </row>
    <row r="6" s="12" customFormat="1" ht="13" customHeight="1" spans="1:15">
      <c r="A6" s="36"/>
      <c r="B6" s="36"/>
      <c r="C6" s="36"/>
      <c r="D6" s="21" t="s">
        <v>368</v>
      </c>
      <c r="E6" s="21" t="s">
        <v>369</v>
      </c>
      <c r="F6" s="21" t="s">
        <v>370</v>
      </c>
      <c r="G6" s="36"/>
      <c r="H6" s="21" t="s">
        <v>368</v>
      </c>
      <c r="I6" s="21" t="s">
        <v>369</v>
      </c>
      <c r="J6" s="21" t="s">
        <v>370</v>
      </c>
      <c r="K6" s="105" t="s">
        <v>371</v>
      </c>
      <c r="L6" s="21" t="s">
        <v>369</v>
      </c>
      <c r="M6" s="21" t="s">
        <v>370</v>
      </c>
      <c r="N6" s="36"/>
      <c r="O6" s="36"/>
    </row>
    <row r="7" ht="15.5" customHeight="1" spans="1:15">
      <c r="A7" s="45"/>
      <c r="B7" s="98"/>
      <c r="C7" s="231"/>
      <c r="D7" s="232"/>
      <c r="E7" s="26" t="str">
        <f t="shared" ref="E7:E25" si="0">IF(D7=0,"",F7/D7)</f>
        <v/>
      </c>
      <c r="F7" s="234"/>
      <c r="G7" s="234"/>
      <c r="H7" s="234"/>
      <c r="I7" s="234"/>
      <c r="J7" s="26"/>
      <c r="K7" s="38"/>
      <c r="L7" s="26"/>
      <c r="M7" s="26"/>
      <c r="N7" s="26" t="str">
        <f t="shared" ref="N7:N25" si="1">IF(J7=0,"",(M7-J7)/J7*100)</f>
        <v/>
      </c>
      <c r="O7" s="27"/>
    </row>
    <row r="8" ht="15.5" customHeight="1" spans="1:15">
      <c r="A8" s="45"/>
      <c r="B8" s="98"/>
      <c r="C8" s="231"/>
      <c r="D8" s="232"/>
      <c r="E8" s="26" t="str">
        <f t="shared" si="0"/>
        <v/>
      </c>
      <c r="F8" s="234"/>
      <c r="G8" s="234"/>
      <c r="H8" s="234"/>
      <c r="I8" s="234"/>
      <c r="J8" s="26"/>
      <c r="K8" s="38"/>
      <c r="L8" s="26"/>
      <c r="M8" s="26"/>
      <c r="N8" s="26" t="str">
        <f t="shared" si="1"/>
        <v/>
      </c>
      <c r="O8" s="27"/>
    </row>
    <row r="9" ht="15.5" customHeight="1" spans="1:15">
      <c r="A9" s="45"/>
      <c r="B9" s="98"/>
      <c r="C9" s="231"/>
      <c r="D9" s="232"/>
      <c r="E9" s="26" t="str">
        <f t="shared" si="0"/>
        <v/>
      </c>
      <c r="F9" s="234"/>
      <c r="G9" s="234"/>
      <c r="H9" s="234"/>
      <c r="I9" s="234"/>
      <c r="J9" s="26"/>
      <c r="K9" s="38"/>
      <c r="L9" s="26"/>
      <c r="M9" s="26"/>
      <c r="N9" s="26" t="str">
        <f t="shared" si="1"/>
        <v/>
      </c>
      <c r="O9" s="27"/>
    </row>
    <row r="10" ht="15.5" customHeight="1" spans="1:15">
      <c r="A10" s="45"/>
      <c r="B10" s="98"/>
      <c r="C10" s="231"/>
      <c r="D10" s="232"/>
      <c r="E10" s="26" t="str">
        <f t="shared" si="0"/>
        <v/>
      </c>
      <c r="F10" s="234"/>
      <c r="G10" s="234"/>
      <c r="H10" s="234"/>
      <c r="I10" s="234"/>
      <c r="J10" s="26"/>
      <c r="K10" s="38"/>
      <c r="L10" s="26"/>
      <c r="M10" s="26"/>
      <c r="N10" s="26" t="str">
        <f t="shared" si="1"/>
        <v/>
      </c>
      <c r="O10" s="27"/>
    </row>
    <row r="11" ht="15.5" customHeight="1" spans="1:15">
      <c r="A11" s="45"/>
      <c r="B11" s="98"/>
      <c r="C11" s="231"/>
      <c r="D11" s="232"/>
      <c r="E11" s="26" t="str">
        <f t="shared" si="0"/>
        <v/>
      </c>
      <c r="F11" s="234"/>
      <c r="G11" s="234"/>
      <c r="H11" s="234"/>
      <c r="I11" s="234"/>
      <c r="J11" s="26"/>
      <c r="K11" s="38"/>
      <c r="L11" s="26"/>
      <c r="M11" s="26"/>
      <c r="N11" s="26" t="str">
        <f t="shared" si="1"/>
        <v/>
      </c>
      <c r="O11" s="27"/>
    </row>
    <row r="12" ht="15.5" customHeight="1" spans="1:15">
      <c r="A12" s="45"/>
      <c r="B12" s="98"/>
      <c r="C12" s="231"/>
      <c r="D12" s="232"/>
      <c r="E12" s="26" t="str">
        <f t="shared" si="0"/>
        <v/>
      </c>
      <c r="F12" s="234"/>
      <c r="G12" s="234"/>
      <c r="H12" s="234"/>
      <c r="I12" s="234"/>
      <c r="J12" s="26"/>
      <c r="K12" s="38"/>
      <c r="L12" s="26"/>
      <c r="M12" s="26"/>
      <c r="N12" s="26" t="str">
        <f t="shared" si="1"/>
        <v/>
      </c>
      <c r="O12" s="27"/>
    </row>
    <row r="13" ht="15.5" customHeight="1" spans="1:15">
      <c r="A13" s="45"/>
      <c r="B13" s="98"/>
      <c r="C13" s="231"/>
      <c r="D13" s="232"/>
      <c r="E13" s="26" t="str">
        <f t="shared" si="0"/>
        <v/>
      </c>
      <c r="F13" s="234"/>
      <c r="G13" s="234"/>
      <c r="H13" s="234"/>
      <c r="I13" s="234"/>
      <c r="J13" s="26"/>
      <c r="K13" s="38"/>
      <c r="L13" s="26"/>
      <c r="M13" s="26"/>
      <c r="N13" s="26" t="str">
        <f t="shared" si="1"/>
        <v/>
      </c>
      <c r="O13" s="27"/>
    </row>
    <row r="14" ht="15.5" customHeight="1" spans="1:15">
      <c r="A14" s="45"/>
      <c r="B14" s="98"/>
      <c r="C14" s="231"/>
      <c r="D14" s="232"/>
      <c r="E14" s="26" t="str">
        <f t="shared" si="0"/>
        <v/>
      </c>
      <c r="F14" s="234"/>
      <c r="G14" s="234"/>
      <c r="H14" s="234"/>
      <c r="I14" s="234"/>
      <c r="J14" s="26"/>
      <c r="K14" s="38"/>
      <c r="L14" s="26"/>
      <c r="M14" s="26"/>
      <c r="N14" s="26" t="str">
        <f t="shared" si="1"/>
        <v/>
      </c>
      <c r="O14" s="27"/>
    </row>
    <row r="15" ht="15.5" customHeight="1" spans="1:15">
      <c r="A15" s="45"/>
      <c r="B15" s="98"/>
      <c r="C15" s="231"/>
      <c r="D15" s="232"/>
      <c r="E15" s="26" t="str">
        <f t="shared" si="0"/>
        <v/>
      </c>
      <c r="F15" s="234"/>
      <c r="G15" s="234"/>
      <c r="H15" s="234"/>
      <c r="I15" s="234"/>
      <c r="J15" s="26"/>
      <c r="K15" s="38"/>
      <c r="L15" s="26"/>
      <c r="M15" s="26"/>
      <c r="N15" s="26" t="str">
        <f t="shared" si="1"/>
        <v/>
      </c>
      <c r="O15" s="27"/>
    </row>
    <row r="16" ht="15.5" customHeight="1" spans="1:15">
      <c r="A16" s="45"/>
      <c r="B16" s="98"/>
      <c r="C16" s="231"/>
      <c r="D16" s="232"/>
      <c r="E16" s="26" t="str">
        <f t="shared" si="0"/>
        <v/>
      </c>
      <c r="F16" s="234"/>
      <c r="G16" s="234"/>
      <c r="H16" s="234"/>
      <c r="I16" s="234"/>
      <c r="J16" s="26"/>
      <c r="K16" s="38"/>
      <c r="L16" s="26"/>
      <c r="M16" s="26"/>
      <c r="N16" s="26" t="str">
        <f t="shared" si="1"/>
        <v/>
      </c>
      <c r="O16" s="27"/>
    </row>
    <row r="17" ht="15.5" customHeight="1" spans="1:15">
      <c r="A17" s="45"/>
      <c r="B17" s="98"/>
      <c r="C17" s="231"/>
      <c r="D17" s="232"/>
      <c r="E17" s="26" t="str">
        <f t="shared" si="0"/>
        <v/>
      </c>
      <c r="F17" s="234"/>
      <c r="G17" s="234"/>
      <c r="H17" s="234"/>
      <c r="I17" s="234"/>
      <c r="J17" s="26"/>
      <c r="K17" s="38"/>
      <c r="L17" s="26"/>
      <c r="M17" s="26"/>
      <c r="N17" s="26" t="str">
        <f t="shared" si="1"/>
        <v/>
      </c>
      <c r="O17" s="27"/>
    </row>
    <row r="18" ht="15.5" customHeight="1" spans="1:15">
      <c r="A18" s="45"/>
      <c r="B18" s="98"/>
      <c r="C18" s="231"/>
      <c r="D18" s="232"/>
      <c r="E18" s="26" t="str">
        <f t="shared" si="0"/>
        <v/>
      </c>
      <c r="F18" s="234"/>
      <c r="G18" s="234"/>
      <c r="H18" s="234"/>
      <c r="I18" s="234"/>
      <c r="J18" s="26"/>
      <c r="K18" s="38"/>
      <c r="L18" s="26"/>
      <c r="M18" s="26"/>
      <c r="N18" s="26" t="str">
        <f t="shared" si="1"/>
        <v/>
      </c>
      <c r="O18" s="27"/>
    </row>
    <row r="19" ht="15.5" customHeight="1" spans="1:15">
      <c r="A19" s="45"/>
      <c r="B19" s="98"/>
      <c r="C19" s="231"/>
      <c r="D19" s="232"/>
      <c r="E19" s="26" t="str">
        <f t="shared" si="0"/>
        <v/>
      </c>
      <c r="F19" s="234"/>
      <c r="G19" s="234"/>
      <c r="H19" s="234"/>
      <c r="I19" s="234"/>
      <c r="J19" s="26"/>
      <c r="K19" s="38"/>
      <c r="L19" s="26"/>
      <c r="M19" s="26"/>
      <c r="N19" s="26" t="str">
        <f t="shared" si="1"/>
        <v/>
      </c>
      <c r="O19" s="27"/>
    </row>
    <row r="20" ht="15.5" customHeight="1" spans="1:15">
      <c r="A20" s="45"/>
      <c r="B20" s="98"/>
      <c r="C20" s="231"/>
      <c r="D20" s="232"/>
      <c r="E20" s="26" t="str">
        <f t="shared" si="0"/>
        <v/>
      </c>
      <c r="F20" s="234"/>
      <c r="G20" s="234"/>
      <c r="H20" s="234"/>
      <c r="I20" s="234"/>
      <c r="J20" s="26"/>
      <c r="K20" s="38"/>
      <c r="L20" s="26"/>
      <c r="M20" s="26"/>
      <c r="N20" s="26" t="str">
        <f t="shared" si="1"/>
        <v/>
      </c>
      <c r="O20" s="27"/>
    </row>
    <row r="21" ht="15.5" customHeight="1" spans="1:15">
      <c r="A21" s="45"/>
      <c r="B21" s="98"/>
      <c r="C21" s="231"/>
      <c r="D21" s="232"/>
      <c r="E21" s="26" t="str">
        <f t="shared" si="0"/>
        <v/>
      </c>
      <c r="F21" s="234"/>
      <c r="G21" s="234"/>
      <c r="H21" s="234"/>
      <c r="I21" s="234"/>
      <c r="J21" s="26"/>
      <c r="K21" s="38"/>
      <c r="L21" s="26"/>
      <c r="M21" s="26"/>
      <c r="N21" s="26" t="str">
        <f t="shared" si="1"/>
        <v/>
      </c>
      <c r="O21" s="27"/>
    </row>
    <row r="22" ht="15.5" customHeight="1" spans="1:15">
      <c r="A22" s="45"/>
      <c r="B22" s="98"/>
      <c r="C22" s="231"/>
      <c r="D22" s="232"/>
      <c r="E22" s="26" t="str">
        <f t="shared" si="0"/>
        <v/>
      </c>
      <c r="F22" s="234"/>
      <c r="G22" s="234"/>
      <c r="H22" s="234"/>
      <c r="I22" s="234"/>
      <c r="J22" s="26"/>
      <c r="K22" s="38"/>
      <c r="L22" s="26"/>
      <c r="M22" s="26"/>
      <c r="N22" s="26" t="str">
        <f t="shared" si="1"/>
        <v/>
      </c>
      <c r="O22" s="27"/>
    </row>
    <row r="23" ht="15.5" customHeight="1" spans="1:15">
      <c r="A23" s="45"/>
      <c r="B23" s="98"/>
      <c r="C23" s="231"/>
      <c r="D23" s="232"/>
      <c r="E23" s="26" t="str">
        <f t="shared" si="0"/>
        <v/>
      </c>
      <c r="F23" s="234"/>
      <c r="G23" s="234"/>
      <c r="H23" s="234"/>
      <c r="I23" s="234"/>
      <c r="J23" s="26"/>
      <c r="K23" s="38"/>
      <c r="L23" s="26"/>
      <c r="M23" s="26"/>
      <c r="N23" s="26" t="str">
        <f t="shared" si="1"/>
        <v/>
      </c>
      <c r="O23" s="27"/>
    </row>
    <row r="24" ht="15.5" customHeight="1" spans="1:15">
      <c r="A24" s="45"/>
      <c r="B24" s="98"/>
      <c r="C24" s="231"/>
      <c r="D24" s="232"/>
      <c r="E24" s="26" t="str">
        <f t="shared" si="0"/>
        <v/>
      </c>
      <c r="F24" s="234"/>
      <c r="G24" s="234"/>
      <c r="H24" s="234"/>
      <c r="I24" s="234"/>
      <c r="J24" s="26"/>
      <c r="K24" s="38"/>
      <c r="L24" s="26"/>
      <c r="M24" s="26"/>
      <c r="N24" s="26" t="str">
        <f t="shared" si="1"/>
        <v/>
      </c>
      <c r="O24" s="27"/>
    </row>
    <row r="25" ht="15.5" customHeight="1" spans="1:15">
      <c r="A25" s="45"/>
      <c r="B25" s="98"/>
      <c r="C25" s="231"/>
      <c r="D25" s="232"/>
      <c r="E25" s="26" t="str">
        <f t="shared" si="0"/>
        <v/>
      </c>
      <c r="F25" s="234"/>
      <c r="G25" s="234"/>
      <c r="H25" s="234"/>
      <c r="I25" s="234"/>
      <c r="J25" s="26"/>
      <c r="K25" s="38"/>
      <c r="L25" s="26"/>
      <c r="M25" s="26"/>
      <c r="N25" s="26" t="str">
        <f t="shared" si="1"/>
        <v/>
      </c>
      <c r="O25" s="27"/>
    </row>
    <row r="26" ht="15.5" customHeight="1" spans="1:15">
      <c r="A26" s="27"/>
      <c r="B26" s="27"/>
      <c r="C26" s="27"/>
      <c r="D26" s="258"/>
      <c r="E26" s="248"/>
      <c r="F26" s="258"/>
      <c r="G26" s="258"/>
      <c r="H26" s="258"/>
      <c r="I26" s="258"/>
      <c r="J26" s="258"/>
      <c r="K26" s="27"/>
      <c r="L26" s="27"/>
      <c r="M26" s="258"/>
      <c r="N26" s="27"/>
      <c r="O26" s="27"/>
    </row>
    <row r="27" ht="15.5" customHeight="1" spans="1:15">
      <c r="A27" s="21" t="s">
        <v>319</v>
      </c>
      <c r="B27" s="28"/>
      <c r="C27" s="27"/>
      <c r="D27" s="38"/>
      <c r="E27" s="26"/>
      <c r="F27" s="26">
        <f>SUM(F7:F26)</f>
        <v>0</v>
      </c>
      <c r="G27" s="26"/>
      <c r="H27" s="26"/>
      <c r="I27" s="26"/>
      <c r="J27" s="26">
        <f>SUM(J7:J26)</f>
        <v>0</v>
      </c>
      <c r="K27" s="38"/>
      <c r="L27" s="26"/>
      <c r="M27" s="26">
        <f>SUM(M7:M26)</f>
        <v>0</v>
      </c>
      <c r="N27" s="26" t="str">
        <f>IF(J27=0,"",(M27-J27)/J27*100)</f>
        <v/>
      </c>
      <c r="O27" s="27"/>
    </row>
    <row r="28" ht="15.5" customHeight="1" spans="1:15">
      <c r="A28" s="29" t="str">
        <f>封面!D11&amp;封面!G11</f>
        <v>被评估单位填表人：</v>
      </c>
      <c r="D28" s="19"/>
      <c r="E28" s="19"/>
      <c r="J28" s="19" t="str">
        <f>"评估人员："&amp;封面!G20</f>
        <v>评估人员：</v>
      </c>
    </row>
    <row r="29" ht="15.5" customHeight="1" spans="1:15">
      <c r="A29" s="29" t="str">
        <f>CONCATENATE(封面!D13,封面!F13,封面!G13,封面!H13,封面!I13,封面!J13,封面!K13)</f>
        <v>填表日期：年月日</v>
      </c>
    </row>
  </sheetData>
  <mergeCells count="12">
    <mergeCell ref="A2:O2"/>
    <mergeCell ref="A3:O3"/>
    <mergeCell ref="D5:F5"/>
    <mergeCell ref="H5:J5"/>
    <mergeCell ref="K5:M5"/>
    <mergeCell ref="A27:B27"/>
    <mergeCell ref="A5:A6"/>
    <mergeCell ref="B5:B6"/>
    <mergeCell ref="C5:C6"/>
    <mergeCell ref="G5:G6"/>
    <mergeCell ref="N5:N6"/>
    <mergeCell ref="O5:O6"/>
  </mergeCells>
  <hyperlinks>
    <hyperlink ref="A1" location="索引目录!E18" display="返回索引页"/>
    <hyperlink ref="B1" location="存货汇总!B6" display="返回"/>
  </hyperlinks>
  <printOptions horizontalCentered="1"/>
  <pageMargins left="0.354330708661417" right="0.354330708661417" top="0.78740157480315" bottom="0.78740157480315" header="1.02" footer="0.511811023622047"/>
  <pageSetup paperSize="9" fitToHeight="0" orientation="landscape"/>
  <headerFooter alignWithMargins="0">
    <oddHeader>&amp;R&amp;"宋体,常规"共&amp;"Times New Roman,常规"&amp;N&amp;"宋体,常规"页第&amp;"Times New Roman,常规"&amp;P&amp;"宋体,常规"3-9-1
页</oddHead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pageSetUpPr fitToPage="1"/>
  </sheetPr>
  <dimension ref="A1:O281"/>
  <sheetViews>
    <sheetView view="pageBreakPreview" zoomScale="90" zoomScaleNormal="100" topLeftCell="A2" workbookViewId="0">
      <selection activeCell="G451" sqref="G451"/>
    </sheetView>
  </sheetViews>
  <sheetFormatPr defaultColWidth="9" defaultRowHeight="15.75" customHeight="1"/>
  <cols>
    <col min="1" max="1" width="6.75" style="12" customWidth="1"/>
    <col min="2" max="2" width="36.25" style="252" customWidth="1"/>
    <col min="3" max="3" width="8.25" style="253" customWidth="1"/>
    <col min="4" max="4" width="0.25" style="251" hidden="1" customWidth="1" outlineLevel="1"/>
    <col min="5" max="5" width="0.0833333333333333" style="251" hidden="1" customWidth="1" outlineLevel="1"/>
    <col min="6" max="6" width="4.91666666666667" style="251" hidden="1" customWidth="1" outlineLevel="1"/>
    <col min="7" max="7" width="0.166666666666667" style="251" hidden="1" customWidth="1" outlineLevel="1"/>
    <col min="8" max="8" width="9.41666666666667" style="251" customWidth="1" collapsed="1"/>
    <col min="9" max="9" width="8.5" style="251" customWidth="1"/>
    <col min="10" max="10" width="12.0833333333333" style="13" customWidth="1"/>
    <col min="11" max="11" width="8.66666666666667" style="13" customWidth="1"/>
    <col min="12" max="12" width="8.5" style="13" customWidth="1"/>
    <col min="13" max="13" width="10.5" style="13" customWidth="1"/>
    <col min="14" max="14" width="7.58333333333333" style="13" customWidth="1"/>
    <col min="15" max="15" width="6.41666666666667" style="13" customWidth="1"/>
    <col min="16" max="16384" width="9" style="13" customWidth="1"/>
  </cols>
  <sheetData>
    <row r="1" ht="15.5" hidden="1" customHeight="1" spans="1:15">
      <c r="A1" s="51" t="s">
        <v>111</v>
      </c>
      <c r="B1" s="254" t="s">
        <v>210</v>
      </c>
      <c r="D1" s="16"/>
      <c r="E1" s="16"/>
      <c r="F1" s="16"/>
      <c r="G1" s="16"/>
      <c r="H1" s="16"/>
      <c r="I1" s="16"/>
      <c r="J1" s="16"/>
      <c r="K1" s="16"/>
      <c r="L1" s="16"/>
      <c r="M1" s="16"/>
      <c r="N1" s="16"/>
      <c r="O1" s="16"/>
    </row>
    <row r="2" s="11" customFormat="1" ht="30" customHeight="1" spans="1:15">
      <c r="A2" s="53" t="s">
        <v>372</v>
      </c>
    </row>
    <row r="3" ht="14.15" customHeight="1" spans="1:15">
      <c r="A3" s="18" t="str">
        <f>CONCATENATE(封面!D9,封面!F9,封面!G9,封面!H9,封面!I9,封面!J9,封面!K9)</f>
        <v>评估基准日：年月日</v>
      </c>
    </row>
    <row r="4" ht="15.5" customHeight="1" spans="1:15">
      <c r="A4" s="19" t="str">
        <f>封面!D7&amp;封面!F7</f>
        <v>被评估单位：</v>
      </c>
      <c r="O4" s="54" t="s">
        <v>139</v>
      </c>
    </row>
    <row r="5" s="12" customFormat="1" ht="13" customHeight="1" spans="1:15">
      <c r="A5" s="23" t="s">
        <v>141</v>
      </c>
      <c r="B5" s="63" t="s">
        <v>366</v>
      </c>
      <c r="C5" s="63" t="s">
        <v>367</v>
      </c>
      <c r="D5" s="23" t="s">
        <v>175</v>
      </c>
      <c r="E5" s="32"/>
      <c r="F5" s="28"/>
      <c r="G5" s="23" t="s">
        <v>281</v>
      </c>
      <c r="H5" s="228" t="s">
        <v>176</v>
      </c>
      <c r="I5" s="34"/>
      <c r="J5" s="35"/>
      <c r="K5" s="23" t="s">
        <v>177</v>
      </c>
      <c r="L5" s="32"/>
      <c r="M5" s="28"/>
      <c r="N5" s="23" t="s">
        <v>215</v>
      </c>
      <c r="O5" s="23" t="s">
        <v>144</v>
      </c>
    </row>
    <row r="6" s="12" customFormat="1" ht="13" customHeight="1" spans="1:15">
      <c r="A6" s="36"/>
      <c r="B6" s="36"/>
      <c r="C6" s="36"/>
      <c r="D6" s="23" t="s">
        <v>368</v>
      </c>
      <c r="E6" s="23" t="s">
        <v>369</v>
      </c>
      <c r="F6" s="23" t="s">
        <v>370</v>
      </c>
      <c r="G6" s="36"/>
      <c r="H6" s="23" t="s">
        <v>368</v>
      </c>
      <c r="I6" s="23" t="s">
        <v>369</v>
      </c>
      <c r="J6" s="23" t="s">
        <v>370</v>
      </c>
      <c r="K6" s="228" t="s">
        <v>371</v>
      </c>
      <c r="L6" s="23" t="s">
        <v>369</v>
      </c>
      <c r="M6" s="23" t="s">
        <v>370</v>
      </c>
      <c r="N6" s="36"/>
      <c r="O6" s="36"/>
    </row>
    <row r="7" s="244" customFormat="1" ht="13" customHeight="1" spans="1:15">
      <c r="A7" s="255"/>
      <c r="B7" s="230"/>
      <c r="C7" s="256"/>
      <c r="D7" s="232"/>
      <c r="E7" s="26"/>
      <c r="F7" s="234"/>
      <c r="G7" s="234"/>
      <c r="H7" s="234"/>
      <c r="I7" s="234"/>
      <c r="J7" s="26"/>
      <c r="K7" s="38"/>
      <c r="L7" s="26"/>
      <c r="M7" s="26"/>
      <c r="N7" s="26" t="str">
        <f t="shared" ref="N7:N70" si="0">IF(J7=0,"",(M7-J7)/J7*100)</f>
        <v/>
      </c>
      <c r="O7" s="27"/>
    </row>
    <row r="8" ht="15.5" customHeight="1" spans="1:15">
      <c r="A8" s="255"/>
      <c r="B8" s="56"/>
      <c r="C8" s="63"/>
      <c r="D8" s="247"/>
      <c r="E8" s="26"/>
      <c r="F8" s="248"/>
      <c r="G8" s="248"/>
      <c r="H8" s="248"/>
      <c r="I8" s="248"/>
      <c r="J8" s="26"/>
      <c r="K8" s="38"/>
      <c r="L8" s="26"/>
      <c r="M8" s="26"/>
      <c r="N8" s="26" t="str">
        <f t="shared" si="0"/>
        <v/>
      </c>
      <c r="O8" s="27"/>
    </row>
    <row r="9" ht="15.5" customHeight="1" spans="1:15">
      <c r="A9" s="255"/>
      <c r="B9" s="56"/>
      <c r="C9" s="63"/>
      <c r="D9" s="247"/>
      <c r="E9" s="26"/>
      <c r="F9" s="248"/>
      <c r="G9" s="248"/>
      <c r="H9" s="248"/>
      <c r="I9" s="248"/>
      <c r="J9" s="26"/>
      <c r="K9" s="38"/>
      <c r="L9" s="26"/>
      <c r="M9" s="26"/>
      <c r="N9" s="26" t="str">
        <f t="shared" si="0"/>
        <v/>
      </c>
      <c r="O9" s="27"/>
    </row>
    <row r="10" ht="15.5" customHeight="1" spans="1:15">
      <c r="A10" s="255"/>
      <c r="B10" s="56"/>
      <c r="C10" s="63"/>
      <c r="D10" s="247"/>
      <c r="E10" s="26"/>
      <c r="F10" s="248"/>
      <c r="G10" s="248"/>
      <c r="H10" s="248"/>
      <c r="I10" s="248"/>
      <c r="J10" s="26"/>
      <c r="K10" s="38"/>
      <c r="L10" s="26"/>
      <c r="M10" s="26"/>
      <c r="N10" s="26" t="str">
        <f t="shared" si="0"/>
        <v/>
      </c>
      <c r="O10" s="27"/>
    </row>
    <row r="11" ht="15.5" customHeight="1" spans="1:15">
      <c r="A11" s="255"/>
      <c r="B11" s="56"/>
      <c r="C11" s="63"/>
      <c r="D11" s="247"/>
      <c r="E11" s="26"/>
      <c r="F11" s="248"/>
      <c r="G11" s="248"/>
      <c r="H11" s="248"/>
      <c r="I11" s="248"/>
      <c r="J11" s="26"/>
      <c r="K11" s="38"/>
      <c r="L11" s="26"/>
      <c r="M11" s="26"/>
      <c r="N11" s="26" t="str">
        <f t="shared" si="0"/>
        <v/>
      </c>
      <c r="O11" s="27"/>
    </row>
    <row r="12" ht="15.5" customHeight="1" spans="1:15">
      <c r="A12" s="255"/>
      <c r="B12" s="56"/>
      <c r="C12" s="63"/>
      <c r="D12" s="247"/>
      <c r="E12" s="26"/>
      <c r="F12" s="248"/>
      <c r="G12" s="248"/>
      <c r="H12" s="248"/>
      <c r="I12" s="248"/>
      <c r="J12" s="26"/>
      <c r="K12" s="38"/>
      <c r="L12" s="26"/>
      <c r="M12" s="26"/>
      <c r="N12" s="26" t="str">
        <f t="shared" si="0"/>
        <v/>
      </c>
      <c r="O12" s="27"/>
    </row>
    <row r="13" ht="15.5" customHeight="1" spans="1:15">
      <c r="A13" s="255"/>
      <c r="B13" s="56"/>
      <c r="C13" s="63"/>
      <c r="D13" s="247"/>
      <c r="E13" s="26"/>
      <c r="F13" s="248"/>
      <c r="G13" s="248"/>
      <c r="H13" s="248"/>
      <c r="I13" s="248"/>
      <c r="J13" s="26"/>
      <c r="K13" s="38"/>
      <c r="L13" s="26"/>
      <c r="M13" s="26"/>
      <c r="N13" s="26" t="str">
        <f t="shared" si="0"/>
        <v/>
      </c>
      <c r="O13" s="27"/>
    </row>
    <row r="14" ht="15.5" customHeight="1" spans="1:15">
      <c r="A14" s="255"/>
      <c r="B14" s="56"/>
      <c r="C14" s="63"/>
      <c r="D14" s="247"/>
      <c r="E14" s="26"/>
      <c r="F14" s="248"/>
      <c r="G14" s="248"/>
      <c r="H14" s="248"/>
      <c r="I14" s="248"/>
      <c r="J14" s="26"/>
      <c r="K14" s="38"/>
      <c r="L14" s="26"/>
      <c r="M14" s="26"/>
      <c r="N14" s="26" t="str">
        <f t="shared" si="0"/>
        <v/>
      </c>
      <c r="O14" s="27"/>
    </row>
    <row r="15" ht="15.5" customHeight="1" spans="1:15">
      <c r="A15" s="255"/>
      <c r="B15" s="56"/>
      <c r="C15" s="63"/>
      <c r="D15" s="247"/>
      <c r="E15" s="26"/>
      <c r="F15" s="248"/>
      <c r="G15" s="248"/>
      <c r="H15" s="248"/>
      <c r="I15" s="248"/>
      <c r="J15" s="26"/>
      <c r="K15" s="38"/>
      <c r="L15" s="26"/>
      <c r="M15" s="26"/>
      <c r="N15" s="26" t="str">
        <f t="shared" si="0"/>
        <v/>
      </c>
      <c r="O15" s="27"/>
    </row>
    <row r="16" ht="15.5" customHeight="1" spans="1:15">
      <c r="A16" s="255"/>
      <c r="B16" s="56"/>
      <c r="C16" s="63"/>
      <c r="D16" s="247"/>
      <c r="E16" s="26"/>
      <c r="F16" s="248"/>
      <c r="G16" s="248"/>
      <c r="H16" s="248"/>
      <c r="I16" s="248"/>
      <c r="J16" s="26"/>
      <c r="K16" s="38"/>
      <c r="L16" s="26"/>
      <c r="M16" s="26"/>
      <c r="N16" s="26" t="str">
        <f t="shared" si="0"/>
        <v/>
      </c>
      <c r="O16" s="27"/>
    </row>
    <row r="17" ht="15.5" customHeight="1" spans="1:15">
      <c r="A17" s="255"/>
      <c r="B17" s="56"/>
      <c r="C17" s="63"/>
      <c r="D17" s="247"/>
      <c r="E17" s="26"/>
      <c r="F17" s="248"/>
      <c r="G17" s="248"/>
      <c r="H17" s="248"/>
      <c r="I17" s="248"/>
      <c r="J17" s="26"/>
      <c r="K17" s="38"/>
      <c r="L17" s="26"/>
      <c r="M17" s="26"/>
      <c r="N17" s="26" t="str">
        <f t="shared" si="0"/>
        <v/>
      </c>
      <c r="O17" s="27"/>
    </row>
    <row r="18" ht="15.5" customHeight="1" spans="1:15">
      <c r="A18" s="255"/>
      <c r="B18" s="56"/>
      <c r="C18" s="63"/>
      <c r="D18" s="247"/>
      <c r="E18" s="26"/>
      <c r="F18" s="248"/>
      <c r="G18" s="248"/>
      <c r="H18" s="248"/>
      <c r="I18" s="248"/>
      <c r="J18" s="26"/>
      <c r="K18" s="38"/>
      <c r="L18" s="26"/>
      <c r="M18" s="26"/>
      <c r="N18" s="26" t="str">
        <f t="shared" si="0"/>
        <v/>
      </c>
      <c r="O18" s="27"/>
    </row>
    <row r="19" ht="15.5" customHeight="1" spans="1:15">
      <c r="A19" s="255"/>
      <c r="B19" s="56"/>
      <c r="C19" s="63"/>
      <c r="D19" s="247"/>
      <c r="E19" s="26"/>
      <c r="F19" s="248"/>
      <c r="G19" s="248"/>
      <c r="H19" s="248"/>
      <c r="I19" s="248"/>
      <c r="J19" s="26"/>
      <c r="K19" s="38"/>
      <c r="L19" s="26"/>
      <c r="M19" s="26"/>
      <c r="N19" s="26" t="str">
        <f t="shared" si="0"/>
        <v/>
      </c>
      <c r="O19" s="27"/>
    </row>
    <row r="20" ht="15.5" customHeight="1" spans="1:15">
      <c r="A20" s="255"/>
      <c r="B20" s="56"/>
      <c r="C20" s="63"/>
      <c r="D20" s="247"/>
      <c r="E20" s="26"/>
      <c r="F20" s="248"/>
      <c r="G20" s="248"/>
      <c r="H20" s="248"/>
      <c r="I20" s="248"/>
      <c r="J20" s="26"/>
      <c r="K20" s="38"/>
      <c r="L20" s="26"/>
      <c r="M20" s="26"/>
      <c r="N20" s="26" t="str">
        <f t="shared" si="0"/>
        <v/>
      </c>
      <c r="O20" s="27"/>
    </row>
    <row r="21" ht="15.5" customHeight="1" spans="1:15">
      <c r="A21" s="255"/>
      <c r="B21" s="56"/>
      <c r="C21" s="63"/>
      <c r="D21" s="247"/>
      <c r="E21" s="26"/>
      <c r="F21" s="248"/>
      <c r="G21" s="248"/>
      <c r="H21" s="248"/>
      <c r="I21" s="248"/>
      <c r="J21" s="26"/>
      <c r="K21" s="38"/>
      <c r="L21" s="26"/>
      <c r="M21" s="26"/>
      <c r="N21" s="26" t="str">
        <f t="shared" si="0"/>
        <v/>
      </c>
      <c r="O21" s="27"/>
    </row>
    <row r="22" ht="15.5" customHeight="1" spans="1:15">
      <c r="A22" s="255"/>
      <c r="B22" s="56"/>
      <c r="C22" s="63"/>
      <c r="D22" s="247"/>
      <c r="E22" s="26"/>
      <c r="F22" s="248"/>
      <c r="G22" s="248"/>
      <c r="H22" s="248"/>
      <c r="I22" s="248"/>
      <c r="J22" s="26"/>
      <c r="K22" s="38"/>
      <c r="L22" s="26"/>
      <c r="M22" s="26"/>
      <c r="N22" s="26" t="str">
        <f t="shared" si="0"/>
        <v/>
      </c>
      <c r="O22" s="27"/>
    </row>
    <row r="23" ht="15.5" customHeight="1" spans="1:15">
      <c r="A23" s="255"/>
      <c r="B23" s="56"/>
      <c r="C23" s="63"/>
      <c r="D23" s="247"/>
      <c r="E23" s="26"/>
      <c r="F23" s="248"/>
      <c r="G23" s="248"/>
      <c r="H23" s="248"/>
      <c r="I23" s="248"/>
      <c r="J23" s="26"/>
      <c r="K23" s="38"/>
      <c r="L23" s="26"/>
      <c r="M23" s="26"/>
      <c r="N23" s="26" t="str">
        <f t="shared" si="0"/>
        <v/>
      </c>
      <c r="O23" s="27"/>
    </row>
    <row r="24" ht="15.5" customHeight="1" spans="1:15">
      <c r="A24" s="255"/>
      <c r="B24" s="56"/>
      <c r="C24" s="63"/>
      <c r="D24" s="247"/>
      <c r="E24" s="26"/>
      <c r="F24" s="248"/>
      <c r="G24" s="248"/>
      <c r="H24" s="248"/>
      <c r="I24" s="248"/>
      <c r="J24" s="26"/>
      <c r="K24" s="38"/>
      <c r="L24" s="26"/>
      <c r="M24" s="26"/>
      <c r="N24" s="26" t="str">
        <f t="shared" si="0"/>
        <v/>
      </c>
      <c r="O24" s="27"/>
    </row>
    <row r="25" ht="15.5" customHeight="1" spans="1:15">
      <c r="A25" s="255"/>
      <c r="B25" s="56"/>
      <c r="C25" s="63"/>
      <c r="D25" s="247"/>
      <c r="E25" s="26"/>
      <c r="F25" s="248"/>
      <c r="G25" s="248"/>
      <c r="H25" s="248"/>
      <c r="I25" s="248"/>
      <c r="J25" s="26"/>
      <c r="K25" s="38"/>
      <c r="L25" s="26"/>
      <c r="M25" s="26"/>
      <c r="N25" s="26" t="str">
        <f t="shared" si="0"/>
        <v/>
      </c>
      <c r="O25" s="27"/>
    </row>
    <row r="26" ht="15.5" customHeight="1" spans="1:15">
      <c r="A26" s="255"/>
      <c r="B26" s="56"/>
      <c r="C26" s="63"/>
      <c r="D26" s="247"/>
      <c r="E26" s="26"/>
      <c r="F26" s="248"/>
      <c r="G26" s="248"/>
      <c r="H26" s="248"/>
      <c r="I26" s="248"/>
      <c r="J26" s="26"/>
      <c r="K26" s="38"/>
      <c r="L26" s="26"/>
      <c r="M26" s="26"/>
      <c r="N26" s="26" t="str">
        <f t="shared" si="0"/>
        <v/>
      </c>
      <c r="O26" s="27"/>
    </row>
    <row r="27" ht="15.5" customHeight="1" spans="1:15">
      <c r="A27" s="255"/>
      <c r="B27" s="56"/>
      <c r="C27" s="63"/>
      <c r="D27" s="247"/>
      <c r="E27" s="26"/>
      <c r="F27" s="248"/>
      <c r="G27" s="248"/>
      <c r="H27" s="248"/>
      <c r="I27" s="248"/>
      <c r="J27" s="26"/>
      <c r="K27" s="38"/>
      <c r="L27" s="26"/>
      <c r="M27" s="26"/>
      <c r="N27" s="26" t="str">
        <f t="shared" si="0"/>
        <v/>
      </c>
      <c r="O27" s="27"/>
    </row>
    <row r="28" ht="15.5" customHeight="1" spans="1:15">
      <c r="A28" s="255"/>
      <c r="B28" s="56"/>
      <c r="C28" s="63"/>
      <c r="D28" s="247"/>
      <c r="E28" s="26"/>
      <c r="F28" s="248"/>
      <c r="G28" s="248"/>
      <c r="H28" s="248"/>
      <c r="I28" s="248"/>
      <c r="J28" s="26"/>
      <c r="K28" s="38"/>
      <c r="L28" s="26"/>
      <c r="M28" s="26"/>
      <c r="N28" s="26" t="str">
        <f t="shared" si="0"/>
        <v/>
      </c>
      <c r="O28" s="27"/>
    </row>
    <row r="29" ht="15.5" customHeight="1" spans="1:15">
      <c r="A29" s="255"/>
      <c r="B29" s="56"/>
      <c r="C29" s="63"/>
      <c r="D29" s="247"/>
      <c r="E29" s="26"/>
      <c r="F29" s="248"/>
      <c r="G29" s="248"/>
      <c r="H29" s="248"/>
      <c r="I29" s="248"/>
      <c r="J29" s="26"/>
      <c r="K29" s="38"/>
      <c r="L29" s="26"/>
      <c r="M29" s="26"/>
      <c r="N29" s="26" t="str">
        <f t="shared" si="0"/>
        <v/>
      </c>
      <c r="O29" s="27"/>
    </row>
    <row r="30" ht="15.5" customHeight="1" spans="1:15">
      <c r="A30" s="255"/>
      <c r="B30" s="56"/>
      <c r="C30" s="63"/>
      <c r="D30" s="247"/>
      <c r="E30" s="26"/>
      <c r="F30" s="248"/>
      <c r="G30" s="248"/>
      <c r="H30" s="248"/>
      <c r="I30" s="248"/>
      <c r="J30" s="26"/>
      <c r="K30" s="38"/>
      <c r="L30" s="26"/>
      <c r="M30" s="26"/>
      <c r="N30" s="26" t="str">
        <f t="shared" si="0"/>
        <v/>
      </c>
      <c r="O30" s="27"/>
    </row>
    <row r="31" ht="15.5" customHeight="1" spans="1:15">
      <c r="A31" s="255"/>
      <c r="B31" s="56"/>
      <c r="C31" s="63"/>
      <c r="D31" s="247"/>
      <c r="E31" s="26"/>
      <c r="F31" s="248"/>
      <c r="G31" s="248"/>
      <c r="H31" s="248"/>
      <c r="I31" s="248"/>
      <c r="J31" s="26"/>
      <c r="K31" s="38"/>
      <c r="L31" s="26"/>
      <c r="M31" s="26"/>
      <c r="N31" s="26" t="str">
        <f t="shared" si="0"/>
        <v/>
      </c>
      <c r="O31" s="27"/>
    </row>
    <row r="32" ht="15.5" customHeight="1" spans="1:15">
      <c r="A32" s="255"/>
      <c r="B32" s="56"/>
      <c r="C32" s="63"/>
      <c r="D32" s="247"/>
      <c r="E32" s="26"/>
      <c r="F32" s="248"/>
      <c r="G32" s="248"/>
      <c r="H32" s="248"/>
      <c r="I32" s="248"/>
      <c r="J32" s="26"/>
      <c r="K32" s="38"/>
      <c r="L32" s="26"/>
      <c r="M32" s="26"/>
      <c r="N32" s="26" t="str">
        <f t="shared" si="0"/>
        <v/>
      </c>
      <c r="O32" s="27"/>
    </row>
    <row r="33" ht="15.5" customHeight="1" spans="1:15">
      <c r="A33" s="255"/>
      <c r="B33" s="56"/>
      <c r="C33" s="63"/>
      <c r="D33" s="247"/>
      <c r="E33" s="26"/>
      <c r="F33" s="248"/>
      <c r="G33" s="248"/>
      <c r="H33" s="248"/>
      <c r="I33" s="248"/>
      <c r="J33" s="26"/>
      <c r="K33" s="38"/>
      <c r="L33" s="26"/>
      <c r="M33" s="26"/>
      <c r="N33" s="26" t="str">
        <f t="shared" si="0"/>
        <v/>
      </c>
      <c r="O33" s="27"/>
    </row>
    <row r="34" ht="15.5" customHeight="1" spans="1:15">
      <c r="A34" s="255"/>
      <c r="B34" s="56"/>
      <c r="C34" s="63"/>
      <c r="D34" s="247"/>
      <c r="E34" s="26"/>
      <c r="F34" s="248"/>
      <c r="G34" s="248"/>
      <c r="H34" s="248"/>
      <c r="I34" s="248"/>
      <c r="J34" s="26"/>
      <c r="K34" s="38"/>
      <c r="L34" s="26"/>
      <c r="M34" s="26"/>
      <c r="N34" s="26" t="str">
        <f t="shared" si="0"/>
        <v/>
      </c>
      <c r="O34" s="27"/>
    </row>
    <row r="35" ht="15.5" customHeight="1" spans="1:15">
      <c r="A35" s="255"/>
      <c r="B35" s="56"/>
      <c r="C35" s="63"/>
      <c r="D35" s="247"/>
      <c r="E35" s="26"/>
      <c r="F35" s="248"/>
      <c r="G35" s="248"/>
      <c r="H35" s="248"/>
      <c r="I35" s="248"/>
      <c r="J35" s="26"/>
      <c r="K35" s="38"/>
      <c r="L35" s="26"/>
      <c r="M35" s="26"/>
      <c r="N35" s="26" t="str">
        <f t="shared" si="0"/>
        <v/>
      </c>
      <c r="O35" s="27"/>
    </row>
    <row r="36" ht="15.5" customHeight="1" spans="1:15">
      <c r="A36" s="255"/>
      <c r="B36" s="56"/>
      <c r="C36" s="63"/>
      <c r="D36" s="247"/>
      <c r="E36" s="26"/>
      <c r="F36" s="248"/>
      <c r="G36" s="248"/>
      <c r="H36" s="248"/>
      <c r="I36" s="248"/>
      <c r="J36" s="26"/>
      <c r="K36" s="38"/>
      <c r="L36" s="26"/>
      <c r="M36" s="26"/>
      <c r="N36" s="26" t="str">
        <f t="shared" si="0"/>
        <v/>
      </c>
      <c r="O36" s="27"/>
    </row>
    <row r="37" ht="15.5" customHeight="1" spans="1:15">
      <c r="A37" s="255"/>
      <c r="B37" s="56"/>
      <c r="C37" s="63"/>
      <c r="D37" s="247"/>
      <c r="E37" s="26"/>
      <c r="F37" s="248"/>
      <c r="G37" s="248"/>
      <c r="H37" s="248"/>
      <c r="I37" s="248"/>
      <c r="J37" s="26"/>
      <c r="K37" s="38"/>
      <c r="L37" s="26"/>
      <c r="M37" s="26"/>
      <c r="N37" s="26" t="str">
        <f t="shared" si="0"/>
        <v/>
      </c>
      <c r="O37" s="27"/>
    </row>
    <row r="38" ht="15.5" customHeight="1" spans="1:15">
      <c r="A38" s="255"/>
      <c r="B38" s="56"/>
      <c r="C38" s="63"/>
      <c r="D38" s="247"/>
      <c r="E38" s="26"/>
      <c r="F38" s="248"/>
      <c r="G38" s="248"/>
      <c r="H38" s="248"/>
      <c r="I38" s="248"/>
      <c r="J38" s="26"/>
      <c r="K38" s="38"/>
      <c r="L38" s="26"/>
      <c r="M38" s="26"/>
      <c r="N38" s="26" t="str">
        <f t="shared" si="0"/>
        <v/>
      </c>
      <c r="O38" s="27"/>
    </row>
    <row r="39" ht="15.5" customHeight="1" spans="1:15">
      <c r="A39" s="255"/>
      <c r="B39" s="56"/>
      <c r="C39" s="63"/>
      <c r="D39" s="247"/>
      <c r="E39" s="26"/>
      <c r="F39" s="248"/>
      <c r="G39" s="248"/>
      <c r="H39" s="248"/>
      <c r="I39" s="248"/>
      <c r="J39" s="26"/>
      <c r="K39" s="38"/>
      <c r="L39" s="26"/>
      <c r="M39" s="26"/>
      <c r="N39" s="26" t="str">
        <f t="shared" si="0"/>
        <v/>
      </c>
      <c r="O39" s="27"/>
    </row>
    <row r="40" ht="15.5" customHeight="1" spans="1:15">
      <c r="A40" s="255"/>
      <c r="B40" s="56"/>
      <c r="C40" s="63"/>
      <c r="D40" s="247"/>
      <c r="E40" s="26"/>
      <c r="F40" s="248"/>
      <c r="G40" s="248"/>
      <c r="H40" s="248"/>
      <c r="I40" s="248"/>
      <c r="J40" s="26"/>
      <c r="K40" s="38"/>
      <c r="L40" s="26"/>
      <c r="M40" s="26"/>
      <c r="N40" s="26" t="str">
        <f t="shared" si="0"/>
        <v/>
      </c>
      <c r="O40" s="27"/>
    </row>
    <row r="41" ht="15.5" customHeight="1" spans="1:15">
      <c r="A41" s="255"/>
      <c r="B41" s="56"/>
      <c r="C41" s="63"/>
      <c r="D41" s="247"/>
      <c r="E41" s="26"/>
      <c r="F41" s="248"/>
      <c r="G41" s="248"/>
      <c r="H41" s="248"/>
      <c r="I41" s="248"/>
      <c r="J41" s="26"/>
      <c r="K41" s="38"/>
      <c r="L41" s="26"/>
      <c r="M41" s="26"/>
      <c r="N41" s="26" t="str">
        <f t="shared" si="0"/>
        <v/>
      </c>
      <c r="O41" s="27"/>
    </row>
    <row r="42" ht="15.5" customHeight="1" spans="1:15">
      <c r="A42" s="255"/>
      <c r="B42" s="56"/>
      <c r="C42" s="63"/>
      <c r="D42" s="247"/>
      <c r="E42" s="26"/>
      <c r="F42" s="248"/>
      <c r="G42" s="248"/>
      <c r="H42" s="248"/>
      <c r="I42" s="248"/>
      <c r="J42" s="26"/>
      <c r="K42" s="38"/>
      <c r="L42" s="26"/>
      <c r="M42" s="26"/>
      <c r="N42" s="26" t="str">
        <f t="shared" si="0"/>
        <v/>
      </c>
      <c r="O42" s="27"/>
    </row>
    <row r="43" ht="15.5" customHeight="1" spans="1:15">
      <c r="A43" s="255"/>
      <c r="B43" s="56"/>
      <c r="C43" s="63"/>
      <c r="D43" s="247"/>
      <c r="E43" s="26"/>
      <c r="F43" s="248"/>
      <c r="G43" s="248"/>
      <c r="H43" s="248"/>
      <c r="I43" s="248"/>
      <c r="J43" s="26"/>
      <c r="K43" s="38"/>
      <c r="L43" s="26"/>
      <c r="M43" s="26"/>
      <c r="N43" s="26" t="str">
        <f t="shared" si="0"/>
        <v/>
      </c>
      <c r="O43" s="27"/>
    </row>
    <row r="44" ht="15.5" customHeight="1" spans="1:15">
      <c r="A44" s="255"/>
      <c r="B44" s="56"/>
      <c r="C44" s="63"/>
      <c r="D44" s="247"/>
      <c r="E44" s="26"/>
      <c r="F44" s="248"/>
      <c r="G44" s="248"/>
      <c r="H44" s="248"/>
      <c r="I44" s="248"/>
      <c r="J44" s="26"/>
      <c r="K44" s="38"/>
      <c r="L44" s="26"/>
      <c r="M44" s="26"/>
      <c r="N44" s="26" t="str">
        <f t="shared" si="0"/>
        <v/>
      </c>
      <c r="O44" s="27"/>
    </row>
    <row r="45" ht="15.5" customHeight="1" spans="1:15">
      <c r="A45" s="255"/>
      <c r="B45" s="56"/>
      <c r="C45" s="63"/>
      <c r="D45" s="247"/>
      <c r="E45" s="26"/>
      <c r="F45" s="248"/>
      <c r="G45" s="248"/>
      <c r="H45" s="248"/>
      <c r="I45" s="248"/>
      <c r="J45" s="26"/>
      <c r="K45" s="38"/>
      <c r="L45" s="26"/>
      <c r="M45" s="26"/>
      <c r="N45" s="26" t="str">
        <f t="shared" si="0"/>
        <v/>
      </c>
      <c r="O45" s="27"/>
    </row>
    <row r="46" ht="15.5" customHeight="1" spans="1:15">
      <c r="A46" s="255"/>
      <c r="B46" s="56"/>
      <c r="C46" s="63"/>
      <c r="D46" s="247"/>
      <c r="E46" s="26"/>
      <c r="F46" s="248"/>
      <c r="G46" s="248"/>
      <c r="H46" s="248"/>
      <c r="I46" s="248"/>
      <c r="J46" s="26"/>
      <c r="K46" s="38"/>
      <c r="L46" s="26"/>
      <c r="M46" s="26"/>
      <c r="N46" s="26" t="str">
        <f t="shared" si="0"/>
        <v/>
      </c>
      <c r="O46" s="27"/>
    </row>
    <row r="47" ht="15.5" customHeight="1" spans="1:15">
      <c r="A47" s="255"/>
      <c r="B47" s="56"/>
      <c r="C47" s="63"/>
      <c r="D47" s="247"/>
      <c r="E47" s="26"/>
      <c r="F47" s="248"/>
      <c r="G47" s="248"/>
      <c r="H47" s="248"/>
      <c r="I47" s="248"/>
      <c r="J47" s="26"/>
      <c r="K47" s="38"/>
      <c r="L47" s="26"/>
      <c r="M47" s="26"/>
      <c r="N47" s="26" t="str">
        <f t="shared" si="0"/>
        <v/>
      </c>
      <c r="O47" s="27"/>
    </row>
    <row r="48" ht="15.5" customHeight="1" spans="1:15">
      <c r="A48" s="255"/>
      <c r="B48" s="56"/>
      <c r="C48" s="63"/>
      <c r="D48" s="247"/>
      <c r="E48" s="26"/>
      <c r="F48" s="248"/>
      <c r="G48" s="248"/>
      <c r="H48" s="248"/>
      <c r="I48" s="248"/>
      <c r="J48" s="26"/>
      <c r="K48" s="38"/>
      <c r="L48" s="26"/>
      <c r="M48" s="26"/>
      <c r="N48" s="26" t="str">
        <f t="shared" si="0"/>
        <v/>
      </c>
      <c r="O48" s="27"/>
    </row>
    <row r="49" ht="15.5" customHeight="1" spans="1:15">
      <c r="A49" s="255"/>
      <c r="B49" s="56"/>
      <c r="C49" s="63"/>
      <c r="D49" s="247"/>
      <c r="E49" s="26"/>
      <c r="F49" s="248"/>
      <c r="G49" s="248"/>
      <c r="H49" s="248"/>
      <c r="I49" s="248"/>
      <c r="J49" s="26"/>
      <c r="K49" s="38"/>
      <c r="L49" s="26"/>
      <c r="M49" s="26"/>
      <c r="N49" s="26" t="str">
        <f t="shared" si="0"/>
        <v/>
      </c>
      <c r="O49" s="27"/>
    </row>
    <row r="50" ht="15.5" customHeight="1" spans="1:15">
      <c r="A50" s="255"/>
      <c r="B50" s="56"/>
      <c r="C50" s="63"/>
      <c r="D50" s="247"/>
      <c r="E50" s="26"/>
      <c r="F50" s="248"/>
      <c r="G50" s="248"/>
      <c r="H50" s="248"/>
      <c r="I50" s="248"/>
      <c r="J50" s="26"/>
      <c r="K50" s="38"/>
      <c r="L50" s="26"/>
      <c r="M50" s="26"/>
      <c r="N50" s="26" t="str">
        <f t="shared" si="0"/>
        <v/>
      </c>
      <c r="O50" s="27"/>
    </row>
    <row r="51" ht="15.5" customHeight="1" spans="1:15">
      <c r="A51" s="255"/>
      <c r="B51" s="56"/>
      <c r="C51" s="63"/>
      <c r="D51" s="247"/>
      <c r="E51" s="26"/>
      <c r="F51" s="248"/>
      <c r="G51" s="248"/>
      <c r="H51" s="248"/>
      <c r="I51" s="248"/>
      <c r="J51" s="26"/>
      <c r="K51" s="38"/>
      <c r="L51" s="26"/>
      <c r="M51" s="26"/>
      <c r="N51" s="26" t="str">
        <f t="shared" si="0"/>
        <v/>
      </c>
      <c r="O51" s="27"/>
    </row>
    <row r="52" ht="15.5" customHeight="1" spans="1:15">
      <c r="A52" s="255"/>
      <c r="B52" s="56"/>
      <c r="C52" s="63"/>
      <c r="D52" s="247"/>
      <c r="E52" s="26"/>
      <c r="F52" s="248"/>
      <c r="G52" s="248"/>
      <c r="H52" s="248"/>
      <c r="I52" s="248"/>
      <c r="J52" s="26"/>
      <c r="K52" s="38"/>
      <c r="L52" s="26"/>
      <c r="M52" s="26"/>
      <c r="N52" s="26" t="str">
        <f t="shared" si="0"/>
        <v/>
      </c>
      <c r="O52" s="27"/>
    </row>
    <row r="53" ht="15.5" customHeight="1" spans="1:15">
      <c r="A53" s="255"/>
      <c r="B53" s="56"/>
      <c r="C53" s="63"/>
      <c r="D53" s="247"/>
      <c r="E53" s="26"/>
      <c r="F53" s="248"/>
      <c r="G53" s="248"/>
      <c r="H53" s="248"/>
      <c r="I53" s="248"/>
      <c r="J53" s="26"/>
      <c r="K53" s="38"/>
      <c r="L53" s="26"/>
      <c r="M53" s="26"/>
      <c r="N53" s="26" t="str">
        <f t="shared" si="0"/>
        <v/>
      </c>
      <c r="O53" s="27"/>
    </row>
    <row r="54" ht="15.5" customHeight="1" spans="1:15">
      <c r="A54" s="255"/>
      <c r="B54" s="56"/>
      <c r="C54" s="63"/>
      <c r="D54" s="247"/>
      <c r="E54" s="26"/>
      <c r="F54" s="248"/>
      <c r="G54" s="248"/>
      <c r="H54" s="248"/>
      <c r="I54" s="248"/>
      <c r="J54" s="26"/>
      <c r="K54" s="38"/>
      <c r="L54" s="26"/>
      <c r="M54" s="26"/>
      <c r="N54" s="26" t="str">
        <f t="shared" si="0"/>
        <v/>
      </c>
      <c r="O54" s="27"/>
    </row>
    <row r="55" ht="15.5" customHeight="1" spans="1:15">
      <c r="A55" s="255"/>
      <c r="B55" s="56"/>
      <c r="C55" s="63"/>
      <c r="D55" s="247"/>
      <c r="E55" s="26"/>
      <c r="F55" s="248"/>
      <c r="G55" s="248"/>
      <c r="H55" s="248"/>
      <c r="I55" s="248"/>
      <c r="J55" s="26"/>
      <c r="K55" s="38"/>
      <c r="L55" s="26"/>
      <c r="M55" s="26"/>
      <c r="N55" s="26" t="str">
        <f t="shared" si="0"/>
        <v/>
      </c>
      <c r="O55" s="27"/>
    </row>
    <row r="56" ht="15.5" customHeight="1" spans="1:15">
      <c r="A56" s="255"/>
      <c r="B56" s="56"/>
      <c r="C56" s="63"/>
      <c r="D56" s="247"/>
      <c r="E56" s="26"/>
      <c r="F56" s="248"/>
      <c r="G56" s="248"/>
      <c r="H56" s="248"/>
      <c r="I56" s="248"/>
      <c r="J56" s="26"/>
      <c r="K56" s="38"/>
      <c r="L56" s="26"/>
      <c r="M56" s="26"/>
      <c r="N56" s="26" t="str">
        <f t="shared" si="0"/>
        <v/>
      </c>
      <c r="O56" s="27"/>
    </row>
    <row r="57" ht="15.5" customHeight="1" spans="1:15">
      <c r="A57" s="255"/>
      <c r="B57" s="56"/>
      <c r="C57" s="63"/>
      <c r="D57" s="247"/>
      <c r="E57" s="26"/>
      <c r="F57" s="248"/>
      <c r="G57" s="248"/>
      <c r="H57" s="248"/>
      <c r="I57" s="248"/>
      <c r="J57" s="26"/>
      <c r="K57" s="38"/>
      <c r="L57" s="26"/>
      <c r="M57" s="26"/>
      <c r="N57" s="26" t="str">
        <f t="shared" si="0"/>
        <v/>
      </c>
      <c r="O57" s="27"/>
    </row>
    <row r="58" ht="15.5" customHeight="1" spans="1:15">
      <c r="A58" s="255"/>
      <c r="B58" s="56"/>
      <c r="C58" s="63"/>
      <c r="D58" s="247"/>
      <c r="E58" s="26"/>
      <c r="F58" s="248"/>
      <c r="G58" s="248"/>
      <c r="H58" s="248"/>
      <c r="I58" s="248"/>
      <c r="J58" s="26"/>
      <c r="K58" s="38"/>
      <c r="L58" s="26"/>
      <c r="M58" s="26"/>
      <c r="N58" s="26" t="str">
        <f t="shared" si="0"/>
        <v/>
      </c>
      <c r="O58" s="27"/>
    </row>
    <row r="59" ht="15.5" customHeight="1" spans="1:15">
      <c r="A59" s="255"/>
      <c r="B59" s="56"/>
      <c r="C59" s="63"/>
      <c r="D59" s="247"/>
      <c r="E59" s="26"/>
      <c r="F59" s="248"/>
      <c r="G59" s="248"/>
      <c r="H59" s="248"/>
      <c r="I59" s="248"/>
      <c r="J59" s="26"/>
      <c r="K59" s="38"/>
      <c r="L59" s="26"/>
      <c r="M59" s="26"/>
      <c r="N59" s="26" t="str">
        <f t="shared" si="0"/>
        <v/>
      </c>
      <c r="O59" s="27"/>
    </row>
    <row r="60" ht="15.5" customHeight="1" spans="1:15">
      <c r="A60" s="255"/>
      <c r="B60" s="56"/>
      <c r="C60" s="63"/>
      <c r="D60" s="247"/>
      <c r="E60" s="26"/>
      <c r="F60" s="248"/>
      <c r="G60" s="248"/>
      <c r="H60" s="248"/>
      <c r="I60" s="248"/>
      <c r="J60" s="26"/>
      <c r="K60" s="38"/>
      <c r="L60" s="26"/>
      <c r="M60" s="26"/>
      <c r="N60" s="26" t="str">
        <f t="shared" si="0"/>
        <v/>
      </c>
      <c r="O60" s="27"/>
    </row>
    <row r="61" ht="15.5" customHeight="1" spans="1:15">
      <c r="A61" s="255"/>
      <c r="B61" s="56"/>
      <c r="C61" s="63"/>
      <c r="D61" s="247"/>
      <c r="E61" s="26"/>
      <c r="F61" s="248"/>
      <c r="G61" s="248"/>
      <c r="H61" s="248"/>
      <c r="I61" s="248"/>
      <c r="J61" s="26"/>
      <c r="K61" s="38"/>
      <c r="L61" s="26"/>
      <c r="M61" s="26"/>
      <c r="N61" s="26" t="str">
        <f t="shared" si="0"/>
        <v/>
      </c>
      <c r="O61" s="27"/>
    </row>
    <row r="62" ht="15.5" customHeight="1" spans="1:15">
      <c r="A62" s="255"/>
      <c r="B62" s="56"/>
      <c r="C62" s="63"/>
      <c r="D62" s="247"/>
      <c r="E62" s="26"/>
      <c r="F62" s="248"/>
      <c r="G62" s="248"/>
      <c r="H62" s="248"/>
      <c r="I62" s="248"/>
      <c r="J62" s="26"/>
      <c r="K62" s="38"/>
      <c r="L62" s="26"/>
      <c r="M62" s="26"/>
      <c r="N62" s="26" t="str">
        <f t="shared" si="0"/>
        <v/>
      </c>
      <c r="O62" s="27"/>
    </row>
    <row r="63" ht="15.5" customHeight="1" spans="1:15">
      <c r="A63" s="255"/>
      <c r="B63" s="56"/>
      <c r="C63" s="63"/>
      <c r="D63" s="247"/>
      <c r="E63" s="26"/>
      <c r="F63" s="248"/>
      <c r="G63" s="248"/>
      <c r="H63" s="248"/>
      <c r="I63" s="248"/>
      <c r="J63" s="26"/>
      <c r="K63" s="38"/>
      <c r="L63" s="26"/>
      <c r="M63" s="26"/>
      <c r="N63" s="26" t="str">
        <f t="shared" si="0"/>
        <v/>
      </c>
      <c r="O63" s="27"/>
    </row>
    <row r="64" ht="15.5" customHeight="1" spans="1:15">
      <c r="A64" s="255"/>
      <c r="B64" s="56"/>
      <c r="C64" s="63"/>
      <c r="D64" s="247"/>
      <c r="E64" s="26"/>
      <c r="F64" s="248"/>
      <c r="G64" s="248"/>
      <c r="H64" s="248"/>
      <c r="I64" s="248"/>
      <c r="J64" s="26"/>
      <c r="K64" s="38"/>
      <c r="L64" s="26"/>
      <c r="M64" s="26"/>
      <c r="N64" s="26" t="str">
        <f t="shared" si="0"/>
        <v/>
      </c>
      <c r="O64" s="27"/>
    </row>
    <row r="65" ht="15.5" customHeight="1" spans="1:15">
      <c r="A65" s="255"/>
      <c r="B65" s="56"/>
      <c r="C65" s="63"/>
      <c r="D65" s="247"/>
      <c r="E65" s="26"/>
      <c r="F65" s="248"/>
      <c r="G65" s="248"/>
      <c r="H65" s="248"/>
      <c r="I65" s="248"/>
      <c r="J65" s="26"/>
      <c r="K65" s="38"/>
      <c r="L65" s="26"/>
      <c r="M65" s="26"/>
      <c r="N65" s="26" t="str">
        <f t="shared" si="0"/>
        <v/>
      </c>
      <c r="O65" s="27"/>
    </row>
    <row r="66" ht="15.5" customHeight="1" spans="1:15">
      <c r="A66" s="255"/>
      <c r="B66" s="56"/>
      <c r="C66" s="63"/>
      <c r="D66" s="247"/>
      <c r="E66" s="26"/>
      <c r="F66" s="248"/>
      <c r="G66" s="248"/>
      <c r="H66" s="248"/>
      <c r="I66" s="248"/>
      <c r="J66" s="26"/>
      <c r="K66" s="38"/>
      <c r="L66" s="26"/>
      <c r="M66" s="26"/>
      <c r="N66" s="26" t="str">
        <f t="shared" si="0"/>
        <v/>
      </c>
      <c r="O66" s="27"/>
    </row>
    <row r="67" ht="15.5" customHeight="1" spans="1:15">
      <c r="A67" s="255"/>
      <c r="B67" s="56"/>
      <c r="C67" s="63"/>
      <c r="D67" s="247"/>
      <c r="E67" s="26"/>
      <c r="F67" s="248"/>
      <c r="G67" s="248"/>
      <c r="H67" s="248"/>
      <c r="I67" s="248"/>
      <c r="J67" s="26"/>
      <c r="K67" s="38"/>
      <c r="L67" s="26"/>
      <c r="M67" s="26"/>
      <c r="N67" s="26" t="str">
        <f t="shared" si="0"/>
        <v/>
      </c>
      <c r="O67" s="27"/>
    </row>
    <row r="68" ht="15.5" customHeight="1" spans="1:15">
      <c r="A68" s="255"/>
      <c r="B68" s="56"/>
      <c r="C68" s="63"/>
      <c r="D68" s="247"/>
      <c r="E68" s="26"/>
      <c r="F68" s="248"/>
      <c r="G68" s="248"/>
      <c r="H68" s="248"/>
      <c r="I68" s="248"/>
      <c r="J68" s="26"/>
      <c r="K68" s="38"/>
      <c r="L68" s="26"/>
      <c r="M68" s="26"/>
      <c r="N68" s="26" t="str">
        <f t="shared" si="0"/>
        <v/>
      </c>
      <c r="O68" s="27"/>
    </row>
    <row r="69" ht="15.5" customHeight="1" spans="1:15">
      <c r="A69" s="255"/>
      <c r="B69" s="56"/>
      <c r="C69" s="63"/>
      <c r="D69" s="247"/>
      <c r="E69" s="26"/>
      <c r="F69" s="248"/>
      <c r="G69" s="248"/>
      <c r="H69" s="248"/>
      <c r="I69" s="248"/>
      <c r="J69" s="26"/>
      <c r="K69" s="38"/>
      <c r="L69" s="26"/>
      <c r="M69" s="26"/>
      <c r="N69" s="26" t="str">
        <f t="shared" si="0"/>
        <v/>
      </c>
      <c r="O69" s="27"/>
    </row>
    <row r="70" ht="15.5" customHeight="1" spans="1:15">
      <c r="A70" s="255"/>
      <c r="B70" s="56"/>
      <c r="C70" s="63"/>
      <c r="D70" s="247"/>
      <c r="E70" s="26"/>
      <c r="F70" s="248"/>
      <c r="G70" s="248"/>
      <c r="H70" s="248"/>
      <c r="I70" s="248"/>
      <c r="J70" s="26"/>
      <c r="K70" s="38"/>
      <c r="L70" s="26"/>
      <c r="M70" s="26"/>
      <c r="N70" s="26" t="str">
        <f t="shared" si="0"/>
        <v/>
      </c>
      <c r="O70" s="27"/>
    </row>
    <row r="71" ht="15.5" customHeight="1" spans="1:15">
      <c r="A71" s="255"/>
      <c r="B71" s="56"/>
      <c r="C71" s="63"/>
      <c r="D71" s="247"/>
      <c r="E71" s="26"/>
      <c r="F71" s="248"/>
      <c r="G71" s="248"/>
      <c r="H71" s="248"/>
      <c r="I71" s="248"/>
      <c r="J71" s="26"/>
      <c r="K71" s="38"/>
      <c r="L71" s="26"/>
      <c r="M71" s="26"/>
      <c r="N71" s="26" t="str">
        <f t="shared" ref="N71:N134" si="1">IF(J71=0,"",(M71-J71)/J71*100)</f>
        <v/>
      </c>
      <c r="O71" s="27"/>
    </row>
    <row r="72" ht="15.5" customHeight="1" spans="1:15">
      <c r="A72" s="255"/>
      <c r="B72" s="56"/>
      <c r="C72" s="63"/>
      <c r="D72" s="247"/>
      <c r="E72" s="26"/>
      <c r="F72" s="248"/>
      <c r="G72" s="248"/>
      <c r="H72" s="248"/>
      <c r="I72" s="248"/>
      <c r="J72" s="26"/>
      <c r="K72" s="38"/>
      <c r="L72" s="26"/>
      <c r="M72" s="26"/>
      <c r="N72" s="26" t="str">
        <f t="shared" si="1"/>
        <v/>
      </c>
      <c r="O72" s="27"/>
    </row>
    <row r="73" ht="15.5" customHeight="1" spans="1:15">
      <c r="A73" s="255"/>
      <c r="B73" s="56"/>
      <c r="C73" s="63"/>
      <c r="D73" s="247"/>
      <c r="E73" s="26"/>
      <c r="F73" s="248"/>
      <c r="G73" s="248"/>
      <c r="H73" s="248"/>
      <c r="I73" s="248"/>
      <c r="J73" s="26"/>
      <c r="K73" s="38"/>
      <c r="L73" s="26"/>
      <c r="M73" s="26"/>
      <c r="N73" s="26" t="str">
        <f t="shared" si="1"/>
        <v/>
      </c>
      <c r="O73" s="27"/>
    </row>
    <row r="74" ht="15.5" customHeight="1" spans="1:15">
      <c r="A74" s="255"/>
      <c r="B74" s="56"/>
      <c r="C74" s="63"/>
      <c r="D74" s="247"/>
      <c r="E74" s="26"/>
      <c r="F74" s="248"/>
      <c r="G74" s="248"/>
      <c r="H74" s="248"/>
      <c r="I74" s="248"/>
      <c r="J74" s="26"/>
      <c r="K74" s="38"/>
      <c r="L74" s="26"/>
      <c r="M74" s="26"/>
      <c r="N74" s="26" t="str">
        <f t="shared" si="1"/>
        <v/>
      </c>
      <c r="O74" s="27"/>
    </row>
    <row r="75" ht="15.5" customHeight="1" spans="1:15">
      <c r="A75" s="255"/>
      <c r="B75" s="56"/>
      <c r="C75" s="63"/>
      <c r="D75" s="247"/>
      <c r="E75" s="26"/>
      <c r="F75" s="248"/>
      <c r="G75" s="248"/>
      <c r="H75" s="248"/>
      <c r="I75" s="248"/>
      <c r="J75" s="26"/>
      <c r="K75" s="38"/>
      <c r="L75" s="26"/>
      <c r="M75" s="26"/>
      <c r="N75" s="26" t="str">
        <f t="shared" si="1"/>
        <v/>
      </c>
      <c r="O75" s="27"/>
    </row>
    <row r="76" ht="15.5" customHeight="1" spans="1:15">
      <c r="A76" s="255"/>
      <c r="B76" s="56"/>
      <c r="C76" s="63"/>
      <c r="D76" s="247"/>
      <c r="E76" s="26"/>
      <c r="F76" s="248"/>
      <c r="G76" s="248"/>
      <c r="H76" s="248"/>
      <c r="I76" s="248"/>
      <c r="J76" s="26"/>
      <c r="K76" s="38"/>
      <c r="L76" s="26"/>
      <c r="M76" s="26"/>
      <c r="N76" s="26" t="str">
        <f t="shared" si="1"/>
        <v/>
      </c>
      <c r="O76" s="27"/>
    </row>
    <row r="77" ht="15.5" customHeight="1" spans="1:15">
      <c r="A77" s="255"/>
      <c r="B77" s="56"/>
      <c r="C77" s="63"/>
      <c r="D77" s="247"/>
      <c r="E77" s="26"/>
      <c r="F77" s="248"/>
      <c r="G77" s="248"/>
      <c r="H77" s="248"/>
      <c r="I77" s="248"/>
      <c r="J77" s="26"/>
      <c r="K77" s="38"/>
      <c r="L77" s="26"/>
      <c r="M77" s="26"/>
      <c r="N77" s="26" t="str">
        <f t="shared" si="1"/>
        <v/>
      </c>
      <c r="O77" s="27"/>
    </row>
    <row r="78" ht="15.5" customHeight="1" spans="1:15">
      <c r="A78" s="255"/>
      <c r="B78" s="56"/>
      <c r="C78" s="63"/>
      <c r="D78" s="247"/>
      <c r="E78" s="26"/>
      <c r="F78" s="248"/>
      <c r="G78" s="248"/>
      <c r="H78" s="248"/>
      <c r="I78" s="248"/>
      <c r="J78" s="26"/>
      <c r="K78" s="38"/>
      <c r="L78" s="26"/>
      <c r="M78" s="26"/>
      <c r="N78" s="26" t="str">
        <f t="shared" si="1"/>
        <v/>
      </c>
      <c r="O78" s="27"/>
    </row>
    <row r="79" ht="15.5" customHeight="1" spans="1:15">
      <c r="A79" s="255"/>
      <c r="B79" s="56"/>
      <c r="C79" s="63"/>
      <c r="D79" s="247"/>
      <c r="E79" s="26"/>
      <c r="F79" s="248"/>
      <c r="G79" s="248"/>
      <c r="H79" s="248"/>
      <c r="I79" s="248"/>
      <c r="J79" s="26"/>
      <c r="K79" s="38"/>
      <c r="L79" s="26"/>
      <c r="M79" s="26"/>
      <c r="N79" s="26" t="str">
        <f t="shared" si="1"/>
        <v/>
      </c>
      <c r="O79" s="27"/>
    </row>
    <row r="80" ht="15.5" customHeight="1" spans="1:15">
      <c r="A80" s="255"/>
      <c r="B80" s="56"/>
      <c r="C80" s="63"/>
      <c r="D80" s="247"/>
      <c r="E80" s="26"/>
      <c r="F80" s="248"/>
      <c r="G80" s="248"/>
      <c r="H80" s="248"/>
      <c r="I80" s="248"/>
      <c r="J80" s="26"/>
      <c r="K80" s="38"/>
      <c r="L80" s="26"/>
      <c r="M80" s="26"/>
      <c r="N80" s="26" t="str">
        <f t="shared" si="1"/>
        <v/>
      </c>
      <c r="O80" s="27"/>
    </row>
    <row r="81" ht="15.5" customHeight="1" spans="1:15">
      <c r="A81" s="255"/>
      <c r="B81" s="56"/>
      <c r="C81" s="63"/>
      <c r="D81" s="247"/>
      <c r="E81" s="26"/>
      <c r="F81" s="248"/>
      <c r="G81" s="248"/>
      <c r="H81" s="248"/>
      <c r="I81" s="248"/>
      <c r="J81" s="26"/>
      <c r="K81" s="38"/>
      <c r="L81" s="26"/>
      <c r="M81" s="26"/>
      <c r="N81" s="26" t="str">
        <f t="shared" si="1"/>
        <v/>
      </c>
      <c r="O81" s="27"/>
    </row>
    <row r="82" ht="15.5" customHeight="1" spans="1:15">
      <c r="A82" s="255"/>
      <c r="B82" s="56"/>
      <c r="C82" s="63"/>
      <c r="D82" s="247"/>
      <c r="E82" s="26"/>
      <c r="F82" s="248"/>
      <c r="G82" s="248"/>
      <c r="H82" s="248"/>
      <c r="I82" s="248"/>
      <c r="J82" s="26"/>
      <c r="K82" s="38"/>
      <c r="L82" s="26"/>
      <c r="M82" s="26"/>
      <c r="N82" s="26" t="str">
        <f t="shared" si="1"/>
        <v/>
      </c>
      <c r="O82" s="27"/>
    </row>
    <row r="83" ht="15.5" customHeight="1" spans="1:15">
      <c r="A83" s="255"/>
      <c r="B83" s="56"/>
      <c r="C83" s="63"/>
      <c r="D83" s="247"/>
      <c r="E83" s="26"/>
      <c r="F83" s="248"/>
      <c r="G83" s="248"/>
      <c r="H83" s="248"/>
      <c r="I83" s="248"/>
      <c r="J83" s="26"/>
      <c r="K83" s="38"/>
      <c r="L83" s="26"/>
      <c r="M83" s="26"/>
      <c r="N83" s="26" t="str">
        <f t="shared" si="1"/>
        <v/>
      </c>
      <c r="O83" s="27"/>
    </row>
    <row r="84" ht="15.5" customHeight="1" spans="1:15">
      <c r="A84" s="255"/>
      <c r="B84" s="56"/>
      <c r="C84" s="63"/>
      <c r="D84" s="247"/>
      <c r="E84" s="26"/>
      <c r="F84" s="248"/>
      <c r="G84" s="248"/>
      <c r="H84" s="248"/>
      <c r="I84" s="248"/>
      <c r="J84" s="26"/>
      <c r="K84" s="38"/>
      <c r="L84" s="26"/>
      <c r="M84" s="26"/>
      <c r="N84" s="26" t="str">
        <f t="shared" si="1"/>
        <v/>
      </c>
      <c r="O84" s="27"/>
    </row>
    <row r="85" ht="15.5" customHeight="1" spans="1:15">
      <c r="A85" s="255"/>
      <c r="B85" s="56"/>
      <c r="C85" s="63"/>
      <c r="D85" s="247"/>
      <c r="E85" s="26"/>
      <c r="F85" s="248"/>
      <c r="G85" s="248"/>
      <c r="H85" s="248"/>
      <c r="I85" s="248"/>
      <c r="J85" s="26"/>
      <c r="K85" s="38"/>
      <c r="L85" s="26"/>
      <c r="M85" s="26"/>
      <c r="N85" s="26" t="str">
        <f t="shared" si="1"/>
        <v/>
      </c>
      <c r="O85" s="27"/>
    </row>
    <row r="86" ht="15.5" customHeight="1" spans="1:15">
      <c r="A86" s="255"/>
      <c r="B86" s="56"/>
      <c r="C86" s="63"/>
      <c r="D86" s="247"/>
      <c r="E86" s="26"/>
      <c r="F86" s="248"/>
      <c r="G86" s="248"/>
      <c r="H86" s="248"/>
      <c r="I86" s="248"/>
      <c r="J86" s="26"/>
      <c r="K86" s="38"/>
      <c r="L86" s="26"/>
      <c r="M86" s="26"/>
      <c r="N86" s="26" t="str">
        <f t="shared" si="1"/>
        <v/>
      </c>
      <c r="O86" s="27"/>
    </row>
    <row r="87" ht="15.5" customHeight="1" spans="1:15">
      <c r="A87" s="255"/>
      <c r="B87" s="56"/>
      <c r="C87" s="63"/>
      <c r="D87" s="247"/>
      <c r="E87" s="26"/>
      <c r="F87" s="248"/>
      <c r="G87" s="248"/>
      <c r="H87" s="248"/>
      <c r="I87" s="248"/>
      <c r="J87" s="26"/>
      <c r="K87" s="38"/>
      <c r="L87" s="26"/>
      <c r="M87" s="26"/>
      <c r="N87" s="26" t="str">
        <f t="shared" si="1"/>
        <v/>
      </c>
      <c r="O87" s="27"/>
    </row>
    <row r="88" ht="15.5" customHeight="1" spans="1:15">
      <c r="A88" s="255"/>
      <c r="B88" s="56"/>
      <c r="C88" s="63"/>
      <c r="D88" s="247"/>
      <c r="E88" s="26"/>
      <c r="F88" s="248"/>
      <c r="G88" s="248"/>
      <c r="H88" s="248"/>
      <c r="I88" s="248"/>
      <c r="J88" s="26"/>
      <c r="K88" s="38"/>
      <c r="L88" s="26"/>
      <c r="M88" s="26"/>
      <c r="N88" s="26" t="str">
        <f t="shared" si="1"/>
        <v/>
      </c>
      <c r="O88" s="27"/>
    </row>
    <row r="89" ht="15.5" customHeight="1" spans="1:15">
      <c r="A89" s="255"/>
      <c r="B89" s="56"/>
      <c r="C89" s="63"/>
      <c r="D89" s="247"/>
      <c r="E89" s="26"/>
      <c r="F89" s="248"/>
      <c r="G89" s="248"/>
      <c r="H89" s="248"/>
      <c r="I89" s="248"/>
      <c r="J89" s="26"/>
      <c r="K89" s="38"/>
      <c r="L89" s="26"/>
      <c r="M89" s="26"/>
      <c r="N89" s="26" t="str">
        <f t="shared" si="1"/>
        <v/>
      </c>
      <c r="O89" s="27"/>
    </row>
    <row r="90" ht="15.5" customHeight="1" spans="1:15">
      <c r="A90" s="255"/>
      <c r="B90" s="56"/>
      <c r="C90" s="63"/>
      <c r="D90" s="247"/>
      <c r="E90" s="26"/>
      <c r="F90" s="248"/>
      <c r="G90" s="248"/>
      <c r="H90" s="248"/>
      <c r="I90" s="248"/>
      <c r="J90" s="26"/>
      <c r="K90" s="38"/>
      <c r="L90" s="26"/>
      <c r="M90" s="26"/>
      <c r="N90" s="26" t="str">
        <f t="shared" si="1"/>
        <v/>
      </c>
      <c r="O90" s="27"/>
    </row>
    <row r="91" ht="15.5" customHeight="1" spans="1:15">
      <c r="A91" s="255"/>
      <c r="B91" s="56"/>
      <c r="C91" s="63"/>
      <c r="D91" s="247"/>
      <c r="E91" s="26"/>
      <c r="F91" s="248"/>
      <c r="G91" s="248"/>
      <c r="H91" s="248"/>
      <c r="I91" s="248"/>
      <c r="J91" s="26"/>
      <c r="K91" s="38"/>
      <c r="L91" s="26"/>
      <c r="M91" s="26"/>
      <c r="N91" s="26" t="str">
        <f t="shared" si="1"/>
        <v/>
      </c>
      <c r="O91" s="27"/>
    </row>
    <row r="92" ht="15.5" customHeight="1" spans="1:15">
      <c r="A92" s="255"/>
      <c r="B92" s="56"/>
      <c r="C92" s="63"/>
      <c r="D92" s="247"/>
      <c r="E92" s="26"/>
      <c r="F92" s="248"/>
      <c r="G92" s="248"/>
      <c r="H92" s="248"/>
      <c r="I92" s="248"/>
      <c r="J92" s="26"/>
      <c r="K92" s="38"/>
      <c r="L92" s="26"/>
      <c r="M92" s="26"/>
      <c r="N92" s="26" t="str">
        <f t="shared" si="1"/>
        <v/>
      </c>
      <c r="O92" s="27"/>
    </row>
    <row r="93" ht="15.5" customHeight="1" spans="1:15">
      <c r="A93" s="255"/>
      <c r="B93" s="56"/>
      <c r="C93" s="63"/>
      <c r="D93" s="247"/>
      <c r="E93" s="26"/>
      <c r="F93" s="248"/>
      <c r="G93" s="248"/>
      <c r="H93" s="248"/>
      <c r="I93" s="248"/>
      <c r="J93" s="26"/>
      <c r="K93" s="38"/>
      <c r="L93" s="26"/>
      <c r="M93" s="26"/>
      <c r="N93" s="26" t="str">
        <f t="shared" si="1"/>
        <v/>
      </c>
      <c r="O93" s="27"/>
    </row>
    <row r="94" ht="15.5" customHeight="1" spans="1:15">
      <c r="A94" s="255"/>
      <c r="B94" s="56"/>
      <c r="C94" s="63"/>
      <c r="D94" s="247"/>
      <c r="E94" s="26"/>
      <c r="F94" s="248"/>
      <c r="G94" s="248"/>
      <c r="H94" s="248"/>
      <c r="I94" s="248"/>
      <c r="J94" s="26"/>
      <c r="K94" s="38"/>
      <c r="L94" s="26"/>
      <c r="M94" s="26"/>
      <c r="N94" s="26" t="str">
        <f t="shared" si="1"/>
        <v/>
      </c>
      <c r="O94" s="27"/>
    </row>
    <row r="95" ht="15.5" customHeight="1" spans="1:15">
      <c r="A95" s="255"/>
      <c r="B95" s="56"/>
      <c r="C95" s="63"/>
      <c r="D95" s="247"/>
      <c r="E95" s="26"/>
      <c r="F95" s="248"/>
      <c r="G95" s="248"/>
      <c r="H95" s="248"/>
      <c r="I95" s="248"/>
      <c r="J95" s="26"/>
      <c r="K95" s="38"/>
      <c r="L95" s="26"/>
      <c r="M95" s="26"/>
      <c r="N95" s="26" t="str">
        <f t="shared" si="1"/>
        <v/>
      </c>
      <c r="O95" s="27"/>
    </row>
    <row r="96" ht="15.5" customHeight="1" spans="1:15">
      <c r="A96" s="255"/>
      <c r="B96" s="56"/>
      <c r="C96" s="63"/>
      <c r="D96" s="247"/>
      <c r="E96" s="26"/>
      <c r="F96" s="248"/>
      <c r="G96" s="248"/>
      <c r="H96" s="248"/>
      <c r="I96" s="248"/>
      <c r="J96" s="26"/>
      <c r="K96" s="38"/>
      <c r="L96" s="26"/>
      <c r="M96" s="26"/>
      <c r="N96" s="26" t="str">
        <f t="shared" si="1"/>
        <v/>
      </c>
      <c r="O96" s="27"/>
    </row>
    <row r="97" ht="15.5" customHeight="1" spans="1:15">
      <c r="A97" s="255"/>
      <c r="B97" s="56"/>
      <c r="C97" s="63"/>
      <c r="D97" s="247"/>
      <c r="E97" s="26"/>
      <c r="F97" s="248"/>
      <c r="G97" s="248"/>
      <c r="H97" s="248"/>
      <c r="I97" s="248"/>
      <c r="J97" s="26"/>
      <c r="K97" s="38"/>
      <c r="L97" s="26"/>
      <c r="M97" s="26"/>
      <c r="N97" s="26" t="str">
        <f t="shared" si="1"/>
        <v/>
      </c>
      <c r="O97" s="27"/>
    </row>
    <row r="98" ht="15.5" customHeight="1" spans="1:15">
      <c r="A98" s="255"/>
      <c r="B98" s="56"/>
      <c r="C98" s="63"/>
      <c r="D98" s="247"/>
      <c r="E98" s="26"/>
      <c r="F98" s="248"/>
      <c r="G98" s="248"/>
      <c r="H98" s="248"/>
      <c r="I98" s="248"/>
      <c r="J98" s="26"/>
      <c r="K98" s="38"/>
      <c r="L98" s="26"/>
      <c r="M98" s="26"/>
      <c r="N98" s="26" t="str">
        <f t="shared" si="1"/>
        <v/>
      </c>
      <c r="O98" s="27"/>
    </row>
    <row r="99" ht="15.5" customHeight="1" spans="1:15">
      <c r="A99" s="255"/>
      <c r="B99" s="56"/>
      <c r="C99" s="63"/>
      <c r="D99" s="247"/>
      <c r="E99" s="26"/>
      <c r="F99" s="248"/>
      <c r="G99" s="248"/>
      <c r="H99" s="248"/>
      <c r="I99" s="248"/>
      <c r="J99" s="26"/>
      <c r="K99" s="38"/>
      <c r="L99" s="26"/>
      <c r="M99" s="26"/>
      <c r="N99" s="26" t="str">
        <f t="shared" si="1"/>
        <v/>
      </c>
      <c r="O99" s="27"/>
    </row>
    <row r="100" ht="15.5" customHeight="1" spans="1:15">
      <c r="A100" s="255"/>
      <c r="B100" s="56"/>
      <c r="C100" s="63"/>
      <c r="D100" s="247"/>
      <c r="E100" s="26"/>
      <c r="F100" s="248"/>
      <c r="G100" s="248"/>
      <c r="H100" s="248"/>
      <c r="I100" s="248"/>
      <c r="J100" s="26"/>
      <c r="K100" s="38"/>
      <c r="L100" s="26"/>
      <c r="M100" s="26"/>
      <c r="N100" s="26" t="str">
        <f t="shared" si="1"/>
        <v/>
      </c>
      <c r="O100" s="27"/>
    </row>
    <row r="101" ht="15.5" customHeight="1" spans="1:15">
      <c r="A101" s="255"/>
      <c r="B101" s="56"/>
      <c r="C101" s="63"/>
      <c r="D101" s="247"/>
      <c r="E101" s="26"/>
      <c r="F101" s="248"/>
      <c r="G101" s="248"/>
      <c r="H101" s="248"/>
      <c r="I101" s="248"/>
      <c r="J101" s="26"/>
      <c r="K101" s="38"/>
      <c r="L101" s="26"/>
      <c r="M101" s="26"/>
      <c r="N101" s="26" t="str">
        <f t="shared" si="1"/>
        <v/>
      </c>
      <c r="O101" s="27"/>
    </row>
    <row r="102" ht="15.5" customHeight="1" spans="1:15">
      <c r="A102" s="255"/>
      <c r="B102" s="56"/>
      <c r="C102" s="63"/>
      <c r="D102" s="247"/>
      <c r="E102" s="26"/>
      <c r="F102" s="248"/>
      <c r="G102" s="248"/>
      <c r="H102" s="248"/>
      <c r="I102" s="248"/>
      <c r="J102" s="26"/>
      <c r="K102" s="38"/>
      <c r="L102" s="26"/>
      <c r="M102" s="26"/>
      <c r="N102" s="26" t="str">
        <f t="shared" si="1"/>
        <v/>
      </c>
      <c r="O102" s="27"/>
    </row>
    <row r="103" ht="15.5" customHeight="1" spans="1:15">
      <c r="A103" s="255"/>
      <c r="B103" s="56"/>
      <c r="C103" s="63"/>
      <c r="D103" s="247"/>
      <c r="E103" s="26"/>
      <c r="F103" s="248"/>
      <c r="G103" s="248"/>
      <c r="H103" s="248"/>
      <c r="I103" s="248"/>
      <c r="J103" s="26"/>
      <c r="K103" s="38"/>
      <c r="L103" s="26"/>
      <c r="M103" s="26"/>
      <c r="N103" s="26" t="str">
        <f t="shared" si="1"/>
        <v/>
      </c>
      <c r="O103" s="27"/>
    </row>
    <row r="104" ht="15.5" customHeight="1" spans="1:15">
      <c r="A104" s="255"/>
      <c r="B104" s="56"/>
      <c r="C104" s="63"/>
      <c r="D104" s="247"/>
      <c r="E104" s="26"/>
      <c r="F104" s="248"/>
      <c r="G104" s="248"/>
      <c r="H104" s="248"/>
      <c r="I104" s="248"/>
      <c r="J104" s="26"/>
      <c r="K104" s="38"/>
      <c r="L104" s="26"/>
      <c r="M104" s="26"/>
      <c r="N104" s="26" t="str">
        <f t="shared" si="1"/>
        <v/>
      </c>
      <c r="O104" s="27"/>
    </row>
    <row r="105" ht="15.5" customHeight="1" spans="1:15">
      <c r="A105" s="255"/>
      <c r="B105" s="56"/>
      <c r="C105" s="63"/>
      <c r="D105" s="247"/>
      <c r="E105" s="26"/>
      <c r="F105" s="248"/>
      <c r="G105" s="248"/>
      <c r="H105" s="248"/>
      <c r="I105" s="248"/>
      <c r="J105" s="26"/>
      <c r="K105" s="38"/>
      <c r="L105" s="26"/>
      <c r="M105" s="26"/>
      <c r="N105" s="26" t="str">
        <f t="shared" si="1"/>
        <v/>
      </c>
      <c r="O105" s="27"/>
    </row>
    <row r="106" ht="15.5" customHeight="1" spans="1:15">
      <c r="A106" s="255"/>
      <c r="B106" s="56"/>
      <c r="C106" s="63"/>
      <c r="D106" s="247"/>
      <c r="E106" s="26"/>
      <c r="F106" s="248"/>
      <c r="G106" s="248"/>
      <c r="H106" s="248"/>
      <c r="I106" s="248"/>
      <c r="J106" s="26"/>
      <c r="K106" s="38"/>
      <c r="L106" s="26"/>
      <c r="M106" s="26"/>
      <c r="N106" s="26" t="str">
        <f t="shared" si="1"/>
        <v/>
      </c>
      <c r="O106" s="27"/>
    </row>
    <row r="107" ht="15.5" customHeight="1" spans="1:15">
      <c r="A107" s="255"/>
      <c r="B107" s="56"/>
      <c r="C107" s="63"/>
      <c r="D107" s="247"/>
      <c r="E107" s="26"/>
      <c r="F107" s="248"/>
      <c r="G107" s="248"/>
      <c r="H107" s="248"/>
      <c r="I107" s="248"/>
      <c r="J107" s="26"/>
      <c r="K107" s="38"/>
      <c r="L107" s="26"/>
      <c r="M107" s="26"/>
      <c r="N107" s="26" t="str">
        <f t="shared" si="1"/>
        <v/>
      </c>
      <c r="O107" s="27"/>
    </row>
    <row r="108" ht="15.5" customHeight="1" spans="1:15">
      <c r="A108" s="255"/>
      <c r="B108" s="56"/>
      <c r="C108" s="63"/>
      <c r="D108" s="247"/>
      <c r="E108" s="26"/>
      <c r="F108" s="248"/>
      <c r="G108" s="248"/>
      <c r="H108" s="248"/>
      <c r="I108" s="248"/>
      <c r="J108" s="26"/>
      <c r="K108" s="38"/>
      <c r="L108" s="26"/>
      <c r="M108" s="26"/>
      <c r="N108" s="26" t="str">
        <f t="shared" si="1"/>
        <v/>
      </c>
      <c r="O108" s="27"/>
    </row>
    <row r="109" ht="15.5" customHeight="1" spans="1:15">
      <c r="A109" s="255"/>
      <c r="B109" s="56"/>
      <c r="C109" s="63"/>
      <c r="D109" s="247"/>
      <c r="E109" s="26"/>
      <c r="F109" s="248"/>
      <c r="G109" s="248"/>
      <c r="H109" s="248"/>
      <c r="I109" s="248"/>
      <c r="J109" s="26"/>
      <c r="K109" s="38"/>
      <c r="L109" s="26"/>
      <c r="M109" s="26"/>
      <c r="N109" s="26" t="str">
        <f t="shared" si="1"/>
        <v/>
      </c>
      <c r="O109" s="27"/>
    </row>
    <row r="110" ht="15.5" customHeight="1" spans="1:15">
      <c r="A110" s="255"/>
      <c r="B110" s="56"/>
      <c r="C110" s="63"/>
      <c r="D110" s="247"/>
      <c r="E110" s="26"/>
      <c r="F110" s="248"/>
      <c r="G110" s="248"/>
      <c r="H110" s="248"/>
      <c r="I110" s="248"/>
      <c r="J110" s="26"/>
      <c r="K110" s="38"/>
      <c r="L110" s="26"/>
      <c r="M110" s="26"/>
      <c r="N110" s="26" t="str">
        <f t="shared" si="1"/>
        <v/>
      </c>
      <c r="O110" s="27"/>
    </row>
    <row r="111" ht="15.5" customHeight="1" spans="1:15">
      <c r="A111" s="255"/>
      <c r="B111" s="56"/>
      <c r="C111" s="63"/>
      <c r="D111" s="247"/>
      <c r="E111" s="26"/>
      <c r="F111" s="248"/>
      <c r="G111" s="248"/>
      <c r="H111" s="248"/>
      <c r="I111" s="248"/>
      <c r="J111" s="26"/>
      <c r="K111" s="38"/>
      <c r="L111" s="26"/>
      <c r="M111" s="26"/>
      <c r="N111" s="26" t="str">
        <f t="shared" si="1"/>
        <v/>
      </c>
      <c r="O111" s="27"/>
    </row>
    <row r="112" ht="15.5" customHeight="1" spans="1:15">
      <c r="A112" s="255"/>
      <c r="B112" s="56"/>
      <c r="C112" s="63"/>
      <c r="D112" s="247"/>
      <c r="E112" s="26"/>
      <c r="F112" s="248"/>
      <c r="G112" s="248"/>
      <c r="H112" s="248"/>
      <c r="I112" s="248"/>
      <c r="J112" s="26"/>
      <c r="K112" s="38"/>
      <c r="L112" s="26"/>
      <c r="M112" s="26"/>
      <c r="N112" s="26" t="str">
        <f t="shared" si="1"/>
        <v/>
      </c>
      <c r="O112" s="27"/>
    </row>
    <row r="113" ht="15.5" customHeight="1" spans="1:15">
      <c r="A113" s="255"/>
      <c r="B113" s="56"/>
      <c r="C113" s="63"/>
      <c r="D113" s="247"/>
      <c r="E113" s="26"/>
      <c r="F113" s="248"/>
      <c r="G113" s="248"/>
      <c r="H113" s="248"/>
      <c r="I113" s="248"/>
      <c r="J113" s="26"/>
      <c r="K113" s="38"/>
      <c r="L113" s="26"/>
      <c r="M113" s="26"/>
      <c r="N113" s="26" t="str">
        <f t="shared" si="1"/>
        <v/>
      </c>
      <c r="O113" s="27"/>
    </row>
    <row r="114" ht="15.5" customHeight="1" spans="1:15">
      <c r="A114" s="255"/>
      <c r="B114" s="56"/>
      <c r="C114" s="63"/>
      <c r="D114" s="247"/>
      <c r="E114" s="26"/>
      <c r="F114" s="248"/>
      <c r="G114" s="248"/>
      <c r="H114" s="248"/>
      <c r="I114" s="248"/>
      <c r="J114" s="26"/>
      <c r="K114" s="38"/>
      <c r="L114" s="26"/>
      <c r="M114" s="26"/>
      <c r="N114" s="26" t="str">
        <f t="shared" si="1"/>
        <v/>
      </c>
      <c r="O114" s="27"/>
    </row>
    <row r="115" ht="15.5" customHeight="1" spans="1:15">
      <c r="A115" s="255"/>
      <c r="B115" s="56"/>
      <c r="C115" s="63"/>
      <c r="D115" s="247"/>
      <c r="E115" s="26"/>
      <c r="F115" s="248"/>
      <c r="G115" s="248"/>
      <c r="H115" s="248"/>
      <c r="I115" s="248"/>
      <c r="J115" s="26"/>
      <c r="K115" s="38"/>
      <c r="L115" s="26"/>
      <c r="M115" s="26"/>
      <c r="N115" s="26" t="str">
        <f t="shared" si="1"/>
        <v/>
      </c>
      <c r="O115" s="27"/>
    </row>
    <row r="116" ht="15.5" customHeight="1" spans="1:15">
      <c r="A116" s="255"/>
      <c r="B116" s="56"/>
      <c r="C116" s="63"/>
      <c r="D116" s="247"/>
      <c r="E116" s="26"/>
      <c r="F116" s="248"/>
      <c r="G116" s="248"/>
      <c r="H116" s="248"/>
      <c r="I116" s="248"/>
      <c r="J116" s="26"/>
      <c r="K116" s="38"/>
      <c r="L116" s="26"/>
      <c r="M116" s="26"/>
      <c r="N116" s="26" t="str">
        <f t="shared" si="1"/>
        <v/>
      </c>
      <c r="O116" s="27"/>
    </row>
    <row r="117" ht="15.5" customHeight="1" spans="1:15">
      <c r="A117" s="255"/>
      <c r="B117" s="56"/>
      <c r="C117" s="63"/>
      <c r="D117" s="247"/>
      <c r="E117" s="26"/>
      <c r="F117" s="248"/>
      <c r="G117" s="248"/>
      <c r="H117" s="248"/>
      <c r="I117" s="248"/>
      <c r="J117" s="26"/>
      <c r="K117" s="38"/>
      <c r="L117" s="26"/>
      <c r="M117" s="26"/>
      <c r="N117" s="26" t="str">
        <f t="shared" si="1"/>
        <v/>
      </c>
      <c r="O117" s="27"/>
    </row>
    <row r="118" ht="15.5" customHeight="1" spans="1:15">
      <c r="A118" s="255"/>
      <c r="B118" s="56"/>
      <c r="C118" s="63"/>
      <c r="D118" s="247"/>
      <c r="E118" s="26"/>
      <c r="F118" s="248"/>
      <c r="G118" s="248"/>
      <c r="H118" s="248"/>
      <c r="I118" s="248"/>
      <c r="J118" s="26"/>
      <c r="K118" s="38"/>
      <c r="L118" s="26"/>
      <c r="M118" s="26"/>
      <c r="N118" s="26" t="str">
        <f t="shared" si="1"/>
        <v/>
      </c>
      <c r="O118" s="27"/>
    </row>
    <row r="119" ht="15.5" customHeight="1" spans="1:15">
      <c r="A119" s="255"/>
      <c r="B119" s="56"/>
      <c r="C119" s="63"/>
      <c r="D119" s="247"/>
      <c r="E119" s="26"/>
      <c r="F119" s="248"/>
      <c r="G119" s="248"/>
      <c r="H119" s="248"/>
      <c r="I119" s="248"/>
      <c r="J119" s="26"/>
      <c r="K119" s="38"/>
      <c r="L119" s="26"/>
      <c r="M119" s="26"/>
      <c r="N119" s="26" t="str">
        <f t="shared" si="1"/>
        <v/>
      </c>
      <c r="O119" s="27"/>
    </row>
    <row r="120" ht="15.5" customHeight="1" spans="1:15">
      <c r="A120" s="255"/>
      <c r="B120" s="56"/>
      <c r="C120" s="63"/>
      <c r="D120" s="247"/>
      <c r="E120" s="26"/>
      <c r="F120" s="248"/>
      <c r="G120" s="248"/>
      <c r="H120" s="248"/>
      <c r="I120" s="248"/>
      <c r="J120" s="26"/>
      <c r="K120" s="38"/>
      <c r="L120" s="26"/>
      <c r="M120" s="26"/>
      <c r="N120" s="26" t="str">
        <f t="shared" si="1"/>
        <v/>
      </c>
      <c r="O120" s="27"/>
    </row>
    <row r="121" ht="15.5" customHeight="1" spans="1:15">
      <c r="A121" s="255"/>
      <c r="B121" s="56"/>
      <c r="C121" s="63"/>
      <c r="D121" s="247"/>
      <c r="E121" s="26"/>
      <c r="F121" s="248"/>
      <c r="G121" s="248"/>
      <c r="H121" s="248"/>
      <c r="I121" s="248"/>
      <c r="J121" s="26"/>
      <c r="K121" s="38"/>
      <c r="L121" s="26"/>
      <c r="M121" s="26"/>
      <c r="N121" s="26" t="str">
        <f t="shared" si="1"/>
        <v/>
      </c>
      <c r="O121" s="27"/>
    </row>
    <row r="122" ht="15.5" customHeight="1" spans="1:15">
      <c r="A122" s="255"/>
      <c r="B122" s="56"/>
      <c r="C122" s="63"/>
      <c r="D122" s="247"/>
      <c r="E122" s="26"/>
      <c r="F122" s="248"/>
      <c r="G122" s="248"/>
      <c r="H122" s="248"/>
      <c r="I122" s="248"/>
      <c r="J122" s="26"/>
      <c r="K122" s="38"/>
      <c r="L122" s="26"/>
      <c r="M122" s="26"/>
      <c r="N122" s="26" t="str">
        <f t="shared" si="1"/>
        <v/>
      </c>
      <c r="O122" s="27"/>
    </row>
    <row r="123" ht="15.5" customHeight="1" spans="1:15">
      <c r="A123" s="255"/>
      <c r="B123" s="56"/>
      <c r="C123" s="63"/>
      <c r="D123" s="247"/>
      <c r="E123" s="26"/>
      <c r="F123" s="248"/>
      <c r="G123" s="248"/>
      <c r="H123" s="248"/>
      <c r="I123" s="248"/>
      <c r="J123" s="26"/>
      <c r="K123" s="38"/>
      <c r="L123" s="26"/>
      <c r="M123" s="26"/>
      <c r="N123" s="26" t="str">
        <f t="shared" si="1"/>
        <v/>
      </c>
      <c r="O123" s="27"/>
    </row>
    <row r="124" ht="15.5" customHeight="1" spans="1:15">
      <c r="A124" s="255"/>
      <c r="B124" s="56"/>
      <c r="C124" s="63"/>
      <c r="D124" s="247"/>
      <c r="E124" s="26"/>
      <c r="F124" s="248"/>
      <c r="G124" s="248"/>
      <c r="H124" s="248"/>
      <c r="I124" s="248"/>
      <c r="J124" s="26"/>
      <c r="K124" s="38"/>
      <c r="L124" s="26"/>
      <c r="M124" s="26"/>
      <c r="N124" s="26" t="str">
        <f t="shared" si="1"/>
        <v/>
      </c>
      <c r="O124" s="27"/>
    </row>
    <row r="125" ht="15.5" customHeight="1" spans="1:15">
      <c r="A125" s="255"/>
      <c r="B125" s="56"/>
      <c r="C125" s="63"/>
      <c r="D125" s="247"/>
      <c r="E125" s="26"/>
      <c r="F125" s="248"/>
      <c r="G125" s="248"/>
      <c r="H125" s="248"/>
      <c r="I125" s="248"/>
      <c r="J125" s="26"/>
      <c r="K125" s="38"/>
      <c r="L125" s="26"/>
      <c r="M125" s="26"/>
      <c r="N125" s="26" t="str">
        <f t="shared" si="1"/>
        <v/>
      </c>
      <c r="O125" s="27"/>
    </row>
    <row r="126" ht="15.5" customHeight="1" spans="1:15">
      <c r="A126" s="255"/>
      <c r="B126" s="56"/>
      <c r="C126" s="63"/>
      <c r="D126" s="247"/>
      <c r="E126" s="26"/>
      <c r="F126" s="248"/>
      <c r="G126" s="248"/>
      <c r="H126" s="248"/>
      <c r="I126" s="248"/>
      <c r="J126" s="26"/>
      <c r="K126" s="38"/>
      <c r="L126" s="26"/>
      <c r="M126" s="26"/>
      <c r="N126" s="26" t="str">
        <f t="shared" si="1"/>
        <v/>
      </c>
      <c r="O126" s="27"/>
    </row>
    <row r="127" ht="15.5" customHeight="1" spans="1:15">
      <c r="A127" s="255"/>
      <c r="B127" s="56"/>
      <c r="C127" s="63"/>
      <c r="D127" s="247"/>
      <c r="E127" s="26"/>
      <c r="F127" s="248"/>
      <c r="G127" s="248"/>
      <c r="H127" s="248"/>
      <c r="I127" s="248"/>
      <c r="J127" s="26"/>
      <c r="K127" s="38"/>
      <c r="L127" s="26"/>
      <c r="M127" s="26"/>
      <c r="N127" s="26" t="str">
        <f t="shared" si="1"/>
        <v/>
      </c>
      <c r="O127" s="27"/>
    </row>
    <row r="128" ht="15.5" customHeight="1" spans="1:15">
      <c r="A128" s="255"/>
      <c r="B128" s="56"/>
      <c r="C128" s="63"/>
      <c r="D128" s="247"/>
      <c r="E128" s="26"/>
      <c r="F128" s="248"/>
      <c r="G128" s="248"/>
      <c r="H128" s="248"/>
      <c r="I128" s="248"/>
      <c r="J128" s="26"/>
      <c r="K128" s="38"/>
      <c r="L128" s="26"/>
      <c r="M128" s="26"/>
      <c r="N128" s="26" t="str">
        <f t="shared" si="1"/>
        <v/>
      </c>
      <c r="O128" s="27"/>
    </row>
    <row r="129" ht="15.5" customHeight="1" spans="1:15">
      <c r="A129" s="255"/>
      <c r="B129" s="56"/>
      <c r="C129" s="63"/>
      <c r="D129" s="247"/>
      <c r="E129" s="26"/>
      <c r="F129" s="248"/>
      <c r="G129" s="248"/>
      <c r="H129" s="248"/>
      <c r="I129" s="248"/>
      <c r="J129" s="26"/>
      <c r="K129" s="38"/>
      <c r="L129" s="26"/>
      <c r="M129" s="26"/>
      <c r="N129" s="26" t="str">
        <f t="shared" si="1"/>
        <v/>
      </c>
      <c r="O129" s="27"/>
    </row>
    <row r="130" ht="15.5" customHeight="1" spans="1:15">
      <c r="A130" s="255"/>
      <c r="B130" s="56"/>
      <c r="C130" s="63"/>
      <c r="D130" s="247"/>
      <c r="E130" s="26"/>
      <c r="F130" s="248"/>
      <c r="G130" s="248"/>
      <c r="H130" s="248"/>
      <c r="I130" s="248"/>
      <c r="J130" s="26"/>
      <c r="K130" s="38"/>
      <c r="L130" s="26"/>
      <c r="M130" s="26"/>
      <c r="N130" s="26" t="str">
        <f t="shared" si="1"/>
        <v/>
      </c>
      <c r="O130" s="27"/>
    </row>
    <row r="131" ht="15.5" customHeight="1" spans="1:15">
      <c r="A131" s="255"/>
      <c r="B131" s="56"/>
      <c r="C131" s="63"/>
      <c r="D131" s="247"/>
      <c r="E131" s="26"/>
      <c r="F131" s="248"/>
      <c r="G131" s="248"/>
      <c r="H131" s="248"/>
      <c r="I131" s="248"/>
      <c r="J131" s="26"/>
      <c r="K131" s="38"/>
      <c r="L131" s="26"/>
      <c r="M131" s="26"/>
      <c r="N131" s="26" t="str">
        <f t="shared" si="1"/>
        <v/>
      </c>
      <c r="O131" s="27"/>
    </row>
    <row r="132" ht="15.5" customHeight="1" spans="1:15">
      <c r="A132" s="255"/>
      <c r="B132" s="56"/>
      <c r="C132" s="63"/>
      <c r="D132" s="247"/>
      <c r="E132" s="26"/>
      <c r="F132" s="248"/>
      <c r="G132" s="248"/>
      <c r="H132" s="248"/>
      <c r="I132" s="248"/>
      <c r="J132" s="26"/>
      <c r="K132" s="38"/>
      <c r="L132" s="26"/>
      <c r="M132" s="26"/>
      <c r="N132" s="26" t="str">
        <f t="shared" si="1"/>
        <v/>
      </c>
      <c r="O132" s="27"/>
    </row>
    <row r="133" ht="15.5" customHeight="1" spans="1:15">
      <c r="A133" s="255"/>
      <c r="B133" s="56"/>
      <c r="C133" s="63"/>
      <c r="D133" s="247"/>
      <c r="E133" s="26"/>
      <c r="F133" s="248"/>
      <c r="G133" s="248"/>
      <c r="H133" s="248"/>
      <c r="I133" s="248"/>
      <c r="J133" s="26"/>
      <c r="K133" s="38"/>
      <c r="L133" s="26"/>
      <c r="M133" s="26"/>
      <c r="N133" s="26" t="str">
        <f t="shared" si="1"/>
        <v/>
      </c>
      <c r="O133" s="27"/>
    </row>
    <row r="134" ht="15.5" customHeight="1" spans="1:15">
      <c r="A134" s="255"/>
      <c r="B134" s="56"/>
      <c r="C134" s="63"/>
      <c r="D134" s="247"/>
      <c r="E134" s="26"/>
      <c r="F134" s="248"/>
      <c r="G134" s="248"/>
      <c r="H134" s="248"/>
      <c r="I134" s="248"/>
      <c r="J134" s="26"/>
      <c r="K134" s="38"/>
      <c r="L134" s="26"/>
      <c r="M134" s="26"/>
      <c r="N134" s="26" t="str">
        <f t="shared" si="1"/>
        <v/>
      </c>
      <c r="O134" s="27"/>
    </row>
    <row r="135" ht="15.5" customHeight="1" spans="1:15">
      <c r="A135" s="255"/>
      <c r="B135" s="56"/>
      <c r="C135" s="63"/>
      <c r="D135" s="247"/>
      <c r="E135" s="26"/>
      <c r="F135" s="248"/>
      <c r="G135" s="248"/>
      <c r="H135" s="248"/>
      <c r="I135" s="248"/>
      <c r="J135" s="26"/>
      <c r="K135" s="38"/>
      <c r="L135" s="26"/>
      <c r="M135" s="26"/>
      <c r="N135" s="26" t="str">
        <f t="shared" ref="N135:N198" si="2">IF(J135=0,"",(M135-J135)/J135*100)</f>
        <v/>
      </c>
      <c r="O135" s="27"/>
    </row>
    <row r="136" ht="15.5" customHeight="1" spans="1:15">
      <c r="A136" s="255"/>
      <c r="B136" s="56"/>
      <c r="C136" s="63"/>
      <c r="D136" s="247"/>
      <c r="E136" s="26"/>
      <c r="F136" s="248"/>
      <c r="G136" s="248"/>
      <c r="H136" s="248"/>
      <c r="I136" s="248"/>
      <c r="J136" s="26"/>
      <c r="K136" s="38"/>
      <c r="L136" s="26"/>
      <c r="M136" s="26"/>
      <c r="N136" s="26" t="str">
        <f t="shared" si="2"/>
        <v/>
      </c>
      <c r="O136" s="27"/>
    </row>
    <row r="137" ht="15.5" customHeight="1" spans="1:15">
      <c r="A137" s="255"/>
      <c r="B137" s="56"/>
      <c r="C137" s="63"/>
      <c r="D137" s="247"/>
      <c r="E137" s="26"/>
      <c r="F137" s="248"/>
      <c r="G137" s="248"/>
      <c r="H137" s="248"/>
      <c r="I137" s="248"/>
      <c r="J137" s="26"/>
      <c r="K137" s="38"/>
      <c r="L137" s="26"/>
      <c r="M137" s="26"/>
      <c r="N137" s="26" t="str">
        <f t="shared" si="2"/>
        <v/>
      </c>
      <c r="O137" s="27"/>
    </row>
    <row r="138" ht="15.5" customHeight="1" spans="1:15">
      <c r="A138" s="255"/>
      <c r="B138" s="56"/>
      <c r="C138" s="63"/>
      <c r="D138" s="247"/>
      <c r="E138" s="26"/>
      <c r="F138" s="248"/>
      <c r="G138" s="248"/>
      <c r="H138" s="248"/>
      <c r="I138" s="248"/>
      <c r="J138" s="26"/>
      <c r="K138" s="38"/>
      <c r="L138" s="26"/>
      <c r="M138" s="26"/>
      <c r="N138" s="26" t="str">
        <f t="shared" si="2"/>
        <v/>
      </c>
      <c r="O138" s="27"/>
    </row>
    <row r="139" ht="15.5" customHeight="1" spans="1:15">
      <c r="A139" s="255"/>
      <c r="B139" s="56"/>
      <c r="C139" s="63"/>
      <c r="D139" s="247"/>
      <c r="E139" s="26"/>
      <c r="F139" s="248"/>
      <c r="G139" s="248"/>
      <c r="H139" s="248"/>
      <c r="I139" s="248"/>
      <c r="J139" s="26"/>
      <c r="K139" s="38"/>
      <c r="L139" s="26"/>
      <c r="M139" s="26"/>
      <c r="N139" s="26" t="str">
        <f t="shared" si="2"/>
        <v/>
      </c>
      <c r="O139" s="27"/>
    </row>
    <row r="140" ht="15.5" customHeight="1" spans="1:15">
      <c r="A140" s="255"/>
      <c r="B140" s="56"/>
      <c r="C140" s="63"/>
      <c r="D140" s="247"/>
      <c r="E140" s="26"/>
      <c r="F140" s="248"/>
      <c r="G140" s="248"/>
      <c r="H140" s="248"/>
      <c r="I140" s="248"/>
      <c r="J140" s="26"/>
      <c r="K140" s="38"/>
      <c r="L140" s="26"/>
      <c r="M140" s="26"/>
      <c r="N140" s="26" t="str">
        <f t="shared" si="2"/>
        <v/>
      </c>
      <c r="O140" s="27"/>
    </row>
    <row r="141" ht="15.5" customHeight="1" spans="1:15">
      <c r="A141" s="255"/>
      <c r="B141" s="56"/>
      <c r="C141" s="63"/>
      <c r="D141" s="247"/>
      <c r="E141" s="26"/>
      <c r="F141" s="248"/>
      <c r="G141" s="248"/>
      <c r="H141" s="248"/>
      <c r="I141" s="248"/>
      <c r="J141" s="26"/>
      <c r="K141" s="38"/>
      <c r="L141" s="26"/>
      <c r="M141" s="26"/>
      <c r="N141" s="26" t="str">
        <f t="shared" si="2"/>
        <v/>
      </c>
      <c r="O141" s="27"/>
    </row>
    <row r="142" ht="15.5" customHeight="1" spans="1:15">
      <c r="A142" s="255"/>
      <c r="B142" s="56"/>
      <c r="C142" s="63"/>
      <c r="D142" s="247"/>
      <c r="E142" s="26"/>
      <c r="F142" s="248"/>
      <c r="G142" s="248"/>
      <c r="H142" s="248"/>
      <c r="I142" s="248"/>
      <c r="J142" s="26"/>
      <c r="K142" s="38"/>
      <c r="L142" s="26"/>
      <c r="M142" s="26"/>
      <c r="N142" s="26" t="str">
        <f t="shared" si="2"/>
        <v/>
      </c>
      <c r="O142" s="27"/>
    </row>
    <row r="143" ht="15.5" customHeight="1" spans="1:15">
      <c r="A143" s="255"/>
      <c r="B143" s="56"/>
      <c r="C143" s="63"/>
      <c r="D143" s="247"/>
      <c r="E143" s="26"/>
      <c r="F143" s="248"/>
      <c r="G143" s="248"/>
      <c r="H143" s="248"/>
      <c r="I143" s="248"/>
      <c r="J143" s="26"/>
      <c r="K143" s="38"/>
      <c r="L143" s="26"/>
      <c r="M143" s="26"/>
      <c r="N143" s="26" t="str">
        <f t="shared" si="2"/>
        <v/>
      </c>
      <c r="O143" s="27"/>
    </row>
    <row r="144" ht="15.5" customHeight="1" spans="1:15">
      <c r="A144" s="255"/>
      <c r="B144" s="56"/>
      <c r="C144" s="63"/>
      <c r="D144" s="247"/>
      <c r="E144" s="26"/>
      <c r="F144" s="248"/>
      <c r="G144" s="248"/>
      <c r="H144" s="248"/>
      <c r="I144" s="248"/>
      <c r="J144" s="26"/>
      <c r="K144" s="38"/>
      <c r="L144" s="26"/>
      <c r="M144" s="26"/>
      <c r="N144" s="26" t="str">
        <f t="shared" si="2"/>
        <v/>
      </c>
      <c r="O144" s="27"/>
    </row>
    <row r="145" ht="15.5" customHeight="1" spans="1:15">
      <c r="A145" s="255"/>
      <c r="B145" s="56"/>
      <c r="C145" s="63"/>
      <c r="D145" s="247"/>
      <c r="E145" s="26"/>
      <c r="F145" s="248"/>
      <c r="G145" s="248"/>
      <c r="H145" s="248"/>
      <c r="I145" s="248"/>
      <c r="J145" s="26"/>
      <c r="K145" s="38"/>
      <c r="L145" s="26"/>
      <c r="M145" s="26"/>
      <c r="N145" s="26" t="str">
        <f t="shared" si="2"/>
        <v/>
      </c>
      <c r="O145" s="27"/>
    </row>
    <row r="146" ht="15.5" customHeight="1" spans="1:15">
      <c r="A146" s="255"/>
      <c r="B146" s="56"/>
      <c r="C146" s="63"/>
      <c r="D146" s="247"/>
      <c r="E146" s="26"/>
      <c r="F146" s="248"/>
      <c r="G146" s="248"/>
      <c r="H146" s="248"/>
      <c r="I146" s="248"/>
      <c r="J146" s="26"/>
      <c r="K146" s="38"/>
      <c r="L146" s="26"/>
      <c r="M146" s="26"/>
      <c r="N146" s="26" t="str">
        <f t="shared" si="2"/>
        <v/>
      </c>
      <c r="O146" s="27"/>
    </row>
    <row r="147" ht="15.5" customHeight="1" spans="1:15">
      <c r="A147" s="255"/>
      <c r="B147" s="56"/>
      <c r="C147" s="63"/>
      <c r="D147" s="247"/>
      <c r="E147" s="26"/>
      <c r="F147" s="248"/>
      <c r="G147" s="248"/>
      <c r="H147" s="248"/>
      <c r="I147" s="248"/>
      <c r="J147" s="26"/>
      <c r="K147" s="38"/>
      <c r="L147" s="26"/>
      <c r="M147" s="26"/>
      <c r="N147" s="26" t="str">
        <f t="shared" si="2"/>
        <v/>
      </c>
      <c r="O147" s="27"/>
    </row>
    <row r="148" ht="15.5" customHeight="1" spans="1:15">
      <c r="A148" s="255"/>
      <c r="B148" s="56"/>
      <c r="C148" s="63"/>
      <c r="D148" s="247"/>
      <c r="E148" s="26"/>
      <c r="F148" s="248"/>
      <c r="G148" s="248"/>
      <c r="H148" s="248"/>
      <c r="I148" s="248"/>
      <c r="J148" s="26"/>
      <c r="K148" s="38"/>
      <c r="L148" s="26"/>
      <c r="M148" s="26"/>
      <c r="N148" s="26" t="str">
        <f t="shared" si="2"/>
        <v/>
      </c>
      <c r="O148" s="27"/>
    </row>
    <row r="149" ht="15.5" customHeight="1" spans="1:15">
      <c r="A149" s="255"/>
      <c r="B149" s="56"/>
      <c r="C149" s="63"/>
      <c r="D149" s="247"/>
      <c r="E149" s="26"/>
      <c r="F149" s="248"/>
      <c r="G149" s="248"/>
      <c r="H149" s="248"/>
      <c r="I149" s="248"/>
      <c r="J149" s="26"/>
      <c r="K149" s="38"/>
      <c r="L149" s="26"/>
      <c r="M149" s="26"/>
      <c r="N149" s="26" t="str">
        <f t="shared" si="2"/>
        <v/>
      </c>
      <c r="O149" s="27"/>
    </row>
    <row r="150" ht="15.5" customHeight="1" spans="1:15">
      <c r="A150" s="255"/>
      <c r="B150" s="56"/>
      <c r="C150" s="63"/>
      <c r="D150" s="247"/>
      <c r="E150" s="26"/>
      <c r="F150" s="248"/>
      <c r="G150" s="248"/>
      <c r="H150" s="248"/>
      <c r="I150" s="248"/>
      <c r="J150" s="26"/>
      <c r="K150" s="38"/>
      <c r="L150" s="26"/>
      <c r="M150" s="26"/>
      <c r="N150" s="26" t="str">
        <f t="shared" si="2"/>
        <v/>
      </c>
      <c r="O150" s="27"/>
    </row>
    <row r="151" ht="15.5" customHeight="1" spans="1:15">
      <c r="A151" s="255"/>
      <c r="B151" s="56"/>
      <c r="C151" s="63"/>
      <c r="D151" s="247"/>
      <c r="E151" s="26"/>
      <c r="F151" s="248"/>
      <c r="G151" s="248"/>
      <c r="H151" s="248"/>
      <c r="I151" s="248"/>
      <c r="J151" s="26"/>
      <c r="K151" s="38"/>
      <c r="L151" s="26"/>
      <c r="M151" s="26"/>
      <c r="N151" s="26" t="str">
        <f t="shared" si="2"/>
        <v/>
      </c>
      <c r="O151" s="27"/>
    </row>
    <row r="152" ht="15.5" customHeight="1" spans="1:15">
      <c r="A152" s="255"/>
      <c r="B152" s="56"/>
      <c r="C152" s="63"/>
      <c r="D152" s="247"/>
      <c r="E152" s="26"/>
      <c r="F152" s="248"/>
      <c r="G152" s="248"/>
      <c r="H152" s="248"/>
      <c r="I152" s="248"/>
      <c r="J152" s="26"/>
      <c r="K152" s="38"/>
      <c r="L152" s="26"/>
      <c r="M152" s="26"/>
      <c r="N152" s="26" t="str">
        <f t="shared" si="2"/>
        <v/>
      </c>
      <c r="O152" s="27"/>
    </row>
    <row r="153" ht="15.5" customHeight="1" spans="1:15">
      <c r="A153" s="255"/>
      <c r="B153" s="56"/>
      <c r="C153" s="63"/>
      <c r="D153" s="247"/>
      <c r="E153" s="26"/>
      <c r="F153" s="248"/>
      <c r="G153" s="248"/>
      <c r="H153" s="248"/>
      <c r="I153" s="248"/>
      <c r="J153" s="26"/>
      <c r="K153" s="38"/>
      <c r="L153" s="26"/>
      <c r="M153" s="26"/>
      <c r="N153" s="26" t="str">
        <f t="shared" si="2"/>
        <v/>
      </c>
      <c r="O153" s="27"/>
    </row>
    <row r="154" ht="15.5" customHeight="1" spans="1:15">
      <c r="A154" s="255"/>
      <c r="B154" s="56"/>
      <c r="C154" s="63"/>
      <c r="D154" s="247"/>
      <c r="E154" s="26"/>
      <c r="F154" s="248"/>
      <c r="G154" s="248"/>
      <c r="H154" s="248"/>
      <c r="I154" s="248"/>
      <c r="J154" s="26"/>
      <c r="K154" s="38"/>
      <c r="L154" s="26"/>
      <c r="M154" s="26"/>
      <c r="N154" s="26" t="str">
        <f t="shared" si="2"/>
        <v/>
      </c>
      <c r="O154" s="27"/>
    </row>
    <row r="155" ht="15.5" customHeight="1" spans="1:15">
      <c r="A155" s="255"/>
      <c r="B155" s="56"/>
      <c r="C155" s="63"/>
      <c r="D155" s="247"/>
      <c r="E155" s="26"/>
      <c r="F155" s="248"/>
      <c r="G155" s="248"/>
      <c r="H155" s="248"/>
      <c r="I155" s="248"/>
      <c r="J155" s="26"/>
      <c r="K155" s="38"/>
      <c r="L155" s="26"/>
      <c r="M155" s="26"/>
      <c r="N155" s="26" t="str">
        <f t="shared" si="2"/>
        <v/>
      </c>
      <c r="O155" s="27"/>
    </row>
    <row r="156" ht="15.5" customHeight="1" spans="1:15">
      <c r="A156" s="255"/>
      <c r="B156" s="56"/>
      <c r="C156" s="63"/>
      <c r="D156" s="247"/>
      <c r="E156" s="26"/>
      <c r="F156" s="248"/>
      <c r="G156" s="248"/>
      <c r="H156" s="248"/>
      <c r="I156" s="248"/>
      <c r="J156" s="26"/>
      <c r="K156" s="38"/>
      <c r="L156" s="26"/>
      <c r="M156" s="26"/>
      <c r="N156" s="26" t="str">
        <f t="shared" si="2"/>
        <v/>
      </c>
      <c r="O156" s="27"/>
    </row>
    <row r="157" ht="15.5" customHeight="1" spans="1:15">
      <c r="A157" s="255"/>
      <c r="B157" s="56"/>
      <c r="C157" s="63"/>
      <c r="D157" s="247"/>
      <c r="E157" s="26"/>
      <c r="F157" s="248"/>
      <c r="G157" s="248"/>
      <c r="H157" s="248"/>
      <c r="I157" s="248"/>
      <c r="J157" s="26"/>
      <c r="K157" s="38"/>
      <c r="L157" s="26"/>
      <c r="M157" s="26"/>
      <c r="N157" s="26" t="str">
        <f t="shared" si="2"/>
        <v/>
      </c>
      <c r="O157" s="27"/>
    </row>
    <row r="158" ht="15.5" customHeight="1" spans="1:15">
      <c r="A158" s="255"/>
      <c r="B158" s="56"/>
      <c r="C158" s="63"/>
      <c r="D158" s="247"/>
      <c r="E158" s="26"/>
      <c r="F158" s="248"/>
      <c r="G158" s="248"/>
      <c r="H158" s="248"/>
      <c r="I158" s="248"/>
      <c r="J158" s="26"/>
      <c r="K158" s="38"/>
      <c r="L158" s="26"/>
      <c r="M158" s="26"/>
      <c r="N158" s="26" t="str">
        <f t="shared" si="2"/>
        <v/>
      </c>
      <c r="O158" s="27"/>
    </row>
    <row r="159" ht="15.5" customHeight="1" spans="1:15">
      <c r="A159" s="255"/>
      <c r="B159" s="56"/>
      <c r="C159" s="63"/>
      <c r="D159" s="247"/>
      <c r="E159" s="26"/>
      <c r="F159" s="248"/>
      <c r="G159" s="248"/>
      <c r="H159" s="248"/>
      <c r="I159" s="248"/>
      <c r="J159" s="26"/>
      <c r="K159" s="38"/>
      <c r="L159" s="26"/>
      <c r="M159" s="26"/>
      <c r="N159" s="26" t="str">
        <f t="shared" si="2"/>
        <v/>
      </c>
      <c r="O159" s="27"/>
    </row>
    <row r="160" ht="15.5" customHeight="1" spans="1:15">
      <c r="A160" s="255"/>
      <c r="B160" s="56"/>
      <c r="C160" s="63"/>
      <c r="D160" s="247"/>
      <c r="E160" s="26"/>
      <c r="F160" s="248"/>
      <c r="G160" s="248"/>
      <c r="H160" s="248"/>
      <c r="I160" s="248"/>
      <c r="J160" s="26"/>
      <c r="K160" s="38"/>
      <c r="L160" s="26"/>
      <c r="M160" s="26"/>
      <c r="N160" s="26" t="str">
        <f t="shared" si="2"/>
        <v/>
      </c>
      <c r="O160" s="27"/>
    </row>
    <row r="161" ht="15.5" customHeight="1" spans="1:15">
      <c r="A161" s="255"/>
      <c r="B161" s="56"/>
      <c r="C161" s="63"/>
      <c r="D161" s="247"/>
      <c r="E161" s="26"/>
      <c r="F161" s="248"/>
      <c r="G161" s="248"/>
      <c r="H161" s="248"/>
      <c r="I161" s="248"/>
      <c r="J161" s="26"/>
      <c r="K161" s="38"/>
      <c r="L161" s="26"/>
      <c r="M161" s="26"/>
      <c r="N161" s="26" t="str">
        <f t="shared" si="2"/>
        <v/>
      </c>
      <c r="O161" s="27"/>
    </row>
    <row r="162" ht="15.5" customHeight="1" spans="1:15">
      <c r="A162" s="255"/>
      <c r="B162" s="56"/>
      <c r="C162" s="63"/>
      <c r="D162" s="247"/>
      <c r="E162" s="26"/>
      <c r="F162" s="248"/>
      <c r="G162" s="248"/>
      <c r="H162" s="248"/>
      <c r="I162" s="248"/>
      <c r="J162" s="26"/>
      <c r="K162" s="38"/>
      <c r="L162" s="26"/>
      <c r="M162" s="26"/>
      <c r="N162" s="26" t="str">
        <f t="shared" si="2"/>
        <v/>
      </c>
      <c r="O162" s="27"/>
    </row>
    <row r="163" ht="15.5" customHeight="1" spans="1:15">
      <c r="A163" s="255"/>
      <c r="B163" s="56"/>
      <c r="C163" s="63"/>
      <c r="D163" s="247"/>
      <c r="E163" s="26"/>
      <c r="F163" s="248"/>
      <c r="G163" s="248"/>
      <c r="H163" s="248"/>
      <c r="I163" s="248"/>
      <c r="J163" s="26"/>
      <c r="K163" s="38"/>
      <c r="L163" s="26"/>
      <c r="M163" s="26"/>
      <c r="N163" s="26" t="str">
        <f t="shared" si="2"/>
        <v/>
      </c>
      <c r="O163" s="27"/>
    </row>
    <row r="164" ht="15.5" customHeight="1" spans="1:15">
      <c r="A164" s="255"/>
      <c r="B164" s="56"/>
      <c r="C164" s="63"/>
      <c r="D164" s="247"/>
      <c r="E164" s="26"/>
      <c r="F164" s="248"/>
      <c r="G164" s="248"/>
      <c r="H164" s="248"/>
      <c r="I164" s="248"/>
      <c r="J164" s="26"/>
      <c r="K164" s="38"/>
      <c r="L164" s="26"/>
      <c r="M164" s="26"/>
      <c r="N164" s="26" t="str">
        <f t="shared" si="2"/>
        <v/>
      </c>
      <c r="O164" s="27"/>
    </row>
    <row r="165" ht="15.5" customHeight="1" spans="1:15">
      <c r="A165" s="255"/>
      <c r="B165" s="56"/>
      <c r="C165" s="63"/>
      <c r="D165" s="247"/>
      <c r="E165" s="26"/>
      <c r="F165" s="248"/>
      <c r="G165" s="248"/>
      <c r="H165" s="248"/>
      <c r="I165" s="248"/>
      <c r="J165" s="26"/>
      <c r="K165" s="38"/>
      <c r="L165" s="26"/>
      <c r="M165" s="26"/>
      <c r="N165" s="26" t="str">
        <f t="shared" si="2"/>
        <v/>
      </c>
      <c r="O165" s="27"/>
    </row>
    <row r="166" ht="15.5" customHeight="1" spans="1:15">
      <c r="A166" s="255"/>
      <c r="B166" s="56"/>
      <c r="C166" s="63"/>
      <c r="D166" s="247"/>
      <c r="E166" s="26"/>
      <c r="F166" s="248"/>
      <c r="G166" s="248"/>
      <c r="H166" s="248"/>
      <c r="I166" s="248"/>
      <c r="J166" s="26"/>
      <c r="K166" s="38"/>
      <c r="L166" s="26"/>
      <c r="M166" s="26"/>
      <c r="N166" s="26" t="str">
        <f t="shared" si="2"/>
        <v/>
      </c>
      <c r="O166" s="27"/>
    </row>
    <row r="167" ht="15.5" customHeight="1" spans="1:15">
      <c r="A167" s="255"/>
      <c r="B167" s="56"/>
      <c r="C167" s="63"/>
      <c r="D167" s="247"/>
      <c r="E167" s="26"/>
      <c r="F167" s="248"/>
      <c r="G167" s="248"/>
      <c r="H167" s="248"/>
      <c r="I167" s="248"/>
      <c r="J167" s="26"/>
      <c r="K167" s="38"/>
      <c r="L167" s="26"/>
      <c r="M167" s="26"/>
      <c r="N167" s="26" t="str">
        <f t="shared" si="2"/>
        <v/>
      </c>
      <c r="O167" s="27"/>
    </row>
    <row r="168" ht="15.5" customHeight="1" spans="1:15">
      <c r="A168" s="255"/>
      <c r="B168" s="56"/>
      <c r="C168" s="63"/>
      <c r="D168" s="247"/>
      <c r="E168" s="26"/>
      <c r="F168" s="248"/>
      <c r="G168" s="248"/>
      <c r="H168" s="248"/>
      <c r="I168" s="248"/>
      <c r="J168" s="26"/>
      <c r="K168" s="38"/>
      <c r="L168" s="26"/>
      <c r="M168" s="26"/>
      <c r="N168" s="26" t="str">
        <f t="shared" si="2"/>
        <v/>
      </c>
      <c r="O168" s="27"/>
    </row>
    <row r="169" ht="15.5" customHeight="1" spans="1:15">
      <c r="A169" s="255"/>
      <c r="B169" s="56"/>
      <c r="C169" s="63"/>
      <c r="D169" s="247"/>
      <c r="E169" s="26"/>
      <c r="F169" s="248"/>
      <c r="G169" s="248"/>
      <c r="H169" s="248"/>
      <c r="I169" s="248"/>
      <c r="J169" s="26"/>
      <c r="K169" s="38"/>
      <c r="L169" s="26"/>
      <c r="M169" s="26"/>
      <c r="N169" s="26" t="str">
        <f t="shared" si="2"/>
        <v/>
      </c>
      <c r="O169" s="27"/>
    </row>
    <row r="170" ht="15.5" customHeight="1" spans="1:15">
      <c r="A170" s="255"/>
      <c r="B170" s="56"/>
      <c r="C170" s="63"/>
      <c r="D170" s="247"/>
      <c r="E170" s="26"/>
      <c r="F170" s="248"/>
      <c r="G170" s="248"/>
      <c r="H170" s="248"/>
      <c r="I170" s="248"/>
      <c r="J170" s="26"/>
      <c r="K170" s="38"/>
      <c r="L170" s="26"/>
      <c r="M170" s="26"/>
      <c r="N170" s="26" t="str">
        <f t="shared" si="2"/>
        <v/>
      </c>
      <c r="O170" s="27"/>
    </row>
    <row r="171" ht="15.5" customHeight="1" spans="1:15">
      <c r="A171" s="255"/>
      <c r="B171" s="56"/>
      <c r="C171" s="63"/>
      <c r="D171" s="247"/>
      <c r="E171" s="26"/>
      <c r="F171" s="248"/>
      <c r="G171" s="248"/>
      <c r="H171" s="248"/>
      <c r="I171" s="248"/>
      <c r="J171" s="26"/>
      <c r="K171" s="38"/>
      <c r="L171" s="26"/>
      <c r="M171" s="26"/>
      <c r="N171" s="26" t="str">
        <f t="shared" si="2"/>
        <v/>
      </c>
      <c r="O171" s="27"/>
    </row>
    <row r="172" ht="15.5" customHeight="1" spans="1:15">
      <c r="A172" s="255"/>
      <c r="B172" s="56"/>
      <c r="C172" s="63"/>
      <c r="D172" s="247"/>
      <c r="E172" s="26"/>
      <c r="F172" s="248"/>
      <c r="G172" s="248"/>
      <c r="H172" s="248"/>
      <c r="I172" s="248"/>
      <c r="J172" s="26"/>
      <c r="K172" s="38"/>
      <c r="L172" s="26"/>
      <c r="M172" s="26"/>
      <c r="N172" s="26" t="str">
        <f t="shared" si="2"/>
        <v/>
      </c>
      <c r="O172" s="27"/>
    </row>
    <row r="173" ht="15.5" customHeight="1" spans="1:15">
      <c r="A173" s="255"/>
      <c r="B173" s="56"/>
      <c r="C173" s="63"/>
      <c r="D173" s="247"/>
      <c r="E173" s="26"/>
      <c r="F173" s="248"/>
      <c r="G173" s="248"/>
      <c r="H173" s="248"/>
      <c r="I173" s="248"/>
      <c r="J173" s="26"/>
      <c r="K173" s="38"/>
      <c r="L173" s="26"/>
      <c r="M173" s="26"/>
      <c r="N173" s="26" t="str">
        <f t="shared" si="2"/>
        <v/>
      </c>
      <c r="O173" s="27"/>
    </row>
    <row r="174" ht="15.5" customHeight="1" spans="1:15">
      <c r="A174" s="255"/>
      <c r="B174" s="56"/>
      <c r="C174" s="63"/>
      <c r="D174" s="247"/>
      <c r="E174" s="26"/>
      <c r="F174" s="248"/>
      <c r="G174" s="248"/>
      <c r="H174" s="248"/>
      <c r="I174" s="248"/>
      <c r="J174" s="26"/>
      <c r="K174" s="38"/>
      <c r="L174" s="26"/>
      <c r="M174" s="26"/>
      <c r="N174" s="26" t="str">
        <f t="shared" si="2"/>
        <v/>
      </c>
      <c r="O174" s="27"/>
    </row>
    <row r="175" ht="15.5" customHeight="1" spans="1:15">
      <c r="A175" s="255"/>
      <c r="B175" s="56"/>
      <c r="C175" s="63"/>
      <c r="D175" s="247"/>
      <c r="E175" s="26"/>
      <c r="F175" s="248"/>
      <c r="G175" s="248"/>
      <c r="H175" s="248"/>
      <c r="I175" s="248"/>
      <c r="J175" s="26"/>
      <c r="K175" s="38"/>
      <c r="L175" s="26"/>
      <c r="M175" s="26"/>
      <c r="N175" s="26" t="str">
        <f t="shared" si="2"/>
        <v/>
      </c>
      <c r="O175" s="27"/>
    </row>
    <row r="176" ht="15.5" customHeight="1" spans="1:15">
      <c r="A176" s="255"/>
      <c r="B176" s="56"/>
      <c r="C176" s="63"/>
      <c r="D176" s="247"/>
      <c r="E176" s="26"/>
      <c r="F176" s="248"/>
      <c r="G176" s="248"/>
      <c r="H176" s="248"/>
      <c r="I176" s="248"/>
      <c r="J176" s="26"/>
      <c r="K176" s="38"/>
      <c r="L176" s="26"/>
      <c r="M176" s="26"/>
      <c r="N176" s="26" t="str">
        <f t="shared" si="2"/>
        <v/>
      </c>
      <c r="O176" s="27"/>
    </row>
    <row r="177" ht="15.5" customHeight="1" spans="1:15">
      <c r="A177" s="255"/>
      <c r="B177" s="56"/>
      <c r="C177" s="63"/>
      <c r="D177" s="247"/>
      <c r="E177" s="26"/>
      <c r="F177" s="248"/>
      <c r="G177" s="248"/>
      <c r="H177" s="248"/>
      <c r="I177" s="248"/>
      <c r="J177" s="26"/>
      <c r="K177" s="38"/>
      <c r="L177" s="26"/>
      <c r="M177" s="26"/>
      <c r="N177" s="26" t="str">
        <f t="shared" si="2"/>
        <v/>
      </c>
      <c r="O177" s="27"/>
    </row>
    <row r="178" ht="15.5" customHeight="1" spans="1:15">
      <c r="A178" s="255"/>
      <c r="B178" s="56"/>
      <c r="C178" s="63"/>
      <c r="D178" s="247"/>
      <c r="E178" s="26"/>
      <c r="F178" s="248"/>
      <c r="G178" s="248"/>
      <c r="H178" s="248"/>
      <c r="I178" s="248"/>
      <c r="J178" s="26"/>
      <c r="K178" s="38"/>
      <c r="L178" s="26"/>
      <c r="M178" s="26"/>
      <c r="N178" s="26" t="str">
        <f t="shared" si="2"/>
        <v/>
      </c>
      <c r="O178" s="27"/>
    </row>
    <row r="179" ht="15.5" customHeight="1" spans="1:15">
      <c r="A179" s="255"/>
      <c r="B179" s="56"/>
      <c r="C179" s="63"/>
      <c r="D179" s="247"/>
      <c r="E179" s="26"/>
      <c r="F179" s="248"/>
      <c r="G179" s="248"/>
      <c r="H179" s="248"/>
      <c r="I179" s="248"/>
      <c r="J179" s="26"/>
      <c r="K179" s="38"/>
      <c r="L179" s="26"/>
      <c r="M179" s="26"/>
      <c r="N179" s="26" t="str">
        <f t="shared" si="2"/>
        <v/>
      </c>
      <c r="O179" s="27"/>
    </row>
    <row r="180" ht="15.5" customHeight="1" spans="1:15">
      <c r="A180" s="255"/>
      <c r="B180" s="56"/>
      <c r="C180" s="63"/>
      <c r="D180" s="247"/>
      <c r="E180" s="26"/>
      <c r="F180" s="248"/>
      <c r="G180" s="248"/>
      <c r="H180" s="248"/>
      <c r="I180" s="248"/>
      <c r="J180" s="26"/>
      <c r="K180" s="38"/>
      <c r="L180" s="26"/>
      <c r="M180" s="26"/>
      <c r="N180" s="26" t="str">
        <f t="shared" si="2"/>
        <v/>
      </c>
      <c r="O180" s="27"/>
    </row>
    <row r="181" ht="15.5" customHeight="1" spans="1:15">
      <c r="A181" s="255"/>
      <c r="B181" s="56"/>
      <c r="C181" s="63"/>
      <c r="D181" s="247"/>
      <c r="E181" s="26"/>
      <c r="F181" s="248"/>
      <c r="G181" s="248"/>
      <c r="H181" s="248"/>
      <c r="I181" s="248"/>
      <c r="J181" s="26"/>
      <c r="K181" s="38"/>
      <c r="L181" s="26"/>
      <c r="M181" s="26"/>
      <c r="N181" s="26" t="str">
        <f t="shared" si="2"/>
        <v/>
      </c>
      <c r="O181" s="27"/>
    </row>
    <row r="182" ht="15.5" customHeight="1" spans="1:15">
      <c r="A182" s="255"/>
      <c r="B182" s="56"/>
      <c r="C182" s="63"/>
      <c r="D182" s="247"/>
      <c r="E182" s="26"/>
      <c r="F182" s="248"/>
      <c r="G182" s="248"/>
      <c r="H182" s="248"/>
      <c r="I182" s="248"/>
      <c r="J182" s="26"/>
      <c r="K182" s="38"/>
      <c r="L182" s="26"/>
      <c r="M182" s="26"/>
      <c r="N182" s="26" t="str">
        <f t="shared" si="2"/>
        <v/>
      </c>
      <c r="O182" s="27"/>
    </row>
    <row r="183" ht="15.5" customHeight="1" spans="1:15">
      <c r="A183" s="255"/>
      <c r="B183" s="56"/>
      <c r="C183" s="63"/>
      <c r="D183" s="247"/>
      <c r="E183" s="26"/>
      <c r="F183" s="248"/>
      <c r="G183" s="248"/>
      <c r="H183" s="248"/>
      <c r="I183" s="248"/>
      <c r="J183" s="26"/>
      <c r="K183" s="38"/>
      <c r="L183" s="26"/>
      <c r="M183" s="26"/>
      <c r="N183" s="26" t="str">
        <f t="shared" si="2"/>
        <v/>
      </c>
      <c r="O183" s="27"/>
    </row>
    <row r="184" ht="15.5" customHeight="1" spans="1:15">
      <c r="A184" s="255"/>
      <c r="B184" s="56"/>
      <c r="C184" s="63"/>
      <c r="D184" s="247"/>
      <c r="E184" s="26"/>
      <c r="F184" s="248"/>
      <c r="G184" s="248"/>
      <c r="H184" s="248"/>
      <c r="I184" s="248"/>
      <c r="J184" s="26"/>
      <c r="K184" s="38"/>
      <c r="L184" s="26"/>
      <c r="M184" s="26"/>
      <c r="N184" s="26" t="str">
        <f t="shared" si="2"/>
        <v/>
      </c>
      <c r="O184" s="27"/>
    </row>
    <row r="185" ht="15.5" customHeight="1" spans="1:15">
      <c r="A185" s="255"/>
      <c r="B185" s="56"/>
      <c r="C185" s="63"/>
      <c r="D185" s="247"/>
      <c r="E185" s="26"/>
      <c r="F185" s="248"/>
      <c r="G185" s="248"/>
      <c r="H185" s="248"/>
      <c r="I185" s="248"/>
      <c r="J185" s="26"/>
      <c r="K185" s="38"/>
      <c r="L185" s="26"/>
      <c r="M185" s="26"/>
      <c r="N185" s="26" t="str">
        <f t="shared" si="2"/>
        <v/>
      </c>
      <c r="O185" s="27"/>
    </row>
    <row r="186" ht="15.5" customHeight="1" spans="1:15">
      <c r="A186" s="255"/>
      <c r="B186" s="56"/>
      <c r="C186" s="63"/>
      <c r="D186" s="247"/>
      <c r="E186" s="26"/>
      <c r="F186" s="248"/>
      <c r="G186" s="248"/>
      <c r="H186" s="248"/>
      <c r="I186" s="248"/>
      <c r="J186" s="26"/>
      <c r="K186" s="38"/>
      <c r="L186" s="26"/>
      <c r="M186" s="26"/>
      <c r="N186" s="26" t="str">
        <f t="shared" si="2"/>
        <v/>
      </c>
      <c r="O186" s="27"/>
    </row>
    <row r="187" ht="15.5" customHeight="1" spans="1:15">
      <c r="A187" s="255"/>
      <c r="B187" s="56"/>
      <c r="C187" s="63"/>
      <c r="D187" s="247"/>
      <c r="E187" s="26"/>
      <c r="F187" s="248"/>
      <c r="G187" s="248"/>
      <c r="H187" s="248"/>
      <c r="I187" s="248"/>
      <c r="J187" s="26"/>
      <c r="K187" s="38"/>
      <c r="L187" s="26"/>
      <c r="M187" s="26"/>
      <c r="N187" s="26" t="str">
        <f t="shared" si="2"/>
        <v/>
      </c>
      <c r="O187" s="27"/>
    </row>
    <row r="188" ht="15.5" customHeight="1" spans="1:15">
      <c r="A188" s="255"/>
      <c r="B188" s="56"/>
      <c r="C188" s="63"/>
      <c r="D188" s="247"/>
      <c r="E188" s="26"/>
      <c r="F188" s="248"/>
      <c r="G188" s="248"/>
      <c r="H188" s="248"/>
      <c r="I188" s="248"/>
      <c r="J188" s="26"/>
      <c r="K188" s="38"/>
      <c r="L188" s="26"/>
      <c r="M188" s="26"/>
      <c r="N188" s="26" t="str">
        <f t="shared" si="2"/>
        <v/>
      </c>
      <c r="O188" s="27"/>
    </row>
    <row r="189" ht="15.5" customHeight="1" spans="1:15">
      <c r="A189" s="255"/>
      <c r="B189" s="56"/>
      <c r="C189" s="63"/>
      <c r="D189" s="247"/>
      <c r="E189" s="26"/>
      <c r="F189" s="248"/>
      <c r="G189" s="248"/>
      <c r="H189" s="248"/>
      <c r="I189" s="248"/>
      <c r="J189" s="26"/>
      <c r="K189" s="38"/>
      <c r="L189" s="26"/>
      <c r="M189" s="26"/>
      <c r="N189" s="26" t="str">
        <f t="shared" si="2"/>
        <v/>
      </c>
      <c r="O189" s="27"/>
    </row>
    <row r="190" ht="15.5" customHeight="1" spans="1:15">
      <c r="A190" s="255"/>
      <c r="B190" s="56"/>
      <c r="C190" s="63"/>
      <c r="D190" s="247"/>
      <c r="E190" s="26"/>
      <c r="F190" s="248"/>
      <c r="G190" s="248"/>
      <c r="H190" s="248"/>
      <c r="I190" s="248"/>
      <c r="J190" s="26"/>
      <c r="K190" s="38"/>
      <c r="L190" s="26"/>
      <c r="M190" s="26"/>
      <c r="N190" s="26" t="str">
        <f t="shared" si="2"/>
        <v/>
      </c>
      <c r="O190" s="27"/>
    </row>
    <row r="191" ht="15.5" customHeight="1" spans="1:15">
      <c r="A191" s="255"/>
      <c r="B191" s="56"/>
      <c r="C191" s="63"/>
      <c r="D191" s="247"/>
      <c r="E191" s="26"/>
      <c r="F191" s="248"/>
      <c r="G191" s="248"/>
      <c r="H191" s="248"/>
      <c r="I191" s="248"/>
      <c r="J191" s="26"/>
      <c r="K191" s="38"/>
      <c r="L191" s="26"/>
      <c r="M191" s="26"/>
      <c r="N191" s="26" t="str">
        <f t="shared" si="2"/>
        <v/>
      </c>
      <c r="O191" s="27"/>
    </row>
    <row r="192" ht="15.5" customHeight="1" spans="1:15">
      <c r="A192" s="255"/>
      <c r="B192" s="56"/>
      <c r="C192" s="63"/>
      <c r="D192" s="247"/>
      <c r="E192" s="26"/>
      <c r="F192" s="248"/>
      <c r="G192" s="248"/>
      <c r="H192" s="248"/>
      <c r="I192" s="248"/>
      <c r="J192" s="26"/>
      <c r="K192" s="38"/>
      <c r="L192" s="26"/>
      <c r="M192" s="26"/>
      <c r="N192" s="26" t="str">
        <f t="shared" si="2"/>
        <v/>
      </c>
      <c r="O192" s="27"/>
    </row>
    <row r="193" ht="15.5" customHeight="1" spans="1:15">
      <c r="A193" s="255"/>
      <c r="B193" s="56"/>
      <c r="C193" s="63"/>
      <c r="D193" s="247"/>
      <c r="E193" s="26"/>
      <c r="F193" s="248"/>
      <c r="G193" s="248"/>
      <c r="H193" s="248"/>
      <c r="I193" s="248"/>
      <c r="J193" s="26"/>
      <c r="K193" s="38"/>
      <c r="L193" s="26"/>
      <c r="M193" s="26"/>
      <c r="N193" s="26" t="str">
        <f t="shared" si="2"/>
        <v/>
      </c>
      <c r="O193" s="27"/>
    </row>
    <row r="194" ht="15.5" customHeight="1" spans="1:15">
      <c r="A194" s="255"/>
      <c r="B194" s="56"/>
      <c r="C194" s="63"/>
      <c r="D194" s="247"/>
      <c r="E194" s="26"/>
      <c r="F194" s="248"/>
      <c r="G194" s="248"/>
      <c r="H194" s="248"/>
      <c r="I194" s="248"/>
      <c r="J194" s="26"/>
      <c r="K194" s="38"/>
      <c r="L194" s="26"/>
      <c r="M194" s="26"/>
      <c r="N194" s="26" t="str">
        <f t="shared" si="2"/>
        <v/>
      </c>
      <c r="O194" s="27"/>
    </row>
    <row r="195" ht="15.5" customHeight="1" spans="1:15">
      <c r="A195" s="255"/>
      <c r="B195" s="56"/>
      <c r="C195" s="63"/>
      <c r="D195" s="247"/>
      <c r="E195" s="26"/>
      <c r="F195" s="248"/>
      <c r="G195" s="248"/>
      <c r="H195" s="248"/>
      <c r="I195" s="248"/>
      <c r="J195" s="26"/>
      <c r="K195" s="38"/>
      <c r="L195" s="26"/>
      <c r="M195" s="26"/>
      <c r="N195" s="26" t="str">
        <f t="shared" si="2"/>
        <v/>
      </c>
      <c r="O195" s="27"/>
    </row>
    <row r="196" ht="15.5" customHeight="1" spans="1:15">
      <c r="A196" s="255"/>
      <c r="B196" s="56"/>
      <c r="C196" s="63"/>
      <c r="D196" s="247"/>
      <c r="E196" s="26"/>
      <c r="F196" s="248"/>
      <c r="G196" s="248"/>
      <c r="H196" s="248"/>
      <c r="I196" s="248"/>
      <c r="J196" s="26"/>
      <c r="K196" s="38"/>
      <c r="L196" s="26"/>
      <c r="M196" s="26"/>
      <c r="N196" s="26" t="str">
        <f t="shared" si="2"/>
        <v/>
      </c>
      <c r="O196" s="27"/>
    </row>
    <row r="197" ht="15.5" customHeight="1" spans="1:15">
      <c r="A197" s="255"/>
      <c r="B197" s="56"/>
      <c r="C197" s="63"/>
      <c r="D197" s="247"/>
      <c r="E197" s="26"/>
      <c r="F197" s="248"/>
      <c r="G197" s="248"/>
      <c r="H197" s="248"/>
      <c r="I197" s="248"/>
      <c r="J197" s="26"/>
      <c r="K197" s="38"/>
      <c r="L197" s="26"/>
      <c r="M197" s="26"/>
      <c r="N197" s="26" t="str">
        <f t="shared" si="2"/>
        <v/>
      </c>
      <c r="O197" s="27"/>
    </row>
    <row r="198" ht="15.5" customHeight="1" spans="1:15">
      <c r="A198" s="255"/>
      <c r="B198" s="56"/>
      <c r="C198" s="63"/>
      <c r="D198" s="247"/>
      <c r="E198" s="26"/>
      <c r="F198" s="248"/>
      <c r="G198" s="248"/>
      <c r="H198" s="248"/>
      <c r="I198" s="248"/>
      <c r="J198" s="26"/>
      <c r="K198" s="38"/>
      <c r="L198" s="26"/>
      <c r="M198" s="26"/>
      <c r="N198" s="26" t="str">
        <f t="shared" si="2"/>
        <v/>
      </c>
      <c r="O198" s="27"/>
    </row>
    <row r="199" ht="15.5" customHeight="1" spans="1:15">
      <c r="A199" s="255"/>
      <c r="B199" s="56"/>
      <c r="C199" s="63"/>
      <c r="D199" s="247"/>
      <c r="E199" s="26"/>
      <c r="F199" s="248"/>
      <c r="G199" s="248"/>
      <c r="H199" s="248"/>
      <c r="I199" s="248"/>
      <c r="J199" s="26"/>
      <c r="K199" s="38"/>
      <c r="L199" s="26"/>
      <c r="M199" s="26"/>
      <c r="N199" s="26" t="str">
        <f t="shared" ref="N199:N262" si="3">IF(J199=0,"",(M199-J199)/J199*100)</f>
        <v/>
      </c>
      <c r="O199" s="27"/>
    </row>
    <row r="200" ht="15.5" customHeight="1" spans="1:15">
      <c r="A200" s="255"/>
      <c r="B200" s="56"/>
      <c r="C200" s="63"/>
      <c r="D200" s="247"/>
      <c r="E200" s="26"/>
      <c r="F200" s="248"/>
      <c r="G200" s="248"/>
      <c r="H200" s="248"/>
      <c r="I200" s="248"/>
      <c r="J200" s="26"/>
      <c r="K200" s="38"/>
      <c r="L200" s="26"/>
      <c r="M200" s="26"/>
      <c r="N200" s="26" t="str">
        <f t="shared" si="3"/>
        <v/>
      </c>
      <c r="O200" s="27"/>
    </row>
    <row r="201" ht="15.5" customHeight="1" spans="1:15">
      <c r="A201" s="255"/>
      <c r="B201" s="56"/>
      <c r="C201" s="63"/>
      <c r="D201" s="247"/>
      <c r="E201" s="26"/>
      <c r="F201" s="248"/>
      <c r="G201" s="248"/>
      <c r="H201" s="248"/>
      <c r="I201" s="248"/>
      <c r="J201" s="26"/>
      <c r="K201" s="38"/>
      <c r="L201" s="26"/>
      <c r="M201" s="26"/>
      <c r="N201" s="26" t="str">
        <f t="shared" si="3"/>
        <v/>
      </c>
      <c r="O201" s="27"/>
    </row>
    <row r="202" ht="15.5" customHeight="1" spans="1:15">
      <c r="A202" s="255"/>
      <c r="B202" s="56"/>
      <c r="C202" s="63"/>
      <c r="D202" s="247"/>
      <c r="E202" s="26"/>
      <c r="F202" s="248"/>
      <c r="G202" s="248"/>
      <c r="H202" s="248"/>
      <c r="I202" s="248"/>
      <c r="J202" s="26"/>
      <c r="K202" s="38"/>
      <c r="L202" s="26"/>
      <c r="M202" s="26"/>
      <c r="N202" s="26" t="str">
        <f t="shared" si="3"/>
        <v/>
      </c>
      <c r="O202" s="27"/>
    </row>
    <row r="203" ht="15.5" customHeight="1" spans="1:15">
      <c r="A203" s="255"/>
      <c r="B203" s="56"/>
      <c r="C203" s="63"/>
      <c r="D203" s="247"/>
      <c r="E203" s="26"/>
      <c r="F203" s="248"/>
      <c r="G203" s="248"/>
      <c r="H203" s="248"/>
      <c r="I203" s="248"/>
      <c r="J203" s="26"/>
      <c r="K203" s="38"/>
      <c r="L203" s="26"/>
      <c r="M203" s="26"/>
      <c r="N203" s="26" t="str">
        <f t="shared" si="3"/>
        <v/>
      </c>
      <c r="O203" s="27"/>
    </row>
    <row r="204" ht="15.5" customHeight="1" spans="1:15">
      <c r="A204" s="255"/>
      <c r="B204" s="56"/>
      <c r="C204" s="63"/>
      <c r="D204" s="247"/>
      <c r="E204" s="26"/>
      <c r="F204" s="248"/>
      <c r="G204" s="248"/>
      <c r="H204" s="248"/>
      <c r="I204" s="248"/>
      <c r="J204" s="26"/>
      <c r="K204" s="38"/>
      <c r="L204" s="26"/>
      <c r="M204" s="26"/>
      <c r="N204" s="26" t="str">
        <f t="shared" si="3"/>
        <v/>
      </c>
      <c r="O204" s="27"/>
    </row>
    <row r="205" ht="15.5" customHeight="1" spans="1:15">
      <c r="A205" s="255"/>
      <c r="B205" s="56"/>
      <c r="C205" s="63"/>
      <c r="D205" s="247"/>
      <c r="E205" s="26"/>
      <c r="F205" s="248"/>
      <c r="G205" s="248"/>
      <c r="H205" s="248"/>
      <c r="I205" s="248"/>
      <c r="J205" s="26"/>
      <c r="K205" s="38"/>
      <c r="L205" s="26"/>
      <c r="M205" s="26"/>
      <c r="N205" s="26" t="str">
        <f t="shared" si="3"/>
        <v/>
      </c>
      <c r="O205" s="27"/>
    </row>
    <row r="206" ht="15.5" customHeight="1" spans="1:15">
      <c r="A206" s="255"/>
      <c r="B206" s="56"/>
      <c r="C206" s="63"/>
      <c r="D206" s="247"/>
      <c r="E206" s="26"/>
      <c r="F206" s="248"/>
      <c r="G206" s="248"/>
      <c r="H206" s="248"/>
      <c r="I206" s="248"/>
      <c r="J206" s="26"/>
      <c r="K206" s="38"/>
      <c r="L206" s="26"/>
      <c r="M206" s="26"/>
      <c r="N206" s="26" t="str">
        <f t="shared" si="3"/>
        <v/>
      </c>
      <c r="O206" s="27"/>
    </row>
    <row r="207" ht="15.5" customHeight="1" spans="1:15">
      <c r="A207" s="255"/>
      <c r="B207" s="56"/>
      <c r="C207" s="63"/>
      <c r="D207" s="247"/>
      <c r="E207" s="26"/>
      <c r="F207" s="248"/>
      <c r="G207" s="248"/>
      <c r="H207" s="248"/>
      <c r="I207" s="248"/>
      <c r="J207" s="26"/>
      <c r="K207" s="38"/>
      <c r="L207" s="26"/>
      <c r="M207" s="26"/>
      <c r="N207" s="26" t="str">
        <f t="shared" si="3"/>
        <v/>
      </c>
      <c r="O207" s="27"/>
    </row>
    <row r="208" ht="15.5" customHeight="1" spans="1:15">
      <c r="A208" s="255"/>
      <c r="B208" s="56"/>
      <c r="C208" s="63"/>
      <c r="D208" s="247"/>
      <c r="E208" s="26"/>
      <c r="F208" s="248"/>
      <c r="G208" s="248"/>
      <c r="H208" s="248"/>
      <c r="I208" s="248"/>
      <c r="J208" s="26"/>
      <c r="K208" s="38"/>
      <c r="L208" s="26"/>
      <c r="M208" s="26"/>
      <c r="N208" s="26" t="str">
        <f t="shared" si="3"/>
        <v/>
      </c>
      <c r="O208" s="27"/>
    </row>
    <row r="209" ht="15.5" customHeight="1" spans="1:15">
      <c r="A209" s="255"/>
      <c r="B209" s="56"/>
      <c r="C209" s="63"/>
      <c r="D209" s="247"/>
      <c r="E209" s="26"/>
      <c r="F209" s="248"/>
      <c r="G209" s="248"/>
      <c r="H209" s="248"/>
      <c r="I209" s="248"/>
      <c r="J209" s="26"/>
      <c r="K209" s="38"/>
      <c r="L209" s="26"/>
      <c r="M209" s="26"/>
      <c r="N209" s="26" t="str">
        <f t="shared" si="3"/>
        <v/>
      </c>
      <c r="O209" s="27"/>
    </row>
    <row r="210" ht="15.5" customHeight="1" spans="1:15">
      <c r="A210" s="255"/>
      <c r="B210" s="56"/>
      <c r="C210" s="63"/>
      <c r="D210" s="247"/>
      <c r="E210" s="26"/>
      <c r="F210" s="248"/>
      <c r="G210" s="248"/>
      <c r="H210" s="248"/>
      <c r="I210" s="248"/>
      <c r="J210" s="26"/>
      <c r="K210" s="38"/>
      <c r="L210" s="26"/>
      <c r="M210" s="26"/>
      <c r="N210" s="26" t="str">
        <f t="shared" si="3"/>
        <v/>
      </c>
      <c r="O210" s="27"/>
    </row>
    <row r="211" ht="15.5" customHeight="1" spans="1:15">
      <c r="A211" s="255"/>
      <c r="B211" s="56"/>
      <c r="C211" s="63"/>
      <c r="D211" s="247"/>
      <c r="E211" s="26"/>
      <c r="F211" s="248"/>
      <c r="G211" s="248"/>
      <c r="H211" s="248"/>
      <c r="I211" s="248"/>
      <c r="J211" s="26"/>
      <c r="K211" s="38"/>
      <c r="L211" s="26"/>
      <c r="M211" s="26"/>
      <c r="N211" s="26" t="str">
        <f t="shared" si="3"/>
        <v/>
      </c>
      <c r="O211" s="27"/>
    </row>
    <row r="212" ht="15.5" customHeight="1" spans="1:15">
      <c r="A212" s="255"/>
      <c r="B212" s="56"/>
      <c r="C212" s="63"/>
      <c r="D212" s="247"/>
      <c r="E212" s="26"/>
      <c r="F212" s="248"/>
      <c r="G212" s="248"/>
      <c r="H212" s="248"/>
      <c r="I212" s="248"/>
      <c r="J212" s="26"/>
      <c r="K212" s="38"/>
      <c r="L212" s="26"/>
      <c r="M212" s="26"/>
      <c r="N212" s="26" t="str">
        <f t="shared" si="3"/>
        <v/>
      </c>
      <c r="O212" s="27"/>
    </row>
    <row r="213" ht="15.5" customHeight="1" spans="1:15">
      <c r="A213" s="255"/>
      <c r="B213" s="56"/>
      <c r="C213" s="63"/>
      <c r="D213" s="247"/>
      <c r="E213" s="26"/>
      <c r="F213" s="248"/>
      <c r="G213" s="248"/>
      <c r="H213" s="248"/>
      <c r="I213" s="248"/>
      <c r="J213" s="26"/>
      <c r="K213" s="38"/>
      <c r="L213" s="26"/>
      <c r="M213" s="26"/>
      <c r="N213" s="26" t="str">
        <f t="shared" si="3"/>
        <v/>
      </c>
      <c r="O213" s="27"/>
    </row>
    <row r="214" ht="15.5" customHeight="1" spans="1:15">
      <c r="A214" s="255"/>
      <c r="B214" s="56"/>
      <c r="C214" s="63"/>
      <c r="D214" s="247"/>
      <c r="E214" s="26"/>
      <c r="F214" s="248"/>
      <c r="G214" s="248"/>
      <c r="H214" s="248"/>
      <c r="I214" s="248"/>
      <c r="J214" s="26"/>
      <c r="K214" s="38"/>
      <c r="L214" s="26"/>
      <c r="M214" s="26"/>
      <c r="N214" s="26" t="str">
        <f t="shared" si="3"/>
        <v/>
      </c>
      <c r="O214" s="27"/>
    </row>
    <row r="215" ht="15.5" customHeight="1" spans="1:15">
      <c r="A215" s="255"/>
      <c r="B215" s="56"/>
      <c r="C215" s="63"/>
      <c r="D215" s="247"/>
      <c r="E215" s="26"/>
      <c r="F215" s="248"/>
      <c r="G215" s="248"/>
      <c r="H215" s="248"/>
      <c r="I215" s="248"/>
      <c r="J215" s="26"/>
      <c r="K215" s="38"/>
      <c r="L215" s="26"/>
      <c r="M215" s="26"/>
      <c r="N215" s="26" t="str">
        <f t="shared" si="3"/>
        <v/>
      </c>
      <c r="O215" s="27"/>
    </row>
    <row r="216" ht="15.5" customHeight="1" spans="1:15">
      <c r="A216" s="255"/>
      <c r="B216" s="56"/>
      <c r="C216" s="63"/>
      <c r="D216" s="247"/>
      <c r="E216" s="26"/>
      <c r="F216" s="248"/>
      <c r="G216" s="248"/>
      <c r="H216" s="248"/>
      <c r="I216" s="248"/>
      <c r="J216" s="26"/>
      <c r="K216" s="38"/>
      <c r="L216" s="26"/>
      <c r="M216" s="26"/>
      <c r="N216" s="26" t="str">
        <f t="shared" si="3"/>
        <v/>
      </c>
      <c r="O216" s="27"/>
    </row>
    <row r="217" ht="15.5" customHeight="1" spans="1:15">
      <c r="A217" s="255"/>
      <c r="B217" s="56"/>
      <c r="C217" s="63"/>
      <c r="D217" s="247"/>
      <c r="E217" s="26"/>
      <c r="F217" s="248"/>
      <c r="G217" s="248"/>
      <c r="H217" s="248"/>
      <c r="I217" s="248"/>
      <c r="J217" s="26"/>
      <c r="K217" s="38"/>
      <c r="L217" s="26"/>
      <c r="M217" s="26"/>
      <c r="N217" s="26" t="str">
        <f t="shared" si="3"/>
        <v/>
      </c>
      <c r="O217" s="27"/>
    </row>
    <row r="218" ht="15.5" customHeight="1" spans="1:15">
      <c r="A218" s="255"/>
      <c r="B218" s="56"/>
      <c r="C218" s="63"/>
      <c r="D218" s="247"/>
      <c r="E218" s="26"/>
      <c r="F218" s="248"/>
      <c r="G218" s="248"/>
      <c r="H218" s="248"/>
      <c r="I218" s="248"/>
      <c r="J218" s="26"/>
      <c r="K218" s="38"/>
      <c r="L218" s="26"/>
      <c r="M218" s="26"/>
      <c r="N218" s="26" t="str">
        <f t="shared" si="3"/>
        <v/>
      </c>
      <c r="O218" s="27"/>
    </row>
    <row r="219" ht="15.5" customHeight="1" spans="1:15">
      <c r="A219" s="255"/>
      <c r="B219" s="56"/>
      <c r="C219" s="63"/>
      <c r="D219" s="247"/>
      <c r="E219" s="26"/>
      <c r="F219" s="248"/>
      <c r="G219" s="248"/>
      <c r="H219" s="248"/>
      <c r="I219" s="248"/>
      <c r="J219" s="26"/>
      <c r="K219" s="38"/>
      <c r="L219" s="26"/>
      <c r="M219" s="26"/>
      <c r="N219" s="26" t="str">
        <f t="shared" si="3"/>
        <v/>
      </c>
      <c r="O219" s="27"/>
    </row>
    <row r="220" ht="15.5" customHeight="1" spans="1:15">
      <c r="A220" s="255"/>
      <c r="B220" s="56"/>
      <c r="C220" s="63"/>
      <c r="D220" s="247"/>
      <c r="E220" s="26"/>
      <c r="F220" s="248"/>
      <c r="G220" s="248"/>
      <c r="H220" s="248"/>
      <c r="I220" s="248"/>
      <c r="J220" s="26"/>
      <c r="K220" s="38"/>
      <c r="L220" s="26"/>
      <c r="M220" s="26"/>
      <c r="N220" s="26" t="str">
        <f t="shared" si="3"/>
        <v/>
      </c>
      <c r="O220" s="27"/>
    </row>
    <row r="221" ht="15.5" customHeight="1" spans="1:15">
      <c r="A221" s="255"/>
      <c r="B221" s="56"/>
      <c r="C221" s="63"/>
      <c r="D221" s="247"/>
      <c r="E221" s="26"/>
      <c r="F221" s="248"/>
      <c r="G221" s="248"/>
      <c r="H221" s="248"/>
      <c r="I221" s="248"/>
      <c r="J221" s="26"/>
      <c r="K221" s="38"/>
      <c r="L221" s="26"/>
      <c r="M221" s="26"/>
      <c r="N221" s="26" t="str">
        <f t="shared" si="3"/>
        <v/>
      </c>
      <c r="O221" s="27"/>
    </row>
    <row r="222" ht="15.5" customHeight="1" spans="1:15">
      <c r="A222" s="255"/>
      <c r="B222" s="56"/>
      <c r="C222" s="63"/>
      <c r="D222" s="247"/>
      <c r="E222" s="26"/>
      <c r="F222" s="248"/>
      <c r="G222" s="248"/>
      <c r="H222" s="248"/>
      <c r="I222" s="248"/>
      <c r="J222" s="26"/>
      <c r="K222" s="38"/>
      <c r="L222" s="26"/>
      <c r="M222" s="26"/>
      <c r="N222" s="26" t="str">
        <f t="shared" si="3"/>
        <v/>
      </c>
      <c r="O222" s="27"/>
    </row>
    <row r="223" ht="15.5" customHeight="1" spans="1:15">
      <c r="A223" s="255"/>
      <c r="B223" s="56"/>
      <c r="C223" s="63"/>
      <c r="D223" s="247"/>
      <c r="E223" s="26"/>
      <c r="F223" s="248"/>
      <c r="G223" s="248"/>
      <c r="H223" s="248"/>
      <c r="I223" s="248"/>
      <c r="J223" s="26"/>
      <c r="K223" s="38"/>
      <c r="L223" s="26"/>
      <c r="M223" s="26"/>
      <c r="N223" s="26" t="str">
        <f t="shared" si="3"/>
        <v/>
      </c>
      <c r="O223" s="27"/>
    </row>
    <row r="224" ht="15.5" customHeight="1" spans="1:15">
      <c r="A224" s="255"/>
      <c r="B224" s="56"/>
      <c r="C224" s="63"/>
      <c r="D224" s="247"/>
      <c r="E224" s="26"/>
      <c r="F224" s="248"/>
      <c r="G224" s="248"/>
      <c r="H224" s="248"/>
      <c r="I224" s="248"/>
      <c r="J224" s="26"/>
      <c r="K224" s="38"/>
      <c r="L224" s="26"/>
      <c r="M224" s="26"/>
      <c r="N224" s="26" t="str">
        <f t="shared" si="3"/>
        <v/>
      </c>
      <c r="O224" s="27"/>
    </row>
    <row r="225" ht="15.5" customHeight="1" spans="1:15">
      <c r="A225" s="255"/>
      <c r="B225" s="56"/>
      <c r="C225" s="63"/>
      <c r="D225" s="247"/>
      <c r="E225" s="26"/>
      <c r="F225" s="248"/>
      <c r="G225" s="248"/>
      <c r="H225" s="248"/>
      <c r="I225" s="248"/>
      <c r="J225" s="26"/>
      <c r="K225" s="38"/>
      <c r="L225" s="26"/>
      <c r="M225" s="26"/>
      <c r="N225" s="26" t="str">
        <f t="shared" si="3"/>
        <v/>
      </c>
      <c r="O225" s="27"/>
    </row>
    <row r="226" ht="15.5" customHeight="1" spans="1:15">
      <c r="A226" s="255"/>
      <c r="B226" s="56"/>
      <c r="C226" s="63"/>
      <c r="D226" s="247"/>
      <c r="E226" s="26"/>
      <c r="F226" s="248"/>
      <c r="G226" s="248"/>
      <c r="H226" s="248"/>
      <c r="I226" s="248"/>
      <c r="J226" s="26"/>
      <c r="K226" s="38"/>
      <c r="L226" s="26"/>
      <c r="M226" s="26"/>
      <c r="N226" s="26" t="str">
        <f t="shared" si="3"/>
        <v/>
      </c>
      <c r="O226" s="27"/>
    </row>
    <row r="227" ht="15.5" customHeight="1" spans="1:15">
      <c r="A227" s="255"/>
      <c r="B227" s="56"/>
      <c r="C227" s="63"/>
      <c r="D227" s="247"/>
      <c r="E227" s="26"/>
      <c r="F227" s="248"/>
      <c r="G227" s="248"/>
      <c r="H227" s="248"/>
      <c r="I227" s="248"/>
      <c r="J227" s="26"/>
      <c r="K227" s="38"/>
      <c r="L227" s="26"/>
      <c r="M227" s="26"/>
      <c r="N227" s="26" t="str">
        <f t="shared" si="3"/>
        <v/>
      </c>
      <c r="O227" s="27"/>
    </row>
    <row r="228" ht="15.5" customHeight="1" spans="1:15">
      <c r="A228" s="255"/>
      <c r="B228" s="56"/>
      <c r="C228" s="63"/>
      <c r="D228" s="247"/>
      <c r="E228" s="26"/>
      <c r="F228" s="248"/>
      <c r="G228" s="248"/>
      <c r="H228" s="248"/>
      <c r="I228" s="248"/>
      <c r="J228" s="26"/>
      <c r="K228" s="38"/>
      <c r="L228" s="26"/>
      <c r="M228" s="26"/>
      <c r="N228" s="26" t="str">
        <f t="shared" si="3"/>
        <v/>
      </c>
      <c r="O228" s="27"/>
    </row>
    <row r="229" ht="15.5" customHeight="1" spans="1:15">
      <c r="A229" s="255"/>
      <c r="B229" s="56"/>
      <c r="C229" s="63"/>
      <c r="D229" s="247"/>
      <c r="E229" s="26"/>
      <c r="F229" s="248"/>
      <c r="G229" s="248"/>
      <c r="H229" s="248"/>
      <c r="I229" s="248"/>
      <c r="J229" s="26"/>
      <c r="K229" s="38"/>
      <c r="L229" s="26"/>
      <c r="M229" s="26"/>
      <c r="N229" s="26" t="str">
        <f t="shared" si="3"/>
        <v/>
      </c>
      <c r="O229" s="27"/>
    </row>
    <row r="230" ht="15.5" customHeight="1" spans="1:15">
      <c r="A230" s="255"/>
      <c r="B230" s="56"/>
      <c r="C230" s="63"/>
      <c r="D230" s="247"/>
      <c r="E230" s="26"/>
      <c r="F230" s="248"/>
      <c r="G230" s="248"/>
      <c r="H230" s="248"/>
      <c r="I230" s="248"/>
      <c r="J230" s="26"/>
      <c r="K230" s="38"/>
      <c r="L230" s="26"/>
      <c r="M230" s="26"/>
      <c r="N230" s="26" t="str">
        <f t="shared" si="3"/>
        <v/>
      </c>
      <c r="O230" s="27"/>
    </row>
    <row r="231" ht="15.5" customHeight="1" spans="1:15">
      <c r="A231" s="255"/>
      <c r="B231" s="56"/>
      <c r="C231" s="63"/>
      <c r="D231" s="247"/>
      <c r="E231" s="26"/>
      <c r="F231" s="248"/>
      <c r="G231" s="248"/>
      <c r="H231" s="248"/>
      <c r="I231" s="248"/>
      <c r="J231" s="26"/>
      <c r="K231" s="38"/>
      <c r="L231" s="26"/>
      <c r="M231" s="26"/>
      <c r="N231" s="26" t="str">
        <f t="shared" si="3"/>
        <v/>
      </c>
      <c r="O231" s="27"/>
    </row>
    <row r="232" ht="15.5" customHeight="1" spans="1:15">
      <c r="A232" s="255"/>
      <c r="B232" s="56"/>
      <c r="C232" s="63"/>
      <c r="D232" s="247"/>
      <c r="E232" s="26"/>
      <c r="F232" s="248"/>
      <c r="G232" s="248"/>
      <c r="H232" s="248"/>
      <c r="I232" s="248"/>
      <c r="J232" s="26"/>
      <c r="K232" s="38"/>
      <c r="L232" s="26"/>
      <c r="M232" s="26"/>
      <c r="N232" s="26" t="str">
        <f t="shared" si="3"/>
        <v/>
      </c>
      <c r="O232" s="27"/>
    </row>
    <row r="233" ht="15.5" customHeight="1" spans="1:15">
      <c r="A233" s="255"/>
      <c r="B233" s="56"/>
      <c r="C233" s="63"/>
      <c r="D233" s="247"/>
      <c r="E233" s="26"/>
      <c r="F233" s="248"/>
      <c r="G233" s="248"/>
      <c r="H233" s="248"/>
      <c r="I233" s="248"/>
      <c r="J233" s="26"/>
      <c r="K233" s="38"/>
      <c r="L233" s="26"/>
      <c r="M233" s="26"/>
      <c r="N233" s="26" t="str">
        <f t="shared" si="3"/>
        <v/>
      </c>
      <c r="O233" s="27"/>
    </row>
    <row r="234" ht="15.5" customHeight="1" spans="1:15">
      <c r="A234" s="255"/>
      <c r="B234" s="56"/>
      <c r="C234" s="63"/>
      <c r="D234" s="247"/>
      <c r="E234" s="26"/>
      <c r="F234" s="248"/>
      <c r="G234" s="248"/>
      <c r="H234" s="248"/>
      <c r="I234" s="248"/>
      <c r="J234" s="26"/>
      <c r="K234" s="38"/>
      <c r="L234" s="26"/>
      <c r="M234" s="26"/>
      <c r="N234" s="26" t="str">
        <f t="shared" si="3"/>
        <v/>
      </c>
      <c r="O234" s="27"/>
    </row>
    <row r="235" ht="15.5" customHeight="1" spans="1:15">
      <c r="A235" s="255"/>
      <c r="B235" s="56"/>
      <c r="C235" s="63"/>
      <c r="D235" s="247"/>
      <c r="E235" s="26"/>
      <c r="F235" s="248"/>
      <c r="G235" s="248"/>
      <c r="H235" s="248"/>
      <c r="I235" s="248"/>
      <c r="J235" s="26"/>
      <c r="K235" s="38"/>
      <c r="L235" s="26"/>
      <c r="M235" s="26"/>
      <c r="N235" s="26" t="str">
        <f t="shared" si="3"/>
        <v/>
      </c>
      <c r="O235" s="27"/>
    </row>
    <row r="236" ht="15.5" customHeight="1" spans="1:15">
      <c r="A236" s="255"/>
      <c r="B236" s="56"/>
      <c r="C236" s="63"/>
      <c r="D236" s="247"/>
      <c r="E236" s="26"/>
      <c r="F236" s="248"/>
      <c r="G236" s="248"/>
      <c r="H236" s="248"/>
      <c r="I236" s="248"/>
      <c r="J236" s="26"/>
      <c r="K236" s="38"/>
      <c r="L236" s="26"/>
      <c r="M236" s="26"/>
      <c r="N236" s="26" t="str">
        <f t="shared" si="3"/>
        <v/>
      </c>
      <c r="O236" s="27"/>
    </row>
    <row r="237" ht="15.5" customHeight="1" spans="1:15">
      <c r="A237" s="255"/>
      <c r="B237" s="56"/>
      <c r="C237" s="63"/>
      <c r="D237" s="247"/>
      <c r="E237" s="26"/>
      <c r="F237" s="248"/>
      <c r="G237" s="248"/>
      <c r="H237" s="248"/>
      <c r="I237" s="248"/>
      <c r="J237" s="26"/>
      <c r="K237" s="38"/>
      <c r="L237" s="26"/>
      <c r="M237" s="26"/>
      <c r="N237" s="26" t="str">
        <f t="shared" si="3"/>
        <v/>
      </c>
      <c r="O237" s="27"/>
    </row>
    <row r="238" ht="15.5" customHeight="1" spans="1:15">
      <c r="A238" s="255"/>
      <c r="B238" s="56"/>
      <c r="C238" s="63"/>
      <c r="D238" s="247"/>
      <c r="E238" s="26"/>
      <c r="F238" s="248"/>
      <c r="G238" s="248"/>
      <c r="H238" s="248"/>
      <c r="I238" s="248"/>
      <c r="J238" s="26"/>
      <c r="K238" s="38"/>
      <c r="L238" s="26"/>
      <c r="M238" s="26"/>
      <c r="N238" s="26" t="str">
        <f t="shared" si="3"/>
        <v/>
      </c>
      <c r="O238" s="27"/>
    </row>
    <row r="239" ht="15.5" customHeight="1" spans="1:15">
      <c r="A239" s="255"/>
      <c r="B239" s="56"/>
      <c r="C239" s="63"/>
      <c r="D239" s="247"/>
      <c r="E239" s="26"/>
      <c r="F239" s="248"/>
      <c r="G239" s="248"/>
      <c r="H239" s="248"/>
      <c r="I239" s="248"/>
      <c r="J239" s="26"/>
      <c r="K239" s="38"/>
      <c r="L239" s="26"/>
      <c r="M239" s="26"/>
      <c r="N239" s="26" t="str">
        <f t="shared" si="3"/>
        <v/>
      </c>
      <c r="O239" s="27"/>
    </row>
    <row r="240" ht="15.5" customHeight="1" spans="1:15">
      <c r="A240" s="255"/>
      <c r="B240" s="56"/>
      <c r="C240" s="63"/>
      <c r="D240" s="247"/>
      <c r="E240" s="26"/>
      <c r="F240" s="248"/>
      <c r="G240" s="248"/>
      <c r="H240" s="248"/>
      <c r="I240" s="248"/>
      <c r="J240" s="26"/>
      <c r="K240" s="38"/>
      <c r="L240" s="26"/>
      <c r="M240" s="26"/>
      <c r="N240" s="26" t="str">
        <f t="shared" si="3"/>
        <v/>
      </c>
      <c r="O240" s="27"/>
    </row>
    <row r="241" ht="15.5" customHeight="1" spans="1:15">
      <c r="A241" s="255"/>
      <c r="B241" s="56"/>
      <c r="C241" s="63"/>
      <c r="D241" s="247"/>
      <c r="E241" s="26"/>
      <c r="F241" s="248"/>
      <c r="G241" s="248"/>
      <c r="H241" s="248"/>
      <c r="I241" s="248"/>
      <c r="J241" s="26"/>
      <c r="K241" s="38"/>
      <c r="L241" s="26"/>
      <c r="M241" s="26"/>
      <c r="N241" s="26" t="str">
        <f t="shared" si="3"/>
        <v/>
      </c>
      <c r="O241" s="27"/>
    </row>
    <row r="242" ht="15.5" customHeight="1" spans="1:15">
      <c r="A242" s="255"/>
      <c r="B242" s="56"/>
      <c r="C242" s="63"/>
      <c r="D242" s="247"/>
      <c r="E242" s="26"/>
      <c r="F242" s="248"/>
      <c r="G242" s="248"/>
      <c r="H242" s="248"/>
      <c r="I242" s="248"/>
      <c r="J242" s="26"/>
      <c r="K242" s="38"/>
      <c r="L242" s="26"/>
      <c r="M242" s="26"/>
      <c r="N242" s="26" t="str">
        <f t="shared" si="3"/>
        <v/>
      </c>
      <c r="O242" s="27"/>
    </row>
    <row r="243" ht="15.5" customHeight="1" spans="1:15">
      <c r="A243" s="255"/>
      <c r="B243" s="56"/>
      <c r="C243" s="63"/>
      <c r="D243" s="247"/>
      <c r="E243" s="26"/>
      <c r="F243" s="248"/>
      <c r="G243" s="248"/>
      <c r="H243" s="248"/>
      <c r="I243" s="248"/>
      <c r="J243" s="26"/>
      <c r="K243" s="38"/>
      <c r="L243" s="26"/>
      <c r="M243" s="26"/>
      <c r="N243" s="26" t="str">
        <f t="shared" si="3"/>
        <v/>
      </c>
      <c r="O243" s="27"/>
    </row>
    <row r="244" ht="15.5" customHeight="1" spans="1:15">
      <c r="A244" s="255"/>
      <c r="B244" s="56"/>
      <c r="C244" s="63"/>
      <c r="D244" s="247"/>
      <c r="E244" s="26"/>
      <c r="F244" s="248"/>
      <c r="G244" s="248"/>
      <c r="H244" s="248"/>
      <c r="I244" s="248"/>
      <c r="J244" s="26"/>
      <c r="K244" s="38"/>
      <c r="L244" s="26"/>
      <c r="M244" s="26"/>
      <c r="N244" s="26" t="str">
        <f t="shared" si="3"/>
        <v/>
      </c>
      <c r="O244" s="27"/>
    </row>
    <row r="245" ht="15.5" customHeight="1" spans="1:15">
      <c r="A245" s="255"/>
      <c r="B245" s="56"/>
      <c r="C245" s="63"/>
      <c r="D245" s="247"/>
      <c r="E245" s="26"/>
      <c r="F245" s="248"/>
      <c r="G245" s="248"/>
      <c r="H245" s="248"/>
      <c r="I245" s="248"/>
      <c r="J245" s="26"/>
      <c r="K245" s="38"/>
      <c r="L245" s="26"/>
      <c r="M245" s="26"/>
      <c r="N245" s="26" t="str">
        <f t="shared" si="3"/>
        <v/>
      </c>
      <c r="O245" s="27"/>
    </row>
    <row r="246" ht="15.5" customHeight="1" spans="1:15">
      <c r="A246" s="255"/>
      <c r="B246" s="56"/>
      <c r="C246" s="63"/>
      <c r="D246" s="247"/>
      <c r="E246" s="26"/>
      <c r="F246" s="248"/>
      <c r="G246" s="248"/>
      <c r="H246" s="248"/>
      <c r="I246" s="248"/>
      <c r="J246" s="26"/>
      <c r="K246" s="38"/>
      <c r="L246" s="26"/>
      <c r="M246" s="26"/>
      <c r="N246" s="26" t="str">
        <f t="shared" si="3"/>
        <v/>
      </c>
      <c r="O246" s="27"/>
    </row>
    <row r="247" ht="15.5" customHeight="1" spans="1:15">
      <c r="A247" s="255"/>
      <c r="B247" s="56"/>
      <c r="C247" s="63"/>
      <c r="D247" s="247"/>
      <c r="E247" s="26"/>
      <c r="F247" s="248"/>
      <c r="G247" s="248"/>
      <c r="H247" s="248"/>
      <c r="I247" s="248"/>
      <c r="J247" s="26"/>
      <c r="K247" s="38"/>
      <c r="L247" s="26"/>
      <c r="M247" s="26"/>
      <c r="N247" s="26" t="str">
        <f t="shared" si="3"/>
        <v/>
      </c>
      <c r="O247" s="27"/>
    </row>
    <row r="248" ht="15.5" customHeight="1" spans="1:15">
      <c r="A248" s="255"/>
      <c r="B248" s="56"/>
      <c r="C248" s="63"/>
      <c r="D248" s="247"/>
      <c r="E248" s="26"/>
      <c r="F248" s="248"/>
      <c r="G248" s="248"/>
      <c r="H248" s="248"/>
      <c r="I248" s="248"/>
      <c r="J248" s="26"/>
      <c r="K248" s="38"/>
      <c r="L248" s="26"/>
      <c r="M248" s="26"/>
      <c r="N248" s="26" t="str">
        <f t="shared" si="3"/>
        <v/>
      </c>
      <c r="O248" s="27"/>
    </row>
    <row r="249" ht="15.5" customHeight="1" spans="1:15">
      <c r="A249" s="255"/>
      <c r="B249" s="56"/>
      <c r="C249" s="63"/>
      <c r="D249" s="247"/>
      <c r="E249" s="26"/>
      <c r="F249" s="248"/>
      <c r="G249" s="248"/>
      <c r="H249" s="248"/>
      <c r="I249" s="248"/>
      <c r="J249" s="26"/>
      <c r="K249" s="38"/>
      <c r="L249" s="26"/>
      <c r="M249" s="26"/>
      <c r="N249" s="26" t="str">
        <f t="shared" si="3"/>
        <v/>
      </c>
      <c r="O249" s="27"/>
    </row>
    <row r="250" ht="15.5" customHeight="1" spans="1:15">
      <c r="A250" s="255"/>
      <c r="B250" s="56"/>
      <c r="C250" s="63"/>
      <c r="D250" s="247"/>
      <c r="E250" s="26"/>
      <c r="F250" s="248"/>
      <c r="G250" s="248"/>
      <c r="H250" s="248"/>
      <c r="I250" s="248"/>
      <c r="J250" s="26"/>
      <c r="K250" s="38"/>
      <c r="L250" s="26"/>
      <c r="M250" s="26"/>
      <c r="N250" s="26" t="str">
        <f t="shared" si="3"/>
        <v/>
      </c>
      <c r="O250" s="27"/>
    </row>
    <row r="251" ht="15.5" customHeight="1" spans="1:15">
      <c r="A251" s="255"/>
      <c r="B251" s="56"/>
      <c r="C251" s="63"/>
      <c r="D251" s="247"/>
      <c r="E251" s="26"/>
      <c r="F251" s="248"/>
      <c r="G251" s="248"/>
      <c r="H251" s="248"/>
      <c r="I251" s="248"/>
      <c r="J251" s="26"/>
      <c r="K251" s="38"/>
      <c r="L251" s="26"/>
      <c r="M251" s="26"/>
      <c r="N251" s="26" t="str">
        <f t="shared" si="3"/>
        <v/>
      </c>
      <c r="O251" s="27"/>
    </row>
    <row r="252" ht="15.5" customHeight="1" spans="1:15">
      <c r="A252" s="255"/>
      <c r="B252" s="56"/>
      <c r="C252" s="63"/>
      <c r="D252" s="247"/>
      <c r="E252" s="26"/>
      <c r="F252" s="248"/>
      <c r="G252" s="248"/>
      <c r="H252" s="248"/>
      <c r="I252" s="248"/>
      <c r="J252" s="26"/>
      <c r="K252" s="38"/>
      <c r="L252" s="26"/>
      <c r="M252" s="26"/>
      <c r="N252" s="26" t="str">
        <f t="shared" si="3"/>
        <v/>
      </c>
      <c r="O252" s="27"/>
    </row>
    <row r="253" ht="15.5" customHeight="1" spans="1:15">
      <c r="A253" s="255"/>
      <c r="B253" s="56"/>
      <c r="C253" s="63"/>
      <c r="D253" s="247"/>
      <c r="E253" s="26"/>
      <c r="F253" s="248"/>
      <c r="G253" s="248"/>
      <c r="H253" s="248"/>
      <c r="I253" s="248"/>
      <c r="J253" s="26"/>
      <c r="K253" s="38"/>
      <c r="L253" s="26"/>
      <c r="M253" s="26"/>
      <c r="N253" s="26" t="str">
        <f t="shared" si="3"/>
        <v/>
      </c>
      <c r="O253" s="27"/>
    </row>
    <row r="254" ht="15.5" customHeight="1" spans="1:15">
      <c r="A254" s="255"/>
      <c r="B254" s="56"/>
      <c r="C254" s="63"/>
      <c r="D254" s="247"/>
      <c r="E254" s="26"/>
      <c r="F254" s="248"/>
      <c r="G254" s="248"/>
      <c r="H254" s="248"/>
      <c r="I254" s="248"/>
      <c r="J254" s="26"/>
      <c r="K254" s="38"/>
      <c r="L254" s="26"/>
      <c r="M254" s="26"/>
      <c r="N254" s="26" t="str">
        <f t="shared" si="3"/>
        <v/>
      </c>
      <c r="O254" s="27"/>
    </row>
    <row r="255" ht="15.5" customHeight="1" spans="1:15">
      <c r="A255" s="255"/>
      <c r="B255" s="56"/>
      <c r="C255" s="63"/>
      <c r="D255" s="247"/>
      <c r="E255" s="26"/>
      <c r="F255" s="248"/>
      <c r="G255" s="248"/>
      <c r="H255" s="248"/>
      <c r="I255" s="248"/>
      <c r="J255" s="26"/>
      <c r="K255" s="38"/>
      <c r="L255" s="26"/>
      <c r="M255" s="26"/>
      <c r="N255" s="26" t="str">
        <f t="shared" si="3"/>
        <v/>
      </c>
      <c r="O255" s="27"/>
    </row>
    <row r="256" ht="15.5" customHeight="1" spans="1:15">
      <c r="A256" s="255"/>
      <c r="B256" s="56"/>
      <c r="C256" s="63"/>
      <c r="D256" s="247"/>
      <c r="E256" s="26"/>
      <c r="F256" s="248"/>
      <c r="G256" s="248"/>
      <c r="H256" s="248"/>
      <c r="I256" s="248"/>
      <c r="J256" s="26"/>
      <c r="K256" s="38"/>
      <c r="L256" s="26"/>
      <c r="M256" s="26"/>
      <c r="N256" s="26" t="str">
        <f t="shared" si="3"/>
        <v/>
      </c>
      <c r="O256" s="27"/>
    </row>
    <row r="257" ht="15.5" customHeight="1" spans="1:15">
      <c r="A257" s="255"/>
      <c r="B257" s="56"/>
      <c r="C257" s="63"/>
      <c r="D257" s="247"/>
      <c r="E257" s="26"/>
      <c r="F257" s="248"/>
      <c r="G257" s="248"/>
      <c r="H257" s="248"/>
      <c r="I257" s="248"/>
      <c r="J257" s="26"/>
      <c r="K257" s="38"/>
      <c r="L257" s="26"/>
      <c r="M257" s="26"/>
      <c r="N257" s="26" t="str">
        <f t="shared" si="3"/>
        <v/>
      </c>
      <c r="O257" s="27"/>
    </row>
    <row r="258" ht="15.5" customHeight="1" spans="1:15">
      <c r="A258" s="255"/>
      <c r="B258" s="56"/>
      <c r="C258" s="63"/>
      <c r="D258" s="247"/>
      <c r="E258" s="26"/>
      <c r="F258" s="248"/>
      <c r="G258" s="248"/>
      <c r="H258" s="248"/>
      <c r="I258" s="248"/>
      <c r="J258" s="26"/>
      <c r="K258" s="38"/>
      <c r="L258" s="26"/>
      <c r="M258" s="26"/>
      <c r="N258" s="26" t="str">
        <f t="shared" si="3"/>
        <v/>
      </c>
      <c r="O258" s="27"/>
    </row>
    <row r="259" ht="15.5" customHeight="1" spans="1:15">
      <c r="A259" s="255"/>
      <c r="B259" s="56"/>
      <c r="C259" s="63"/>
      <c r="D259" s="247"/>
      <c r="E259" s="26"/>
      <c r="F259" s="248"/>
      <c r="G259" s="248"/>
      <c r="H259" s="248"/>
      <c r="I259" s="248"/>
      <c r="J259" s="26"/>
      <c r="K259" s="38"/>
      <c r="L259" s="26"/>
      <c r="M259" s="26"/>
      <c r="N259" s="26" t="str">
        <f t="shared" si="3"/>
        <v/>
      </c>
      <c r="O259" s="27"/>
    </row>
    <row r="260" ht="15.5" customHeight="1" spans="1:15">
      <c r="A260" s="255"/>
      <c r="B260" s="56"/>
      <c r="C260" s="63"/>
      <c r="D260" s="247"/>
      <c r="E260" s="26"/>
      <c r="F260" s="248"/>
      <c r="G260" s="248"/>
      <c r="H260" s="248"/>
      <c r="I260" s="248"/>
      <c r="J260" s="26"/>
      <c r="K260" s="38"/>
      <c r="L260" s="26"/>
      <c r="M260" s="26"/>
      <c r="N260" s="26" t="str">
        <f t="shared" si="3"/>
        <v/>
      </c>
      <c r="O260" s="27"/>
    </row>
    <row r="261" ht="15.5" customHeight="1" spans="1:15">
      <c r="A261" s="255"/>
      <c r="B261" s="56"/>
      <c r="C261" s="63"/>
      <c r="D261" s="247"/>
      <c r="E261" s="26"/>
      <c r="F261" s="248"/>
      <c r="G261" s="248"/>
      <c r="H261" s="248"/>
      <c r="I261" s="248"/>
      <c r="J261" s="26"/>
      <c r="K261" s="38"/>
      <c r="L261" s="26"/>
      <c r="M261" s="26"/>
      <c r="N261" s="26" t="str">
        <f t="shared" si="3"/>
        <v/>
      </c>
      <c r="O261" s="27"/>
    </row>
    <row r="262" ht="15.5" customHeight="1" spans="1:15">
      <c r="A262" s="255"/>
      <c r="B262" s="56"/>
      <c r="C262" s="63"/>
      <c r="D262" s="247"/>
      <c r="E262" s="26"/>
      <c r="F262" s="248"/>
      <c r="G262" s="248"/>
      <c r="H262" s="248"/>
      <c r="I262" s="248"/>
      <c r="J262" s="26"/>
      <c r="K262" s="38"/>
      <c r="L262" s="26"/>
      <c r="M262" s="26"/>
      <c r="N262" s="26" t="str">
        <f t="shared" si="3"/>
        <v/>
      </c>
      <c r="O262" s="27"/>
    </row>
    <row r="263" ht="15.5" customHeight="1" spans="1:15">
      <c r="A263" s="255"/>
      <c r="B263" s="56"/>
      <c r="C263" s="63"/>
      <c r="D263" s="247"/>
      <c r="E263" s="26"/>
      <c r="F263" s="248"/>
      <c r="G263" s="248"/>
      <c r="H263" s="248"/>
      <c r="I263" s="248"/>
      <c r="J263" s="26"/>
      <c r="K263" s="38"/>
      <c r="L263" s="26"/>
      <c r="M263" s="26"/>
      <c r="N263" s="26" t="str">
        <f t="shared" ref="N263:N275" si="4">IF(J263=0,"",(M263-J263)/J263*100)</f>
        <v/>
      </c>
      <c r="O263" s="27"/>
    </row>
    <row r="264" ht="15.5" hidden="1" customHeight="1" spans="1:15">
      <c r="A264" s="23"/>
      <c r="B264" s="56"/>
      <c r="C264" s="63"/>
      <c r="D264" s="247"/>
      <c r="E264" s="26" t="str">
        <f t="shared" ref="E264:E275" si="5">IF(D264=0,"",F264/D264)</f>
        <v/>
      </c>
      <c r="F264" s="248"/>
      <c r="G264" s="248"/>
      <c r="H264" s="248"/>
      <c r="I264" s="248"/>
      <c r="J264" s="26"/>
      <c r="K264" s="38"/>
      <c r="L264" s="26"/>
      <c r="M264" s="26"/>
      <c r="N264" s="26" t="str">
        <f t="shared" si="4"/>
        <v/>
      </c>
      <c r="O264" s="27"/>
    </row>
    <row r="265" ht="15.5" hidden="1" customHeight="1" spans="1:15">
      <c r="A265" s="23"/>
      <c r="B265" s="56"/>
      <c r="C265" s="63"/>
      <c r="D265" s="247"/>
      <c r="E265" s="26" t="str">
        <f t="shared" si="5"/>
        <v/>
      </c>
      <c r="F265" s="248"/>
      <c r="G265" s="248"/>
      <c r="H265" s="248"/>
      <c r="I265" s="248"/>
      <c r="J265" s="26"/>
      <c r="K265" s="38"/>
      <c r="L265" s="26"/>
      <c r="M265" s="26"/>
      <c r="N265" s="26" t="str">
        <f t="shared" si="4"/>
        <v/>
      </c>
      <c r="O265" s="27"/>
    </row>
    <row r="266" ht="15.5" hidden="1" customHeight="1" spans="1:15">
      <c r="A266" s="23"/>
      <c r="B266" s="56"/>
      <c r="C266" s="63"/>
      <c r="D266" s="247"/>
      <c r="E266" s="26" t="str">
        <f t="shared" si="5"/>
        <v/>
      </c>
      <c r="F266" s="248"/>
      <c r="G266" s="248"/>
      <c r="H266" s="248"/>
      <c r="I266" s="248"/>
      <c r="J266" s="26"/>
      <c r="K266" s="38"/>
      <c r="L266" s="26"/>
      <c r="M266" s="26"/>
      <c r="N266" s="26" t="str">
        <f t="shared" si="4"/>
        <v/>
      </c>
      <c r="O266" s="27"/>
    </row>
    <row r="267" ht="15.5" hidden="1" customHeight="1" spans="1:15">
      <c r="A267" s="23"/>
      <c r="B267" s="56"/>
      <c r="C267" s="63"/>
      <c r="D267" s="247"/>
      <c r="E267" s="26" t="str">
        <f t="shared" si="5"/>
        <v/>
      </c>
      <c r="F267" s="248"/>
      <c r="G267" s="248"/>
      <c r="H267" s="248"/>
      <c r="I267" s="248"/>
      <c r="J267" s="26"/>
      <c r="K267" s="38"/>
      <c r="L267" s="26"/>
      <c r="M267" s="26"/>
      <c r="N267" s="26" t="str">
        <f t="shared" si="4"/>
        <v/>
      </c>
      <c r="O267" s="27"/>
    </row>
    <row r="268" ht="15.5" hidden="1" customHeight="1" spans="1:15">
      <c r="A268" s="23"/>
      <c r="B268" s="56"/>
      <c r="C268" s="63"/>
      <c r="D268" s="247"/>
      <c r="E268" s="26" t="str">
        <f t="shared" si="5"/>
        <v/>
      </c>
      <c r="F268" s="248"/>
      <c r="G268" s="248"/>
      <c r="H268" s="248"/>
      <c r="I268" s="248"/>
      <c r="J268" s="26"/>
      <c r="K268" s="38"/>
      <c r="L268" s="26"/>
      <c r="M268" s="26"/>
      <c r="N268" s="26" t="str">
        <f t="shared" si="4"/>
        <v/>
      </c>
      <c r="O268" s="27"/>
    </row>
    <row r="269" ht="15.5" hidden="1" customHeight="1" spans="1:15">
      <c r="A269" s="23"/>
      <c r="B269" s="56"/>
      <c r="C269" s="63"/>
      <c r="D269" s="247"/>
      <c r="E269" s="26" t="str">
        <f t="shared" si="5"/>
        <v/>
      </c>
      <c r="F269" s="248"/>
      <c r="G269" s="248"/>
      <c r="H269" s="248"/>
      <c r="I269" s="248"/>
      <c r="J269" s="26"/>
      <c r="K269" s="38"/>
      <c r="L269" s="26"/>
      <c r="M269" s="26"/>
      <c r="N269" s="26" t="str">
        <f t="shared" si="4"/>
        <v/>
      </c>
      <c r="O269" s="27"/>
    </row>
    <row r="270" ht="15.5" hidden="1" customHeight="1" spans="1:15">
      <c r="A270" s="23"/>
      <c r="B270" s="56"/>
      <c r="C270" s="63"/>
      <c r="D270" s="247"/>
      <c r="E270" s="26" t="str">
        <f t="shared" si="5"/>
        <v/>
      </c>
      <c r="F270" s="248"/>
      <c r="G270" s="248"/>
      <c r="H270" s="248"/>
      <c r="I270" s="248"/>
      <c r="J270" s="26"/>
      <c r="K270" s="38"/>
      <c r="L270" s="26"/>
      <c r="M270" s="26"/>
      <c r="N270" s="26" t="str">
        <f t="shared" si="4"/>
        <v/>
      </c>
      <c r="O270" s="27"/>
    </row>
    <row r="271" ht="15.5" hidden="1" customHeight="1" spans="1:15">
      <c r="A271" s="23"/>
      <c r="B271" s="56"/>
      <c r="C271" s="63"/>
      <c r="D271" s="247"/>
      <c r="E271" s="26" t="str">
        <f t="shared" si="5"/>
        <v/>
      </c>
      <c r="F271" s="248"/>
      <c r="G271" s="248"/>
      <c r="H271" s="248"/>
      <c r="I271" s="248"/>
      <c r="J271" s="26"/>
      <c r="K271" s="38"/>
      <c r="L271" s="26"/>
      <c r="M271" s="26"/>
      <c r="N271" s="26" t="str">
        <f t="shared" si="4"/>
        <v/>
      </c>
      <c r="O271" s="27"/>
    </row>
    <row r="272" ht="15.5" hidden="1" customHeight="1" spans="1:15">
      <c r="A272" s="23"/>
      <c r="B272" s="56"/>
      <c r="C272" s="63"/>
      <c r="D272" s="247"/>
      <c r="E272" s="26" t="str">
        <f t="shared" si="5"/>
        <v/>
      </c>
      <c r="F272" s="248"/>
      <c r="G272" s="248"/>
      <c r="H272" s="248"/>
      <c r="I272" s="248"/>
      <c r="J272" s="26"/>
      <c r="K272" s="38"/>
      <c r="L272" s="26"/>
      <c r="M272" s="26"/>
      <c r="N272" s="26" t="str">
        <f t="shared" si="4"/>
        <v/>
      </c>
      <c r="O272" s="27"/>
    </row>
    <row r="273" ht="15.5" hidden="1" customHeight="1" spans="1:15">
      <c r="A273" s="23"/>
      <c r="B273" s="56"/>
      <c r="C273" s="63"/>
      <c r="D273" s="247"/>
      <c r="E273" s="26" t="str">
        <f t="shared" si="5"/>
        <v/>
      </c>
      <c r="F273" s="248"/>
      <c r="G273" s="248"/>
      <c r="H273" s="248"/>
      <c r="I273" s="248"/>
      <c r="J273" s="26"/>
      <c r="K273" s="38"/>
      <c r="L273" s="26"/>
      <c r="M273" s="26"/>
      <c r="N273" s="26" t="str">
        <f t="shared" si="4"/>
        <v/>
      </c>
      <c r="O273" s="27"/>
    </row>
    <row r="274" ht="15.5" hidden="1" customHeight="1" spans="1:15">
      <c r="A274" s="23"/>
      <c r="B274" s="56"/>
      <c r="C274" s="63"/>
      <c r="D274" s="247"/>
      <c r="E274" s="26" t="str">
        <f t="shared" si="5"/>
        <v/>
      </c>
      <c r="F274" s="248"/>
      <c r="G274" s="248"/>
      <c r="H274" s="248"/>
      <c r="I274" s="248"/>
      <c r="J274" s="26"/>
      <c r="K274" s="38"/>
      <c r="L274" s="26"/>
      <c r="M274" s="26"/>
      <c r="N274" s="26" t="str">
        <f t="shared" si="4"/>
        <v/>
      </c>
      <c r="O274" s="27"/>
    </row>
    <row r="275" ht="15.5" hidden="1" customHeight="1" spans="1:15">
      <c r="A275" s="23"/>
      <c r="B275" s="56"/>
      <c r="C275" s="63"/>
      <c r="D275" s="247"/>
      <c r="E275" s="26" t="str">
        <f t="shared" si="5"/>
        <v/>
      </c>
      <c r="F275" s="248"/>
      <c r="G275" s="248"/>
      <c r="H275" s="248"/>
      <c r="I275" s="248"/>
      <c r="J275" s="26"/>
      <c r="K275" s="38"/>
      <c r="L275" s="26"/>
      <c r="M275" s="26"/>
      <c r="N275" s="26" t="str">
        <f t="shared" si="4"/>
        <v/>
      </c>
      <c r="O275" s="27"/>
    </row>
    <row r="276" ht="15.5" customHeight="1" spans="1:15">
      <c r="A276" s="23"/>
      <c r="B276" s="56"/>
      <c r="C276" s="63"/>
      <c r="D276" s="247"/>
      <c r="E276" s="248"/>
      <c r="F276" s="248"/>
      <c r="G276" s="248"/>
      <c r="H276" s="248"/>
      <c r="I276" s="248"/>
      <c r="J276" s="26"/>
      <c r="K276" s="38"/>
      <c r="L276" s="26"/>
      <c r="M276" s="26"/>
      <c r="N276" s="26"/>
      <c r="O276" s="27"/>
    </row>
    <row r="277" ht="15.5" customHeight="1" spans="1:15">
      <c r="A277" s="23" t="s">
        <v>319</v>
      </c>
      <c r="B277" s="28"/>
      <c r="C277" s="63"/>
      <c r="D277" s="38"/>
      <c r="E277" s="26"/>
      <c r="F277" s="26">
        <f>SUM(F7:F276)</f>
        <v>0</v>
      </c>
      <c r="G277" s="26"/>
      <c r="H277" s="26"/>
      <c r="I277" s="26"/>
      <c r="J277" s="26">
        <f>SUM(J7:J276)</f>
        <v>0</v>
      </c>
      <c r="K277" s="38"/>
      <c r="L277" s="26"/>
      <c r="M277" s="26">
        <f>SUM(M7:M276)</f>
        <v>0</v>
      </c>
      <c r="N277" s="26" t="str">
        <f>IF(J277=0,"",(M277-J277)/J277*100)</f>
        <v/>
      </c>
      <c r="O277" s="27"/>
    </row>
    <row r="278" ht="15.5" customHeight="1" spans="1:15">
      <c r="A278" s="29" t="str">
        <f>封面!D11&amp;封面!G11</f>
        <v>被评估单位填表人：</v>
      </c>
      <c r="E278" s="19"/>
      <c r="F278" s="19"/>
      <c r="G278" s="19"/>
      <c r="H278" s="19"/>
      <c r="I278" s="19"/>
      <c r="J278" s="19" t="str">
        <f>"评估人员："&amp;封面!G20</f>
        <v>评估人员：</v>
      </c>
    </row>
    <row r="279" ht="15.5" customHeight="1" spans="1:15">
      <c r="A279" s="13" t="str">
        <f>CONCATENATE(封面!D13,封面!F13,封面!G13,封面!H13,封面!I13,封面!J13,封面!K13)</f>
        <v>填表日期：年月日</v>
      </c>
      <c r="J279" s="220"/>
      <c r="K279" s="78"/>
    </row>
    <row r="280" ht="15.5" customHeight="1" spans="1:15">
      <c r="B280" s="257" t="s">
        <v>337</v>
      </c>
      <c r="C280" s="253" t="s">
        <v>373</v>
      </c>
    </row>
    <row r="281" ht="15.5" customHeight="1" spans="1:15">
      <c r="C281" s="253" t="s">
        <v>374</v>
      </c>
    </row>
  </sheetData>
  <mergeCells count="12">
    <mergeCell ref="A2:O2"/>
    <mergeCell ref="A3:O3"/>
    <mergeCell ref="D5:F5"/>
    <mergeCell ref="H5:J5"/>
    <mergeCell ref="K5:M5"/>
    <mergeCell ref="A277:B277"/>
    <mergeCell ref="A5:A6"/>
    <mergeCell ref="B5:B6"/>
    <mergeCell ref="C5:C6"/>
    <mergeCell ref="G5:G6"/>
    <mergeCell ref="N5:N6"/>
    <mergeCell ref="O5:O6"/>
  </mergeCells>
  <hyperlinks>
    <hyperlink ref="A1" location="索引目录!E19" display="返回索引页"/>
    <hyperlink ref="B1" location="存货汇总!B7" display="返回"/>
  </hyperlinks>
  <printOptions horizontalCentered="1"/>
  <pageMargins left="0.432638888888889" right="0.432638888888889" top="0.826388888888889" bottom="0.786805555555556" header="1.03" footer="0.511805555555556"/>
  <pageSetup paperSize="9" fitToHeight="0" orientation="landscape"/>
  <headerFooter alignWithMargins="0">
    <oddHeader>&amp;R&amp;"宋体,常规"共&amp;"Times New Roman,常规"&amp;N&amp;"宋体,常规"页第&amp;"Times New Roman,常规"&amp;P&amp;"宋体,常规"3-9-2
页</oddHead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pageSetUpPr fitToPage="1"/>
  </sheetPr>
  <dimension ref="A1:P31"/>
  <sheetViews>
    <sheetView view="pageBreakPreview" zoomScale="60" zoomScaleNormal="100" workbookViewId="0">
      <selection activeCell="G451" sqref="G451"/>
    </sheetView>
  </sheetViews>
  <sheetFormatPr defaultColWidth="9" defaultRowHeight="15.75" customHeight="1"/>
  <cols>
    <col min="1" max="1" width="4.83333333333333" style="13" customWidth="1"/>
    <col min="2" max="2" width="14.25" style="13" customWidth="1"/>
    <col min="3" max="3" width="4.83333333333333" style="13" customWidth="1"/>
    <col min="4" max="4" width="10.5833333333333" style="13" hidden="1" customWidth="1" outlineLevel="1"/>
    <col min="5" max="5" width="8.58333333333333" style="251" hidden="1" customWidth="1" outlineLevel="1"/>
    <col min="6" max="7" width="11.3333333333333" style="13" hidden="1" customWidth="1" outlineLevel="1"/>
    <col min="8" max="8" width="12.5" style="13" customWidth="1" collapsed="1"/>
    <col min="9" max="9" width="12.5" style="13" customWidth="1"/>
    <col min="10" max="10" width="14.3333333333333" style="13" customWidth="1"/>
    <col min="11" max="12" width="12.5" style="13" customWidth="1"/>
    <col min="13" max="13" width="14.3333333333333" style="13" customWidth="1"/>
    <col min="14" max="14" width="7.75" style="13" customWidth="1"/>
    <col min="15" max="15" width="11.8333333333333" style="13" customWidth="1"/>
    <col min="16" max="16384" width="9" style="13" customWidth="1"/>
  </cols>
  <sheetData>
    <row r="1" ht="15.5" customHeight="1" spans="1:16">
      <c r="A1" s="14" t="s">
        <v>111</v>
      </c>
      <c r="B1" s="15" t="s">
        <v>210</v>
      </c>
      <c r="C1" s="16"/>
      <c r="D1" s="16"/>
      <c r="E1" s="16"/>
      <c r="F1" s="16"/>
      <c r="G1" s="16"/>
      <c r="H1" s="16"/>
      <c r="I1" s="16"/>
      <c r="J1" s="16"/>
      <c r="K1" s="16"/>
      <c r="L1" s="16"/>
      <c r="M1" s="16"/>
      <c r="N1" s="16"/>
      <c r="O1" s="16"/>
    </row>
    <row r="2" s="11" customFormat="1" ht="30" customHeight="1" spans="1:16">
      <c r="A2" s="17" t="s">
        <v>375</v>
      </c>
    </row>
    <row r="3" ht="14.15" customHeight="1" spans="1:16">
      <c r="A3" s="18" t="str">
        <f>CONCATENATE(封面!D9,封面!F9,封面!G9,封面!H9,封面!I9,封面!J9,封面!K9)</f>
        <v>评估基准日：年月日</v>
      </c>
    </row>
    <row r="4" ht="15.5" customHeight="1" spans="1:16">
      <c r="A4" s="19" t="str">
        <f>封面!D7&amp;封面!F7</f>
        <v>被评估单位：</v>
      </c>
      <c r="O4" s="20" t="s">
        <v>139</v>
      </c>
    </row>
    <row r="5" s="12" customFormat="1" ht="13" customHeight="1" spans="1:16">
      <c r="A5" s="21" t="s">
        <v>141</v>
      </c>
      <c r="B5" s="21" t="s">
        <v>366</v>
      </c>
      <c r="C5" s="22" t="s">
        <v>367</v>
      </c>
      <c r="D5" s="21" t="s">
        <v>175</v>
      </c>
      <c r="E5" s="32"/>
      <c r="F5" s="28"/>
      <c r="G5" s="21" t="s">
        <v>281</v>
      </c>
      <c r="H5" s="33" t="s">
        <v>176</v>
      </c>
      <c r="I5" s="34"/>
      <c r="J5" s="35"/>
      <c r="K5" s="21" t="s">
        <v>177</v>
      </c>
      <c r="L5" s="32"/>
      <c r="M5" s="28"/>
      <c r="N5" s="21" t="s">
        <v>215</v>
      </c>
      <c r="O5" s="21" t="s">
        <v>144</v>
      </c>
      <c r="P5" s="21" t="s">
        <v>376</v>
      </c>
    </row>
    <row r="6" s="12" customFormat="1" ht="13" customHeight="1" spans="1:16">
      <c r="A6" s="36"/>
      <c r="B6" s="36"/>
      <c r="C6" s="36"/>
      <c r="D6" s="21" t="s">
        <v>368</v>
      </c>
      <c r="E6" s="21" t="s">
        <v>369</v>
      </c>
      <c r="F6" s="21" t="s">
        <v>370</v>
      </c>
      <c r="G6" s="36"/>
      <c r="H6" s="21" t="s">
        <v>368</v>
      </c>
      <c r="I6" s="21" t="s">
        <v>369</v>
      </c>
      <c r="J6" s="21" t="s">
        <v>370</v>
      </c>
      <c r="K6" s="33" t="s">
        <v>371</v>
      </c>
      <c r="L6" s="21" t="s">
        <v>369</v>
      </c>
      <c r="M6" s="21" t="s">
        <v>370</v>
      </c>
      <c r="N6" s="36"/>
      <c r="O6" s="36"/>
      <c r="P6" s="36"/>
    </row>
    <row r="7" s="244" customFormat="1" ht="13" customHeight="1" spans="1:16">
      <c r="A7" s="45"/>
      <c r="B7" s="98"/>
      <c r="C7" s="231"/>
      <c r="D7" s="232"/>
      <c r="E7" s="26" t="str">
        <f t="shared" ref="E7:E25" si="0">IF(D7=0,"",F7/D7)</f>
        <v/>
      </c>
      <c r="F7" s="234"/>
      <c r="G7" s="234"/>
      <c r="H7" s="234"/>
      <c r="I7" s="234"/>
      <c r="J7" s="26"/>
      <c r="K7" s="38"/>
      <c r="L7" s="26"/>
      <c r="M7" s="26"/>
      <c r="N7" s="26" t="str">
        <f t="shared" ref="N7:N25" si="1">IF(J7=0,"",(M7-J7)/J7*100)</f>
        <v/>
      </c>
      <c r="O7" s="27"/>
      <c r="P7" s="45"/>
    </row>
    <row r="8" ht="15.5" customHeight="1" spans="1:16">
      <c r="A8" s="23"/>
      <c r="B8" s="67"/>
      <c r="C8" s="27"/>
      <c r="D8" s="247"/>
      <c r="E8" s="26" t="str">
        <f t="shared" si="0"/>
        <v/>
      </c>
      <c r="F8" s="248"/>
      <c r="G8" s="248"/>
      <c r="H8" s="248"/>
      <c r="I8" s="248"/>
      <c r="J8" s="26"/>
      <c r="K8" s="38"/>
      <c r="L8" s="26"/>
      <c r="M8" s="26"/>
      <c r="N8" s="26" t="str">
        <f t="shared" si="1"/>
        <v/>
      </c>
      <c r="O8" s="27"/>
      <c r="P8" s="27"/>
    </row>
    <row r="9" ht="15.5" customHeight="1" spans="1:16">
      <c r="A9" s="23"/>
      <c r="B9" s="24"/>
      <c r="C9" s="27"/>
      <c r="D9" s="247"/>
      <c r="E9" s="26" t="str">
        <f t="shared" si="0"/>
        <v/>
      </c>
      <c r="F9" s="248"/>
      <c r="G9" s="248"/>
      <c r="H9" s="248"/>
      <c r="I9" s="248"/>
      <c r="J9" s="26"/>
      <c r="K9" s="38"/>
      <c r="L9" s="26"/>
      <c r="M9" s="26"/>
      <c r="N9" s="26" t="str">
        <f t="shared" si="1"/>
        <v/>
      </c>
      <c r="O9" s="27"/>
      <c r="P9" s="27"/>
    </row>
    <row r="10" ht="15.5" customHeight="1" spans="1:16">
      <c r="A10" s="23"/>
      <c r="B10" s="24"/>
      <c r="C10" s="27"/>
      <c r="D10" s="247"/>
      <c r="E10" s="26" t="str">
        <f t="shared" si="0"/>
        <v/>
      </c>
      <c r="F10" s="248"/>
      <c r="G10" s="248"/>
      <c r="H10" s="248"/>
      <c r="I10" s="248"/>
      <c r="J10" s="26"/>
      <c r="K10" s="38"/>
      <c r="L10" s="26"/>
      <c r="M10" s="26"/>
      <c r="N10" s="26" t="str">
        <f t="shared" si="1"/>
        <v/>
      </c>
      <c r="O10" s="27"/>
      <c r="P10" s="27"/>
    </row>
    <row r="11" ht="15.5" customHeight="1" spans="1:16">
      <c r="A11" s="23"/>
      <c r="B11" s="24"/>
      <c r="C11" s="27"/>
      <c r="D11" s="247"/>
      <c r="E11" s="26" t="str">
        <f t="shared" si="0"/>
        <v/>
      </c>
      <c r="F11" s="248"/>
      <c r="G11" s="248"/>
      <c r="H11" s="248"/>
      <c r="I11" s="248"/>
      <c r="J11" s="26"/>
      <c r="K11" s="38"/>
      <c r="L11" s="26"/>
      <c r="M11" s="26"/>
      <c r="N11" s="26" t="str">
        <f t="shared" si="1"/>
        <v/>
      </c>
      <c r="O11" s="27"/>
      <c r="P11" s="27"/>
    </row>
    <row r="12" ht="15.5" customHeight="1" spans="1:16">
      <c r="A12" s="23"/>
      <c r="B12" s="24"/>
      <c r="C12" s="27"/>
      <c r="D12" s="247"/>
      <c r="E12" s="26" t="str">
        <f t="shared" si="0"/>
        <v/>
      </c>
      <c r="F12" s="248"/>
      <c r="G12" s="248"/>
      <c r="H12" s="248"/>
      <c r="I12" s="248"/>
      <c r="J12" s="26"/>
      <c r="K12" s="38"/>
      <c r="L12" s="26"/>
      <c r="M12" s="26"/>
      <c r="N12" s="26" t="str">
        <f t="shared" si="1"/>
        <v/>
      </c>
      <c r="O12" s="27"/>
      <c r="P12" s="27"/>
    </row>
    <row r="13" ht="15.5" customHeight="1" spans="1:16">
      <c r="A13" s="23"/>
      <c r="B13" s="24"/>
      <c r="C13" s="27"/>
      <c r="D13" s="247"/>
      <c r="E13" s="26" t="str">
        <f t="shared" si="0"/>
        <v/>
      </c>
      <c r="F13" s="248"/>
      <c r="G13" s="248"/>
      <c r="H13" s="248"/>
      <c r="I13" s="248"/>
      <c r="J13" s="26"/>
      <c r="K13" s="38"/>
      <c r="L13" s="26"/>
      <c r="M13" s="26"/>
      <c r="N13" s="26" t="str">
        <f t="shared" si="1"/>
        <v/>
      </c>
      <c r="O13" s="27"/>
      <c r="P13" s="27"/>
    </row>
    <row r="14" ht="15.5" customHeight="1" spans="1:16">
      <c r="A14" s="23"/>
      <c r="B14" s="67"/>
      <c r="C14" s="27"/>
      <c r="D14" s="247"/>
      <c r="E14" s="26" t="str">
        <f t="shared" si="0"/>
        <v/>
      </c>
      <c r="F14" s="248"/>
      <c r="G14" s="248"/>
      <c r="H14" s="248"/>
      <c r="I14" s="248"/>
      <c r="J14" s="26"/>
      <c r="K14" s="38"/>
      <c r="L14" s="26"/>
      <c r="M14" s="26"/>
      <c r="N14" s="26" t="str">
        <f t="shared" si="1"/>
        <v/>
      </c>
      <c r="O14" s="27"/>
      <c r="P14" s="27"/>
    </row>
    <row r="15" ht="15.5" customHeight="1" spans="1:16">
      <c r="A15" s="23"/>
      <c r="B15" s="67"/>
      <c r="C15" s="27"/>
      <c r="D15" s="247"/>
      <c r="E15" s="26" t="str">
        <f t="shared" si="0"/>
        <v/>
      </c>
      <c r="F15" s="248"/>
      <c r="G15" s="248"/>
      <c r="H15" s="248"/>
      <c r="I15" s="248"/>
      <c r="J15" s="26"/>
      <c r="K15" s="38"/>
      <c r="L15" s="26"/>
      <c r="M15" s="26"/>
      <c r="N15" s="26" t="str">
        <f t="shared" si="1"/>
        <v/>
      </c>
      <c r="O15" s="27"/>
      <c r="P15" s="27"/>
    </row>
    <row r="16" ht="15.5" customHeight="1" spans="1:16">
      <c r="A16" s="23"/>
      <c r="B16" s="24"/>
      <c r="C16" s="27"/>
      <c r="D16" s="247"/>
      <c r="E16" s="26" t="str">
        <f t="shared" si="0"/>
        <v/>
      </c>
      <c r="F16" s="248"/>
      <c r="G16" s="248"/>
      <c r="H16" s="248"/>
      <c r="I16" s="248"/>
      <c r="J16" s="26"/>
      <c r="K16" s="38"/>
      <c r="L16" s="26"/>
      <c r="M16" s="26"/>
      <c r="N16" s="26" t="str">
        <f t="shared" si="1"/>
        <v/>
      </c>
      <c r="O16" s="27"/>
      <c r="P16" s="27"/>
    </row>
    <row r="17" ht="15.5" customHeight="1" spans="1:16">
      <c r="A17" s="23"/>
      <c r="B17" s="24"/>
      <c r="C17" s="27"/>
      <c r="D17" s="247"/>
      <c r="E17" s="26" t="str">
        <f t="shared" si="0"/>
        <v/>
      </c>
      <c r="F17" s="248"/>
      <c r="G17" s="248"/>
      <c r="H17" s="248"/>
      <c r="I17" s="248"/>
      <c r="J17" s="26"/>
      <c r="K17" s="38"/>
      <c r="L17" s="26"/>
      <c r="M17" s="26"/>
      <c r="N17" s="26" t="str">
        <f t="shared" si="1"/>
        <v/>
      </c>
      <c r="O17" s="27"/>
      <c r="P17" s="27"/>
    </row>
    <row r="18" ht="15.5" customHeight="1" spans="1:16">
      <c r="A18" s="23"/>
      <c r="B18" s="24"/>
      <c r="C18" s="27"/>
      <c r="D18" s="247"/>
      <c r="E18" s="26" t="str">
        <f t="shared" si="0"/>
        <v/>
      </c>
      <c r="F18" s="248"/>
      <c r="G18" s="248"/>
      <c r="H18" s="248"/>
      <c r="I18" s="248"/>
      <c r="J18" s="26"/>
      <c r="K18" s="38"/>
      <c r="L18" s="26"/>
      <c r="M18" s="26"/>
      <c r="N18" s="26" t="str">
        <f t="shared" si="1"/>
        <v/>
      </c>
      <c r="O18" s="27"/>
      <c r="P18" s="27"/>
    </row>
    <row r="19" ht="15.5" customHeight="1" spans="1:16">
      <c r="A19" s="23"/>
      <c r="B19" s="24"/>
      <c r="C19" s="27"/>
      <c r="D19" s="247"/>
      <c r="E19" s="26" t="str">
        <f t="shared" si="0"/>
        <v/>
      </c>
      <c r="F19" s="248"/>
      <c r="G19" s="248"/>
      <c r="H19" s="248"/>
      <c r="I19" s="248"/>
      <c r="J19" s="26"/>
      <c r="K19" s="38"/>
      <c r="L19" s="26"/>
      <c r="M19" s="26"/>
      <c r="N19" s="26" t="str">
        <f t="shared" si="1"/>
        <v/>
      </c>
      <c r="O19" s="27"/>
      <c r="P19" s="27"/>
    </row>
    <row r="20" ht="15.5" customHeight="1" spans="1:16">
      <c r="A20" s="23"/>
      <c r="B20" s="24"/>
      <c r="C20" s="27"/>
      <c r="D20" s="247"/>
      <c r="E20" s="26" t="str">
        <f t="shared" si="0"/>
        <v/>
      </c>
      <c r="F20" s="248"/>
      <c r="G20" s="248"/>
      <c r="H20" s="248"/>
      <c r="I20" s="248"/>
      <c r="J20" s="26"/>
      <c r="K20" s="38"/>
      <c r="L20" s="26"/>
      <c r="M20" s="26"/>
      <c r="N20" s="26" t="str">
        <f t="shared" si="1"/>
        <v/>
      </c>
      <c r="O20" s="27"/>
      <c r="P20" s="27"/>
    </row>
    <row r="21" ht="15.5" customHeight="1" spans="1:16">
      <c r="A21" s="23"/>
      <c r="B21" s="24"/>
      <c r="C21" s="27"/>
      <c r="D21" s="247"/>
      <c r="E21" s="26" t="str">
        <f t="shared" si="0"/>
        <v/>
      </c>
      <c r="F21" s="248"/>
      <c r="G21" s="248"/>
      <c r="H21" s="248"/>
      <c r="I21" s="248"/>
      <c r="J21" s="26"/>
      <c r="K21" s="38"/>
      <c r="L21" s="26"/>
      <c r="M21" s="26"/>
      <c r="N21" s="26" t="str">
        <f t="shared" si="1"/>
        <v/>
      </c>
      <c r="O21" s="27"/>
      <c r="P21" s="27"/>
    </row>
    <row r="22" ht="15.5" customHeight="1" spans="1:16">
      <c r="A22" s="23"/>
      <c r="B22" s="67"/>
      <c r="C22" s="27"/>
      <c r="D22" s="247"/>
      <c r="E22" s="26" t="str">
        <f t="shared" si="0"/>
        <v/>
      </c>
      <c r="F22" s="248"/>
      <c r="G22" s="248"/>
      <c r="H22" s="248"/>
      <c r="I22" s="248"/>
      <c r="J22" s="26"/>
      <c r="K22" s="38"/>
      <c r="L22" s="26"/>
      <c r="M22" s="26"/>
      <c r="N22" s="26" t="str">
        <f t="shared" si="1"/>
        <v/>
      </c>
      <c r="O22" s="27"/>
      <c r="P22" s="27"/>
    </row>
    <row r="23" ht="15.5" customHeight="1" spans="1:16">
      <c r="A23" s="23"/>
      <c r="B23" s="67"/>
      <c r="C23" s="27"/>
      <c r="D23" s="247"/>
      <c r="E23" s="26" t="str">
        <f t="shared" si="0"/>
        <v/>
      </c>
      <c r="F23" s="248"/>
      <c r="G23" s="248"/>
      <c r="H23" s="248"/>
      <c r="I23" s="248"/>
      <c r="J23" s="26"/>
      <c r="K23" s="38"/>
      <c r="L23" s="26"/>
      <c r="M23" s="26"/>
      <c r="N23" s="26" t="str">
        <f t="shared" si="1"/>
        <v/>
      </c>
      <c r="O23" s="27"/>
      <c r="P23" s="27"/>
    </row>
    <row r="24" ht="15.5" customHeight="1" spans="1:16">
      <c r="A24" s="23"/>
      <c r="B24" s="24"/>
      <c r="C24" s="27"/>
      <c r="D24" s="247"/>
      <c r="E24" s="26" t="str">
        <f t="shared" si="0"/>
        <v/>
      </c>
      <c r="F24" s="248"/>
      <c r="G24" s="248"/>
      <c r="H24" s="248"/>
      <c r="I24" s="248"/>
      <c r="J24" s="26"/>
      <c r="K24" s="38"/>
      <c r="L24" s="26"/>
      <c r="M24" s="26"/>
      <c r="N24" s="26" t="str">
        <f t="shared" si="1"/>
        <v/>
      </c>
      <c r="O24" s="27"/>
      <c r="P24" s="27"/>
    </row>
    <row r="25" ht="15.5" customHeight="1" spans="1:16">
      <c r="A25" s="23"/>
      <c r="B25" s="24"/>
      <c r="C25" s="27"/>
      <c r="D25" s="247"/>
      <c r="E25" s="26" t="str">
        <f t="shared" si="0"/>
        <v/>
      </c>
      <c r="F25" s="248"/>
      <c r="G25" s="248"/>
      <c r="H25" s="248"/>
      <c r="I25" s="248"/>
      <c r="J25" s="26"/>
      <c r="K25" s="38"/>
      <c r="L25" s="26"/>
      <c r="M25" s="26"/>
      <c r="N25" s="26" t="str">
        <f t="shared" si="1"/>
        <v/>
      </c>
      <c r="O25" s="27"/>
      <c r="P25" s="27"/>
    </row>
    <row r="26" ht="15.5" customHeight="1" spans="1:16">
      <c r="A26" s="23"/>
      <c r="B26" s="24"/>
      <c r="C26" s="27"/>
      <c r="D26" s="247"/>
      <c r="E26" s="248"/>
      <c r="F26" s="248"/>
      <c r="G26" s="248"/>
      <c r="H26" s="248"/>
      <c r="I26" s="248"/>
      <c r="J26" s="26"/>
      <c r="K26" s="38"/>
      <c r="L26" s="26"/>
      <c r="M26" s="26"/>
      <c r="N26" s="26"/>
      <c r="O26" s="27"/>
      <c r="P26" s="27"/>
    </row>
    <row r="27" ht="15.5" customHeight="1" spans="1:16">
      <c r="A27" s="21" t="s">
        <v>319</v>
      </c>
      <c r="B27" s="28"/>
      <c r="C27" s="27"/>
      <c r="D27" s="38"/>
      <c r="E27" s="26"/>
      <c r="F27" s="26">
        <f>SUM(F7:F26)</f>
        <v>0</v>
      </c>
      <c r="G27" s="26"/>
      <c r="H27" s="26"/>
      <c r="I27" s="26"/>
      <c r="J27" s="26">
        <f>SUM(J7:J26)</f>
        <v>0</v>
      </c>
      <c r="K27" s="38"/>
      <c r="L27" s="26"/>
      <c r="M27" s="26">
        <f>SUM(M7:M26)</f>
        <v>0</v>
      </c>
      <c r="N27" s="26" t="str">
        <f>IF(J27=0,"",(M27-J27)/J27*100)</f>
        <v/>
      </c>
      <c r="O27" s="27"/>
      <c r="P27" s="27"/>
    </row>
    <row r="28" ht="15.5" customHeight="1" spans="1:16">
      <c r="A28" s="29" t="str">
        <f>封面!D11&amp;封面!G11</f>
        <v>被评估单位填表人：</v>
      </c>
      <c r="D28" s="251"/>
      <c r="E28" s="19"/>
      <c r="F28" s="19"/>
      <c r="G28" s="19"/>
      <c r="H28" s="19"/>
      <c r="I28" s="19"/>
      <c r="J28" s="19" t="str">
        <f>"评估人员："&amp;封面!G20</f>
        <v>评估人员：</v>
      </c>
    </row>
    <row r="29" ht="15.5" customHeight="1" spans="1:16">
      <c r="A29" s="13" t="str">
        <f>CONCATENATE(封面!D13,封面!F13,封面!G13,封面!H13,封面!I13,封面!J13,封面!K13)</f>
        <v>填表日期：年月日</v>
      </c>
      <c r="D29" s="251"/>
      <c r="F29" s="251"/>
      <c r="G29" s="251"/>
      <c r="H29" s="251"/>
      <c r="I29" s="251"/>
    </row>
    <row r="30" ht="15.5" customHeight="1" spans="1:16">
      <c r="A30" s="12"/>
      <c r="B30" s="20" t="s">
        <v>337</v>
      </c>
      <c r="C30" s="13" t="s">
        <v>373</v>
      </c>
      <c r="D30" s="251"/>
      <c r="F30" s="251"/>
      <c r="G30" s="251"/>
      <c r="H30" s="251"/>
      <c r="I30" s="251"/>
    </row>
    <row r="31" ht="15.5" customHeight="1" spans="1:16">
      <c r="A31" s="12"/>
      <c r="C31" s="13" t="s">
        <v>374</v>
      </c>
      <c r="D31" s="251"/>
      <c r="F31" s="251"/>
      <c r="G31" s="251"/>
      <c r="H31" s="251"/>
      <c r="I31" s="251"/>
    </row>
  </sheetData>
  <mergeCells count="13">
    <mergeCell ref="A2:O2"/>
    <mergeCell ref="A3:O3"/>
    <mergeCell ref="D5:F5"/>
    <mergeCell ref="H5:J5"/>
    <mergeCell ref="K5:M5"/>
    <mergeCell ref="A27:B27"/>
    <mergeCell ref="A5:A6"/>
    <mergeCell ref="B5:B6"/>
    <mergeCell ref="C5:C6"/>
    <mergeCell ref="G5:G6"/>
    <mergeCell ref="N5:N6"/>
    <mergeCell ref="O5:O6"/>
    <mergeCell ref="P5:P6"/>
  </mergeCells>
  <hyperlinks>
    <hyperlink ref="A1" location="索引目录!E20" display="返回索引页"/>
    <hyperlink ref="B1" location="存货汇总!B8" display="返回"/>
  </hyperlinks>
  <printOptions horizontalCentered="1"/>
  <pageMargins left="0.354330708661417" right="0.354330708661417" top="0.78740157480315" bottom="0.78740157480315" header="1.05" footer="0.511811023622047"/>
  <pageSetup paperSize="9" fitToHeight="0" orientation="landscape"/>
  <headerFooter alignWithMargins="0">
    <oddHeader>&amp;R&amp;"宋体,常规"共&amp;"Times New Roman,常规"&amp;N&amp;"宋体,常规"页第&amp;"Times New Roman,常规"&amp;P&amp;"宋体,常规"3-9-3
页</oddHead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pageSetUpPr fitToPage="1"/>
  </sheetPr>
  <dimension ref="A1:P29"/>
  <sheetViews>
    <sheetView view="pageBreakPreview" zoomScale="90" zoomScaleNormal="100" workbookViewId="0">
      <selection activeCell="G451" sqref="G451"/>
    </sheetView>
  </sheetViews>
  <sheetFormatPr defaultColWidth="9" defaultRowHeight="15.75" customHeight="1"/>
  <cols>
    <col min="1" max="1" width="5.75" style="13" customWidth="1"/>
    <col min="2" max="2" width="23.4166666666667" style="13" customWidth="1"/>
    <col min="3" max="3" width="23.8333333333333" style="13" customWidth="1"/>
    <col min="4" max="4" width="5.08333333333333" style="13" customWidth="1"/>
    <col min="5" max="5" width="10.25" style="78" hidden="1" customWidth="1" outlineLevel="1"/>
    <col min="6" max="6" width="6.83333333333333" style="78" hidden="1" customWidth="1" outlineLevel="1"/>
    <col min="7" max="8" width="13.0833333333333" style="78" hidden="1" customWidth="1" outlineLevel="1"/>
    <col min="9" max="9" width="9.66666666666667" style="78" customWidth="1" collapsed="1"/>
    <col min="10" max="10" width="5.5" style="78" customWidth="1"/>
    <col min="11" max="11" width="10" style="78" customWidth="1"/>
    <col min="12" max="12" width="9.16666666666667" style="13" customWidth="1"/>
    <col min="13" max="13" width="4.91666666666667" style="78" customWidth="1"/>
    <col min="14" max="14" width="10.0833333333333" style="78" customWidth="1"/>
    <col min="15" max="15" width="7.5" style="78" customWidth="1"/>
    <col min="16" max="16" width="7.25" style="13" customWidth="1"/>
    <col min="17" max="16384" width="9" style="13" customWidth="1"/>
  </cols>
  <sheetData>
    <row r="1" ht="15.5" customHeight="1" spans="1:16">
      <c r="A1" s="51" t="s">
        <v>111</v>
      </c>
      <c r="B1" s="226" t="s">
        <v>210</v>
      </c>
      <c r="C1" s="12"/>
      <c r="D1" s="12"/>
      <c r="E1" s="12"/>
      <c r="F1" s="12"/>
      <c r="G1" s="12"/>
      <c r="H1" s="12"/>
      <c r="I1" s="12"/>
      <c r="J1" s="12"/>
      <c r="K1" s="12"/>
      <c r="L1" s="12"/>
      <c r="M1" s="12"/>
      <c r="N1" s="12"/>
      <c r="O1" s="12"/>
      <c r="P1" s="12"/>
    </row>
    <row r="2" s="11" customFormat="1" ht="30" customHeight="1" spans="1:16">
      <c r="A2" s="53" t="s">
        <v>377</v>
      </c>
    </row>
    <row r="3" ht="14.15" customHeight="1" spans="1:16">
      <c r="A3" s="18" t="str">
        <f>CONCATENATE(封面!D9,封面!F9,封面!G9,封面!H9,封面!I9,封面!J9,封面!K9)</f>
        <v>评估基准日：年月日</v>
      </c>
    </row>
    <row r="4" ht="15.5" customHeight="1" spans="1:16">
      <c r="A4" s="19" t="str">
        <f>封面!D7&amp;封面!F7</f>
        <v>被评估单位：</v>
      </c>
      <c r="P4" s="54" t="s">
        <v>139</v>
      </c>
    </row>
    <row r="5" s="12" customFormat="1" ht="13" customHeight="1" spans="1:16">
      <c r="A5" s="23" t="s">
        <v>141</v>
      </c>
      <c r="B5" s="23" t="s">
        <v>366</v>
      </c>
      <c r="C5" s="23" t="s">
        <v>378</v>
      </c>
      <c r="D5" s="55" t="s">
        <v>367</v>
      </c>
      <c r="E5" s="23" t="s">
        <v>175</v>
      </c>
      <c r="F5" s="32"/>
      <c r="G5" s="28"/>
      <c r="H5" s="23" t="s">
        <v>281</v>
      </c>
      <c r="I5" s="227" t="s">
        <v>176</v>
      </c>
      <c r="J5" s="34"/>
      <c r="K5" s="35"/>
      <c r="L5" s="71" t="s">
        <v>177</v>
      </c>
      <c r="M5" s="32"/>
      <c r="N5" s="28"/>
      <c r="O5" s="71" t="s">
        <v>215</v>
      </c>
      <c r="P5" s="23" t="s">
        <v>144</v>
      </c>
    </row>
    <row r="6" s="12" customFormat="1" ht="13" customHeight="1" spans="1:16">
      <c r="A6" s="36"/>
      <c r="B6" s="36"/>
      <c r="C6" s="36"/>
      <c r="D6" s="36"/>
      <c r="E6" s="23" t="s">
        <v>368</v>
      </c>
      <c r="F6" s="23" t="s">
        <v>369</v>
      </c>
      <c r="G6" s="23" t="s">
        <v>370</v>
      </c>
      <c r="H6" s="36"/>
      <c r="I6" s="23" t="s">
        <v>368</v>
      </c>
      <c r="J6" s="23" t="s">
        <v>369</v>
      </c>
      <c r="K6" s="23" t="s">
        <v>370</v>
      </c>
      <c r="L6" s="228" t="s">
        <v>371</v>
      </c>
      <c r="M6" s="71" t="s">
        <v>369</v>
      </c>
      <c r="N6" s="71" t="s">
        <v>370</v>
      </c>
      <c r="O6" s="36"/>
      <c r="P6" s="36"/>
    </row>
    <row r="7" ht="15.5" customHeight="1" spans="1:16">
      <c r="A7" s="23"/>
      <c r="B7" s="230"/>
      <c r="C7" s="63"/>
      <c r="D7" s="231"/>
      <c r="E7" s="232"/>
      <c r="F7" s="26"/>
      <c r="G7" s="234"/>
      <c r="H7" s="234"/>
      <c r="I7" s="38"/>
      <c r="J7" s="26"/>
      <c r="K7" s="26"/>
      <c r="L7" s="38"/>
      <c r="M7" s="26"/>
      <c r="N7" s="26"/>
      <c r="O7" s="26" t="str">
        <f t="shared" ref="O7:O25" si="0">IF(K7=0,"",(N7-K7)/K7*100)</f>
        <v/>
      </c>
      <c r="P7" s="27"/>
    </row>
    <row r="8" ht="15.5" customHeight="1" spans="1:16">
      <c r="A8" s="23"/>
      <c r="B8" s="56"/>
      <c r="C8" s="63"/>
      <c r="D8" s="231"/>
      <c r="E8" s="247"/>
      <c r="F8" s="26"/>
      <c r="G8" s="248"/>
      <c r="H8" s="248"/>
      <c r="I8" s="38"/>
      <c r="J8" s="26"/>
      <c r="K8" s="26"/>
      <c r="L8" s="38"/>
      <c r="M8" s="26"/>
      <c r="N8" s="26"/>
      <c r="O8" s="26" t="str">
        <f t="shared" si="0"/>
        <v/>
      </c>
      <c r="P8" s="27"/>
    </row>
    <row r="9" ht="15.5" customHeight="1" spans="1:16">
      <c r="A9" s="23"/>
      <c r="B9" s="56"/>
      <c r="C9" s="63"/>
      <c r="D9" s="231"/>
      <c r="E9" s="247"/>
      <c r="F9" s="26"/>
      <c r="G9" s="248"/>
      <c r="H9" s="248"/>
      <c r="I9" s="38"/>
      <c r="J9" s="26"/>
      <c r="K9" s="26"/>
      <c r="L9" s="38"/>
      <c r="M9" s="26"/>
      <c r="N9" s="26"/>
      <c r="O9" s="26" t="str">
        <f t="shared" si="0"/>
        <v/>
      </c>
      <c r="P9" s="27"/>
    </row>
    <row r="10" ht="15.5" customHeight="1" spans="1:16">
      <c r="A10" s="23"/>
      <c r="B10" s="56"/>
      <c r="C10" s="63"/>
      <c r="D10" s="231"/>
      <c r="E10" s="247"/>
      <c r="F10" s="26"/>
      <c r="G10" s="248"/>
      <c r="H10" s="248"/>
      <c r="I10" s="38"/>
      <c r="J10" s="26"/>
      <c r="K10" s="26"/>
      <c r="L10" s="38"/>
      <c r="M10" s="26"/>
      <c r="N10" s="26"/>
      <c r="O10" s="26" t="str">
        <f t="shared" si="0"/>
        <v/>
      </c>
      <c r="P10" s="27"/>
    </row>
    <row r="11" ht="15.5" customHeight="1" spans="1:16">
      <c r="A11" s="23"/>
      <c r="B11" s="56"/>
      <c r="C11" s="63"/>
      <c r="D11" s="231"/>
      <c r="E11" s="247"/>
      <c r="F11" s="26"/>
      <c r="G11" s="248"/>
      <c r="H11" s="248"/>
      <c r="I11" s="38"/>
      <c r="J11" s="26"/>
      <c r="K11" s="26"/>
      <c r="L11" s="38"/>
      <c r="M11" s="26"/>
      <c r="N11" s="26"/>
      <c r="O11" s="26" t="str">
        <f t="shared" si="0"/>
        <v/>
      </c>
      <c r="P11" s="27"/>
    </row>
    <row r="12" ht="15.5" customHeight="1" spans="1:16">
      <c r="A12" s="23"/>
      <c r="B12" s="24"/>
      <c r="C12" s="23"/>
      <c r="D12" s="27"/>
      <c r="E12" s="247"/>
      <c r="F12" s="26" t="str">
        <f t="shared" ref="F12:F25" si="1">IF(E12=0,"",G12/E12)</f>
        <v/>
      </c>
      <c r="G12" s="248"/>
      <c r="H12" s="248"/>
      <c r="I12" s="248"/>
      <c r="J12" s="248"/>
      <c r="K12" s="26"/>
      <c r="L12" s="38"/>
      <c r="M12" s="26"/>
      <c r="N12" s="26"/>
      <c r="O12" s="26" t="str">
        <f t="shared" si="0"/>
        <v/>
      </c>
      <c r="P12" s="27"/>
    </row>
    <row r="13" ht="15.5" customHeight="1" spans="1:16">
      <c r="A13" s="23"/>
      <c r="B13" s="24"/>
      <c r="C13" s="23"/>
      <c r="D13" s="27"/>
      <c r="E13" s="247"/>
      <c r="F13" s="26" t="str">
        <f t="shared" si="1"/>
        <v/>
      </c>
      <c r="G13" s="248"/>
      <c r="H13" s="248"/>
      <c r="I13" s="248"/>
      <c r="J13" s="248"/>
      <c r="K13" s="26"/>
      <c r="L13" s="38"/>
      <c r="M13" s="26"/>
      <c r="N13" s="26"/>
      <c r="O13" s="26" t="str">
        <f t="shared" si="0"/>
        <v/>
      </c>
      <c r="P13" s="27"/>
    </row>
    <row r="14" ht="15.5" customHeight="1" spans="1:16">
      <c r="A14" s="23"/>
      <c r="B14" s="24"/>
      <c r="C14" s="23"/>
      <c r="D14" s="27"/>
      <c r="E14" s="247"/>
      <c r="F14" s="26" t="str">
        <f t="shared" si="1"/>
        <v/>
      </c>
      <c r="G14" s="248"/>
      <c r="H14" s="248"/>
      <c r="I14" s="248"/>
      <c r="J14" s="248"/>
      <c r="K14" s="26"/>
      <c r="L14" s="38"/>
      <c r="M14" s="26"/>
      <c r="N14" s="26"/>
      <c r="O14" s="26" t="str">
        <f t="shared" si="0"/>
        <v/>
      </c>
      <c r="P14" s="27"/>
    </row>
    <row r="15" ht="15.5" customHeight="1" spans="1:16">
      <c r="A15" s="23"/>
      <c r="B15" s="24"/>
      <c r="C15" s="23"/>
      <c r="D15" s="27"/>
      <c r="E15" s="247"/>
      <c r="F15" s="26" t="str">
        <f t="shared" si="1"/>
        <v/>
      </c>
      <c r="G15" s="248"/>
      <c r="H15" s="248"/>
      <c r="I15" s="248"/>
      <c r="J15" s="248"/>
      <c r="K15" s="26"/>
      <c r="L15" s="38"/>
      <c r="M15" s="26"/>
      <c r="N15" s="26"/>
      <c r="O15" s="26" t="str">
        <f t="shared" si="0"/>
        <v/>
      </c>
      <c r="P15" s="27"/>
    </row>
    <row r="16" ht="15.5" customHeight="1" spans="1:16">
      <c r="A16" s="23"/>
      <c r="B16" s="24"/>
      <c r="C16" s="23"/>
      <c r="D16" s="27"/>
      <c r="E16" s="247"/>
      <c r="F16" s="26" t="str">
        <f t="shared" si="1"/>
        <v/>
      </c>
      <c r="G16" s="248"/>
      <c r="H16" s="248"/>
      <c r="I16" s="248"/>
      <c r="J16" s="248"/>
      <c r="K16" s="26"/>
      <c r="L16" s="38"/>
      <c r="M16" s="26"/>
      <c r="N16" s="26"/>
      <c r="O16" s="26" t="str">
        <f t="shared" si="0"/>
        <v/>
      </c>
      <c r="P16" s="27"/>
    </row>
    <row r="17" ht="15.5" customHeight="1" spans="1:16">
      <c r="A17" s="23"/>
      <c r="B17" s="24"/>
      <c r="C17" s="23"/>
      <c r="D17" s="27"/>
      <c r="E17" s="247"/>
      <c r="F17" s="26" t="str">
        <f t="shared" si="1"/>
        <v/>
      </c>
      <c r="G17" s="248"/>
      <c r="H17" s="248"/>
      <c r="I17" s="248"/>
      <c r="J17" s="248"/>
      <c r="K17" s="26"/>
      <c r="L17" s="38"/>
      <c r="M17" s="26"/>
      <c r="N17" s="26"/>
      <c r="O17" s="26" t="str">
        <f t="shared" si="0"/>
        <v/>
      </c>
      <c r="P17" s="27"/>
    </row>
    <row r="18" ht="15.5" customHeight="1" spans="1:16">
      <c r="A18" s="23"/>
      <c r="B18" s="24"/>
      <c r="C18" s="23"/>
      <c r="D18" s="27"/>
      <c r="E18" s="247"/>
      <c r="F18" s="26" t="str">
        <f t="shared" si="1"/>
        <v/>
      </c>
      <c r="G18" s="248"/>
      <c r="H18" s="248"/>
      <c r="I18" s="248"/>
      <c r="J18" s="248"/>
      <c r="K18" s="26"/>
      <c r="L18" s="38"/>
      <c r="M18" s="26"/>
      <c r="N18" s="26"/>
      <c r="O18" s="26" t="str">
        <f t="shared" si="0"/>
        <v/>
      </c>
      <c r="P18" s="27"/>
    </row>
    <row r="19" ht="15.5" customHeight="1" spans="1:16">
      <c r="A19" s="23"/>
      <c r="B19" s="24"/>
      <c r="C19" s="23"/>
      <c r="D19" s="27"/>
      <c r="E19" s="247"/>
      <c r="F19" s="26" t="str">
        <f t="shared" si="1"/>
        <v/>
      </c>
      <c r="G19" s="248"/>
      <c r="H19" s="248"/>
      <c r="I19" s="248"/>
      <c r="J19" s="248"/>
      <c r="K19" s="26"/>
      <c r="L19" s="38"/>
      <c r="M19" s="26"/>
      <c r="N19" s="26"/>
      <c r="O19" s="26" t="str">
        <f t="shared" si="0"/>
        <v/>
      </c>
      <c r="P19" s="27"/>
    </row>
    <row r="20" ht="15.5" customHeight="1" spans="1:16">
      <c r="A20" s="23"/>
      <c r="B20" s="24"/>
      <c r="C20" s="23"/>
      <c r="D20" s="27"/>
      <c r="E20" s="247"/>
      <c r="F20" s="26" t="str">
        <f t="shared" si="1"/>
        <v/>
      </c>
      <c r="G20" s="248"/>
      <c r="H20" s="248"/>
      <c r="I20" s="248"/>
      <c r="J20" s="248"/>
      <c r="K20" s="26"/>
      <c r="L20" s="38"/>
      <c r="M20" s="26"/>
      <c r="N20" s="26"/>
      <c r="O20" s="26" t="str">
        <f t="shared" si="0"/>
        <v/>
      </c>
      <c r="P20" s="27"/>
    </row>
    <row r="21" ht="15.5" customHeight="1" spans="1:16">
      <c r="A21" s="23"/>
      <c r="B21" s="24"/>
      <c r="C21" s="23"/>
      <c r="D21" s="27"/>
      <c r="E21" s="247"/>
      <c r="F21" s="26" t="str">
        <f t="shared" si="1"/>
        <v/>
      </c>
      <c r="G21" s="248"/>
      <c r="H21" s="248"/>
      <c r="I21" s="248"/>
      <c r="J21" s="248"/>
      <c r="K21" s="26"/>
      <c r="L21" s="38"/>
      <c r="M21" s="26"/>
      <c r="N21" s="26"/>
      <c r="O21" s="26" t="str">
        <f t="shared" si="0"/>
        <v/>
      </c>
      <c r="P21" s="27"/>
    </row>
    <row r="22" ht="15.5" customHeight="1" spans="1:16">
      <c r="A22" s="23"/>
      <c r="B22" s="24"/>
      <c r="C22" s="23"/>
      <c r="D22" s="27"/>
      <c r="E22" s="247"/>
      <c r="F22" s="26" t="str">
        <f t="shared" si="1"/>
        <v/>
      </c>
      <c r="G22" s="248"/>
      <c r="H22" s="248"/>
      <c r="I22" s="248"/>
      <c r="J22" s="248"/>
      <c r="K22" s="26"/>
      <c r="L22" s="38"/>
      <c r="M22" s="26"/>
      <c r="N22" s="26"/>
      <c r="O22" s="26" t="str">
        <f t="shared" si="0"/>
        <v/>
      </c>
      <c r="P22" s="27"/>
    </row>
    <row r="23" ht="15.5" customHeight="1" spans="1:16">
      <c r="A23" s="23"/>
      <c r="B23" s="24"/>
      <c r="C23" s="23"/>
      <c r="D23" s="27"/>
      <c r="E23" s="247"/>
      <c r="F23" s="26" t="str">
        <f t="shared" si="1"/>
        <v/>
      </c>
      <c r="G23" s="248"/>
      <c r="H23" s="248"/>
      <c r="I23" s="248"/>
      <c r="J23" s="248"/>
      <c r="K23" s="26"/>
      <c r="L23" s="38"/>
      <c r="M23" s="26"/>
      <c r="N23" s="26"/>
      <c r="O23" s="26" t="str">
        <f t="shared" si="0"/>
        <v/>
      </c>
      <c r="P23" s="27"/>
    </row>
    <row r="24" ht="15.5" customHeight="1" spans="1:16">
      <c r="A24" s="23"/>
      <c r="B24" s="24"/>
      <c r="C24" s="23"/>
      <c r="D24" s="27"/>
      <c r="E24" s="247"/>
      <c r="F24" s="26" t="str">
        <f t="shared" si="1"/>
        <v/>
      </c>
      <c r="G24" s="248"/>
      <c r="H24" s="248"/>
      <c r="I24" s="248"/>
      <c r="J24" s="248"/>
      <c r="K24" s="26"/>
      <c r="L24" s="38"/>
      <c r="M24" s="26"/>
      <c r="N24" s="26"/>
      <c r="O24" s="26" t="str">
        <f t="shared" si="0"/>
        <v/>
      </c>
      <c r="P24" s="27"/>
    </row>
    <row r="25" ht="15.5" customHeight="1" spans="1:16">
      <c r="A25" s="23"/>
      <c r="B25" s="24"/>
      <c r="C25" s="23"/>
      <c r="D25" s="27"/>
      <c r="E25" s="247"/>
      <c r="F25" s="26" t="str">
        <f t="shared" si="1"/>
        <v/>
      </c>
      <c r="G25" s="248"/>
      <c r="H25" s="248"/>
      <c r="I25" s="248"/>
      <c r="J25" s="248"/>
      <c r="K25" s="26"/>
      <c r="L25" s="38"/>
      <c r="M25" s="26"/>
      <c r="N25" s="26"/>
      <c r="O25" s="26" t="str">
        <f t="shared" si="0"/>
        <v/>
      </c>
      <c r="P25" s="27"/>
    </row>
    <row r="26" ht="15.5" customHeight="1" spans="1:16">
      <c r="A26" s="23"/>
      <c r="B26" s="24"/>
      <c r="C26" s="23"/>
      <c r="D26" s="27"/>
      <c r="E26" s="247"/>
      <c r="F26" s="248"/>
      <c r="G26" s="248"/>
      <c r="H26" s="248"/>
      <c r="I26" s="248"/>
      <c r="J26" s="248"/>
      <c r="K26" s="26"/>
      <c r="L26" s="38"/>
      <c r="M26" s="26"/>
      <c r="N26" s="26"/>
      <c r="O26" s="26"/>
      <c r="P26" s="27"/>
    </row>
    <row r="27" ht="15.5" customHeight="1" spans="1:16">
      <c r="A27" s="23" t="s">
        <v>319</v>
      </c>
      <c r="B27" s="28"/>
      <c r="C27" s="23"/>
      <c r="D27" s="27"/>
      <c r="E27" s="38"/>
      <c r="F27" s="26"/>
      <c r="G27" s="26">
        <f>SUM(G7:G26)</f>
        <v>0</v>
      </c>
      <c r="H27" s="26"/>
      <c r="I27" s="26"/>
      <c r="J27" s="26"/>
      <c r="K27" s="26">
        <f>SUM(K7:K26)</f>
        <v>0</v>
      </c>
      <c r="L27" s="38"/>
      <c r="M27" s="26"/>
      <c r="N27" s="26">
        <f>SUM(N7:N26)</f>
        <v>0</v>
      </c>
      <c r="O27" s="26" t="str">
        <f>IF(K27=0,"",(N27-K27)/K27*100)</f>
        <v/>
      </c>
      <c r="P27" s="27"/>
    </row>
    <row r="28" ht="15.5" customHeight="1" spans="1:16">
      <c r="A28" s="29" t="str">
        <f>封面!D11&amp;封面!G11</f>
        <v>被评估单位填表人：</v>
      </c>
      <c r="K28" s="19" t="str">
        <f>"评估人员："&amp;封面!G20</f>
        <v>评估人员：</v>
      </c>
    </row>
    <row r="29" ht="15.5" customHeight="1" spans="1:16">
      <c r="A29" s="29" t="str">
        <f>CONCATENATE(封面!D13,封面!F13,封面!G13,封面!H13,封面!I13,封面!J13,封面!K13)</f>
        <v>填表日期：年月日</v>
      </c>
    </row>
  </sheetData>
  <mergeCells count="13">
    <mergeCell ref="A2:P2"/>
    <mergeCell ref="A3:P3"/>
    <mergeCell ref="E5:G5"/>
    <mergeCell ref="I5:K5"/>
    <mergeCell ref="L5:N5"/>
    <mergeCell ref="A27:B27"/>
    <mergeCell ref="A5:A6"/>
    <mergeCell ref="B5:B6"/>
    <mergeCell ref="C5:C6"/>
    <mergeCell ref="D5:D6"/>
    <mergeCell ref="H5:H6"/>
    <mergeCell ref="O5:O6"/>
    <mergeCell ref="P5:P6"/>
  </mergeCells>
  <hyperlinks>
    <hyperlink ref="A1" location="索引目录!E21" display="返回索引页"/>
    <hyperlink ref="B1" location="存货汇总!B9" display="返回"/>
  </hyperlinks>
  <printOptions horizontalCentered="1"/>
  <pageMargins left="0.354330708661417" right="0.354330708661417" top="0.78740157480315" bottom="0.78740157480315" header="1.02" footer="0.511811023622047"/>
  <pageSetup paperSize="9" fitToHeight="0" orientation="landscape"/>
  <headerFooter alignWithMargins="0">
    <oddHeader>&amp;R&amp;"宋体,常规"共&amp;"Times New Roman,常规"&amp;N&amp;"宋体,常规"页第&amp;"Times New Roman,常规"&amp;P&amp;"宋体,常规"3-9-4
页</oddHead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7">
    <pageSetUpPr fitToPage="1"/>
  </sheetPr>
  <dimension ref="A1:P31"/>
  <sheetViews>
    <sheetView view="pageBreakPreview" zoomScale="60" zoomScaleNormal="100" workbookViewId="0">
      <selection activeCell="G451" sqref="G451"/>
    </sheetView>
  </sheetViews>
  <sheetFormatPr defaultColWidth="9" defaultRowHeight="15.75" customHeight="1"/>
  <cols>
    <col min="1" max="1" width="5.83333333333333" style="13" customWidth="1"/>
    <col min="2" max="2" width="18.8333333333333" style="13" customWidth="1"/>
    <col min="3" max="3" width="4.08333333333333" style="13" customWidth="1"/>
    <col min="4" max="4" width="10.5833333333333" style="13" hidden="1" customWidth="1" outlineLevel="1"/>
    <col min="5" max="5" width="8.08333333333333" style="13" hidden="1" customWidth="1" outlineLevel="1"/>
    <col min="6" max="7" width="13.0833333333333" style="251" hidden="1" customWidth="1" outlineLevel="1"/>
    <col min="8" max="8" width="11.3333333333333" style="251" customWidth="1" collapsed="1"/>
    <col min="9" max="9" width="11.3333333333333" style="251" customWidth="1"/>
    <col min="10" max="10" width="13.75" style="13" customWidth="1"/>
    <col min="11" max="12" width="11.3333333333333" style="13" customWidth="1"/>
    <col min="13" max="13" width="13.75" style="13" customWidth="1"/>
    <col min="14" max="14" width="9.58333333333333" style="13" customWidth="1"/>
    <col min="15" max="15" width="10.8333333333333" style="13" customWidth="1"/>
    <col min="16" max="16" width="8.25" style="13" customWidth="1"/>
    <col min="17" max="16384" width="9" style="13" customWidth="1"/>
  </cols>
  <sheetData>
    <row r="1" ht="15.5" customHeight="1" spans="1:16">
      <c r="A1" s="14" t="s">
        <v>111</v>
      </c>
      <c r="B1" s="15" t="s">
        <v>210</v>
      </c>
      <c r="C1" s="16"/>
      <c r="D1" s="16"/>
      <c r="E1" s="16"/>
      <c r="F1" s="16"/>
      <c r="G1" s="16"/>
      <c r="H1" s="16"/>
      <c r="I1" s="16"/>
      <c r="J1" s="16"/>
      <c r="K1" s="16"/>
      <c r="L1" s="16"/>
      <c r="M1" s="16"/>
      <c r="N1" s="16"/>
      <c r="O1" s="16"/>
    </row>
    <row r="2" s="11" customFormat="1" ht="30" customHeight="1" spans="1:16">
      <c r="A2" s="17" t="s">
        <v>379</v>
      </c>
    </row>
    <row r="3" ht="14.15" customHeight="1" spans="1:16">
      <c r="A3" s="18" t="str">
        <f>CONCATENATE(封面!D9,封面!F9,封面!G9,封面!H9,封面!I9,封面!J9,封面!K9)</f>
        <v>评估基准日：年月日</v>
      </c>
    </row>
    <row r="4" ht="15.5" customHeight="1" spans="1:16">
      <c r="A4" s="19" t="str">
        <f>封面!D7&amp;封面!F7</f>
        <v>被评估单位：</v>
      </c>
      <c r="O4" s="20" t="s">
        <v>139</v>
      </c>
    </row>
    <row r="5" s="12" customFormat="1" ht="13" customHeight="1" spans="1:16">
      <c r="A5" s="21" t="s">
        <v>141</v>
      </c>
      <c r="B5" s="21" t="s">
        <v>366</v>
      </c>
      <c r="C5" s="22" t="s">
        <v>367</v>
      </c>
      <c r="D5" s="21" t="s">
        <v>175</v>
      </c>
      <c r="E5" s="32"/>
      <c r="F5" s="28"/>
      <c r="G5" s="21" t="s">
        <v>281</v>
      </c>
      <c r="H5" s="33" t="s">
        <v>176</v>
      </c>
      <c r="I5" s="34"/>
      <c r="J5" s="35"/>
      <c r="K5" s="21" t="s">
        <v>177</v>
      </c>
      <c r="L5" s="32"/>
      <c r="M5" s="28"/>
      <c r="N5" s="21" t="s">
        <v>215</v>
      </c>
      <c r="O5" s="21" t="s">
        <v>144</v>
      </c>
      <c r="P5" s="21" t="s">
        <v>376</v>
      </c>
    </row>
    <row r="6" s="12" customFormat="1" ht="13" customHeight="1" spans="1:16">
      <c r="A6" s="36"/>
      <c r="B6" s="36"/>
      <c r="C6" s="36"/>
      <c r="D6" s="21" t="s">
        <v>368</v>
      </c>
      <c r="E6" s="21" t="s">
        <v>369</v>
      </c>
      <c r="F6" s="21" t="s">
        <v>370</v>
      </c>
      <c r="G6" s="36"/>
      <c r="H6" s="21" t="s">
        <v>368</v>
      </c>
      <c r="I6" s="21" t="s">
        <v>369</v>
      </c>
      <c r="J6" s="21" t="s">
        <v>370</v>
      </c>
      <c r="K6" s="33" t="s">
        <v>371</v>
      </c>
      <c r="L6" s="21" t="s">
        <v>369</v>
      </c>
      <c r="M6" s="21" t="s">
        <v>370</v>
      </c>
      <c r="N6" s="36"/>
      <c r="O6" s="36"/>
      <c r="P6" s="36"/>
    </row>
    <row r="7" s="244" customFormat="1" ht="13" customHeight="1" spans="1:16">
      <c r="A7" s="45"/>
      <c r="B7" s="98"/>
      <c r="C7" s="231"/>
      <c r="D7" s="232"/>
      <c r="E7" s="26" t="str">
        <f t="shared" ref="E7:E25" si="0">IF(D7=0,"",F7/D7)</f>
        <v/>
      </c>
      <c r="F7" s="234"/>
      <c r="G7" s="234"/>
      <c r="H7" s="234"/>
      <c r="I7" s="234"/>
      <c r="J7" s="26"/>
      <c r="K7" s="38"/>
      <c r="L7" s="26"/>
      <c r="M7" s="26"/>
      <c r="N7" s="26" t="str">
        <f t="shared" ref="N7:N25" si="1">IF(J7=0,"",(M7-J7)/J7*100)</f>
        <v/>
      </c>
      <c r="O7" s="27"/>
      <c r="P7" s="45"/>
    </row>
    <row r="8" ht="15.5" customHeight="1" spans="1:16">
      <c r="A8" s="23"/>
      <c r="B8" s="67"/>
      <c r="C8" s="27"/>
      <c r="D8" s="247"/>
      <c r="E8" s="26" t="str">
        <f t="shared" si="0"/>
        <v/>
      </c>
      <c r="F8" s="248"/>
      <c r="G8" s="248"/>
      <c r="H8" s="248"/>
      <c r="I8" s="248"/>
      <c r="J8" s="26"/>
      <c r="K8" s="38"/>
      <c r="L8" s="26"/>
      <c r="M8" s="26"/>
      <c r="N8" s="26" t="str">
        <f t="shared" si="1"/>
        <v/>
      </c>
      <c r="O8" s="27"/>
      <c r="P8" s="27"/>
    </row>
    <row r="9" ht="15.5" customHeight="1" spans="1:16">
      <c r="A9" s="23"/>
      <c r="B9" s="24"/>
      <c r="C9" s="27"/>
      <c r="D9" s="247"/>
      <c r="E9" s="26" t="str">
        <f t="shared" si="0"/>
        <v/>
      </c>
      <c r="F9" s="248"/>
      <c r="G9" s="248"/>
      <c r="H9" s="248"/>
      <c r="I9" s="248"/>
      <c r="J9" s="26"/>
      <c r="K9" s="38"/>
      <c r="L9" s="26"/>
      <c r="M9" s="26"/>
      <c r="N9" s="26" t="str">
        <f t="shared" si="1"/>
        <v/>
      </c>
      <c r="O9" s="27"/>
      <c r="P9" s="27"/>
    </row>
    <row r="10" ht="15.5" customHeight="1" spans="1:16">
      <c r="A10" s="23"/>
      <c r="B10" s="24"/>
      <c r="C10" s="27"/>
      <c r="D10" s="247"/>
      <c r="E10" s="26" t="str">
        <f t="shared" si="0"/>
        <v/>
      </c>
      <c r="F10" s="248"/>
      <c r="G10" s="248"/>
      <c r="H10" s="248"/>
      <c r="I10" s="248"/>
      <c r="J10" s="26"/>
      <c r="K10" s="38"/>
      <c r="L10" s="26"/>
      <c r="M10" s="26"/>
      <c r="N10" s="26" t="str">
        <f t="shared" si="1"/>
        <v/>
      </c>
      <c r="O10" s="27"/>
      <c r="P10" s="27"/>
    </row>
    <row r="11" ht="15.5" customHeight="1" spans="1:16">
      <c r="A11" s="23"/>
      <c r="B11" s="24"/>
      <c r="C11" s="27"/>
      <c r="D11" s="247"/>
      <c r="E11" s="26" t="str">
        <f t="shared" si="0"/>
        <v/>
      </c>
      <c r="F11" s="248"/>
      <c r="G11" s="248"/>
      <c r="H11" s="248"/>
      <c r="I11" s="248"/>
      <c r="J11" s="26"/>
      <c r="K11" s="38"/>
      <c r="L11" s="26"/>
      <c r="M11" s="26"/>
      <c r="N11" s="26" t="str">
        <f t="shared" si="1"/>
        <v/>
      </c>
      <c r="O11" s="27"/>
      <c r="P11" s="27"/>
    </row>
    <row r="12" ht="15.5" customHeight="1" spans="1:16">
      <c r="A12" s="23"/>
      <c r="B12" s="24"/>
      <c r="C12" s="27"/>
      <c r="D12" s="247"/>
      <c r="E12" s="26" t="str">
        <f t="shared" si="0"/>
        <v/>
      </c>
      <c r="F12" s="248"/>
      <c r="G12" s="248"/>
      <c r="H12" s="248"/>
      <c r="I12" s="248"/>
      <c r="J12" s="26"/>
      <c r="K12" s="38"/>
      <c r="L12" s="26"/>
      <c r="M12" s="26"/>
      <c r="N12" s="26" t="str">
        <f t="shared" si="1"/>
        <v/>
      </c>
      <c r="O12" s="27"/>
      <c r="P12" s="27"/>
    </row>
    <row r="13" ht="15.5" customHeight="1" spans="1:16">
      <c r="A13" s="23"/>
      <c r="B13" s="24"/>
      <c r="C13" s="27"/>
      <c r="D13" s="247"/>
      <c r="E13" s="26" t="str">
        <f t="shared" si="0"/>
        <v/>
      </c>
      <c r="F13" s="248"/>
      <c r="G13" s="248"/>
      <c r="H13" s="248"/>
      <c r="I13" s="248"/>
      <c r="J13" s="26"/>
      <c r="K13" s="38"/>
      <c r="L13" s="26"/>
      <c r="M13" s="26"/>
      <c r="N13" s="26" t="str">
        <f t="shared" si="1"/>
        <v/>
      </c>
      <c r="O13" s="27"/>
      <c r="P13" s="27"/>
    </row>
    <row r="14" ht="15.5" customHeight="1" spans="1:16">
      <c r="A14" s="23"/>
      <c r="B14" s="67"/>
      <c r="C14" s="27"/>
      <c r="D14" s="247"/>
      <c r="E14" s="26" t="str">
        <f t="shared" si="0"/>
        <v/>
      </c>
      <c r="F14" s="248"/>
      <c r="G14" s="248"/>
      <c r="H14" s="248"/>
      <c r="I14" s="248"/>
      <c r="J14" s="26"/>
      <c r="K14" s="38"/>
      <c r="L14" s="26"/>
      <c r="M14" s="26"/>
      <c r="N14" s="26" t="str">
        <f t="shared" si="1"/>
        <v/>
      </c>
      <c r="O14" s="27"/>
      <c r="P14" s="27"/>
    </row>
    <row r="15" ht="15.5" customHeight="1" spans="1:16">
      <c r="A15" s="23"/>
      <c r="B15" s="67"/>
      <c r="C15" s="27"/>
      <c r="D15" s="247"/>
      <c r="E15" s="26" t="str">
        <f t="shared" si="0"/>
        <v/>
      </c>
      <c r="F15" s="248"/>
      <c r="G15" s="248"/>
      <c r="H15" s="248"/>
      <c r="I15" s="248"/>
      <c r="J15" s="26"/>
      <c r="K15" s="38"/>
      <c r="L15" s="26"/>
      <c r="M15" s="26"/>
      <c r="N15" s="26" t="str">
        <f t="shared" si="1"/>
        <v/>
      </c>
      <c r="O15" s="27"/>
      <c r="P15" s="27"/>
    </row>
    <row r="16" ht="15.5" customHeight="1" spans="1:16">
      <c r="A16" s="23"/>
      <c r="B16" s="24"/>
      <c r="C16" s="27"/>
      <c r="D16" s="247"/>
      <c r="E16" s="26" t="str">
        <f t="shared" si="0"/>
        <v/>
      </c>
      <c r="F16" s="248"/>
      <c r="G16" s="248"/>
      <c r="H16" s="248"/>
      <c r="I16" s="248"/>
      <c r="J16" s="26"/>
      <c r="K16" s="38"/>
      <c r="L16" s="26"/>
      <c r="M16" s="26"/>
      <c r="N16" s="26" t="str">
        <f t="shared" si="1"/>
        <v/>
      </c>
      <c r="O16" s="27"/>
      <c r="P16" s="27"/>
    </row>
    <row r="17" ht="15.5" customHeight="1" spans="1:16">
      <c r="A17" s="23"/>
      <c r="B17" s="24"/>
      <c r="C17" s="27"/>
      <c r="D17" s="247"/>
      <c r="E17" s="26" t="str">
        <f t="shared" si="0"/>
        <v/>
      </c>
      <c r="F17" s="248"/>
      <c r="G17" s="248"/>
      <c r="H17" s="248"/>
      <c r="I17" s="248"/>
      <c r="J17" s="26"/>
      <c r="K17" s="38"/>
      <c r="L17" s="26"/>
      <c r="M17" s="26"/>
      <c r="N17" s="26" t="str">
        <f t="shared" si="1"/>
        <v/>
      </c>
      <c r="O17" s="27"/>
      <c r="P17" s="27"/>
    </row>
    <row r="18" ht="15.5" customHeight="1" spans="1:16">
      <c r="A18" s="23"/>
      <c r="B18" s="24"/>
      <c r="C18" s="27"/>
      <c r="D18" s="247"/>
      <c r="E18" s="26" t="str">
        <f t="shared" si="0"/>
        <v/>
      </c>
      <c r="F18" s="248"/>
      <c r="G18" s="248"/>
      <c r="H18" s="248"/>
      <c r="I18" s="248"/>
      <c r="J18" s="26"/>
      <c r="K18" s="38"/>
      <c r="L18" s="26"/>
      <c r="M18" s="26"/>
      <c r="N18" s="26" t="str">
        <f t="shared" si="1"/>
        <v/>
      </c>
      <c r="O18" s="27"/>
      <c r="P18" s="27"/>
    </row>
    <row r="19" ht="15.5" customHeight="1" spans="1:16">
      <c r="A19" s="23"/>
      <c r="B19" s="24"/>
      <c r="C19" s="27"/>
      <c r="D19" s="247"/>
      <c r="E19" s="26" t="str">
        <f t="shared" si="0"/>
        <v/>
      </c>
      <c r="F19" s="248"/>
      <c r="G19" s="248"/>
      <c r="H19" s="248"/>
      <c r="I19" s="248"/>
      <c r="J19" s="26"/>
      <c r="K19" s="38"/>
      <c r="L19" s="26"/>
      <c r="M19" s="26"/>
      <c r="N19" s="26" t="str">
        <f t="shared" si="1"/>
        <v/>
      </c>
      <c r="O19" s="27"/>
      <c r="P19" s="27"/>
    </row>
    <row r="20" ht="15.5" customHeight="1" spans="1:16">
      <c r="A20" s="23"/>
      <c r="B20" s="24"/>
      <c r="C20" s="27"/>
      <c r="D20" s="247"/>
      <c r="E20" s="26" t="str">
        <f t="shared" si="0"/>
        <v/>
      </c>
      <c r="F20" s="248"/>
      <c r="G20" s="248"/>
      <c r="H20" s="248"/>
      <c r="I20" s="248"/>
      <c r="J20" s="26"/>
      <c r="K20" s="38"/>
      <c r="L20" s="26"/>
      <c r="M20" s="26"/>
      <c r="N20" s="26" t="str">
        <f t="shared" si="1"/>
        <v/>
      </c>
      <c r="O20" s="27"/>
      <c r="P20" s="27"/>
    </row>
    <row r="21" ht="15.5" customHeight="1" spans="1:16">
      <c r="A21" s="23"/>
      <c r="B21" s="24"/>
      <c r="C21" s="27"/>
      <c r="D21" s="247"/>
      <c r="E21" s="26" t="str">
        <f t="shared" si="0"/>
        <v/>
      </c>
      <c r="F21" s="248"/>
      <c r="G21" s="248"/>
      <c r="H21" s="248"/>
      <c r="I21" s="248"/>
      <c r="J21" s="26"/>
      <c r="K21" s="38"/>
      <c r="L21" s="26"/>
      <c r="M21" s="26"/>
      <c r="N21" s="26" t="str">
        <f t="shared" si="1"/>
        <v/>
      </c>
      <c r="O21" s="27"/>
      <c r="P21" s="27"/>
    </row>
    <row r="22" ht="15.5" customHeight="1" spans="1:16">
      <c r="A22" s="23"/>
      <c r="B22" s="67"/>
      <c r="C22" s="27"/>
      <c r="D22" s="247"/>
      <c r="E22" s="26" t="str">
        <f t="shared" si="0"/>
        <v/>
      </c>
      <c r="F22" s="248"/>
      <c r="G22" s="248"/>
      <c r="H22" s="248"/>
      <c r="I22" s="248"/>
      <c r="J22" s="26"/>
      <c r="K22" s="38"/>
      <c r="L22" s="26"/>
      <c r="M22" s="26"/>
      <c r="N22" s="26" t="str">
        <f t="shared" si="1"/>
        <v/>
      </c>
      <c r="O22" s="27"/>
      <c r="P22" s="27"/>
    </row>
    <row r="23" ht="15.5" customHeight="1" spans="1:16">
      <c r="A23" s="23"/>
      <c r="B23" s="67"/>
      <c r="C23" s="27"/>
      <c r="D23" s="247"/>
      <c r="E23" s="26" t="str">
        <f t="shared" si="0"/>
        <v/>
      </c>
      <c r="F23" s="248"/>
      <c r="G23" s="248"/>
      <c r="H23" s="248"/>
      <c r="I23" s="248"/>
      <c r="J23" s="26"/>
      <c r="K23" s="38"/>
      <c r="L23" s="26"/>
      <c r="M23" s="26"/>
      <c r="N23" s="26" t="str">
        <f t="shared" si="1"/>
        <v/>
      </c>
      <c r="O23" s="27"/>
      <c r="P23" s="27"/>
    </row>
    <row r="24" ht="15.5" customHeight="1" spans="1:16">
      <c r="A24" s="23"/>
      <c r="B24" s="24"/>
      <c r="C24" s="27"/>
      <c r="D24" s="247"/>
      <c r="E24" s="26" t="str">
        <f t="shared" si="0"/>
        <v/>
      </c>
      <c r="F24" s="248"/>
      <c r="G24" s="248"/>
      <c r="H24" s="248"/>
      <c r="I24" s="248"/>
      <c r="J24" s="26"/>
      <c r="K24" s="38"/>
      <c r="L24" s="26"/>
      <c r="M24" s="26"/>
      <c r="N24" s="26" t="str">
        <f t="shared" si="1"/>
        <v/>
      </c>
      <c r="O24" s="27"/>
      <c r="P24" s="27"/>
    </row>
    <row r="25" ht="15.5" customHeight="1" spans="1:16">
      <c r="A25" s="23"/>
      <c r="B25" s="24"/>
      <c r="C25" s="27"/>
      <c r="D25" s="247"/>
      <c r="E25" s="26" t="str">
        <f t="shared" si="0"/>
        <v/>
      </c>
      <c r="F25" s="248"/>
      <c r="G25" s="248"/>
      <c r="H25" s="248"/>
      <c r="I25" s="248"/>
      <c r="J25" s="26"/>
      <c r="K25" s="38"/>
      <c r="L25" s="26"/>
      <c r="M25" s="26"/>
      <c r="N25" s="26" t="str">
        <f t="shared" si="1"/>
        <v/>
      </c>
      <c r="O25" s="27"/>
      <c r="P25" s="27"/>
    </row>
    <row r="26" ht="15.5" customHeight="1" spans="1:16">
      <c r="A26" s="23"/>
      <c r="B26" s="24"/>
      <c r="C26" s="27"/>
      <c r="D26" s="247"/>
      <c r="E26" s="248"/>
      <c r="F26" s="248"/>
      <c r="G26" s="248"/>
      <c r="H26" s="248"/>
      <c r="I26" s="248"/>
      <c r="J26" s="26"/>
      <c r="K26" s="38"/>
      <c r="L26" s="26"/>
      <c r="M26" s="26"/>
      <c r="N26" s="26"/>
      <c r="O26" s="27"/>
      <c r="P26" s="27"/>
    </row>
    <row r="27" ht="15.5" customHeight="1" spans="1:16">
      <c r="A27" s="21" t="s">
        <v>319</v>
      </c>
      <c r="B27" s="28"/>
      <c r="C27" s="27"/>
      <c r="D27" s="38"/>
      <c r="E27" s="26"/>
      <c r="F27" s="26">
        <f>SUM(F7:F26)</f>
        <v>0</v>
      </c>
      <c r="G27" s="26"/>
      <c r="H27" s="26"/>
      <c r="I27" s="26"/>
      <c r="J27" s="26">
        <f>SUM(J7:J26)</f>
        <v>0</v>
      </c>
      <c r="K27" s="38"/>
      <c r="L27" s="26"/>
      <c r="M27" s="26">
        <f>SUM(M7:M26)</f>
        <v>0</v>
      </c>
      <c r="N27" s="26" t="str">
        <f>IF(J27=0,"",(M27-J27)/J27*100)</f>
        <v/>
      </c>
      <c r="O27" s="27"/>
      <c r="P27" s="27"/>
    </row>
    <row r="28" ht="15.5" customHeight="1" spans="1:16">
      <c r="A28" s="29" t="str">
        <f>封面!D11&amp;封面!G11</f>
        <v>被评估单位填表人：</v>
      </c>
      <c r="D28" s="251"/>
      <c r="E28" s="19"/>
      <c r="F28" s="19"/>
      <c r="G28" s="19"/>
      <c r="H28" s="19"/>
      <c r="I28" s="19"/>
      <c r="J28" s="19" t="str">
        <f>"评估人员："&amp;封面!G20</f>
        <v>评估人员：</v>
      </c>
    </row>
    <row r="29" ht="15.5" customHeight="1" spans="1:16">
      <c r="A29" s="13" t="str">
        <f>CONCATENATE(封面!D13,封面!F13,封面!G13,封面!H13,封面!I13,封面!J13,封面!K13)</f>
        <v>填表日期：年月日</v>
      </c>
      <c r="D29" s="251"/>
      <c r="E29" s="251"/>
    </row>
    <row r="30" ht="15.5" customHeight="1" spans="1:16">
      <c r="A30" s="12"/>
      <c r="B30" s="20" t="s">
        <v>337</v>
      </c>
      <c r="C30" s="13" t="s">
        <v>373</v>
      </c>
      <c r="D30" s="251"/>
      <c r="E30" s="251"/>
    </row>
    <row r="31" ht="15.5" customHeight="1" spans="1:16">
      <c r="A31" s="12"/>
      <c r="C31" s="13" t="s">
        <v>374</v>
      </c>
      <c r="D31" s="251"/>
      <c r="E31" s="251"/>
    </row>
  </sheetData>
  <mergeCells count="13">
    <mergeCell ref="A2:O2"/>
    <mergeCell ref="A3:O3"/>
    <mergeCell ref="D5:F5"/>
    <mergeCell ref="H5:J5"/>
    <mergeCell ref="K5:M5"/>
    <mergeCell ref="A27:B27"/>
    <mergeCell ref="A5:A6"/>
    <mergeCell ref="B5:B6"/>
    <mergeCell ref="C5:C6"/>
    <mergeCell ref="G5:G6"/>
    <mergeCell ref="N5:N6"/>
    <mergeCell ref="O5:O6"/>
    <mergeCell ref="P5:P6"/>
  </mergeCells>
  <hyperlinks>
    <hyperlink ref="A1" location="索引目录!E22" display="返回索引页"/>
    <hyperlink ref="B1" location="存货汇总!B10" display="返回"/>
  </hyperlinks>
  <printOptions horizontalCentered="1"/>
  <pageMargins left="0.354330708661417" right="0.354330708661417" top="0.78740157480315" bottom="0.78740157480315" header="1.06" footer="0.511811023622047"/>
  <pageSetup paperSize="9" fitToHeight="0" orientation="landscape"/>
  <headerFooter alignWithMargins="0">
    <oddHeader>&amp;R&amp;"宋体,常规"共&amp;"Times New Roman,常规"&amp;N&amp;"宋体,常规"页第&amp;"Times New Roman,常规"&amp;P&amp;"宋体,常规"3-9-5
页</oddHead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8">
    <pageSetUpPr fitToPage="1"/>
  </sheetPr>
  <dimension ref="A1:O29"/>
  <sheetViews>
    <sheetView view="pageBreakPreview" zoomScale="60" zoomScaleNormal="100" workbookViewId="0">
      <selection activeCell="G451" sqref="G451"/>
    </sheetView>
  </sheetViews>
  <sheetFormatPr defaultColWidth="9" defaultRowHeight="15.75" customHeight="1"/>
  <cols>
    <col min="1" max="1" width="5.75" style="13" customWidth="1"/>
    <col min="2" max="2" width="20.0833333333333" style="13" customWidth="1"/>
    <col min="3" max="3" width="4.33333333333333" style="13" customWidth="1"/>
    <col min="4" max="5" width="9.83333333333333" style="78" hidden="1" customWidth="1" outlineLevel="1"/>
    <col min="6" max="7" width="13.3333333333333" style="78" hidden="1" customWidth="1" outlineLevel="1"/>
    <col min="8" max="8" width="11.25" style="78" customWidth="1" collapsed="1"/>
    <col min="9" max="9" width="11.25" style="78" customWidth="1"/>
    <col min="10" max="10" width="14.5" style="78" customWidth="1"/>
    <col min="11" max="11" width="11.25" style="13" customWidth="1"/>
    <col min="12" max="12" width="11.25" style="78" customWidth="1"/>
    <col min="13" max="13" width="14.3333333333333" style="78" customWidth="1"/>
    <col min="14" max="14" width="8.75" style="78" customWidth="1"/>
    <col min="15" max="15" width="9.5" style="13" customWidth="1"/>
    <col min="16" max="16384" width="9" style="13" customWidth="1"/>
  </cols>
  <sheetData>
    <row r="1" ht="15.5" customHeight="1" spans="1:15">
      <c r="A1" s="14" t="s">
        <v>111</v>
      </c>
      <c r="B1" s="15" t="s">
        <v>210</v>
      </c>
      <c r="C1" s="16"/>
      <c r="D1" s="16"/>
      <c r="E1" s="16"/>
      <c r="F1" s="16"/>
      <c r="G1" s="16"/>
      <c r="H1" s="16"/>
      <c r="I1" s="16"/>
      <c r="J1" s="16"/>
      <c r="K1" s="16"/>
      <c r="L1" s="16"/>
      <c r="M1" s="16"/>
      <c r="N1" s="16"/>
      <c r="O1" s="16"/>
    </row>
    <row r="2" s="11" customFormat="1" ht="30" customHeight="1" spans="1:15">
      <c r="A2" s="17" t="s">
        <v>380</v>
      </c>
    </row>
    <row r="3" ht="14.15" customHeight="1" spans="1:15">
      <c r="A3" s="18" t="str">
        <f>CONCATENATE(封面!D9,封面!F9,封面!G9,封面!H9,封面!I9,封面!J9,封面!K9)</f>
        <v>评估基准日：年月日</v>
      </c>
    </row>
    <row r="4" ht="15.5" customHeight="1" spans="1:15">
      <c r="A4" s="19" t="str">
        <f>封面!D7&amp;封面!F7</f>
        <v>被评估单位：</v>
      </c>
      <c r="O4" s="20" t="s">
        <v>139</v>
      </c>
    </row>
    <row r="5" s="12" customFormat="1" ht="13" customHeight="1" spans="1:15">
      <c r="A5" s="21" t="s">
        <v>141</v>
      </c>
      <c r="B5" s="21" t="s">
        <v>366</v>
      </c>
      <c r="C5" s="22" t="s">
        <v>367</v>
      </c>
      <c r="D5" s="21" t="s">
        <v>175</v>
      </c>
      <c r="E5" s="32"/>
      <c r="F5" s="28"/>
      <c r="G5" s="21" t="s">
        <v>281</v>
      </c>
      <c r="H5" s="33" t="s">
        <v>176</v>
      </c>
      <c r="I5" s="34"/>
      <c r="J5" s="35"/>
      <c r="K5" s="21" t="s">
        <v>177</v>
      </c>
      <c r="L5" s="32"/>
      <c r="M5" s="28"/>
      <c r="N5" s="21" t="s">
        <v>215</v>
      </c>
      <c r="O5" s="21" t="s">
        <v>144</v>
      </c>
    </row>
    <row r="6" s="12" customFormat="1" ht="13" customHeight="1" spans="1:15">
      <c r="A6" s="36"/>
      <c r="B6" s="36"/>
      <c r="C6" s="36"/>
      <c r="D6" s="21" t="s">
        <v>368</v>
      </c>
      <c r="E6" s="21" t="s">
        <v>369</v>
      </c>
      <c r="F6" s="21" t="s">
        <v>370</v>
      </c>
      <c r="G6" s="36"/>
      <c r="H6" s="21" t="s">
        <v>368</v>
      </c>
      <c r="I6" s="21" t="s">
        <v>369</v>
      </c>
      <c r="J6" s="21" t="s">
        <v>370</v>
      </c>
      <c r="K6" s="33" t="s">
        <v>371</v>
      </c>
      <c r="L6" s="21" t="s">
        <v>369</v>
      </c>
      <c r="M6" s="21" t="s">
        <v>370</v>
      </c>
      <c r="N6" s="36"/>
      <c r="O6" s="36"/>
    </row>
    <row r="7" s="244" customFormat="1" ht="13" customHeight="1" spans="1:15">
      <c r="A7" s="45"/>
      <c r="B7" s="98"/>
      <c r="C7" s="231"/>
      <c r="D7" s="232"/>
      <c r="E7" s="26" t="str">
        <f t="shared" ref="E7:E25" si="0">IF(D7=0,"",F7/D7)</f>
        <v/>
      </c>
      <c r="F7" s="234"/>
      <c r="G7" s="234"/>
      <c r="H7" s="234"/>
      <c r="I7" s="234"/>
      <c r="J7" s="26"/>
      <c r="K7" s="38"/>
      <c r="L7" s="26"/>
      <c r="M7" s="26"/>
      <c r="N7" s="26" t="str">
        <f t="shared" ref="N7:N25" si="1">IF(J7=0,"",(M7-J7)/J7*100)</f>
        <v/>
      </c>
      <c r="O7" s="27"/>
    </row>
    <row r="8" ht="15.5" customHeight="1" spans="1:15">
      <c r="A8" s="23"/>
      <c r="B8" s="67"/>
      <c r="C8" s="27"/>
      <c r="D8" s="247"/>
      <c r="E8" s="26" t="str">
        <f t="shared" si="0"/>
        <v/>
      </c>
      <c r="F8" s="248"/>
      <c r="G8" s="248"/>
      <c r="H8" s="248"/>
      <c r="I8" s="248"/>
      <c r="J8" s="26"/>
      <c r="K8" s="38"/>
      <c r="L8" s="26"/>
      <c r="M8" s="26"/>
      <c r="N8" s="26" t="str">
        <f t="shared" si="1"/>
        <v/>
      </c>
      <c r="O8" s="27"/>
    </row>
    <row r="9" ht="15.5" customHeight="1" spans="1:15">
      <c r="A9" s="23"/>
      <c r="B9" s="24"/>
      <c r="C9" s="27"/>
      <c r="D9" s="247"/>
      <c r="E9" s="26" t="str">
        <f t="shared" si="0"/>
        <v/>
      </c>
      <c r="F9" s="248"/>
      <c r="G9" s="248"/>
      <c r="H9" s="248"/>
      <c r="I9" s="248"/>
      <c r="J9" s="26"/>
      <c r="K9" s="38"/>
      <c r="L9" s="26"/>
      <c r="M9" s="26"/>
      <c r="N9" s="26" t="str">
        <f t="shared" si="1"/>
        <v/>
      </c>
      <c r="O9" s="27"/>
    </row>
    <row r="10" ht="15.5" customHeight="1" spans="1:15">
      <c r="A10" s="23"/>
      <c r="B10" s="24"/>
      <c r="C10" s="27"/>
      <c r="D10" s="247"/>
      <c r="E10" s="26" t="str">
        <f t="shared" si="0"/>
        <v/>
      </c>
      <c r="F10" s="248"/>
      <c r="G10" s="248"/>
      <c r="H10" s="248"/>
      <c r="I10" s="248"/>
      <c r="J10" s="26"/>
      <c r="K10" s="38"/>
      <c r="L10" s="26"/>
      <c r="M10" s="26"/>
      <c r="N10" s="26" t="str">
        <f t="shared" si="1"/>
        <v/>
      </c>
      <c r="O10" s="27"/>
    </row>
    <row r="11" ht="15.5" customHeight="1" spans="1:15">
      <c r="A11" s="23"/>
      <c r="B11" s="24"/>
      <c r="C11" s="27"/>
      <c r="D11" s="247"/>
      <c r="E11" s="26" t="str">
        <f t="shared" si="0"/>
        <v/>
      </c>
      <c r="F11" s="248"/>
      <c r="G11" s="248"/>
      <c r="H11" s="248"/>
      <c r="I11" s="248"/>
      <c r="J11" s="26"/>
      <c r="K11" s="38"/>
      <c r="L11" s="26"/>
      <c r="M11" s="26"/>
      <c r="N11" s="26" t="str">
        <f t="shared" si="1"/>
        <v/>
      </c>
      <c r="O11" s="27"/>
    </row>
    <row r="12" ht="15.5" customHeight="1" spans="1:15">
      <c r="A12" s="23"/>
      <c r="B12" s="24"/>
      <c r="C12" s="27"/>
      <c r="D12" s="247"/>
      <c r="E12" s="26" t="str">
        <f t="shared" si="0"/>
        <v/>
      </c>
      <c r="F12" s="248"/>
      <c r="G12" s="248"/>
      <c r="H12" s="248"/>
      <c r="I12" s="248"/>
      <c r="J12" s="26"/>
      <c r="K12" s="38"/>
      <c r="L12" s="26"/>
      <c r="M12" s="26"/>
      <c r="N12" s="26" t="str">
        <f t="shared" si="1"/>
        <v/>
      </c>
      <c r="O12" s="27"/>
    </row>
    <row r="13" ht="15.5" customHeight="1" spans="1:15">
      <c r="A13" s="23"/>
      <c r="B13" s="24"/>
      <c r="C13" s="27"/>
      <c r="D13" s="247"/>
      <c r="E13" s="26" t="str">
        <f t="shared" si="0"/>
        <v/>
      </c>
      <c r="F13" s="248"/>
      <c r="G13" s="248"/>
      <c r="H13" s="248"/>
      <c r="I13" s="248"/>
      <c r="J13" s="26"/>
      <c r="K13" s="38"/>
      <c r="L13" s="26"/>
      <c r="M13" s="26"/>
      <c r="N13" s="26" t="str">
        <f t="shared" si="1"/>
        <v/>
      </c>
      <c r="O13" s="27"/>
    </row>
    <row r="14" ht="15.5" customHeight="1" spans="1:15">
      <c r="A14" s="23"/>
      <c r="B14" s="67"/>
      <c r="C14" s="27"/>
      <c r="D14" s="247"/>
      <c r="E14" s="26" t="str">
        <f t="shared" si="0"/>
        <v/>
      </c>
      <c r="F14" s="248"/>
      <c r="G14" s="248"/>
      <c r="H14" s="248"/>
      <c r="I14" s="248"/>
      <c r="J14" s="26"/>
      <c r="K14" s="38"/>
      <c r="L14" s="26"/>
      <c r="M14" s="26"/>
      <c r="N14" s="26" t="str">
        <f t="shared" si="1"/>
        <v/>
      </c>
      <c r="O14" s="27"/>
    </row>
    <row r="15" ht="15.5" customHeight="1" spans="1:15">
      <c r="A15" s="23"/>
      <c r="B15" s="67"/>
      <c r="C15" s="27"/>
      <c r="D15" s="247"/>
      <c r="E15" s="26" t="str">
        <f t="shared" si="0"/>
        <v/>
      </c>
      <c r="F15" s="248"/>
      <c r="G15" s="248"/>
      <c r="H15" s="248"/>
      <c r="I15" s="248"/>
      <c r="J15" s="26"/>
      <c r="K15" s="38"/>
      <c r="L15" s="26"/>
      <c r="M15" s="26"/>
      <c r="N15" s="26" t="str">
        <f t="shared" si="1"/>
        <v/>
      </c>
      <c r="O15" s="27"/>
    </row>
    <row r="16" ht="15.5" customHeight="1" spans="1:15">
      <c r="A16" s="23"/>
      <c r="B16" s="24"/>
      <c r="C16" s="27"/>
      <c r="D16" s="247"/>
      <c r="E16" s="26" t="str">
        <f t="shared" si="0"/>
        <v/>
      </c>
      <c r="F16" s="248"/>
      <c r="G16" s="248"/>
      <c r="H16" s="248"/>
      <c r="I16" s="248"/>
      <c r="J16" s="26"/>
      <c r="K16" s="38"/>
      <c r="L16" s="26"/>
      <c r="M16" s="26"/>
      <c r="N16" s="26" t="str">
        <f t="shared" si="1"/>
        <v/>
      </c>
      <c r="O16" s="27"/>
    </row>
    <row r="17" ht="15.5" customHeight="1" spans="1:15">
      <c r="A17" s="23"/>
      <c r="B17" s="24"/>
      <c r="C17" s="27"/>
      <c r="D17" s="247"/>
      <c r="E17" s="26" t="str">
        <f t="shared" si="0"/>
        <v/>
      </c>
      <c r="F17" s="248"/>
      <c r="G17" s="248"/>
      <c r="H17" s="248"/>
      <c r="I17" s="248"/>
      <c r="J17" s="26"/>
      <c r="K17" s="38"/>
      <c r="L17" s="26"/>
      <c r="M17" s="26"/>
      <c r="N17" s="26" t="str">
        <f t="shared" si="1"/>
        <v/>
      </c>
      <c r="O17" s="27"/>
    </row>
    <row r="18" ht="15.5" customHeight="1" spans="1:15">
      <c r="A18" s="23"/>
      <c r="B18" s="24"/>
      <c r="C18" s="27"/>
      <c r="D18" s="247"/>
      <c r="E18" s="26" t="str">
        <f t="shared" si="0"/>
        <v/>
      </c>
      <c r="F18" s="248"/>
      <c r="G18" s="248"/>
      <c r="H18" s="248"/>
      <c r="I18" s="248"/>
      <c r="J18" s="26"/>
      <c r="K18" s="38"/>
      <c r="L18" s="26"/>
      <c r="M18" s="26"/>
      <c r="N18" s="26" t="str">
        <f t="shared" si="1"/>
        <v/>
      </c>
      <c r="O18" s="27"/>
    </row>
    <row r="19" ht="15.5" customHeight="1" spans="1:15">
      <c r="A19" s="23"/>
      <c r="B19" s="24"/>
      <c r="C19" s="27"/>
      <c r="D19" s="247"/>
      <c r="E19" s="26" t="str">
        <f t="shared" si="0"/>
        <v/>
      </c>
      <c r="F19" s="248"/>
      <c r="G19" s="248"/>
      <c r="H19" s="248"/>
      <c r="I19" s="248"/>
      <c r="J19" s="26"/>
      <c r="K19" s="38"/>
      <c r="L19" s="26"/>
      <c r="M19" s="26"/>
      <c r="N19" s="26" t="str">
        <f t="shared" si="1"/>
        <v/>
      </c>
      <c r="O19" s="27"/>
    </row>
    <row r="20" ht="15.5" customHeight="1" spans="1:15">
      <c r="A20" s="23"/>
      <c r="B20" s="24"/>
      <c r="C20" s="27"/>
      <c r="D20" s="247"/>
      <c r="E20" s="26" t="str">
        <f t="shared" si="0"/>
        <v/>
      </c>
      <c r="F20" s="248"/>
      <c r="G20" s="248"/>
      <c r="H20" s="248"/>
      <c r="I20" s="248"/>
      <c r="J20" s="26"/>
      <c r="K20" s="38"/>
      <c r="L20" s="26"/>
      <c r="M20" s="26"/>
      <c r="N20" s="26" t="str">
        <f t="shared" si="1"/>
        <v/>
      </c>
      <c r="O20" s="27"/>
    </row>
    <row r="21" ht="15.5" customHeight="1" spans="1:15">
      <c r="A21" s="23"/>
      <c r="B21" s="24"/>
      <c r="C21" s="27"/>
      <c r="D21" s="247"/>
      <c r="E21" s="26" t="str">
        <f t="shared" si="0"/>
        <v/>
      </c>
      <c r="F21" s="248"/>
      <c r="G21" s="248"/>
      <c r="H21" s="248"/>
      <c r="I21" s="248"/>
      <c r="J21" s="26"/>
      <c r="K21" s="38"/>
      <c r="L21" s="26"/>
      <c r="M21" s="26"/>
      <c r="N21" s="26" t="str">
        <f t="shared" si="1"/>
        <v/>
      </c>
      <c r="O21" s="27"/>
    </row>
    <row r="22" ht="15.5" customHeight="1" spans="1:15">
      <c r="A22" s="23"/>
      <c r="B22" s="67"/>
      <c r="C22" s="27"/>
      <c r="D22" s="247"/>
      <c r="E22" s="26" t="str">
        <f t="shared" si="0"/>
        <v/>
      </c>
      <c r="F22" s="248"/>
      <c r="G22" s="248"/>
      <c r="H22" s="248"/>
      <c r="I22" s="248"/>
      <c r="J22" s="26"/>
      <c r="K22" s="38"/>
      <c r="L22" s="26"/>
      <c r="M22" s="26"/>
      <c r="N22" s="26" t="str">
        <f t="shared" si="1"/>
        <v/>
      </c>
      <c r="O22" s="27"/>
    </row>
    <row r="23" ht="15.5" customHeight="1" spans="1:15">
      <c r="A23" s="23"/>
      <c r="B23" s="67"/>
      <c r="C23" s="27"/>
      <c r="D23" s="247"/>
      <c r="E23" s="26" t="str">
        <f t="shared" si="0"/>
        <v/>
      </c>
      <c r="F23" s="248"/>
      <c r="G23" s="248"/>
      <c r="H23" s="248"/>
      <c r="I23" s="248"/>
      <c r="J23" s="26"/>
      <c r="K23" s="38"/>
      <c r="L23" s="26"/>
      <c r="M23" s="26"/>
      <c r="N23" s="26" t="str">
        <f t="shared" si="1"/>
        <v/>
      </c>
      <c r="O23" s="27"/>
    </row>
    <row r="24" ht="15.5" customHeight="1" spans="1:15">
      <c r="A24" s="23"/>
      <c r="B24" s="24"/>
      <c r="C24" s="27"/>
      <c r="D24" s="247"/>
      <c r="E24" s="26" t="str">
        <f t="shared" si="0"/>
        <v/>
      </c>
      <c r="F24" s="248"/>
      <c r="G24" s="248"/>
      <c r="H24" s="248"/>
      <c r="I24" s="248"/>
      <c r="J24" s="26"/>
      <c r="K24" s="38"/>
      <c r="L24" s="26"/>
      <c r="M24" s="26"/>
      <c r="N24" s="26" t="str">
        <f t="shared" si="1"/>
        <v/>
      </c>
      <c r="O24" s="27"/>
    </row>
    <row r="25" ht="15.5" customHeight="1" spans="1:15">
      <c r="A25" s="23"/>
      <c r="B25" s="24"/>
      <c r="C25" s="27"/>
      <c r="D25" s="247"/>
      <c r="E25" s="26" t="str">
        <f t="shared" si="0"/>
        <v/>
      </c>
      <c r="F25" s="248"/>
      <c r="G25" s="248"/>
      <c r="H25" s="248"/>
      <c r="I25" s="248"/>
      <c r="J25" s="26"/>
      <c r="K25" s="38"/>
      <c r="L25" s="26"/>
      <c r="M25" s="26"/>
      <c r="N25" s="26" t="str">
        <f t="shared" si="1"/>
        <v/>
      </c>
      <c r="O25" s="27"/>
    </row>
    <row r="26" ht="15.5" customHeight="1" spans="1:15">
      <c r="A26" s="23"/>
      <c r="B26" s="24"/>
      <c r="C26" s="27"/>
      <c r="D26" s="247"/>
      <c r="E26" s="248"/>
      <c r="F26" s="248"/>
      <c r="G26" s="248"/>
      <c r="H26" s="248"/>
      <c r="I26" s="248"/>
      <c r="J26" s="26"/>
      <c r="K26" s="38"/>
      <c r="L26" s="26"/>
      <c r="M26" s="26"/>
      <c r="N26" s="26"/>
      <c r="O26" s="27"/>
    </row>
    <row r="27" ht="15.5" customHeight="1" spans="1:15">
      <c r="A27" s="21" t="s">
        <v>319</v>
      </c>
      <c r="B27" s="28"/>
      <c r="C27" s="27"/>
      <c r="D27" s="38"/>
      <c r="E27" s="26"/>
      <c r="F27" s="26">
        <f>SUM(F7:F26)</f>
        <v>0</v>
      </c>
      <c r="G27" s="26"/>
      <c r="H27" s="26"/>
      <c r="I27" s="26"/>
      <c r="J27" s="26">
        <f>SUM(J7:J26)</f>
        <v>0</v>
      </c>
      <c r="K27" s="38"/>
      <c r="L27" s="26"/>
      <c r="M27" s="26">
        <f>SUM(M7:M26)</f>
        <v>0</v>
      </c>
      <c r="N27" s="26" t="str">
        <f>IF(J27=0,"",(M27-J27)/J27*100)</f>
        <v/>
      </c>
      <c r="O27" s="27"/>
    </row>
    <row r="28" ht="15.5" customHeight="1" spans="1:15">
      <c r="A28" s="29" t="str">
        <f>封面!D11&amp;封面!G11</f>
        <v>被评估单位填表人：</v>
      </c>
      <c r="D28" s="251"/>
      <c r="E28" s="19"/>
      <c r="F28" s="19"/>
      <c r="G28" s="19"/>
      <c r="H28" s="19"/>
      <c r="I28" s="19"/>
      <c r="J28" s="19" t="str">
        <f>"评估人员："&amp;封面!G20</f>
        <v>评估人员：</v>
      </c>
      <c r="L28" s="13"/>
      <c r="M28" s="13"/>
      <c r="N28" s="13"/>
    </row>
    <row r="29" ht="15.5" customHeight="1" spans="1:15">
      <c r="A29" s="13" t="str">
        <f>CONCATENATE(封面!D13,封面!F13,封面!G13,封面!H13,封面!I13,封面!J13,封面!K13)</f>
        <v>填表日期：年月日</v>
      </c>
      <c r="D29" s="251"/>
      <c r="E29" s="251"/>
      <c r="F29" s="251"/>
      <c r="G29" s="251"/>
      <c r="H29" s="251"/>
      <c r="I29" s="251"/>
      <c r="J29" s="13"/>
      <c r="L29" s="13"/>
      <c r="M29" s="13"/>
      <c r="N29" s="13"/>
    </row>
  </sheetData>
  <mergeCells count="12">
    <mergeCell ref="A2:O2"/>
    <mergeCell ref="A3:O3"/>
    <mergeCell ref="D5:F5"/>
    <mergeCell ref="H5:J5"/>
    <mergeCell ref="K5:M5"/>
    <mergeCell ref="A27:B27"/>
    <mergeCell ref="A5:A6"/>
    <mergeCell ref="B5:B6"/>
    <mergeCell ref="C5:C6"/>
    <mergeCell ref="G5:G6"/>
    <mergeCell ref="N5:N6"/>
    <mergeCell ref="O5:O6"/>
  </mergeCells>
  <hyperlinks>
    <hyperlink ref="A1" location="索引目录!E23" display="返回索引页"/>
    <hyperlink ref="B1" location="存货汇总!B11" display="返回"/>
  </hyperlinks>
  <printOptions horizontalCentered="1"/>
  <pageMargins left="0.354330708661417" right="0.354330708661417" top="0.78740157480315" bottom="0.78740157480315" header="1.06" footer="0.511811023622047"/>
  <pageSetup paperSize="9" fitToHeight="0" orientation="landscape"/>
  <headerFooter alignWithMargins="0">
    <oddHeader>&amp;R&amp;"宋体,常规"共&amp;"Times New Roman,常规"&amp;N&amp;"宋体,常规"页第&amp;"Times New Roman,常规"&amp;P&amp;"宋体,常规"3-9-6
页</oddHead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9"/>
  <dimension ref="A1:AI123"/>
  <sheetViews>
    <sheetView view="pageBreakPreview" zoomScale="90" zoomScaleNormal="100" workbookViewId="0">
      <selection activeCell="G451" sqref="G451"/>
    </sheetView>
  </sheetViews>
  <sheetFormatPr defaultColWidth="9" defaultRowHeight="15.75" customHeight="1"/>
  <cols>
    <col min="1" max="1" width="5.75" style="13" customWidth="1"/>
    <col min="2" max="2" width="23.9166666666667" style="13" customWidth="1"/>
    <col min="3" max="3" width="23.1666666666667" style="13" customWidth="1"/>
    <col min="4" max="4" width="5.08333333333333" style="12" customWidth="1"/>
    <col min="5" max="5" width="10.25" style="78" hidden="1" customWidth="1" outlineLevel="1"/>
    <col min="6" max="6" width="6.83333333333333" style="78" hidden="1" customWidth="1" outlineLevel="1"/>
    <col min="7" max="8" width="13.0833333333333" style="78" hidden="1" customWidth="1" outlineLevel="1"/>
    <col min="9" max="9" width="7.83333333333333" style="78" customWidth="1" collapsed="1"/>
    <col min="10" max="10" width="6.66666666666667" style="78" customWidth="1"/>
    <col min="11" max="11" width="9.58333333333333" style="78" customWidth="1"/>
    <col min="12" max="12" width="7.25" style="13" customWidth="1"/>
    <col min="13" max="13" width="8.16666666666667" style="78" customWidth="1"/>
    <col min="14" max="14" width="9.33333333333333" style="78" customWidth="1"/>
    <col min="15" max="15" width="7" style="78" customWidth="1"/>
    <col min="16" max="16" width="8.08333333333333" style="13" customWidth="1"/>
    <col min="17" max="31" width="9" style="13" customWidth="1"/>
    <col min="32" max="32" width="12.5" style="13" customWidth="1"/>
    <col min="33" max="33" width="10.4166666666667" style="13" customWidth="1"/>
    <col min="34" max="34" width="24.3333333333333" style="13" customWidth="1"/>
    <col min="35" max="16384" width="9" style="13" customWidth="1"/>
  </cols>
  <sheetData>
    <row r="1" ht="15.5" customHeight="1" spans="1:35">
      <c r="A1" s="51" t="s">
        <v>111</v>
      </c>
      <c r="B1" s="226" t="s">
        <v>210</v>
      </c>
      <c r="C1" s="12"/>
      <c r="E1" s="12"/>
      <c r="F1" s="12"/>
      <c r="G1" s="12"/>
      <c r="H1" s="12"/>
      <c r="I1" s="12"/>
      <c r="J1" s="12"/>
      <c r="K1" s="12"/>
      <c r="L1" s="12"/>
      <c r="M1" s="12"/>
      <c r="N1" s="12"/>
      <c r="O1" s="12"/>
      <c r="P1" s="12"/>
    </row>
    <row r="2" s="11" customFormat="1" ht="30" customHeight="1" spans="1:35">
      <c r="A2" s="53" t="s">
        <v>381</v>
      </c>
    </row>
    <row r="3" ht="14.15" customHeight="1" spans="1:35">
      <c r="A3" s="18" t="str">
        <f>CONCATENATE(封面!D9,封面!F9,封面!G9,封面!H9,封面!I9,封面!J9,封面!K9)</f>
        <v>评估基准日：年月日</v>
      </c>
    </row>
    <row r="4" ht="15.5" customHeight="1" spans="1:35">
      <c r="A4" s="19" t="str">
        <f>封面!D7&amp;封面!F7</f>
        <v>被评估单位：</v>
      </c>
      <c r="P4" s="54" t="s">
        <v>139</v>
      </c>
    </row>
    <row r="5" s="12" customFormat="1" ht="13" customHeight="1" spans="1:35">
      <c r="A5" s="23" t="s">
        <v>141</v>
      </c>
      <c r="B5" s="23" t="s">
        <v>382</v>
      </c>
      <c r="C5" s="23" t="s">
        <v>383</v>
      </c>
      <c r="D5" s="55" t="s">
        <v>367</v>
      </c>
      <c r="E5" s="23" t="s">
        <v>175</v>
      </c>
      <c r="F5" s="32"/>
      <c r="G5" s="28"/>
      <c r="H5" s="23" t="s">
        <v>281</v>
      </c>
      <c r="I5" s="227" t="s">
        <v>176</v>
      </c>
      <c r="J5" s="34"/>
      <c r="K5" s="35"/>
      <c r="L5" s="71" t="s">
        <v>177</v>
      </c>
      <c r="M5" s="32"/>
      <c r="N5" s="28"/>
      <c r="O5" s="71" t="s">
        <v>215</v>
      </c>
      <c r="P5" s="23" t="s">
        <v>144</v>
      </c>
    </row>
    <row r="6" s="12" customFormat="1" ht="13" customHeight="1" spans="1:35">
      <c r="A6" s="36"/>
      <c r="B6" s="36"/>
      <c r="C6" s="36"/>
      <c r="D6" s="36"/>
      <c r="E6" s="23" t="s">
        <v>368</v>
      </c>
      <c r="F6" s="23" t="s">
        <v>369</v>
      </c>
      <c r="G6" s="23" t="s">
        <v>370</v>
      </c>
      <c r="H6" s="36"/>
      <c r="I6" s="23" t="s">
        <v>368</v>
      </c>
      <c r="J6" s="23" t="s">
        <v>369</v>
      </c>
      <c r="K6" s="23" t="s">
        <v>370</v>
      </c>
      <c r="L6" s="228" t="s">
        <v>371</v>
      </c>
      <c r="M6" s="71" t="s">
        <v>369</v>
      </c>
      <c r="N6" s="71" t="s">
        <v>370</v>
      </c>
      <c r="O6" s="36"/>
      <c r="P6" s="36"/>
      <c r="W6" s="229" t="s">
        <v>384</v>
      </c>
      <c r="X6" s="229" t="s">
        <v>385</v>
      </c>
      <c r="Y6" s="229" t="s">
        <v>386</v>
      </c>
      <c r="Z6" s="229" t="s">
        <v>387</v>
      </c>
      <c r="AA6" s="229" t="s">
        <v>388</v>
      </c>
      <c r="AB6" s="229" t="s">
        <v>389</v>
      </c>
      <c r="AC6" s="229" t="s">
        <v>390</v>
      </c>
    </row>
    <row r="7" s="225" customFormat="1" ht="13" customHeight="1" spans="1:35">
      <c r="A7" s="63"/>
      <c r="B7" s="230"/>
      <c r="C7" s="63"/>
      <c r="D7" s="231"/>
      <c r="E7" s="232"/>
      <c r="F7" s="233"/>
      <c r="G7" s="234"/>
      <c r="H7" s="234"/>
      <c r="I7" s="38"/>
      <c r="J7" s="234"/>
      <c r="K7" s="233"/>
      <c r="L7" s="38"/>
      <c r="M7" s="235"/>
      <c r="N7" s="233"/>
      <c r="O7" s="233" t="str">
        <f t="shared" ref="O7:O35" si="0">IF(K7=0,"",(N7-K7)/K7*100)</f>
        <v/>
      </c>
      <c r="P7" s="236"/>
      <c r="V7" s="237">
        <f t="shared" ref="V7:V34" si="1">J7*(1+$AH$19)</f>
        <v>0</v>
      </c>
      <c r="W7" s="238" t="e">
        <f>AI14</f>
        <v>#DIV/0!</v>
      </c>
      <c r="X7" s="238" t="e">
        <f>AI15</f>
        <v>#DIV/0!</v>
      </c>
      <c r="Y7" s="238" t="e">
        <f>AI16</f>
        <v>#DIV/0!</v>
      </c>
      <c r="Z7" s="238"/>
      <c r="AA7" s="238" t="e">
        <f>AI17</f>
        <v>#DIV/0!</v>
      </c>
      <c r="AB7" s="239"/>
      <c r="AC7" s="240" t="e">
        <f t="shared" ref="AC7:AC34" si="2">V7*(1-$W$7-$X$7-$Y$7*$Z$7-$AA$7*$AB$7)</f>
        <v>#DIV/0!</v>
      </c>
      <c r="AD7" s="241"/>
      <c r="AE7" s="241"/>
      <c r="AF7" s="241"/>
      <c r="AG7" s="241"/>
      <c r="AH7" s="241" t="s">
        <v>391</v>
      </c>
      <c r="AI7" s="241"/>
    </row>
    <row r="8" s="225" customFormat="1" ht="15.5" customHeight="1" spans="1:35">
      <c r="A8" s="63"/>
      <c r="B8" s="56"/>
      <c r="C8" s="63"/>
      <c r="D8" s="231"/>
      <c r="E8" s="232"/>
      <c r="F8" s="233"/>
      <c r="G8" s="234"/>
      <c r="H8" s="234"/>
      <c r="I8" s="38"/>
      <c r="J8" s="234"/>
      <c r="K8" s="233"/>
      <c r="L8" s="38"/>
      <c r="M8" s="235"/>
      <c r="N8" s="233"/>
      <c r="O8" s="233" t="str">
        <f t="shared" si="0"/>
        <v/>
      </c>
      <c r="P8" s="236"/>
      <c r="V8" s="237">
        <f t="shared" si="1"/>
        <v>0</v>
      </c>
      <c r="W8" s="242"/>
      <c r="X8" s="242"/>
      <c r="Y8" s="242"/>
      <c r="Z8" s="242"/>
      <c r="AA8" s="242"/>
      <c r="AB8" s="242"/>
      <c r="AC8" s="240" t="e">
        <f t="shared" si="2"/>
        <v>#DIV/0!</v>
      </c>
      <c r="AD8" s="243"/>
      <c r="AE8" s="244"/>
      <c r="AF8" s="244"/>
      <c r="AG8" s="244"/>
      <c r="AI8" s="244"/>
    </row>
    <row r="9" s="225" customFormat="1" ht="15.5" customHeight="1" spans="1:35">
      <c r="A9" s="63"/>
      <c r="B9" s="56"/>
      <c r="C9" s="63"/>
      <c r="D9" s="231"/>
      <c r="E9" s="232"/>
      <c r="F9" s="233"/>
      <c r="G9" s="234"/>
      <c r="H9" s="234"/>
      <c r="I9" s="38"/>
      <c r="J9" s="234"/>
      <c r="K9" s="233"/>
      <c r="L9" s="38"/>
      <c r="M9" s="235"/>
      <c r="N9" s="233"/>
      <c r="O9" s="233" t="str">
        <f t="shared" si="0"/>
        <v/>
      </c>
      <c r="P9" s="236"/>
      <c r="V9" s="237">
        <f t="shared" si="1"/>
        <v>0</v>
      </c>
      <c r="W9" s="242"/>
      <c r="X9" s="242"/>
      <c r="Y9" s="242"/>
      <c r="Z9" s="242"/>
      <c r="AA9" s="242"/>
      <c r="AB9" s="242"/>
      <c r="AC9" s="240" t="e">
        <f t="shared" si="2"/>
        <v>#DIV/0!</v>
      </c>
      <c r="AD9" s="243" t="s">
        <v>180</v>
      </c>
      <c r="AE9" s="13" t="s">
        <v>392</v>
      </c>
      <c r="AF9" s="78"/>
      <c r="AG9" s="78"/>
      <c r="AH9" s="139">
        <f>AF9+AG9</f>
        <v>0</v>
      </c>
      <c r="AI9" s="13"/>
    </row>
    <row r="10" s="225" customFormat="1" ht="15.5" customHeight="1" spans="1:35">
      <c r="A10" s="63"/>
      <c r="B10" s="56"/>
      <c r="C10" s="63"/>
      <c r="D10" s="231"/>
      <c r="E10" s="232"/>
      <c r="F10" s="233"/>
      <c r="G10" s="234"/>
      <c r="H10" s="234"/>
      <c r="I10" s="38"/>
      <c r="J10" s="234"/>
      <c r="K10" s="233"/>
      <c r="L10" s="38"/>
      <c r="M10" s="235"/>
      <c r="N10" s="233"/>
      <c r="O10" s="233" t="str">
        <f t="shared" si="0"/>
        <v/>
      </c>
      <c r="P10" s="236"/>
      <c r="V10" s="237">
        <f t="shared" si="1"/>
        <v>0</v>
      </c>
      <c r="W10" s="242"/>
      <c r="X10" s="242"/>
      <c r="Y10" s="242"/>
      <c r="Z10" s="242"/>
      <c r="AA10" s="242"/>
      <c r="AB10" s="242"/>
      <c r="AC10" s="240" t="e">
        <f t="shared" si="2"/>
        <v>#DIV/0!</v>
      </c>
      <c r="AD10" s="243"/>
      <c r="AE10" s="13" t="s">
        <v>393</v>
      </c>
      <c r="AF10" s="78"/>
      <c r="AG10" s="78"/>
      <c r="AH10" s="139"/>
      <c r="AI10" s="13"/>
    </row>
    <row r="11" s="225" customFormat="1" ht="15.5" customHeight="1" spans="1:35">
      <c r="A11" s="63"/>
      <c r="B11" s="56"/>
      <c r="C11" s="63"/>
      <c r="D11" s="231"/>
      <c r="E11" s="232"/>
      <c r="F11" s="233"/>
      <c r="G11" s="234"/>
      <c r="H11" s="234"/>
      <c r="I11" s="38"/>
      <c r="J11" s="234"/>
      <c r="K11" s="233"/>
      <c r="L11" s="38"/>
      <c r="M11" s="235"/>
      <c r="N11" s="233"/>
      <c r="O11" s="233" t="str">
        <f t="shared" si="0"/>
        <v/>
      </c>
      <c r="P11" s="236"/>
      <c r="V11" s="237">
        <f t="shared" si="1"/>
        <v>0</v>
      </c>
      <c r="W11" s="242"/>
      <c r="X11" s="242"/>
      <c r="Y11" s="242"/>
      <c r="Z11" s="242"/>
      <c r="AA11" s="242"/>
      <c r="AB11" s="242"/>
      <c r="AC11" s="240" t="e">
        <f t="shared" si="2"/>
        <v>#DIV/0!</v>
      </c>
      <c r="AD11" s="243"/>
      <c r="AE11" s="13" t="s">
        <v>394</v>
      </c>
      <c r="AF11" s="78"/>
      <c r="AG11" s="78"/>
      <c r="AH11" s="139"/>
      <c r="AI11" s="13"/>
    </row>
    <row r="12" s="225" customFormat="1" ht="15.5" customHeight="1" spans="1:35">
      <c r="A12" s="63"/>
      <c r="B12" s="56"/>
      <c r="C12" s="63"/>
      <c r="D12" s="231"/>
      <c r="E12" s="232"/>
      <c r="F12" s="233"/>
      <c r="G12" s="234"/>
      <c r="H12" s="234"/>
      <c r="I12" s="38"/>
      <c r="J12" s="234"/>
      <c r="K12" s="233"/>
      <c r="L12" s="38"/>
      <c r="M12" s="235"/>
      <c r="N12" s="233"/>
      <c r="O12" s="233" t="str">
        <f t="shared" si="0"/>
        <v/>
      </c>
      <c r="P12" s="236"/>
      <c r="V12" s="237">
        <f t="shared" si="1"/>
        <v>0</v>
      </c>
      <c r="W12" s="242"/>
      <c r="X12" s="242"/>
      <c r="Y12" s="242"/>
      <c r="Z12" s="242"/>
      <c r="AA12" s="242"/>
      <c r="AB12" s="242"/>
      <c r="AC12" s="240" t="e">
        <f t="shared" si="2"/>
        <v>#DIV/0!</v>
      </c>
      <c r="AD12" s="243"/>
      <c r="AE12" s="13" t="s">
        <v>395</v>
      </c>
      <c r="AF12" s="78"/>
      <c r="AG12" s="78"/>
      <c r="AH12" s="139"/>
      <c r="AI12" s="13"/>
    </row>
    <row r="13" s="225" customFormat="1" ht="15.5" customHeight="1" spans="1:35">
      <c r="A13" s="63"/>
      <c r="B13" s="56"/>
      <c r="C13" s="63"/>
      <c r="D13" s="231"/>
      <c r="E13" s="232"/>
      <c r="F13" s="233"/>
      <c r="G13" s="234"/>
      <c r="H13" s="234"/>
      <c r="I13" s="38"/>
      <c r="J13" s="234"/>
      <c r="K13" s="233"/>
      <c r="L13" s="38"/>
      <c r="M13" s="235"/>
      <c r="N13" s="233"/>
      <c r="O13" s="233" t="str">
        <f t="shared" si="0"/>
        <v/>
      </c>
      <c r="P13" s="236"/>
      <c r="V13" s="237">
        <f t="shared" si="1"/>
        <v>0</v>
      </c>
      <c r="W13" s="242"/>
      <c r="X13" s="242"/>
      <c r="Y13" s="242"/>
      <c r="Z13" s="242"/>
      <c r="AA13" s="242"/>
      <c r="AB13" s="242"/>
      <c r="AC13" s="240" t="e">
        <f t="shared" si="2"/>
        <v>#DIV/0!</v>
      </c>
      <c r="AD13" s="243"/>
      <c r="AE13" s="13" t="s">
        <v>396</v>
      </c>
      <c r="AF13" s="78"/>
      <c r="AG13" s="78"/>
      <c r="AH13" s="139"/>
      <c r="AI13" s="13"/>
    </row>
    <row r="14" s="225" customFormat="1" ht="15.5" customHeight="1" spans="1:35">
      <c r="A14" s="63"/>
      <c r="B14" s="56"/>
      <c r="C14" s="63"/>
      <c r="D14" s="231"/>
      <c r="E14" s="232"/>
      <c r="F14" s="233"/>
      <c r="G14" s="234"/>
      <c r="H14" s="234"/>
      <c r="I14" s="38"/>
      <c r="J14" s="234"/>
      <c r="K14" s="233"/>
      <c r="L14" s="38"/>
      <c r="M14" s="235"/>
      <c r="N14" s="233"/>
      <c r="O14" s="233" t="str">
        <f t="shared" si="0"/>
        <v/>
      </c>
      <c r="P14" s="236"/>
      <c r="V14" s="237">
        <f t="shared" si="1"/>
        <v>0</v>
      </c>
      <c r="W14" s="242"/>
      <c r="X14" s="242"/>
      <c r="Y14" s="242"/>
      <c r="Z14" s="242"/>
      <c r="AA14" s="242"/>
      <c r="AB14" s="242"/>
      <c r="AC14" s="240" t="e">
        <f t="shared" si="2"/>
        <v>#DIV/0!</v>
      </c>
      <c r="AD14" s="243"/>
      <c r="AE14" s="245" t="s">
        <v>384</v>
      </c>
      <c r="AF14" s="78" t="e">
        <f>AF10/AF9</f>
        <v>#DIV/0!</v>
      </c>
      <c r="AG14" s="78" t="e">
        <f>AG10/AG9</f>
        <v>#DIV/0!</v>
      </c>
      <c r="AH14" s="139"/>
      <c r="AI14" s="72" t="e">
        <f>(AF14+AG14+AH14)/2</f>
        <v>#DIV/0!</v>
      </c>
    </row>
    <row r="15" s="225" customFormat="1" ht="15.5" customHeight="1" spans="1:35">
      <c r="A15" s="63"/>
      <c r="B15" s="56"/>
      <c r="C15" s="63"/>
      <c r="D15" s="231"/>
      <c r="E15" s="232"/>
      <c r="F15" s="233"/>
      <c r="G15" s="234"/>
      <c r="H15" s="234"/>
      <c r="I15" s="38"/>
      <c r="J15" s="234"/>
      <c r="K15" s="233"/>
      <c r="L15" s="38"/>
      <c r="M15" s="235"/>
      <c r="N15" s="233"/>
      <c r="O15" s="233" t="str">
        <f t="shared" si="0"/>
        <v/>
      </c>
      <c r="P15" s="236"/>
      <c r="V15" s="237">
        <f t="shared" si="1"/>
        <v>0</v>
      </c>
      <c r="W15" s="242"/>
      <c r="X15" s="242"/>
      <c r="Y15" s="242"/>
      <c r="Z15" s="242"/>
      <c r="AA15" s="242"/>
      <c r="AB15" s="242"/>
      <c r="AC15" s="240" t="e">
        <f t="shared" si="2"/>
        <v>#DIV/0!</v>
      </c>
      <c r="AD15" s="243"/>
      <c r="AE15" s="245" t="s">
        <v>385</v>
      </c>
      <c r="AF15" s="78" t="e">
        <f>AF11/AF9</f>
        <v>#DIV/0!</v>
      </c>
      <c r="AG15" s="78" t="e">
        <f>AG11/AG9</f>
        <v>#DIV/0!</v>
      </c>
      <c r="AH15" s="139"/>
      <c r="AI15" s="72" t="e">
        <f>(AF15+AG15+AH15)/2</f>
        <v>#DIV/0!</v>
      </c>
    </row>
    <row r="16" s="225" customFormat="1" ht="15.5" customHeight="1" spans="1:35">
      <c r="A16" s="63"/>
      <c r="B16" s="56"/>
      <c r="C16" s="63"/>
      <c r="D16" s="231"/>
      <c r="E16" s="232"/>
      <c r="F16" s="233"/>
      <c r="G16" s="234"/>
      <c r="H16" s="234"/>
      <c r="I16" s="38"/>
      <c r="J16" s="234"/>
      <c r="K16" s="233"/>
      <c r="L16" s="38"/>
      <c r="M16" s="235"/>
      <c r="N16" s="233"/>
      <c r="O16" s="233" t="str">
        <f t="shared" si="0"/>
        <v/>
      </c>
      <c r="P16" s="236"/>
      <c r="V16" s="237">
        <f t="shared" si="1"/>
        <v>0</v>
      </c>
      <c r="W16" s="242"/>
      <c r="X16" s="242"/>
      <c r="Y16" s="242"/>
      <c r="Z16" s="242"/>
      <c r="AA16" s="242"/>
      <c r="AB16" s="242"/>
      <c r="AC16" s="240" t="e">
        <f t="shared" si="2"/>
        <v>#DIV/0!</v>
      </c>
      <c r="AD16" s="243"/>
      <c r="AE16" s="13" t="s">
        <v>386</v>
      </c>
      <c r="AF16" s="78" t="e">
        <f>AF12/AF9</f>
        <v>#DIV/0!</v>
      </c>
      <c r="AG16" s="78" t="e">
        <f>AG12/AG9</f>
        <v>#DIV/0!</v>
      </c>
      <c r="AH16" s="139"/>
      <c r="AI16" s="72" t="e">
        <f>(AF16+AG16+AH16)/2</f>
        <v>#DIV/0!</v>
      </c>
    </row>
    <row r="17" s="225" customFormat="1" ht="15.5" customHeight="1" spans="1:35">
      <c r="A17" s="63"/>
      <c r="B17" s="56"/>
      <c r="C17" s="63"/>
      <c r="D17" s="231"/>
      <c r="E17" s="232"/>
      <c r="F17" s="233"/>
      <c r="G17" s="234"/>
      <c r="H17" s="234"/>
      <c r="I17" s="38"/>
      <c r="J17" s="234"/>
      <c r="K17" s="233"/>
      <c r="L17" s="38"/>
      <c r="M17" s="235"/>
      <c r="N17" s="233"/>
      <c r="O17" s="233" t="str">
        <f t="shared" si="0"/>
        <v/>
      </c>
      <c r="P17" s="236"/>
      <c r="V17" s="237">
        <f t="shared" si="1"/>
        <v>0</v>
      </c>
      <c r="W17" s="242"/>
      <c r="X17" s="242"/>
      <c r="Y17" s="242"/>
      <c r="Z17" s="242"/>
      <c r="AA17" s="242"/>
      <c r="AB17" s="242"/>
      <c r="AC17" s="240" t="e">
        <f t="shared" si="2"/>
        <v>#DIV/0!</v>
      </c>
      <c r="AD17" s="243"/>
      <c r="AE17" s="13" t="s">
        <v>388</v>
      </c>
      <c r="AF17" s="78" t="e">
        <f>AF13/AF9</f>
        <v>#DIV/0!</v>
      </c>
      <c r="AG17" s="78" t="e">
        <f>AG13/AG9</f>
        <v>#DIV/0!</v>
      </c>
      <c r="AH17" s="139"/>
      <c r="AI17" s="72" t="e">
        <f>(AF17+AG17+AH17)/2</f>
        <v>#DIV/0!</v>
      </c>
    </row>
    <row r="18" s="225" customFormat="1" ht="15.5" customHeight="1" spans="1:35">
      <c r="A18" s="63"/>
      <c r="B18" s="56"/>
      <c r="C18" s="63"/>
      <c r="D18" s="231"/>
      <c r="E18" s="232"/>
      <c r="F18" s="233"/>
      <c r="G18" s="234"/>
      <c r="H18" s="234"/>
      <c r="I18" s="38"/>
      <c r="J18" s="234"/>
      <c r="K18" s="233"/>
      <c r="L18" s="38"/>
      <c r="M18" s="235"/>
      <c r="N18" s="233"/>
      <c r="O18" s="233" t="str">
        <f t="shared" si="0"/>
        <v/>
      </c>
      <c r="P18" s="236"/>
      <c r="V18" s="237">
        <f t="shared" si="1"/>
        <v>0</v>
      </c>
      <c r="W18" s="243"/>
      <c r="X18" s="243"/>
      <c r="Y18" s="243"/>
      <c r="Z18" s="243"/>
      <c r="AA18" s="243"/>
      <c r="AB18" s="243"/>
      <c r="AC18" s="240" t="e">
        <f t="shared" si="2"/>
        <v>#DIV/0!</v>
      </c>
      <c r="AD18" s="243" t="s">
        <v>181</v>
      </c>
      <c r="AE18" s="13" t="s">
        <v>397</v>
      </c>
      <c r="AF18" s="78"/>
      <c r="AG18" s="78"/>
      <c r="AH18" s="139">
        <f>AF18+AG18</f>
        <v>0</v>
      </c>
      <c r="AI18" s="13"/>
    </row>
    <row r="19" s="225" customFormat="1" ht="15.5" customHeight="1" spans="1:35">
      <c r="A19" s="63"/>
      <c r="B19" s="56"/>
      <c r="C19" s="63"/>
      <c r="D19" s="231"/>
      <c r="E19" s="232"/>
      <c r="F19" s="233"/>
      <c r="G19" s="234"/>
      <c r="H19" s="234"/>
      <c r="I19" s="38"/>
      <c r="J19" s="234"/>
      <c r="K19" s="233"/>
      <c r="L19" s="38"/>
      <c r="M19" s="235"/>
      <c r="N19" s="233"/>
      <c r="O19" s="233" t="str">
        <f t="shared" si="0"/>
        <v/>
      </c>
      <c r="P19" s="236"/>
      <c r="V19" s="237">
        <f t="shared" si="1"/>
        <v>0</v>
      </c>
      <c r="W19" s="243"/>
      <c r="X19" s="243"/>
      <c r="Y19" s="243"/>
      <c r="Z19" s="243"/>
      <c r="AA19" s="243"/>
      <c r="AB19" s="243"/>
      <c r="AC19" s="240" t="e">
        <f t="shared" si="2"/>
        <v>#DIV/0!</v>
      </c>
      <c r="AD19" s="243"/>
      <c r="AE19" s="13"/>
      <c r="AF19" s="72" t="e">
        <f>(AF9-AF18)/AF9</f>
        <v>#DIV/0!</v>
      </c>
      <c r="AG19" s="72" t="e">
        <f>(AG9-AG18)/AG9</f>
        <v>#DIV/0!</v>
      </c>
      <c r="AH19" s="140">
        <f>0.3</f>
        <v>0.3</v>
      </c>
      <c r="AI19" s="13"/>
    </row>
    <row r="20" s="225" customFormat="1" ht="13" customHeight="1" spans="1:35">
      <c r="A20" s="63"/>
      <c r="B20" s="56"/>
      <c r="C20" s="63"/>
      <c r="D20" s="231"/>
      <c r="E20" s="232"/>
      <c r="F20" s="233"/>
      <c r="G20" s="234"/>
      <c r="H20" s="234"/>
      <c r="I20" s="38"/>
      <c r="J20" s="234"/>
      <c r="K20" s="233"/>
      <c r="L20" s="38"/>
      <c r="M20" s="235"/>
      <c r="N20" s="233"/>
      <c r="O20" s="233" t="str">
        <f t="shared" si="0"/>
        <v/>
      </c>
      <c r="P20" s="236"/>
      <c r="V20" s="237">
        <f t="shared" si="1"/>
        <v>0</v>
      </c>
      <c r="AC20" s="240" t="e">
        <f t="shared" si="2"/>
        <v>#DIV/0!</v>
      </c>
      <c r="AF20" s="246"/>
      <c r="AG20" s="246"/>
      <c r="AH20" s="246"/>
    </row>
    <row r="21" s="225" customFormat="1" ht="13" customHeight="1" spans="1:35">
      <c r="A21" s="63"/>
      <c r="B21" s="56"/>
      <c r="C21" s="63"/>
      <c r="D21" s="231"/>
      <c r="E21" s="232"/>
      <c r="F21" s="233"/>
      <c r="G21" s="234"/>
      <c r="H21" s="234"/>
      <c r="I21" s="38"/>
      <c r="J21" s="234"/>
      <c r="K21" s="233"/>
      <c r="L21" s="38"/>
      <c r="M21" s="235"/>
      <c r="N21" s="233"/>
      <c r="O21" s="233" t="str">
        <f t="shared" si="0"/>
        <v/>
      </c>
      <c r="P21" s="236"/>
      <c r="V21" s="237">
        <f t="shared" si="1"/>
        <v>0</v>
      </c>
      <c r="AC21" s="240" t="e">
        <f t="shared" si="2"/>
        <v>#DIV/0!</v>
      </c>
    </row>
    <row r="22" s="225" customFormat="1" ht="13" customHeight="1" spans="1:35">
      <c r="A22" s="63"/>
      <c r="B22" s="56"/>
      <c r="C22" s="63"/>
      <c r="D22" s="231"/>
      <c r="E22" s="232"/>
      <c r="F22" s="233"/>
      <c r="G22" s="234"/>
      <c r="H22" s="234"/>
      <c r="I22" s="38"/>
      <c r="J22" s="234"/>
      <c r="K22" s="233"/>
      <c r="L22" s="38"/>
      <c r="M22" s="235"/>
      <c r="N22" s="233"/>
      <c r="O22" s="233" t="str">
        <f t="shared" si="0"/>
        <v/>
      </c>
      <c r="P22" s="236"/>
      <c r="V22" s="237">
        <f t="shared" si="1"/>
        <v>0</v>
      </c>
      <c r="AC22" s="240" t="e">
        <f t="shared" si="2"/>
        <v>#DIV/0!</v>
      </c>
    </row>
    <row r="23" s="225" customFormat="1" ht="13" customHeight="1" spans="1:35">
      <c r="A23" s="63"/>
      <c r="B23" s="56"/>
      <c r="C23" s="63"/>
      <c r="D23" s="231"/>
      <c r="E23" s="232"/>
      <c r="F23" s="233"/>
      <c r="G23" s="234"/>
      <c r="H23" s="234"/>
      <c r="I23" s="38"/>
      <c r="J23" s="234"/>
      <c r="K23" s="233"/>
      <c r="L23" s="38"/>
      <c r="M23" s="235"/>
      <c r="N23" s="233"/>
      <c r="O23" s="233" t="str">
        <f t="shared" si="0"/>
        <v/>
      </c>
      <c r="P23" s="236"/>
      <c r="V23" s="237">
        <f t="shared" si="1"/>
        <v>0</v>
      </c>
      <c r="AC23" s="240" t="e">
        <f t="shared" si="2"/>
        <v>#DIV/0!</v>
      </c>
    </row>
    <row r="24" s="225" customFormat="1" ht="13" customHeight="1" spans="1:35">
      <c r="A24" s="63"/>
      <c r="B24" s="56"/>
      <c r="C24" s="63"/>
      <c r="D24" s="231"/>
      <c r="E24" s="232"/>
      <c r="F24" s="233"/>
      <c r="G24" s="234"/>
      <c r="H24" s="234"/>
      <c r="I24" s="38"/>
      <c r="J24" s="234"/>
      <c r="K24" s="233"/>
      <c r="L24" s="38"/>
      <c r="M24" s="235"/>
      <c r="N24" s="233"/>
      <c r="O24" s="233" t="str">
        <f t="shared" si="0"/>
        <v/>
      </c>
      <c r="P24" s="236"/>
      <c r="V24" s="237">
        <f t="shared" si="1"/>
        <v>0</v>
      </c>
      <c r="AC24" s="240" t="e">
        <f t="shared" si="2"/>
        <v>#DIV/0!</v>
      </c>
    </row>
    <row r="25" s="225" customFormat="1" ht="13" customHeight="1" spans="1:35">
      <c r="A25" s="63"/>
      <c r="B25" s="56"/>
      <c r="C25" s="63"/>
      <c r="D25" s="231"/>
      <c r="E25" s="232"/>
      <c r="F25" s="233"/>
      <c r="G25" s="234"/>
      <c r="H25" s="234"/>
      <c r="I25" s="38"/>
      <c r="J25" s="234"/>
      <c r="K25" s="233"/>
      <c r="L25" s="38"/>
      <c r="M25" s="235"/>
      <c r="N25" s="233"/>
      <c r="O25" s="233" t="str">
        <f t="shared" si="0"/>
        <v/>
      </c>
      <c r="P25" s="236"/>
      <c r="V25" s="237">
        <f t="shared" si="1"/>
        <v>0</v>
      </c>
      <c r="AC25" s="240" t="e">
        <f t="shared" si="2"/>
        <v>#DIV/0!</v>
      </c>
    </row>
    <row r="26" s="225" customFormat="1" ht="13" customHeight="1" spans="1:35">
      <c r="A26" s="63"/>
      <c r="B26" s="56"/>
      <c r="C26" s="63"/>
      <c r="D26" s="231"/>
      <c r="E26" s="232"/>
      <c r="F26" s="233"/>
      <c r="G26" s="234"/>
      <c r="H26" s="234"/>
      <c r="I26" s="38"/>
      <c r="J26" s="234"/>
      <c r="K26" s="233"/>
      <c r="L26" s="38"/>
      <c r="M26" s="235"/>
      <c r="N26" s="233"/>
      <c r="O26" s="233" t="str">
        <f t="shared" si="0"/>
        <v/>
      </c>
      <c r="P26" s="236"/>
      <c r="V26" s="237">
        <f t="shared" si="1"/>
        <v>0</v>
      </c>
      <c r="AC26" s="240" t="e">
        <f t="shared" si="2"/>
        <v>#DIV/0!</v>
      </c>
    </row>
    <row r="27" s="225" customFormat="1" ht="13" customHeight="1" spans="1:35">
      <c r="A27" s="63"/>
      <c r="B27" s="56"/>
      <c r="C27" s="63"/>
      <c r="D27" s="231"/>
      <c r="E27" s="232"/>
      <c r="F27" s="233"/>
      <c r="G27" s="234"/>
      <c r="H27" s="234"/>
      <c r="I27" s="38"/>
      <c r="J27" s="234"/>
      <c r="K27" s="233"/>
      <c r="L27" s="38"/>
      <c r="M27" s="235"/>
      <c r="N27" s="233"/>
      <c r="O27" s="233" t="str">
        <f t="shared" si="0"/>
        <v/>
      </c>
      <c r="P27" s="236"/>
      <c r="V27" s="237">
        <f t="shared" si="1"/>
        <v>0</v>
      </c>
      <c r="AC27" s="240" t="e">
        <f t="shared" si="2"/>
        <v>#DIV/0!</v>
      </c>
    </row>
    <row r="28" s="225" customFormat="1" ht="13" customHeight="1" spans="1:35">
      <c r="A28" s="63"/>
      <c r="B28" s="56"/>
      <c r="C28" s="63"/>
      <c r="D28" s="231"/>
      <c r="E28" s="232"/>
      <c r="F28" s="233"/>
      <c r="G28" s="234"/>
      <c r="H28" s="234"/>
      <c r="I28" s="38"/>
      <c r="J28" s="234"/>
      <c r="K28" s="233"/>
      <c r="L28" s="38"/>
      <c r="M28" s="235"/>
      <c r="N28" s="233"/>
      <c r="O28" s="233" t="str">
        <f t="shared" si="0"/>
        <v/>
      </c>
      <c r="P28" s="236"/>
      <c r="V28" s="237">
        <f t="shared" si="1"/>
        <v>0</v>
      </c>
      <c r="AC28" s="240" t="e">
        <f t="shared" si="2"/>
        <v>#DIV/0!</v>
      </c>
    </row>
    <row r="29" s="225" customFormat="1" ht="13" customHeight="1" spans="1:35">
      <c r="A29" s="63"/>
      <c r="B29" s="56"/>
      <c r="C29" s="63"/>
      <c r="D29" s="231"/>
      <c r="E29" s="232"/>
      <c r="F29" s="233"/>
      <c r="G29" s="234"/>
      <c r="H29" s="234"/>
      <c r="I29" s="38"/>
      <c r="J29" s="234"/>
      <c r="K29" s="233"/>
      <c r="L29" s="38"/>
      <c r="M29" s="235"/>
      <c r="N29" s="233"/>
      <c r="O29" s="233" t="str">
        <f t="shared" si="0"/>
        <v/>
      </c>
      <c r="P29" s="236"/>
      <c r="V29" s="237">
        <f t="shared" si="1"/>
        <v>0</v>
      </c>
      <c r="AC29" s="240" t="e">
        <f t="shared" si="2"/>
        <v>#DIV/0!</v>
      </c>
    </row>
    <row r="30" s="225" customFormat="1" ht="13" customHeight="1" spans="1:35">
      <c r="A30" s="63"/>
      <c r="B30" s="56"/>
      <c r="C30" s="63"/>
      <c r="D30" s="55"/>
      <c r="E30" s="232"/>
      <c r="F30" s="233"/>
      <c r="G30" s="234"/>
      <c r="H30" s="234"/>
      <c r="I30" s="38"/>
      <c r="J30" s="234"/>
      <c r="K30" s="233"/>
      <c r="L30" s="38"/>
      <c r="M30" s="235"/>
      <c r="N30" s="233"/>
      <c r="O30" s="233" t="str">
        <f t="shared" si="0"/>
        <v/>
      </c>
      <c r="P30" s="236"/>
      <c r="V30" s="237">
        <f t="shared" si="1"/>
        <v>0</v>
      </c>
      <c r="AC30" s="240" t="e">
        <f t="shared" si="2"/>
        <v>#DIV/0!</v>
      </c>
    </row>
    <row r="31" s="225" customFormat="1" ht="13" customHeight="1" spans="1:35">
      <c r="A31" s="63"/>
      <c r="B31" s="56"/>
      <c r="C31" s="63"/>
      <c r="D31" s="55"/>
      <c r="E31" s="232"/>
      <c r="F31" s="233"/>
      <c r="G31" s="234"/>
      <c r="H31" s="234"/>
      <c r="I31" s="38"/>
      <c r="J31" s="234"/>
      <c r="K31" s="233"/>
      <c r="L31" s="38"/>
      <c r="M31" s="235"/>
      <c r="N31" s="233"/>
      <c r="O31" s="233" t="str">
        <f t="shared" si="0"/>
        <v/>
      </c>
      <c r="P31" s="236"/>
      <c r="V31" s="237">
        <f t="shared" si="1"/>
        <v>0</v>
      </c>
      <c r="AC31" s="240" t="e">
        <f t="shared" si="2"/>
        <v>#DIV/0!</v>
      </c>
    </row>
    <row r="32" s="225" customFormat="1" ht="13" customHeight="1" spans="1:35">
      <c r="A32" s="63"/>
      <c r="B32" s="56"/>
      <c r="C32" s="63"/>
      <c r="D32" s="55"/>
      <c r="E32" s="232"/>
      <c r="F32" s="233"/>
      <c r="G32" s="234"/>
      <c r="H32" s="234"/>
      <c r="I32" s="38"/>
      <c r="J32" s="234"/>
      <c r="K32" s="233"/>
      <c r="L32" s="38"/>
      <c r="M32" s="235"/>
      <c r="N32" s="233"/>
      <c r="O32" s="233" t="str">
        <f t="shared" si="0"/>
        <v/>
      </c>
      <c r="P32" s="236"/>
      <c r="V32" s="237">
        <f t="shared" si="1"/>
        <v>0</v>
      </c>
      <c r="AC32" s="240" t="e">
        <f t="shared" si="2"/>
        <v>#DIV/0!</v>
      </c>
    </row>
    <row r="33" s="225" customFormat="1" ht="13" customHeight="1" spans="1:29">
      <c r="A33" s="63"/>
      <c r="B33" s="56"/>
      <c r="C33" s="63"/>
      <c r="D33" s="55"/>
      <c r="E33" s="232"/>
      <c r="F33" s="233"/>
      <c r="G33" s="234"/>
      <c r="H33" s="234"/>
      <c r="I33" s="38"/>
      <c r="J33" s="234"/>
      <c r="K33" s="233"/>
      <c r="L33" s="38"/>
      <c r="M33" s="235"/>
      <c r="N33" s="233"/>
      <c r="O33" s="233" t="str">
        <f t="shared" si="0"/>
        <v/>
      </c>
      <c r="P33" s="236"/>
      <c r="V33" s="237">
        <f t="shared" si="1"/>
        <v>0</v>
      </c>
      <c r="AC33" s="240" t="e">
        <f t="shared" si="2"/>
        <v>#DIV/0!</v>
      </c>
    </row>
    <row r="34" s="225" customFormat="1" ht="13" customHeight="1" spans="1:29">
      <c r="A34" s="63"/>
      <c r="B34" s="56"/>
      <c r="C34" s="63"/>
      <c r="D34" s="55"/>
      <c r="E34" s="232"/>
      <c r="F34" s="233"/>
      <c r="G34" s="234"/>
      <c r="H34" s="234"/>
      <c r="I34" s="38"/>
      <c r="J34" s="234"/>
      <c r="K34" s="233"/>
      <c r="L34" s="38"/>
      <c r="M34" s="235"/>
      <c r="N34" s="233"/>
      <c r="O34" s="233" t="str">
        <f t="shared" si="0"/>
        <v/>
      </c>
      <c r="P34" s="236"/>
      <c r="V34" s="237">
        <f t="shared" si="1"/>
        <v>0</v>
      </c>
      <c r="AC34" s="240" t="e">
        <f t="shared" si="2"/>
        <v>#DIV/0!</v>
      </c>
    </row>
    <row r="35" ht="15.5" customHeight="1" spans="1:29">
      <c r="A35" s="63"/>
      <c r="B35" s="56"/>
      <c r="C35" s="63"/>
      <c r="D35" s="23"/>
      <c r="E35" s="247"/>
      <c r="F35" s="26" t="str">
        <f>IF(E35=0,"",G35/E35)</f>
        <v/>
      </c>
      <c r="G35" s="248"/>
      <c r="H35" s="248"/>
      <c r="I35" s="248"/>
      <c r="J35" s="248"/>
      <c r="K35" s="26"/>
      <c r="L35" s="38"/>
      <c r="M35" s="26"/>
      <c r="N35" s="26"/>
      <c r="O35" s="26" t="str">
        <f t="shared" si="0"/>
        <v/>
      </c>
      <c r="P35" s="27"/>
      <c r="V35" s="249">
        <f t="shared" ref="V35:V98" si="3">J36</f>
        <v>0</v>
      </c>
      <c r="AC35" s="250"/>
    </row>
    <row r="36" ht="15.5" customHeight="1" spans="1:29">
      <c r="A36" s="23"/>
      <c r="B36" s="24"/>
      <c r="C36" s="23"/>
      <c r="D36" s="23"/>
      <c r="E36" s="247"/>
      <c r="F36" s="248"/>
      <c r="G36" s="248"/>
      <c r="H36" s="248"/>
      <c r="I36" s="248"/>
      <c r="J36" s="248"/>
      <c r="K36" s="26"/>
      <c r="L36" s="38"/>
      <c r="M36" s="26"/>
      <c r="N36" s="26"/>
      <c r="O36" s="26"/>
      <c r="P36" s="27"/>
      <c r="V36" s="249">
        <f t="shared" si="3"/>
        <v>0</v>
      </c>
      <c r="AC36" s="250"/>
    </row>
    <row r="37" ht="15.5" customHeight="1" spans="1:29">
      <c r="A37" s="23" t="s">
        <v>319</v>
      </c>
      <c r="B37" s="28"/>
      <c r="C37" s="23"/>
      <c r="D37" s="23"/>
      <c r="E37" s="38"/>
      <c r="F37" s="26"/>
      <c r="G37" s="26">
        <f>SUM(G7:G36)</f>
        <v>0</v>
      </c>
      <c r="H37" s="26"/>
      <c r="I37" s="26"/>
      <c r="J37" s="26"/>
      <c r="O37" s="26"/>
      <c r="P37" s="27"/>
      <c r="V37" s="249">
        <f t="shared" si="3"/>
        <v>0</v>
      </c>
      <c r="AC37" s="250"/>
    </row>
    <row r="38" ht="15.5" customHeight="1" spans="1:29">
      <c r="A38" s="29" t="str">
        <f>封面!D11&amp;封面!G11</f>
        <v>被评估单位填表人：</v>
      </c>
      <c r="K38" s="19" t="str">
        <f>"评估人员："&amp;封面!G20</f>
        <v>评估人员：</v>
      </c>
      <c r="V38" s="249">
        <f t="shared" si="3"/>
        <v>0</v>
      </c>
      <c r="AC38" s="250"/>
    </row>
    <row r="39" ht="15.5" customHeight="1" spans="1:29">
      <c r="A39" s="29" t="str">
        <f>CONCATENATE(封面!D13,封面!F13,封面!G13,封面!H13,封面!I13,封面!J13,封面!K13)</f>
        <v>填表日期：年月日</v>
      </c>
      <c r="L39" s="220"/>
      <c r="V39" s="249">
        <f t="shared" si="3"/>
        <v>0</v>
      </c>
      <c r="AC39" s="250"/>
    </row>
    <row r="40" ht="15.5" customHeight="1" spans="1:29">
      <c r="V40" s="249">
        <f t="shared" si="3"/>
        <v>0</v>
      </c>
      <c r="AC40" s="250"/>
    </row>
    <row r="41" ht="15.5" customHeight="1" spans="1:29">
      <c r="V41" s="249">
        <f t="shared" si="3"/>
        <v>0</v>
      </c>
      <c r="AC41" s="250"/>
    </row>
    <row r="42" ht="15.5" customHeight="1" spans="1:29">
      <c r="V42" s="249">
        <f t="shared" si="3"/>
        <v>0</v>
      </c>
      <c r="AC42" s="250"/>
    </row>
    <row r="43" ht="15.5" customHeight="1" spans="1:29">
      <c r="V43" s="249">
        <f t="shared" si="3"/>
        <v>0</v>
      </c>
      <c r="AC43" s="250"/>
    </row>
    <row r="44" ht="15.5" customHeight="1" spans="1:29">
      <c r="V44" s="249">
        <f t="shared" si="3"/>
        <v>0</v>
      </c>
      <c r="AC44" s="250"/>
    </row>
    <row r="45" ht="15.5" customHeight="1" spans="1:29">
      <c r="V45" s="249">
        <f t="shared" si="3"/>
        <v>0</v>
      </c>
      <c r="AC45" s="250"/>
    </row>
    <row r="46" ht="15.5" customHeight="1" spans="1:29">
      <c r="V46" s="249">
        <f t="shared" si="3"/>
        <v>0</v>
      </c>
      <c r="AC46" s="250"/>
    </row>
    <row r="47" ht="15.5" customHeight="1" spans="1:29">
      <c r="V47" s="249">
        <f t="shared" si="3"/>
        <v>0</v>
      </c>
      <c r="AC47" s="250"/>
    </row>
    <row r="48" ht="15.5" customHeight="1" spans="1:29">
      <c r="V48" s="249">
        <f t="shared" si="3"/>
        <v>0</v>
      </c>
      <c r="AC48" s="250"/>
    </row>
    <row r="49" ht="15.5" customHeight="1" spans="22:29">
      <c r="V49" s="249">
        <f t="shared" si="3"/>
        <v>0</v>
      </c>
      <c r="AC49" s="250"/>
    </row>
    <row r="50" ht="15.5" customHeight="1" spans="22:29">
      <c r="V50" s="249">
        <f t="shared" si="3"/>
        <v>0</v>
      </c>
      <c r="AC50" s="250"/>
    </row>
    <row r="51" ht="15.5" customHeight="1" spans="22:29">
      <c r="V51" s="249">
        <f t="shared" si="3"/>
        <v>0</v>
      </c>
      <c r="AC51" s="250"/>
    </row>
    <row r="52" ht="15.5" customHeight="1" spans="22:29">
      <c r="V52" s="249">
        <f t="shared" si="3"/>
        <v>0</v>
      </c>
      <c r="AC52" s="250"/>
    </row>
    <row r="53" ht="15.5" customHeight="1" spans="22:29">
      <c r="V53" s="249">
        <f t="shared" si="3"/>
        <v>0</v>
      </c>
      <c r="AC53" s="250"/>
    </row>
    <row r="54" ht="15.5" customHeight="1" spans="22:29">
      <c r="V54" s="249">
        <f t="shared" si="3"/>
        <v>0</v>
      </c>
      <c r="AC54" s="250"/>
    </row>
    <row r="55" ht="15.5" customHeight="1" spans="22:29">
      <c r="V55" s="249">
        <f t="shared" si="3"/>
        <v>0</v>
      </c>
      <c r="AC55" s="250"/>
    </row>
    <row r="56" ht="15.5" customHeight="1" spans="22:29">
      <c r="V56" s="249">
        <f t="shared" si="3"/>
        <v>0</v>
      </c>
      <c r="AC56" s="250"/>
    </row>
    <row r="57" ht="15.5" customHeight="1" spans="22:29">
      <c r="V57" s="249">
        <f t="shared" si="3"/>
        <v>0</v>
      </c>
      <c r="AC57" s="250"/>
    </row>
    <row r="58" ht="15.5" customHeight="1" spans="22:29">
      <c r="V58" s="249">
        <f t="shared" si="3"/>
        <v>0</v>
      </c>
      <c r="AC58" s="250"/>
    </row>
    <row r="59" ht="15.5" customHeight="1" spans="22:29">
      <c r="V59" s="249">
        <f t="shared" si="3"/>
        <v>0</v>
      </c>
      <c r="AC59" s="250"/>
    </row>
    <row r="60" ht="15.5" customHeight="1" spans="22:29">
      <c r="V60" s="249">
        <f t="shared" si="3"/>
        <v>0</v>
      </c>
      <c r="AC60" s="250"/>
    </row>
    <row r="61" ht="15.5" customHeight="1" spans="22:29">
      <c r="V61" s="249">
        <f t="shared" si="3"/>
        <v>0</v>
      </c>
      <c r="AC61" s="250"/>
    </row>
    <row r="62" ht="15.5" customHeight="1" spans="22:29">
      <c r="V62" s="249">
        <f t="shared" si="3"/>
        <v>0</v>
      </c>
      <c r="AC62" s="250"/>
    </row>
    <row r="63" ht="15.5" customHeight="1" spans="22:29">
      <c r="V63" s="249">
        <f t="shared" si="3"/>
        <v>0</v>
      </c>
      <c r="AC63" s="250"/>
    </row>
    <row r="64" ht="15.5" customHeight="1" spans="22:29">
      <c r="V64" s="249">
        <f t="shared" si="3"/>
        <v>0</v>
      </c>
      <c r="AC64" s="250"/>
    </row>
    <row r="65" ht="15.5" customHeight="1" spans="22:29">
      <c r="V65" s="249">
        <f t="shared" si="3"/>
        <v>0</v>
      </c>
      <c r="AC65" s="250"/>
    </row>
    <row r="66" ht="15.5" customHeight="1" spans="22:29">
      <c r="V66" s="249">
        <f t="shared" si="3"/>
        <v>0</v>
      </c>
      <c r="AC66" s="250"/>
    </row>
    <row r="67" ht="15.5" customHeight="1" spans="22:29">
      <c r="V67" s="249">
        <f t="shared" si="3"/>
        <v>0</v>
      </c>
      <c r="AC67" s="250"/>
    </row>
    <row r="68" ht="15.5" customHeight="1" spans="22:29">
      <c r="V68" s="249">
        <f t="shared" si="3"/>
        <v>0</v>
      </c>
      <c r="AC68" s="250"/>
    </row>
    <row r="69" ht="15.5" customHeight="1" spans="22:29">
      <c r="V69" s="249">
        <f t="shared" si="3"/>
        <v>0</v>
      </c>
      <c r="AC69" s="250"/>
    </row>
    <row r="70" ht="15.5" customHeight="1" spans="22:29">
      <c r="V70" s="249">
        <f t="shared" si="3"/>
        <v>0</v>
      </c>
      <c r="AC70" s="250"/>
    </row>
    <row r="71" ht="15.5" customHeight="1" spans="22:29">
      <c r="V71" s="249">
        <f t="shared" si="3"/>
        <v>0</v>
      </c>
      <c r="AC71" s="250"/>
    </row>
    <row r="72" ht="15.5" customHeight="1" spans="22:29">
      <c r="V72" s="249">
        <f t="shared" si="3"/>
        <v>0</v>
      </c>
      <c r="AC72" s="250"/>
    </row>
    <row r="73" ht="15.5" customHeight="1" spans="22:29">
      <c r="V73" s="249">
        <f t="shared" si="3"/>
        <v>0</v>
      </c>
      <c r="AC73" s="250"/>
    </row>
    <row r="74" ht="15.5" customHeight="1" spans="22:29">
      <c r="V74" s="249">
        <f t="shared" si="3"/>
        <v>0</v>
      </c>
      <c r="AC74" s="250"/>
    </row>
    <row r="75" ht="15.5" customHeight="1" spans="22:29">
      <c r="V75" s="249">
        <f t="shared" si="3"/>
        <v>0</v>
      </c>
      <c r="AC75" s="250"/>
    </row>
    <row r="76" ht="15.5" customHeight="1" spans="22:29">
      <c r="V76" s="249">
        <f t="shared" si="3"/>
        <v>0</v>
      </c>
      <c r="AC76" s="250"/>
    </row>
    <row r="77" ht="15.5" customHeight="1" spans="22:29">
      <c r="V77" s="249">
        <f t="shared" si="3"/>
        <v>0</v>
      </c>
      <c r="AC77" s="250"/>
    </row>
    <row r="78" ht="15.5" customHeight="1" spans="22:29">
      <c r="V78" s="249">
        <f t="shared" si="3"/>
        <v>0</v>
      </c>
      <c r="AC78" s="250"/>
    </row>
    <row r="79" ht="15.5" customHeight="1" spans="22:29">
      <c r="V79" s="249">
        <f t="shared" si="3"/>
        <v>0</v>
      </c>
      <c r="AC79" s="250"/>
    </row>
    <row r="80" ht="15.5" customHeight="1" spans="22:29">
      <c r="V80" s="249">
        <f t="shared" si="3"/>
        <v>0</v>
      </c>
      <c r="AC80" s="250"/>
    </row>
    <row r="81" ht="15.5" customHeight="1" spans="22:29">
      <c r="V81" s="249">
        <f t="shared" si="3"/>
        <v>0</v>
      </c>
      <c r="AC81" s="250"/>
    </row>
    <row r="82" ht="15.5" customHeight="1" spans="22:29">
      <c r="V82" s="249">
        <f t="shared" si="3"/>
        <v>0</v>
      </c>
      <c r="AC82" s="250"/>
    </row>
    <row r="83" ht="15.5" customHeight="1" spans="22:29">
      <c r="V83" s="249">
        <f t="shared" si="3"/>
        <v>0</v>
      </c>
      <c r="AC83" s="250"/>
    </row>
    <row r="84" ht="15.5" customHeight="1" spans="22:29">
      <c r="V84" s="249">
        <f t="shared" si="3"/>
        <v>0</v>
      </c>
      <c r="AC84" s="250"/>
    </row>
    <row r="85" ht="15.5" customHeight="1" spans="22:29">
      <c r="V85" s="249">
        <f t="shared" si="3"/>
        <v>0</v>
      </c>
      <c r="AC85" s="250"/>
    </row>
    <row r="86" ht="15.5" customHeight="1" spans="22:29">
      <c r="V86" s="249">
        <f t="shared" si="3"/>
        <v>0</v>
      </c>
      <c r="AC86" s="250"/>
    </row>
    <row r="87" ht="15.5" customHeight="1" spans="22:29">
      <c r="V87" s="249">
        <f t="shared" si="3"/>
        <v>0</v>
      </c>
      <c r="AC87" s="250"/>
    </row>
    <row r="88" ht="15.5" customHeight="1" spans="22:29">
      <c r="V88" s="249">
        <f t="shared" si="3"/>
        <v>0</v>
      </c>
      <c r="AC88" s="250"/>
    </row>
    <row r="89" ht="15.5" customHeight="1" spans="22:29">
      <c r="V89" s="249">
        <f t="shared" si="3"/>
        <v>0</v>
      </c>
      <c r="AC89" s="250"/>
    </row>
    <row r="90" ht="15.5" customHeight="1" spans="22:29">
      <c r="V90" s="249">
        <f t="shared" si="3"/>
        <v>0</v>
      </c>
      <c r="AC90" s="250"/>
    </row>
    <row r="91" ht="15.5" customHeight="1" spans="22:29">
      <c r="V91" s="249">
        <f t="shared" si="3"/>
        <v>0</v>
      </c>
      <c r="AC91" s="250"/>
    </row>
    <row r="92" ht="15.5" customHeight="1" spans="22:29">
      <c r="V92" s="249">
        <f t="shared" si="3"/>
        <v>0</v>
      </c>
      <c r="AC92" s="250"/>
    </row>
    <row r="93" ht="15.5" customHeight="1" spans="22:29">
      <c r="V93" s="249">
        <f t="shared" si="3"/>
        <v>0</v>
      </c>
      <c r="AC93" s="250"/>
    </row>
    <row r="94" ht="15.5" customHeight="1" spans="22:29">
      <c r="V94" s="249">
        <f t="shared" si="3"/>
        <v>0</v>
      </c>
      <c r="AC94" s="250"/>
    </row>
    <row r="95" ht="15.5" customHeight="1" spans="22:29">
      <c r="V95" s="249">
        <f t="shared" si="3"/>
        <v>0</v>
      </c>
      <c r="AC95" s="250"/>
    </row>
    <row r="96" ht="15.5" customHeight="1" spans="22:29">
      <c r="V96" s="249">
        <f t="shared" si="3"/>
        <v>0</v>
      </c>
      <c r="AC96" s="250"/>
    </row>
    <row r="97" ht="15.5" customHeight="1" spans="22:29">
      <c r="V97" s="249">
        <f t="shared" si="3"/>
        <v>0</v>
      </c>
      <c r="AC97" s="250"/>
    </row>
    <row r="98" ht="15.5" customHeight="1" spans="22:29">
      <c r="V98" s="249">
        <f t="shared" si="3"/>
        <v>0</v>
      </c>
      <c r="AC98" s="250"/>
    </row>
    <row r="99" ht="15.5" customHeight="1" spans="22:29">
      <c r="AC99" s="250"/>
    </row>
    <row r="100" ht="15.5" customHeight="1" spans="22:29">
      <c r="AC100" s="250"/>
    </row>
    <row r="101" ht="15.5" customHeight="1" spans="22:29">
      <c r="AC101" s="250"/>
    </row>
    <row r="102" ht="15.5" customHeight="1" spans="22:29">
      <c r="AC102" s="250"/>
    </row>
    <row r="103" ht="15.5" customHeight="1" spans="22:29">
      <c r="AC103" s="250"/>
    </row>
    <row r="104" ht="15.5" customHeight="1" spans="22:29">
      <c r="AC104" s="250"/>
    </row>
    <row r="105" ht="15.5" customHeight="1" spans="22:29">
      <c r="AC105" s="250"/>
    </row>
    <row r="106" ht="15.5" customHeight="1" spans="22:29">
      <c r="AC106" s="250"/>
    </row>
    <row r="107" ht="15.5" customHeight="1" spans="22:29">
      <c r="AC107" s="250"/>
    </row>
    <row r="108" ht="15.5" customHeight="1" spans="22:29">
      <c r="AC108" s="250"/>
    </row>
    <row r="109" ht="15.5" customHeight="1" spans="22:29">
      <c r="AC109" s="250"/>
    </row>
    <row r="110" ht="15.5" customHeight="1" spans="22:29">
      <c r="AC110" s="250"/>
    </row>
    <row r="111" ht="15.5" customHeight="1" spans="22:29">
      <c r="AC111" s="250"/>
    </row>
    <row r="112" ht="15.5" customHeight="1" spans="22:29">
      <c r="AC112" s="250"/>
    </row>
    <row r="113" ht="15.5" customHeight="1" spans="29:29">
      <c r="AC113" s="250"/>
    </row>
    <row r="114" ht="15.5" customHeight="1" spans="29:29">
      <c r="AC114" s="250"/>
    </row>
    <row r="115" ht="15.5" customHeight="1" spans="29:29">
      <c r="AC115" s="250"/>
    </row>
    <row r="116" ht="15.5" customHeight="1" spans="29:29">
      <c r="AC116" s="250"/>
    </row>
    <row r="117" ht="15.5" customHeight="1" spans="29:29">
      <c r="AC117" s="250"/>
    </row>
    <row r="118" ht="15.5" customHeight="1" spans="29:29">
      <c r="AC118" s="250"/>
    </row>
    <row r="119" ht="15.5" customHeight="1" spans="29:29">
      <c r="AC119" s="250"/>
    </row>
    <row r="120" ht="15.5" customHeight="1" spans="29:29">
      <c r="AC120" s="250"/>
    </row>
    <row r="121" ht="15.5" customHeight="1" spans="29:29">
      <c r="AC121" s="250"/>
    </row>
    <row r="122" ht="15.5" customHeight="1" spans="29:29">
      <c r="AC122" s="250"/>
    </row>
    <row r="123" ht="15.5" customHeight="1" spans="29:29">
      <c r="AC123" s="250"/>
    </row>
  </sheetData>
  <mergeCells count="14">
    <mergeCell ref="A2:P2"/>
    <mergeCell ref="A3:P3"/>
    <mergeCell ref="E5:G5"/>
    <mergeCell ref="I5:K5"/>
    <mergeCell ref="L5:N5"/>
    <mergeCell ref="A37:B37"/>
    <mergeCell ref="A5:A6"/>
    <mergeCell ref="B5:B6"/>
    <mergeCell ref="C5:C6"/>
    <mergeCell ref="D5:D6"/>
    <mergeCell ref="H5:H6"/>
    <mergeCell ref="O5:O6"/>
    <mergeCell ref="P5:P6"/>
    <mergeCell ref="AH7:AH8"/>
  </mergeCells>
  <hyperlinks>
    <hyperlink ref="A1" location="索引目录!E24" display="返回索引页"/>
    <hyperlink ref="B1" location="存货汇总!B12" display="返回"/>
  </hyperlinks>
  <printOptions horizontalCentered="1"/>
  <pageMargins left="0.354166666666667" right="0.354166666666667" top="0.786805555555556" bottom="0.786805555555556" header="1.02" footer="0.511805555555556"/>
  <pageSetup paperSize="9" orientation="landscape"/>
  <headerFooter alignWithMargins="0">
    <oddHeader>&amp;R&amp;"宋体,常规"共&amp;"Times New Roman,常规"&amp;N&amp;"宋体,常规"页第&amp;"Times New Roman,常规"&amp;P&amp;"宋体,常规"3-9-7
页</oddHead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0">
    <pageSetUpPr fitToPage="1"/>
  </sheetPr>
  <dimension ref="A1:P29"/>
  <sheetViews>
    <sheetView view="pageBreakPreview" zoomScale="115" zoomScaleNormal="100" workbookViewId="0">
      <selection activeCell="G451" sqref="G451"/>
    </sheetView>
  </sheetViews>
  <sheetFormatPr defaultColWidth="9" defaultRowHeight="15.75" customHeight="1"/>
  <cols>
    <col min="1" max="1" width="5.83333333333333" style="13" customWidth="1"/>
    <col min="2" max="2" width="17.5" style="13" customWidth="1"/>
    <col min="3" max="3" width="8" style="13" customWidth="1"/>
    <col min="4" max="4" width="6.5" style="13" customWidth="1"/>
    <col min="5" max="5" width="5" style="13" customWidth="1"/>
    <col min="6" max="6" width="10.5833333333333" style="13" hidden="1" customWidth="1" outlineLevel="1"/>
    <col min="7" max="7" width="13.75" style="13" hidden="1" customWidth="1" outlineLevel="1"/>
    <col min="8" max="8" width="12.5833333333333" style="13" hidden="1" customWidth="1" outlineLevel="1"/>
    <col min="9" max="9" width="10" style="13" customWidth="1" collapsed="1"/>
    <col min="10" max="10" width="12.75" style="13" customWidth="1"/>
    <col min="11" max="11" width="9.25" style="13" customWidth="1"/>
    <col min="12" max="12" width="8.5" style="13" customWidth="1"/>
    <col min="13" max="13" width="8.33333333333333" style="13" customWidth="1"/>
    <col min="14" max="14" width="13.8333333333333" style="13" customWidth="1"/>
    <col min="15" max="15" width="7" style="13" customWidth="1"/>
    <col min="16" max="16" width="9.83333333333333" style="13" customWidth="1"/>
    <col min="17" max="16384" width="9" style="13" customWidth="1"/>
  </cols>
  <sheetData>
    <row r="1" ht="15.5" customHeight="1" spans="1:16">
      <c r="A1" s="14" t="s">
        <v>111</v>
      </c>
      <c r="B1" s="30" t="s">
        <v>210</v>
      </c>
      <c r="C1" s="30"/>
      <c r="D1" s="30"/>
      <c r="E1" s="12"/>
      <c r="F1" s="12"/>
      <c r="G1" s="12"/>
      <c r="H1" s="12"/>
      <c r="I1" s="12"/>
      <c r="J1" s="12"/>
      <c r="K1" s="12"/>
      <c r="L1" s="12"/>
      <c r="M1" s="12"/>
      <c r="N1" s="12"/>
      <c r="O1" s="12"/>
      <c r="P1" s="12"/>
    </row>
    <row r="2" s="11" customFormat="1" ht="30" customHeight="1" spans="1:16">
      <c r="A2" s="17" t="s">
        <v>398</v>
      </c>
    </row>
    <row r="3" ht="14.15" customHeight="1" spans="1:16">
      <c r="A3" s="18" t="str">
        <f>CONCATENATE(封面!D9,封面!F9,封面!G9,封面!H9,封面!I9,封面!J9,封面!K9)</f>
        <v>评估基准日：年月日</v>
      </c>
    </row>
    <row r="4" ht="15.5" customHeight="1" spans="1:16">
      <c r="A4" s="19" t="str">
        <f>封面!D7&amp;封面!F7</f>
        <v>被评估单位：</v>
      </c>
      <c r="P4" s="20" t="s">
        <v>139</v>
      </c>
    </row>
    <row r="5" s="12" customFormat="1" ht="13" customHeight="1" spans="1:16">
      <c r="A5" s="21" t="s">
        <v>141</v>
      </c>
      <c r="B5" s="21" t="s">
        <v>366</v>
      </c>
      <c r="C5" s="21" t="s">
        <v>399</v>
      </c>
      <c r="D5" s="22" t="s">
        <v>400</v>
      </c>
      <c r="E5" s="22" t="s">
        <v>367</v>
      </c>
      <c r="F5" s="21" t="s">
        <v>175</v>
      </c>
      <c r="G5" s="28"/>
      <c r="H5" s="21" t="s">
        <v>281</v>
      </c>
      <c r="I5" s="33" t="s">
        <v>176</v>
      </c>
      <c r="J5" s="35"/>
      <c r="K5" s="21" t="s">
        <v>371</v>
      </c>
      <c r="L5" s="21" t="s">
        <v>177</v>
      </c>
      <c r="M5" s="32"/>
      <c r="N5" s="28"/>
      <c r="O5" s="21" t="s">
        <v>215</v>
      </c>
      <c r="P5" s="21" t="s">
        <v>144</v>
      </c>
    </row>
    <row r="6" s="12" customFormat="1" ht="13" customHeight="1" spans="1:16">
      <c r="A6" s="36"/>
      <c r="B6" s="36"/>
      <c r="C6" s="36"/>
      <c r="D6" s="36"/>
      <c r="E6" s="36"/>
      <c r="F6" s="21" t="s">
        <v>368</v>
      </c>
      <c r="G6" s="21" t="s">
        <v>370</v>
      </c>
      <c r="H6" s="36"/>
      <c r="I6" s="21" t="s">
        <v>368</v>
      </c>
      <c r="J6" s="21" t="s">
        <v>370</v>
      </c>
      <c r="K6" s="36"/>
      <c r="L6" s="21" t="s">
        <v>369</v>
      </c>
      <c r="M6" s="21" t="s">
        <v>401</v>
      </c>
      <c r="N6" s="21" t="s">
        <v>370</v>
      </c>
      <c r="O6" s="36"/>
      <c r="P6" s="36"/>
    </row>
    <row r="7" ht="15.5" customHeight="1" spans="1:16">
      <c r="A7" s="23"/>
      <c r="B7" s="24"/>
      <c r="C7" s="24"/>
      <c r="D7" s="24"/>
      <c r="E7" s="23"/>
      <c r="F7" s="38"/>
      <c r="G7" s="26"/>
      <c r="H7" s="26"/>
      <c r="I7" s="26"/>
      <c r="J7" s="26"/>
      <c r="K7" s="38"/>
      <c r="L7" s="26"/>
      <c r="M7" s="23"/>
      <c r="N7" s="26">
        <f t="shared" ref="N7:N25" si="0">K7*L7*M7/100</f>
        <v>0</v>
      </c>
      <c r="O7" s="26" t="str">
        <f t="shared" ref="O7:O25" si="1">IF(J7=0,"",(N7-J7)/J7*100)</f>
        <v/>
      </c>
      <c r="P7" s="27"/>
    </row>
    <row r="8" ht="15.5" customHeight="1" spans="1:16">
      <c r="A8" s="23"/>
      <c r="B8" s="24"/>
      <c r="C8" s="24"/>
      <c r="D8" s="24"/>
      <c r="E8" s="23"/>
      <c r="F8" s="38"/>
      <c r="G8" s="26"/>
      <c r="H8" s="26"/>
      <c r="I8" s="26"/>
      <c r="J8" s="26"/>
      <c r="K8" s="38"/>
      <c r="L8" s="26"/>
      <c r="M8" s="23"/>
      <c r="N8" s="26">
        <f t="shared" si="0"/>
        <v>0</v>
      </c>
      <c r="O8" s="26" t="str">
        <f t="shared" si="1"/>
        <v/>
      </c>
      <c r="P8" s="27"/>
    </row>
    <row r="9" ht="15.5" customHeight="1" spans="1:16">
      <c r="A9" s="23"/>
      <c r="B9" s="24"/>
      <c r="C9" s="24"/>
      <c r="D9" s="24"/>
      <c r="E9" s="23"/>
      <c r="F9" s="38"/>
      <c r="G9" s="26"/>
      <c r="H9" s="26"/>
      <c r="I9" s="26"/>
      <c r="J9" s="26"/>
      <c r="K9" s="38"/>
      <c r="L9" s="26"/>
      <c r="M9" s="23"/>
      <c r="N9" s="26">
        <f t="shared" si="0"/>
        <v>0</v>
      </c>
      <c r="O9" s="26" t="str">
        <f t="shared" si="1"/>
        <v/>
      </c>
      <c r="P9" s="27"/>
    </row>
    <row r="10" ht="15.5" customHeight="1" spans="1:16">
      <c r="A10" s="23"/>
      <c r="B10" s="24"/>
      <c r="C10" s="24"/>
      <c r="D10" s="24"/>
      <c r="E10" s="23"/>
      <c r="F10" s="38"/>
      <c r="G10" s="26"/>
      <c r="H10" s="26"/>
      <c r="I10" s="26"/>
      <c r="J10" s="26"/>
      <c r="K10" s="38"/>
      <c r="L10" s="26"/>
      <c r="M10" s="23"/>
      <c r="N10" s="26">
        <f t="shared" si="0"/>
        <v>0</v>
      </c>
      <c r="O10" s="26" t="str">
        <f t="shared" si="1"/>
        <v/>
      </c>
      <c r="P10" s="27"/>
    </row>
    <row r="11" ht="15.5" customHeight="1" spans="1:16">
      <c r="A11" s="23"/>
      <c r="B11" s="24"/>
      <c r="C11" s="24"/>
      <c r="D11" s="24"/>
      <c r="E11" s="23"/>
      <c r="F11" s="38"/>
      <c r="G11" s="26"/>
      <c r="H11" s="26"/>
      <c r="I11" s="26"/>
      <c r="J11" s="26"/>
      <c r="K11" s="38"/>
      <c r="L11" s="26"/>
      <c r="M11" s="23"/>
      <c r="N11" s="26">
        <f t="shared" si="0"/>
        <v>0</v>
      </c>
      <c r="O11" s="26" t="str">
        <f t="shared" si="1"/>
        <v/>
      </c>
      <c r="P11" s="27"/>
    </row>
    <row r="12" ht="15.5" customHeight="1" spans="1:16">
      <c r="A12" s="23"/>
      <c r="B12" s="24"/>
      <c r="C12" s="24"/>
      <c r="D12" s="24"/>
      <c r="E12" s="23"/>
      <c r="F12" s="38"/>
      <c r="G12" s="26"/>
      <c r="H12" s="26"/>
      <c r="I12" s="26"/>
      <c r="J12" s="26"/>
      <c r="K12" s="38"/>
      <c r="L12" s="26"/>
      <c r="M12" s="23"/>
      <c r="N12" s="26">
        <f t="shared" si="0"/>
        <v>0</v>
      </c>
      <c r="O12" s="26" t="str">
        <f t="shared" si="1"/>
        <v/>
      </c>
      <c r="P12" s="27"/>
    </row>
    <row r="13" ht="15.5" customHeight="1" spans="1:16">
      <c r="A13" s="23"/>
      <c r="B13" s="24"/>
      <c r="C13" s="24"/>
      <c r="D13" s="24"/>
      <c r="E13" s="23"/>
      <c r="F13" s="38"/>
      <c r="G13" s="26"/>
      <c r="H13" s="26"/>
      <c r="I13" s="26"/>
      <c r="J13" s="26"/>
      <c r="K13" s="38"/>
      <c r="L13" s="26"/>
      <c r="M13" s="23"/>
      <c r="N13" s="26">
        <f t="shared" si="0"/>
        <v>0</v>
      </c>
      <c r="O13" s="26" t="str">
        <f t="shared" si="1"/>
        <v/>
      </c>
      <c r="P13" s="27"/>
    </row>
    <row r="14" ht="15.5" customHeight="1" spans="1:16">
      <c r="A14" s="23"/>
      <c r="B14" s="24"/>
      <c r="C14" s="24"/>
      <c r="D14" s="24"/>
      <c r="E14" s="23"/>
      <c r="F14" s="38"/>
      <c r="G14" s="26"/>
      <c r="H14" s="26"/>
      <c r="I14" s="26"/>
      <c r="J14" s="26"/>
      <c r="K14" s="38"/>
      <c r="L14" s="26"/>
      <c r="M14" s="23"/>
      <c r="N14" s="26">
        <f t="shared" si="0"/>
        <v>0</v>
      </c>
      <c r="O14" s="26" t="str">
        <f t="shared" si="1"/>
        <v/>
      </c>
      <c r="P14" s="27"/>
    </row>
    <row r="15" ht="15.5" customHeight="1" spans="1:16">
      <c r="A15" s="23"/>
      <c r="B15" s="24"/>
      <c r="C15" s="24"/>
      <c r="D15" s="24"/>
      <c r="E15" s="23"/>
      <c r="F15" s="38"/>
      <c r="G15" s="26"/>
      <c r="H15" s="26"/>
      <c r="I15" s="26"/>
      <c r="J15" s="26"/>
      <c r="K15" s="38"/>
      <c r="L15" s="26"/>
      <c r="M15" s="23"/>
      <c r="N15" s="26">
        <f t="shared" si="0"/>
        <v>0</v>
      </c>
      <c r="O15" s="26" t="str">
        <f t="shared" si="1"/>
        <v/>
      </c>
      <c r="P15" s="27"/>
    </row>
    <row r="16" ht="15.5" customHeight="1" spans="1:16">
      <c r="A16" s="23"/>
      <c r="B16" s="24"/>
      <c r="C16" s="24"/>
      <c r="D16" s="24"/>
      <c r="E16" s="23"/>
      <c r="F16" s="38"/>
      <c r="G16" s="26"/>
      <c r="H16" s="26"/>
      <c r="I16" s="26"/>
      <c r="J16" s="26"/>
      <c r="K16" s="38"/>
      <c r="L16" s="26"/>
      <c r="M16" s="23"/>
      <c r="N16" s="26">
        <f t="shared" si="0"/>
        <v>0</v>
      </c>
      <c r="O16" s="26" t="str">
        <f t="shared" si="1"/>
        <v/>
      </c>
      <c r="P16" s="27"/>
    </row>
    <row r="17" ht="15.5" customHeight="1" spans="1:16">
      <c r="A17" s="23"/>
      <c r="B17" s="24"/>
      <c r="C17" s="24"/>
      <c r="D17" s="24"/>
      <c r="E17" s="23"/>
      <c r="F17" s="38"/>
      <c r="G17" s="26"/>
      <c r="H17" s="26"/>
      <c r="I17" s="26"/>
      <c r="J17" s="26"/>
      <c r="K17" s="38"/>
      <c r="L17" s="26"/>
      <c r="M17" s="23"/>
      <c r="N17" s="26">
        <f t="shared" si="0"/>
        <v>0</v>
      </c>
      <c r="O17" s="26" t="str">
        <f t="shared" si="1"/>
        <v/>
      </c>
      <c r="P17" s="27"/>
    </row>
    <row r="18" ht="15.5" customHeight="1" spans="1:16">
      <c r="A18" s="23"/>
      <c r="B18" s="24"/>
      <c r="C18" s="24"/>
      <c r="D18" s="24"/>
      <c r="E18" s="23"/>
      <c r="F18" s="38"/>
      <c r="G18" s="26"/>
      <c r="H18" s="26"/>
      <c r="I18" s="26"/>
      <c r="J18" s="26"/>
      <c r="K18" s="38"/>
      <c r="L18" s="26"/>
      <c r="M18" s="23"/>
      <c r="N18" s="26">
        <f t="shared" si="0"/>
        <v>0</v>
      </c>
      <c r="O18" s="26" t="str">
        <f t="shared" si="1"/>
        <v/>
      </c>
      <c r="P18" s="27"/>
    </row>
    <row r="19" ht="15.5" customHeight="1" spans="1:16">
      <c r="A19" s="23"/>
      <c r="B19" s="24"/>
      <c r="C19" s="24"/>
      <c r="D19" s="24"/>
      <c r="E19" s="23"/>
      <c r="F19" s="38"/>
      <c r="G19" s="26"/>
      <c r="H19" s="26"/>
      <c r="I19" s="26"/>
      <c r="J19" s="26"/>
      <c r="K19" s="38"/>
      <c r="L19" s="26"/>
      <c r="M19" s="23"/>
      <c r="N19" s="26">
        <f t="shared" si="0"/>
        <v>0</v>
      </c>
      <c r="O19" s="26" t="str">
        <f t="shared" si="1"/>
        <v/>
      </c>
      <c r="P19" s="27"/>
    </row>
    <row r="20" ht="15.5" customHeight="1" spans="1:16">
      <c r="A20" s="23"/>
      <c r="B20" s="24"/>
      <c r="C20" s="24"/>
      <c r="D20" s="24"/>
      <c r="E20" s="23"/>
      <c r="F20" s="38"/>
      <c r="G20" s="26"/>
      <c r="H20" s="26"/>
      <c r="I20" s="26"/>
      <c r="J20" s="26"/>
      <c r="K20" s="38"/>
      <c r="L20" s="26"/>
      <c r="M20" s="23"/>
      <c r="N20" s="26">
        <f t="shared" si="0"/>
        <v>0</v>
      </c>
      <c r="O20" s="26" t="str">
        <f t="shared" si="1"/>
        <v/>
      </c>
      <c r="P20" s="27"/>
    </row>
    <row r="21" ht="15.5" customHeight="1" spans="1:16">
      <c r="A21" s="23"/>
      <c r="B21" s="24"/>
      <c r="C21" s="24"/>
      <c r="D21" s="24"/>
      <c r="E21" s="23"/>
      <c r="F21" s="38"/>
      <c r="G21" s="26"/>
      <c r="H21" s="26"/>
      <c r="I21" s="26"/>
      <c r="J21" s="26"/>
      <c r="K21" s="38"/>
      <c r="L21" s="26"/>
      <c r="M21" s="23"/>
      <c r="N21" s="26">
        <f t="shared" si="0"/>
        <v>0</v>
      </c>
      <c r="O21" s="26" t="str">
        <f t="shared" si="1"/>
        <v/>
      </c>
      <c r="P21" s="27"/>
    </row>
    <row r="22" ht="15.5" customHeight="1" spans="1:16">
      <c r="A22" s="23"/>
      <c r="B22" s="24"/>
      <c r="C22" s="24"/>
      <c r="D22" s="24"/>
      <c r="E22" s="23"/>
      <c r="F22" s="38"/>
      <c r="G22" s="26"/>
      <c r="H22" s="26"/>
      <c r="I22" s="26"/>
      <c r="J22" s="26"/>
      <c r="K22" s="38"/>
      <c r="L22" s="26"/>
      <c r="M22" s="23"/>
      <c r="N22" s="26">
        <f t="shared" si="0"/>
        <v>0</v>
      </c>
      <c r="O22" s="26" t="str">
        <f t="shared" si="1"/>
        <v/>
      </c>
      <c r="P22" s="27"/>
    </row>
    <row r="23" ht="15.5" customHeight="1" spans="1:16">
      <c r="A23" s="23"/>
      <c r="B23" s="24"/>
      <c r="C23" s="24"/>
      <c r="D23" s="24"/>
      <c r="E23" s="23"/>
      <c r="F23" s="38"/>
      <c r="G23" s="26"/>
      <c r="H23" s="26"/>
      <c r="I23" s="26"/>
      <c r="J23" s="26"/>
      <c r="K23" s="38"/>
      <c r="L23" s="26"/>
      <c r="M23" s="23"/>
      <c r="N23" s="26">
        <f t="shared" si="0"/>
        <v>0</v>
      </c>
      <c r="O23" s="26" t="str">
        <f t="shared" si="1"/>
        <v/>
      </c>
      <c r="P23" s="27"/>
    </row>
    <row r="24" ht="15.5" customHeight="1" spans="1:16">
      <c r="A24" s="23"/>
      <c r="B24" s="24"/>
      <c r="C24" s="24"/>
      <c r="D24" s="24"/>
      <c r="E24" s="23"/>
      <c r="F24" s="38"/>
      <c r="G24" s="26"/>
      <c r="H24" s="26"/>
      <c r="I24" s="26"/>
      <c r="J24" s="26"/>
      <c r="K24" s="38"/>
      <c r="L24" s="26"/>
      <c r="M24" s="23"/>
      <c r="N24" s="26">
        <f t="shared" si="0"/>
        <v>0</v>
      </c>
      <c r="O24" s="26" t="str">
        <f t="shared" si="1"/>
        <v/>
      </c>
      <c r="P24" s="27"/>
    </row>
    <row r="25" ht="15.5" customHeight="1" spans="1:16">
      <c r="A25" s="23"/>
      <c r="B25" s="24"/>
      <c r="C25" s="24"/>
      <c r="D25" s="24"/>
      <c r="E25" s="23"/>
      <c r="F25" s="38"/>
      <c r="G25" s="26"/>
      <c r="H25" s="26"/>
      <c r="I25" s="26"/>
      <c r="J25" s="26"/>
      <c r="K25" s="38"/>
      <c r="L25" s="26"/>
      <c r="M25" s="23"/>
      <c r="N25" s="26">
        <f t="shared" si="0"/>
        <v>0</v>
      </c>
      <c r="O25" s="26" t="str">
        <f t="shared" si="1"/>
        <v/>
      </c>
      <c r="P25" s="27"/>
    </row>
    <row r="26" ht="15.5" customHeight="1" spans="1:16">
      <c r="A26" s="23"/>
      <c r="B26" s="24"/>
      <c r="C26" s="24"/>
      <c r="D26" s="24"/>
      <c r="E26" s="23"/>
      <c r="F26" s="38"/>
      <c r="G26" s="26"/>
      <c r="H26" s="26"/>
      <c r="I26" s="26"/>
      <c r="J26" s="26"/>
      <c r="K26" s="38"/>
      <c r="L26" s="26"/>
      <c r="M26" s="23"/>
      <c r="N26" s="26"/>
      <c r="O26" s="26"/>
      <c r="P26" s="27"/>
    </row>
    <row r="27" ht="15.5" customHeight="1" spans="1:16">
      <c r="A27" s="21" t="s">
        <v>319</v>
      </c>
      <c r="B27" s="28"/>
      <c r="C27" s="77"/>
      <c r="D27" s="77"/>
      <c r="E27" s="27"/>
      <c r="F27" s="38"/>
      <c r="G27" s="26">
        <f>SUM(G7:G26)</f>
        <v>0</v>
      </c>
      <c r="H27" s="26"/>
      <c r="I27" s="26"/>
      <c r="J27" s="26">
        <f>SUM(J7:J26)</f>
        <v>0</v>
      </c>
      <c r="K27" s="38"/>
      <c r="L27" s="26"/>
      <c r="M27" s="23"/>
      <c r="N27" s="26">
        <f>SUM(N7:N26)</f>
        <v>0</v>
      </c>
      <c r="O27" s="26" t="str">
        <f>IF(J27=0,"",(N27-J27)/J27*100)</f>
        <v/>
      </c>
      <c r="P27" s="27"/>
    </row>
    <row r="28" ht="15.5" customHeight="1" spans="1:16">
      <c r="A28" s="29" t="str">
        <f>封面!D11&amp;封面!G11</f>
        <v>被评估单位填表人：</v>
      </c>
      <c r="F28" s="19"/>
      <c r="J28" s="19" t="str">
        <f>"评估人员："&amp;封面!G20</f>
        <v>评估人员：</v>
      </c>
    </row>
    <row r="29" ht="15.5" customHeight="1" spans="1:16">
      <c r="A29" s="29" t="str">
        <f>CONCATENATE(封面!D13,封面!F13,封面!G13,封面!H13,封面!I13,封面!J13,封面!K13)</f>
        <v>填表日期：年月日</v>
      </c>
    </row>
  </sheetData>
  <mergeCells count="15">
    <mergeCell ref="A2:P2"/>
    <mergeCell ref="A3:P3"/>
    <mergeCell ref="F5:G5"/>
    <mergeCell ref="I5:J5"/>
    <mergeCell ref="L5:N5"/>
    <mergeCell ref="A27:B27"/>
    <mergeCell ref="A5:A6"/>
    <mergeCell ref="B5:B6"/>
    <mergeCell ref="C5:C6"/>
    <mergeCell ref="D5:D6"/>
    <mergeCell ref="E5:E6"/>
    <mergeCell ref="H5:H6"/>
    <mergeCell ref="K5:K6"/>
    <mergeCell ref="O5:O6"/>
    <mergeCell ref="P5:P6"/>
  </mergeCells>
  <hyperlinks>
    <hyperlink ref="A1" location="索引目录!E25" display="返回索引页"/>
    <hyperlink ref="B1" location="存货汇总!B13" display="返回"/>
  </hyperlinks>
  <printOptions horizontalCentered="1"/>
  <pageMargins left="0.354330708661417" right="0.354330708661417" top="0.78740157480315" bottom="0.78740157480315" header="1.06" footer="0.511811023622047"/>
  <pageSetup paperSize="9" fitToHeight="0" orientation="landscape"/>
  <headerFooter alignWithMargins="0">
    <oddHeader>&amp;R&amp;"宋体,常规"共&amp;"Times New Roman,常规"&amp;N&amp;"宋体,常规"页第&amp;"Times New Roman,常规"&amp;P&amp;"宋体,常规"3-9-8
页</oddHead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1">
    <pageSetUpPr fitToPage="1"/>
  </sheetPr>
  <dimension ref="A1:J29"/>
  <sheetViews>
    <sheetView view="pageBreakPreview" zoomScale="60" zoomScaleNormal="100" workbookViewId="0">
      <selection activeCell="G451" sqref="G451"/>
    </sheetView>
  </sheetViews>
  <sheetFormatPr defaultColWidth="9" defaultRowHeight="15.75" customHeight="1"/>
  <cols>
    <col min="1" max="1" width="5.75" style="13" customWidth="1"/>
    <col min="2" max="2" width="24.8333333333333" style="13" customWidth="1"/>
    <col min="3" max="3" width="8.25" style="13" customWidth="1"/>
    <col min="4" max="4" width="20.5833333333333" style="13" customWidth="1"/>
    <col min="5" max="6" width="16.3333333333333" style="13" hidden="1" customWidth="1" outlineLevel="1"/>
    <col min="7" max="7" width="18.0833333333333" style="13" customWidth="1" collapsed="1"/>
    <col min="8" max="8" width="18.0833333333333" style="13" customWidth="1"/>
    <col min="9" max="9" width="11" style="13" customWidth="1"/>
    <col min="10" max="10" width="14.5833333333333" style="13" customWidth="1"/>
    <col min="11" max="16384" width="9" style="13" customWidth="1"/>
  </cols>
  <sheetData>
    <row r="1" ht="15.5" customHeight="1" spans="1:10">
      <c r="A1" s="14" t="s">
        <v>111</v>
      </c>
      <c r="B1" s="15" t="s">
        <v>210</v>
      </c>
      <c r="C1" s="16"/>
      <c r="D1" s="16"/>
      <c r="E1" s="16"/>
      <c r="F1" s="16"/>
      <c r="G1" s="16"/>
      <c r="H1" s="16"/>
      <c r="I1" s="16"/>
      <c r="J1" s="16"/>
    </row>
    <row r="2" s="11" customFormat="1" ht="30" customHeight="1" spans="1:10">
      <c r="A2" s="17" t="s">
        <v>402</v>
      </c>
    </row>
    <row r="3" ht="14.15" customHeight="1" spans="1:10">
      <c r="A3" s="18" t="str">
        <f>CONCATENATE(封面!D9,封面!F9,封面!G9,封面!H9,封面!I9,封面!J9,封面!K9)</f>
        <v>评估基准日：年月日</v>
      </c>
    </row>
    <row r="4" ht="15.5" customHeight="1" spans="1:10">
      <c r="A4" s="19" t="str">
        <f>封面!D7&amp;封面!F7</f>
        <v>被评估单位：</v>
      </c>
      <c r="J4" s="20" t="s">
        <v>139</v>
      </c>
    </row>
    <row r="5" s="12" customFormat="1" ht="13" customHeight="1" spans="1:10">
      <c r="A5" s="21" t="s">
        <v>141</v>
      </c>
      <c r="B5" s="21" t="s">
        <v>403</v>
      </c>
      <c r="C5" s="21" t="s">
        <v>326</v>
      </c>
      <c r="D5" s="21" t="s">
        <v>404</v>
      </c>
      <c r="E5" s="22" t="s">
        <v>175</v>
      </c>
      <c r="F5" s="22" t="s">
        <v>281</v>
      </c>
      <c r="G5" s="21" t="s">
        <v>176</v>
      </c>
      <c r="H5" s="21" t="s">
        <v>177</v>
      </c>
      <c r="I5" s="21" t="s">
        <v>215</v>
      </c>
      <c r="J5" s="21" t="s">
        <v>144</v>
      </c>
    </row>
    <row r="6" ht="15.5" customHeight="1" spans="1:10">
      <c r="A6" s="23"/>
      <c r="B6" s="24"/>
      <c r="C6" s="23"/>
      <c r="D6" s="23"/>
      <c r="E6" s="26"/>
      <c r="F6" s="26"/>
      <c r="G6" s="26"/>
      <c r="H6" s="26"/>
      <c r="I6" s="26" t="str">
        <f t="shared" ref="I6:I25" si="0">IF(G6=0,"",(H6-G6)/G6*100)</f>
        <v/>
      </c>
      <c r="J6" s="27"/>
    </row>
    <row r="7" ht="15.5" customHeight="1" spans="1:10">
      <c r="A7" s="27"/>
      <c r="B7" s="24"/>
      <c r="C7" s="25"/>
      <c r="D7" s="25"/>
      <c r="E7" s="26"/>
      <c r="F7" s="26"/>
      <c r="G7" s="26"/>
      <c r="H7" s="26"/>
      <c r="I7" s="26" t="str">
        <f t="shared" si="0"/>
        <v/>
      </c>
      <c r="J7" s="27"/>
    </row>
    <row r="8" ht="15.5" customHeight="1" spans="1:10">
      <c r="A8" s="27"/>
      <c r="B8" s="24"/>
      <c r="C8" s="25"/>
      <c r="D8" s="25"/>
      <c r="E8" s="26"/>
      <c r="F8" s="26"/>
      <c r="G8" s="26"/>
      <c r="H8" s="26"/>
      <c r="I8" s="26" t="str">
        <f t="shared" si="0"/>
        <v/>
      </c>
      <c r="J8" s="27"/>
    </row>
    <row r="9" ht="15.5" customHeight="1" spans="1:10">
      <c r="A9" s="27"/>
      <c r="B9" s="24"/>
      <c r="C9" s="25"/>
      <c r="D9" s="25"/>
      <c r="E9" s="26"/>
      <c r="F9" s="26"/>
      <c r="G9" s="26"/>
      <c r="H9" s="26"/>
      <c r="I9" s="26" t="str">
        <f t="shared" si="0"/>
        <v/>
      </c>
      <c r="J9" s="27"/>
    </row>
    <row r="10" ht="15.5" customHeight="1" spans="1:10">
      <c r="A10" s="27"/>
      <c r="B10" s="24"/>
      <c r="C10" s="25"/>
      <c r="D10" s="25"/>
      <c r="E10" s="26"/>
      <c r="F10" s="26"/>
      <c r="G10" s="26"/>
      <c r="H10" s="26"/>
      <c r="I10" s="26" t="str">
        <f t="shared" si="0"/>
        <v/>
      </c>
      <c r="J10" s="27"/>
    </row>
    <row r="11" ht="15.5" customHeight="1" spans="1:10">
      <c r="A11" s="27"/>
      <c r="B11" s="24"/>
      <c r="C11" s="25"/>
      <c r="D11" s="25"/>
      <c r="E11" s="26"/>
      <c r="F11" s="26"/>
      <c r="G11" s="26"/>
      <c r="H11" s="26"/>
      <c r="I11" s="26" t="str">
        <f t="shared" si="0"/>
        <v/>
      </c>
      <c r="J11" s="27"/>
    </row>
    <row r="12" ht="15.5" customHeight="1" spans="1:10">
      <c r="A12" s="27"/>
      <c r="B12" s="24"/>
      <c r="C12" s="25"/>
      <c r="D12" s="25"/>
      <c r="E12" s="26"/>
      <c r="F12" s="26"/>
      <c r="G12" s="26"/>
      <c r="H12" s="26"/>
      <c r="I12" s="26" t="str">
        <f t="shared" si="0"/>
        <v/>
      </c>
      <c r="J12" s="27"/>
    </row>
    <row r="13" ht="15.5" customHeight="1" spans="1:10">
      <c r="A13" s="27"/>
      <c r="B13" s="24"/>
      <c r="C13" s="25"/>
      <c r="D13" s="25"/>
      <c r="E13" s="26"/>
      <c r="F13" s="26"/>
      <c r="G13" s="26"/>
      <c r="H13" s="26"/>
      <c r="I13" s="26" t="str">
        <f t="shared" si="0"/>
        <v/>
      </c>
      <c r="J13" s="27"/>
    </row>
    <row r="14" ht="15.5" customHeight="1" spans="1:10">
      <c r="A14" s="27"/>
      <c r="B14" s="24"/>
      <c r="C14" s="25"/>
      <c r="D14" s="25"/>
      <c r="E14" s="26"/>
      <c r="F14" s="26"/>
      <c r="G14" s="26"/>
      <c r="H14" s="26"/>
      <c r="I14" s="26" t="str">
        <f t="shared" si="0"/>
        <v/>
      </c>
      <c r="J14" s="27"/>
    </row>
    <row r="15" ht="15.5" customHeight="1" spans="1:10">
      <c r="A15" s="27"/>
      <c r="B15" s="24"/>
      <c r="C15" s="25"/>
      <c r="D15" s="25"/>
      <c r="E15" s="26"/>
      <c r="F15" s="26"/>
      <c r="G15" s="26"/>
      <c r="H15" s="26"/>
      <c r="I15" s="26" t="str">
        <f t="shared" si="0"/>
        <v/>
      </c>
      <c r="J15" s="27"/>
    </row>
    <row r="16" ht="15.5" customHeight="1" spans="1:10">
      <c r="A16" s="27"/>
      <c r="B16" s="24"/>
      <c r="C16" s="25"/>
      <c r="D16" s="25"/>
      <c r="E16" s="26"/>
      <c r="F16" s="26"/>
      <c r="G16" s="26"/>
      <c r="H16" s="26"/>
      <c r="I16" s="26" t="str">
        <f t="shared" si="0"/>
        <v/>
      </c>
      <c r="J16" s="27"/>
    </row>
    <row r="17" ht="15.5" customHeight="1" spans="1:10">
      <c r="A17" s="27"/>
      <c r="B17" s="24"/>
      <c r="C17" s="25"/>
      <c r="D17" s="25"/>
      <c r="E17" s="26"/>
      <c r="F17" s="26"/>
      <c r="G17" s="26"/>
      <c r="H17" s="26"/>
      <c r="I17" s="26" t="str">
        <f t="shared" si="0"/>
        <v/>
      </c>
      <c r="J17" s="27"/>
    </row>
    <row r="18" ht="15.5" customHeight="1" spans="1:10">
      <c r="A18" s="27"/>
      <c r="B18" s="24"/>
      <c r="C18" s="25"/>
      <c r="D18" s="25"/>
      <c r="E18" s="26"/>
      <c r="F18" s="26"/>
      <c r="G18" s="26"/>
      <c r="H18" s="26"/>
      <c r="I18" s="26" t="str">
        <f t="shared" si="0"/>
        <v/>
      </c>
      <c r="J18" s="27"/>
    </row>
    <row r="19" ht="15.5" customHeight="1" spans="1:10">
      <c r="A19" s="27"/>
      <c r="B19" s="24"/>
      <c r="C19" s="25"/>
      <c r="D19" s="25"/>
      <c r="E19" s="26"/>
      <c r="F19" s="26"/>
      <c r="G19" s="26"/>
      <c r="H19" s="26"/>
      <c r="I19" s="26" t="str">
        <f t="shared" si="0"/>
        <v/>
      </c>
      <c r="J19" s="27"/>
    </row>
    <row r="20" ht="15.5" customHeight="1" spans="1:10">
      <c r="A20" s="27"/>
      <c r="B20" s="24"/>
      <c r="C20" s="25"/>
      <c r="D20" s="25"/>
      <c r="E20" s="26"/>
      <c r="F20" s="26"/>
      <c r="G20" s="26"/>
      <c r="H20" s="26"/>
      <c r="I20" s="26" t="str">
        <f t="shared" si="0"/>
        <v/>
      </c>
      <c r="J20" s="27"/>
    </row>
    <row r="21" ht="15.5" customHeight="1" spans="1:10">
      <c r="A21" s="27"/>
      <c r="B21" s="24"/>
      <c r="C21" s="25"/>
      <c r="D21" s="25"/>
      <c r="E21" s="26"/>
      <c r="F21" s="26"/>
      <c r="G21" s="26"/>
      <c r="H21" s="26"/>
      <c r="I21" s="26" t="str">
        <f t="shared" si="0"/>
        <v/>
      </c>
      <c r="J21" s="27"/>
    </row>
    <row r="22" ht="15.5" customHeight="1" spans="1:10">
      <c r="A22" s="27"/>
      <c r="B22" s="24"/>
      <c r="C22" s="25"/>
      <c r="D22" s="25"/>
      <c r="E22" s="26"/>
      <c r="F22" s="26"/>
      <c r="G22" s="26"/>
      <c r="H22" s="26"/>
      <c r="I22" s="26" t="str">
        <f t="shared" si="0"/>
        <v/>
      </c>
      <c r="J22" s="27"/>
    </row>
    <row r="23" ht="15.5" customHeight="1" spans="1:10">
      <c r="A23" s="27"/>
      <c r="B23" s="24"/>
      <c r="C23" s="25"/>
      <c r="D23" s="25"/>
      <c r="E23" s="26"/>
      <c r="F23" s="26"/>
      <c r="G23" s="26"/>
      <c r="H23" s="26"/>
      <c r="I23" s="26" t="str">
        <f t="shared" si="0"/>
        <v/>
      </c>
      <c r="J23" s="27"/>
    </row>
    <row r="24" ht="15.5" customHeight="1" spans="1:10">
      <c r="A24" s="27"/>
      <c r="B24" s="24"/>
      <c r="C24" s="25"/>
      <c r="D24" s="25"/>
      <c r="E24" s="26"/>
      <c r="F24" s="26"/>
      <c r="G24" s="26"/>
      <c r="H24" s="26"/>
      <c r="I24" s="26" t="str">
        <f t="shared" si="0"/>
        <v/>
      </c>
      <c r="J24" s="27"/>
    </row>
    <row r="25" ht="15.5" customHeight="1" spans="1:10">
      <c r="A25" s="27"/>
      <c r="B25" s="24"/>
      <c r="C25" s="25"/>
      <c r="D25" s="25"/>
      <c r="E25" s="26"/>
      <c r="F25" s="26"/>
      <c r="G25" s="26"/>
      <c r="H25" s="26"/>
      <c r="I25" s="26" t="str">
        <f t="shared" si="0"/>
        <v/>
      </c>
      <c r="J25" s="27"/>
    </row>
    <row r="26" ht="15.5" customHeight="1" spans="1:10">
      <c r="A26" s="27"/>
      <c r="B26" s="24"/>
      <c r="C26" s="25"/>
      <c r="D26" s="25"/>
      <c r="E26" s="26"/>
      <c r="F26" s="26"/>
      <c r="G26" s="26"/>
      <c r="H26" s="26"/>
      <c r="I26" s="26"/>
      <c r="J26" s="27"/>
    </row>
    <row r="27" ht="15.5" customHeight="1" spans="1:10">
      <c r="A27" s="21" t="s">
        <v>319</v>
      </c>
      <c r="B27" s="28"/>
      <c r="C27" s="25"/>
      <c r="D27" s="25"/>
      <c r="E27" s="26">
        <f>SUM(E6:E26)</f>
        <v>0</v>
      </c>
      <c r="F27" s="26"/>
      <c r="G27" s="26">
        <f>SUM(G6:G26)</f>
        <v>0</v>
      </c>
      <c r="H27" s="26">
        <f>SUM(H6:H26)</f>
        <v>0</v>
      </c>
      <c r="I27" s="26" t="str">
        <f>IF(G27=0,"",(H27-G27)/G27*100)</f>
        <v/>
      </c>
      <c r="J27" s="27"/>
    </row>
    <row r="28" ht="15.5" customHeight="1" spans="1:10">
      <c r="A28" s="29" t="str">
        <f>封面!D11&amp;封面!G11</f>
        <v>被评估单位填表人：</v>
      </c>
      <c r="G28" s="19" t="str">
        <f>"评估人员："&amp;封面!G20</f>
        <v>评估人员：</v>
      </c>
    </row>
    <row r="29" ht="15.5" customHeight="1" spans="1:10">
      <c r="A29" s="29" t="str">
        <f>CONCATENATE(封面!D13,封面!F13,封面!G13,封面!H13,封面!I13,封面!J13,封面!K13)</f>
        <v>填表日期：年月日</v>
      </c>
    </row>
  </sheetData>
  <mergeCells count="3">
    <mergeCell ref="A2:J2"/>
    <mergeCell ref="A3:J3"/>
    <mergeCell ref="A27:B27"/>
  </mergeCells>
  <hyperlinks>
    <hyperlink ref="A1" location="索引目录!D26" display="返回索引页"/>
    <hyperlink ref="B1" location="流动汇总!B15" display="返回"/>
  </hyperlinks>
  <printOptions horizontalCentered="1"/>
  <pageMargins left="0.354330708661417" right="0.354330708661417" top="0.78740157480315" bottom="0.78740157480315" header="1.06" footer="0.511811023622047"/>
  <pageSetup paperSize="9" fitToHeight="0" orientation="landscape"/>
  <headerFooter alignWithMargins="0">
    <oddHeader>&amp;R&amp;"宋体,常规"共&amp;"Times New Roman,常规"&amp;N&amp;"宋体,常规"页第&amp;"Times New Roman,常规"&amp;P&amp;"宋体,常规"3-10
页</oddHead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2">
    <pageSetUpPr fitToPage="1"/>
  </sheetPr>
  <dimension ref="A1:J29"/>
  <sheetViews>
    <sheetView view="pageBreakPreview" zoomScale="60" zoomScaleNormal="100" workbookViewId="0">
      <selection activeCell="G451" sqref="G451"/>
    </sheetView>
  </sheetViews>
  <sheetFormatPr defaultColWidth="9" defaultRowHeight="15.75" customHeight="1"/>
  <cols>
    <col min="1" max="1" width="5.5" style="13" customWidth="1"/>
    <col min="2" max="2" width="25.25" style="13" customWidth="1"/>
    <col min="3" max="3" width="8.25" style="13" customWidth="1"/>
    <col min="4" max="4" width="20" style="13" customWidth="1"/>
    <col min="5" max="6" width="14.5833333333333" style="13" hidden="1" customWidth="1" outlineLevel="1"/>
    <col min="7" max="7" width="18.75" style="13" customWidth="1" collapsed="1"/>
    <col min="8" max="8" width="18.75" style="13" customWidth="1"/>
    <col min="9" max="9" width="9.75" style="13" customWidth="1"/>
    <col min="10" max="10" width="15.5" style="13" customWidth="1"/>
    <col min="11" max="16384" width="9" style="13" customWidth="1"/>
  </cols>
  <sheetData>
    <row r="1" ht="11.25" customHeight="1" spans="1:10">
      <c r="A1" s="14" t="s">
        <v>111</v>
      </c>
      <c r="B1" s="15" t="s">
        <v>210</v>
      </c>
      <c r="C1" s="15"/>
      <c r="D1" s="15"/>
      <c r="E1" s="16"/>
      <c r="F1" s="16"/>
      <c r="G1" s="16"/>
      <c r="H1" s="16"/>
      <c r="I1" s="16"/>
      <c r="J1" s="16"/>
    </row>
    <row r="2" s="11" customFormat="1" ht="30" customHeight="1" spans="1:10">
      <c r="A2" s="17" t="s">
        <v>405</v>
      </c>
    </row>
    <row r="3" ht="14.15" customHeight="1" spans="1:10">
      <c r="A3" s="18" t="str">
        <f>CONCATENATE(封面!D9,封面!F9,封面!G9,封面!H9,封面!I9,封面!J9,封面!K9)</f>
        <v>评估基准日：年月日</v>
      </c>
    </row>
    <row r="4" ht="15.5" customHeight="1" spans="1:10">
      <c r="A4" s="19" t="str">
        <f>封面!D7&amp;封面!F7</f>
        <v>被评估单位：</v>
      </c>
      <c r="J4" s="20" t="s">
        <v>139</v>
      </c>
    </row>
    <row r="5" s="12" customFormat="1" ht="13" customHeight="1" spans="1:10">
      <c r="A5" s="21" t="s">
        <v>141</v>
      </c>
      <c r="B5" s="21" t="s">
        <v>403</v>
      </c>
      <c r="C5" s="21" t="s">
        <v>326</v>
      </c>
      <c r="D5" s="21" t="s">
        <v>404</v>
      </c>
      <c r="E5" s="22" t="s">
        <v>175</v>
      </c>
      <c r="F5" s="22" t="s">
        <v>281</v>
      </c>
      <c r="G5" s="21" t="s">
        <v>176</v>
      </c>
      <c r="H5" s="21" t="s">
        <v>177</v>
      </c>
      <c r="I5" s="21" t="s">
        <v>215</v>
      </c>
      <c r="J5" s="21" t="s">
        <v>144</v>
      </c>
    </row>
    <row r="6" ht="15.5" customHeight="1" spans="1:10">
      <c r="A6" s="23"/>
      <c r="B6" s="24"/>
      <c r="C6" s="24"/>
      <c r="D6" s="24"/>
      <c r="E6" s="26"/>
      <c r="F6" s="26"/>
      <c r="G6" s="26"/>
      <c r="H6" s="26"/>
      <c r="I6" s="26" t="str">
        <f t="shared" ref="I6:I25" si="0">IF(G6=0,"",(H6-G6)/G6*100)</f>
        <v/>
      </c>
      <c r="J6" s="27"/>
    </row>
    <row r="7" ht="15.5" customHeight="1" spans="1:10">
      <c r="A7" s="23"/>
      <c r="B7" s="24"/>
      <c r="C7" s="21"/>
      <c r="D7" s="21"/>
      <c r="E7" s="26"/>
      <c r="F7" s="26"/>
      <c r="G7" s="26"/>
      <c r="H7" s="26"/>
      <c r="I7" s="26" t="str">
        <f t="shared" si="0"/>
        <v/>
      </c>
      <c r="J7" s="27"/>
    </row>
    <row r="8" ht="15.5" customHeight="1" spans="1:10">
      <c r="A8" s="23"/>
      <c r="B8" s="24"/>
      <c r="C8" s="24"/>
      <c r="D8" s="24"/>
      <c r="E8" s="26"/>
      <c r="F8" s="26"/>
      <c r="G8" s="26"/>
      <c r="H8" s="26"/>
      <c r="I8" s="26" t="str">
        <f t="shared" si="0"/>
        <v/>
      </c>
      <c r="J8" s="27"/>
    </row>
    <row r="9" ht="15.5" customHeight="1" spans="1:10">
      <c r="A9" s="23"/>
      <c r="B9" s="24"/>
      <c r="C9" s="24"/>
      <c r="D9" s="24"/>
      <c r="E9" s="26"/>
      <c r="F9" s="26"/>
      <c r="G9" s="26"/>
      <c r="H9" s="26"/>
      <c r="I9" s="26" t="str">
        <f t="shared" si="0"/>
        <v/>
      </c>
      <c r="J9" s="27"/>
    </row>
    <row r="10" ht="15.5" customHeight="1" spans="1:10">
      <c r="A10" s="23"/>
      <c r="B10" s="24"/>
      <c r="C10" s="24"/>
      <c r="D10" s="24"/>
      <c r="E10" s="26"/>
      <c r="F10" s="26"/>
      <c r="G10" s="26"/>
      <c r="H10" s="26"/>
      <c r="I10" s="26" t="str">
        <f t="shared" si="0"/>
        <v/>
      </c>
      <c r="J10" s="27"/>
    </row>
    <row r="11" ht="15.5" customHeight="1" spans="1:10">
      <c r="A11" s="23"/>
      <c r="B11" s="24"/>
      <c r="C11" s="24"/>
      <c r="D11" s="24"/>
      <c r="E11" s="26"/>
      <c r="F11" s="26"/>
      <c r="G11" s="26"/>
      <c r="H11" s="26"/>
      <c r="I11" s="26" t="str">
        <f t="shared" si="0"/>
        <v/>
      </c>
      <c r="J11" s="27"/>
    </row>
    <row r="12" ht="15.5" customHeight="1" spans="1:10">
      <c r="A12" s="23"/>
      <c r="B12" s="24"/>
      <c r="C12" s="24"/>
      <c r="D12" s="24"/>
      <c r="E12" s="26"/>
      <c r="F12" s="26"/>
      <c r="G12" s="26"/>
      <c r="H12" s="26"/>
      <c r="I12" s="26" t="str">
        <f t="shared" si="0"/>
        <v/>
      </c>
      <c r="J12" s="27"/>
    </row>
    <row r="13" ht="15.5" customHeight="1" spans="1:10">
      <c r="A13" s="23"/>
      <c r="B13" s="24"/>
      <c r="C13" s="24"/>
      <c r="D13" s="24"/>
      <c r="E13" s="26"/>
      <c r="F13" s="26"/>
      <c r="G13" s="26"/>
      <c r="H13" s="26"/>
      <c r="I13" s="26" t="str">
        <f t="shared" si="0"/>
        <v/>
      </c>
      <c r="J13" s="27"/>
    </row>
    <row r="14" ht="15.5" customHeight="1" spans="1:10">
      <c r="A14" s="23"/>
      <c r="B14" s="24"/>
      <c r="C14" s="24"/>
      <c r="D14" s="24"/>
      <c r="E14" s="26"/>
      <c r="F14" s="26"/>
      <c r="G14" s="26"/>
      <c r="H14" s="26"/>
      <c r="I14" s="26" t="str">
        <f t="shared" si="0"/>
        <v/>
      </c>
      <c r="J14" s="27"/>
    </row>
    <row r="15" ht="15.5" customHeight="1" spans="1:10">
      <c r="A15" s="23"/>
      <c r="B15" s="24"/>
      <c r="C15" s="24"/>
      <c r="D15" s="24"/>
      <c r="E15" s="26"/>
      <c r="F15" s="26"/>
      <c r="G15" s="26"/>
      <c r="H15" s="26"/>
      <c r="I15" s="26" t="str">
        <f t="shared" si="0"/>
        <v/>
      </c>
      <c r="J15" s="27"/>
    </row>
    <row r="16" ht="15.5" customHeight="1" spans="1:10">
      <c r="A16" s="23"/>
      <c r="B16" s="24"/>
      <c r="C16" s="24"/>
      <c r="D16" s="24"/>
      <c r="E16" s="26"/>
      <c r="F16" s="26"/>
      <c r="G16" s="26"/>
      <c r="H16" s="26"/>
      <c r="I16" s="26" t="str">
        <f t="shared" si="0"/>
        <v/>
      </c>
      <c r="J16" s="27"/>
    </row>
    <row r="17" ht="15.5" customHeight="1" spans="1:10">
      <c r="A17" s="23"/>
      <c r="B17" s="24"/>
      <c r="C17" s="24"/>
      <c r="D17" s="24"/>
      <c r="E17" s="26"/>
      <c r="F17" s="26"/>
      <c r="G17" s="26"/>
      <c r="H17" s="26"/>
      <c r="I17" s="26" t="str">
        <f t="shared" si="0"/>
        <v/>
      </c>
      <c r="J17" s="27"/>
    </row>
    <row r="18" ht="15.5" customHeight="1" spans="1:10">
      <c r="A18" s="23"/>
      <c r="B18" s="24"/>
      <c r="C18" s="24"/>
      <c r="D18" s="24"/>
      <c r="E18" s="26"/>
      <c r="F18" s="26"/>
      <c r="G18" s="26"/>
      <c r="H18" s="26"/>
      <c r="I18" s="26" t="str">
        <f t="shared" si="0"/>
        <v/>
      </c>
      <c r="J18" s="27"/>
    </row>
    <row r="19" ht="15.5" customHeight="1" spans="1:10">
      <c r="A19" s="23"/>
      <c r="B19" s="24"/>
      <c r="C19" s="24"/>
      <c r="D19" s="24"/>
      <c r="E19" s="26"/>
      <c r="F19" s="26"/>
      <c r="G19" s="26"/>
      <c r="H19" s="26"/>
      <c r="I19" s="26" t="str">
        <f t="shared" si="0"/>
        <v/>
      </c>
      <c r="J19" s="27"/>
    </row>
    <row r="20" ht="15.5" customHeight="1" spans="1:10">
      <c r="A20" s="23"/>
      <c r="B20" s="24"/>
      <c r="C20" s="24"/>
      <c r="D20" s="24"/>
      <c r="E20" s="26"/>
      <c r="F20" s="26"/>
      <c r="G20" s="26"/>
      <c r="H20" s="26"/>
      <c r="I20" s="26" t="str">
        <f t="shared" si="0"/>
        <v/>
      </c>
      <c r="J20" s="27"/>
    </row>
    <row r="21" ht="15.5" customHeight="1" spans="1:10">
      <c r="A21" s="23"/>
      <c r="B21" s="24"/>
      <c r="C21" s="24"/>
      <c r="D21" s="24"/>
      <c r="E21" s="26"/>
      <c r="F21" s="26"/>
      <c r="G21" s="26"/>
      <c r="H21" s="26"/>
      <c r="I21" s="26" t="str">
        <f t="shared" si="0"/>
        <v/>
      </c>
      <c r="J21" s="27"/>
    </row>
    <row r="22" ht="15.5" customHeight="1" spans="1:10">
      <c r="A22" s="23"/>
      <c r="B22" s="24"/>
      <c r="C22" s="24"/>
      <c r="D22" s="24"/>
      <c r="E22" s="26"/>
      <c r="F22" s="26"/>
      <c r="G22" s="26"/>
      <c r="H22" s="26"/>
      <c r="I22" s="26" t="str">
        <f t="shared" si="0"/>
        <v/>
      </c>
      <c r="J22" s="27"/>
    </row>
    <row r="23" ht="15.5" customHeight="1" spans="1:10">
      <c r="A23" s="23"/>
      <c r="B23" s="24"/>
      <c r="C23" s="24"/>
      <c r="D23" s="24"/>
      <c r="E23" s="26"/>
      <c r="F23" s="26"/>
      <c r="G23" s="26"/>
      <c r="H23" s="26"/>
      <c r="I23" s="26" t="str">
        <f t="shared" si="0"/>
        <v/>
      </c>
      <c r="J23" s="27"/>
    </row>
    <row r="24" ht="15.5" customHeight="1" spans="1:10">
      <c r="A24" s="23"/>
      <c r="B24" s="24"/>
      <c r="C24" s="24"/>
      <c r="D24" s="24"/>
      <c r="E24" s="26"/>
      <c r="F24" s="26"/>
      <c r="G24" s="26"/>
      <c r="H24" s="26"/>
      <c r="I24" s="26" t="str">
        <f t="shared" si="0"/>
        <v/>
      </c>
      <c r="J24" s="27"/>
    </row>
    <row r="25" ht="15.5" customHeight="1" spans="1:10">
      <c r="A25" s="23"/>
      <c r="B25" s="24"/>
      <c r="C25" s="24"/>
      <c r="D25" s="24"/>
      <c r="E25" s="26"/>
      <c r="F25" s="26"/>
      <c r="G25" s="26"/>
      <c r="H25" s="26"/>
      <c r="I25" s="26" t="str">
        <f t="shared" si="0"/>
        <v/>
      </c>
      <c r="J25" s="27"/>
    </row>
    <row r="26" ht="15.5" customHeight="1" spans="1:10">
      <c r="A26" s="23"/>
      <c r="B26" s="24"/>
      <c r="C26" s="24"/>
      <c r="D26" s="24"/>
      <c r="E26" s="26"/>
      <c r="F26" s="26"/>
      <c r="G26" s="26"/>
      <c r="H26" s="26"/>
      <c r="I26" s="26"/>
      <c r="J26" s="27"/>
    </row>
    <row r="27" ht="15.5" customHeight="1" spans="1:10">
      <c r="A27" s="21" t="s">
        <v>319</v>
      </c>
      <c r="B27" s="28"/>
      <c r="C27" s="21"/>
      <c r="D27" s="21"/>
      <c r="E27" s="26">
        <f>SUM(E6:E26)</f>
        <v>0</v>
      </c>
      <c r="F27" s="26"/>
      <c r="G27" s="26">
        <f>SUM(G6:G26)</f>
        <v>0</v>
      </c>
      <c r="H27" s="26">
        <f>SUM(H6:H26)</f>
        <v>0</v>
      </c>
      <c r="I27" s="26" t="str">
        <f>IF(G27=0,"",(H27-G27)/G27*100)</f>
        <v/>
      </c>
      <c r="J27" s="27"/>
    </row>
    <row r="28" ht="15.5" customHeight="1" spans="1:10">
      <c r="A28" s="29" t="str">
        <f>封面!D11&amp;封面!G11</f>
        <v>被评估单位填表人：</v>
      </c>
      <c r="G28" s="19" t="str">
        <f>"评估人员："&amp;封面!G20</f>
        <v>评估人员：</v>
      </c>
    </row>
    <row r="29" ht="15.5" customHeight="1" spans="1:10">
      <c r="A29" s="29" t="str">
        <f>CONCATENATE(封面!D13,封面!F13,封面!G13,封面!H13,封面!I13,封面!J13,封面!K13)</f>
        <v>填表日期：年月日</v>
      </c>
    </row>
  </sheetData>
  <mergeCells count="3">
    <mergeCell ref="A2:J2"/>
    <mergeCell ref="A3:J3"/>
    <mergeCell ref="A27:B27"/>
  </mergeCells>
  <hyperlinks>
    <hyperlink ref="A1" location="索引目录!D27" display="返回索引页"/>
    <hyperlink ref="B1" location="流动汇总!B16" display="返回"/>
  </hyperlinks>
  <printOptions horizontalCentered="1"/>
  <pageMargins left="0.354330708661417" right="0.354330708661417" top="0.78740157480315" bottom="0.78740157480315" header="1.05" footer="0.511811023622047"/>
  <pageSetup paperSize="9" fitToHeight="0" orientation="landscape"/>
  <headerFooter alignWithMargins="0">
    <oddHeader>&amp;R&amp;"宋体,常规"共&amp;"Times New Roman,常规"&amp;N&amp;"宋体,常规"页第&amp;"Times New Roman,常规"&amp;P&amp;"宋体,常规"3-11
页</oddHeader>
  </headerFooter>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3">
    <tabColor indexed="10"/>
    <pageSetUpPr fitToPage="1"/>
  </sheetPr>
  <dimension ref="A1:G34"/>
  <sheetViews>
    <sheetView tabSelected="1" view="pageBreakPreview" zoomScale="85" zoomScaleNormal="85" topLeftCell="A3" workbookViewId="0">
      <selection activeCell="D11" sqref="D11"/>
    </sheetView>
  </sheetViews>
  <sheetFormatPr defaultColWidth="9" defaultRowHeight="15.75" customHeight="1" outlineLevelCol="6"/>
  <cols>
    <col min="1" max="1" width="6.25" style="13" customWidth="1"/>
    <col min="2" max="2" width="28" style="13" customWidth="1"/>
    <col min="3" max="3" width="19.0833333333333" style="13" hidden="1" customWidth="1" outlineLevel="1"/>
    <col min="4" max="4" width="25" style="13" customWidth="1" collapsed="1"/>
    <col min="5" max="6" width="25" style="13" customWidth="1"/>
    <col min="7" max="7" width="12.5" style="13" customWidth="1"/>
    <col min="8" max="16384" width="9" style="13" customWidth="1"/>
  </cols>
  <sheetData>
    <row r="1" ht="15.5" customHeight="1" spans="1:7">
      <c r="A1" s="51" t="s">
        <v>111</v>
      </c>
      <c r="B1" s="224" t="s">
        <v>210</v>
      </c>
      <c r="C1" s="16"/>
      <c r="D1" s="16"/>
      <c r="E1" s="16"/>
      <c r="F1" s="16"/>
      <c r="G1" s="16"/>
    </row>
    <row r="2" s="11" customFormat="1" ht="30" customHeight="1" spans="1:7">
      <c r="A2" s="53" t="s">
        <v>406</v>
      </c>
    </row>
    <row r="3" ht="14.15" customHeight="1" spans="1:7">
      <c r="A3" s="18" t="str">
        <f>CONCATENATE(封面!D9,封面!F9,封面!G9,封面!H9,封面!I9,封面!J9,封面!K9)</f>
        <v>评估基准日：年月日</v>
      </c>
    </row>
    <row r="4" ht="15.5" customHeight="1" spans="1:7">
      <c r="A4" s="19" t="str">
        <f>封面!D7&amp;封面!F7</f>
        <v>被评估单位：</v>
      </c>
      <c r="G4" s="44" t="s">
        <v>139</v>
      </c>
    </row>
    <row r="5" s="12" customFormat="1" ht="13" customHeight="1" spans="1:7">
      <c r="A5" s="45" t="s">
        <v>260</v>
      </c>
      <c r="B5" s="45" t="s">
        <v>212</v>
      </c>
      <c r="C5" s="45" t="s">
        <v>175</v>
      </c>
      <c r="D5" s="45" t="s">
        <v>176</v>
      </c>
      <c r="E5" s="45" t="s">
        <v>177</v>
      </c>
      <c r="F5" s="46" t="s">
        <v>214</v>
      </c>
      <c r="G5" s="45" t="s">
        <v>215</v>
      </c>
    </row>
    <row r="6" ht="15.5" customHeight="1" spans="1:7">
      <c r="A6" s="45" t="s">
        <v>407</v>
      </c>
      <c r="B6" s="27" t="s">
        <v>80</v>
      </c>
      <c r="C6" s="26">
        <f>可供出售金融资产汇总!C27</f>
        <v>0</v>
      </c>
      <c r="D6" s="26">
        <f>可供出售金融资产汇总!E27</f>
        <v>0</v>
      </c>
      <c r="E6" s="26">
        <f>可供出售金融资产汇总!F27</f>
        <v>0</v>
      </c>
      <c r="F6" s="26">
        <f t="shared" ref="F6:F16" si="0">E6-D6</f>
        <v>0</v>
      </c>
      <c r="G6" s="48" t="str">
        <f t="shared" ref="G6:G16" si="1">IF(D6=0,"",F6/D6*100)</f>
        <v/>
      </c>
    </row>
    <row r="7" ht="15.5" customHeight="1" spans="1:7">
      <c r="A7" s="45" t="s">
        <v>408</v>
      </c>
      <c r="B7" s="27" t="s">
        <v>82</v>
      </c>
      <c r="C7" s="26">
        <f>持有到期投资!H27</f>
        <v>0</v>
      </c>
      <c r="D7" s="26">
        <f>持有到期投资!J27</f>
        <v>0</v>
      </c>
      <c r="E7" s="26">
        <f>持有到期投资!K27</f>
        <v>0</v>
      </c>
      <c r="F7" s="26">
        <f t="shared" si="0"/>
        <v>0</v>
      </c>
      <c r="G7" s="48" t="str">
        <f t="shared" si="1"/>
        <v/>
      </c>
    </row>
    <row r="8" ht="15.5" customHeight="1" spans="1:7">
      <c r="A8" s="45" t="s">
        <v>409</v>
      </c>
      <c r="B8" s="27" t="s">
        <v>83</v>
      </c>
      <c r="C8" s="26">
        <f>长期应收!E27</f>
        <v>0</v>
      </c>
      <c r="D8" s="26">
        <f>长期应收!G27</f>
        <v>0</v>
      </c>
      <c r="E8" s="26">
        <f>长期应收!H27</f>
        <v>0</v>
      </c>
      <c r="F8" s="26">
        <f t="shared" si="0"/>
        <v>0</v>
      </c>
      <c r="G8" s="48" t="str">
        <f t="shared" si="1"/>
        <v/>
      </c>
    </row>
    <row r="9" ht="15.5" customHeight="1" spans="1:7">
      <c r="A9" s="45" t="s">
        <v>410</v>
      </c>
      <c r="B9" s="27" t="s">
        <v>84</v>
      </c>
      <c r="C9" s="26">
        <f>股权投资!G27</f>
        <v>0</v>
      </c>
      <c r="D9" s="26">
        <f>股权投资!I27</f>
        <v>0</v>
      </c>
      <c r="E9" s="26">
        <f>股权投资!J27</f>
        <v>0</v>
      </c>
      <c r="F9" s="26">
        <f t="shared" si="0"/>
        <v>0</v>
      </c>
      <c r="G9" s="48" t="str">
        <f t="shared" si="1"/>
        <v/>
      </c>
    </row>
    <row r="10" ht="15.5" customHeight="1" spans="1:7">
      <c r="A10" s="45" t="s">
        <v>411</v>
      </c>
      <c r="B10" s="27" t="s">
        <v>85</v>
      </c>
      <c r="C10" s="26">
        <f>'4-5-1投资性房地产'!K27+'4-5-2投资性房地产'!L27+'4-5-3投资性地产'!M27+'4-5-4投资性地产'!M27</f>
        <v>0</v>
      </c>
      <c r="D10" s="26">
        <f>'4-5-1投资性房地产'!O27+'4-5-2投资性房地产'!N27+'4-5-3投资性地产'!O27+'4-5-4投资性地产'!O27</f>
        <v>0</v>
      </c>
      <c r="E10" s="26">
        <f>'4-5-1投资性房地产'!R27+'4-5-2投资性房地产'!O27+'4-5-3投资性地产'!P27+'4-5-4投资性地产'!P27</f>
        <v>0</v>
      </c>
      <c r="F10" s="26">
        <f t="shared" si="0"/>
        <v>0</v>
      </c>
      <c r="G10" s="48" t="str">
        <f t="shared" si="1"/>
        <v/>
      </c>
    </row>
    <row r="11" ht="15.5" customHeight="1" spans="1:7">
      <c r="A11" s="45" t="s">
        <v>412</v>
      </c>
      <c r="B11" s="27" t="s">
        <v>86</v>
      </c>
      <c r="C11" s="26">
        <f>固定资产汇总!D22</f>
        <v>0</v>
      </c>
      <c r="D11" s="26">
        <f>固定资产汇总!F22</f>
        <v>0</v>
      </c>
      <c r="E11" s="26">
        <f>固定资产汇总!H22</f>
        <v>0</v>
      </c>
      <c r="F11" s="26">
        <f t="shared" si="0"/>
        <v>0</v>
      </c>
      <c r="G11" s="48" t="str">
        <f t="shared" si="1"/>
        <v/>
      </c>
    </row>
    <row r="12" ht="15.5" customHeight="1" spans="1:7">
      <c r="A12" s="45" t="s">
        <v>413</v>
      </c>
      <c r="B12" s="27" t="s">
        <v>94</v>
      </c>
      <c r="C12" s="26">
        <f>在建工程汇总!C27</f>
        <v>0</v>
      </c>
      <c r="D12" s="26">
        <f>在建工程汇总!D27</f>
        <v>0</v>
      </c>
      <c r="E12" s="26">
        <f>在建工程汇总!E27</f>
        <v>0</v>
      </c>
      <c r="F12" s="26">
        <f t="shared" si="0"/>
        <v>0</v>
      </c>
      <c r="G12" s="48" t="str">
        <f t="shared" si="1"/>
        <v/>
      </c>
    </row>
    <row r="13" ht="15.5" customHeight="1" spans="1:7">
      <c r="A13" s="45" t="s">
        <v>414</v>
      </c>
      <c r="B13" s="27" t="s">
        <v>97</v>
      </c>
      <c r="C13" s="26">
        <f>工程物资!G27</f>
        <v>0</v>
      </c>
      <c r="D13" s="26">
        <f>工程物资!K27</f>
        <v>0</v>
      </c>
      <c r="E13" s="26">
        <f>工程物资!N27</f>
        <v>0</v>
      </c>
      <c r="F13" s="26">
        <f t="shared" si="0"/>
        <v>0</v>
      </c>
      <c r="G13" s="48" t="str">
        <f t="shared" si="1"/>
        <v/>
      </c>
    </row>
    <row r="14" ht="15.5" customHeight="1" spans="1:7">
      <c r="A14" s="45" t="s">
        <v>415</v>
      </c>
      <c r="B14" s="27" t="s">
        <v>98</v>
      </c>
      <c r="C14" s="26">
        <f>固定资产清理!D27</f>
        <v>0</v>
      </c>
      <c r="D14" s="26">
        <f>固定资产清理!F27</f>
        <v>0</v>
      </c>
      <c r="E14" s="26">
        <f>固定资产清理!G27</f>
        <v>0</v>
      </c>
      <c r="F14" s="26">
        <f t="shared" si="0"/>
        <v>0</v>
      </c>
      <c r="G14" s="48" t="str">
        <f t="shared" si="1"/>
        <v/>
      </c>
    </row>
    <row r="15" ht="15.5" customHeight="1" spans="1:7">
      <c r="A15" s="45" t="s">
        <v>416</v>
      </c>
      <c r="B15" s="27" t="s">
        <v>99</v>
      </c>
      <c r="C15" s="26">
        <f>生产性生物资产!I27</f>
        <v>0</v>
      </c>
      <c r="D15" s="26">
        <f>生产性生物资产!M27</f>
        <v>0</v>
      </c>
      <c r="E15" s="26">
        <f>生产性生物资产!P27</f>
        <v>0</v>
      </c>
      <c r="F15" s="26">
        <f t="shared" si="0"/>
        <v>0</v>
      </c>
      <c r="G15" s="48" t="str">
        <f t="shared" si="1"/>
        <v/>
      </c>
    </row>
    <row r="16" ht="15.5" customHeight="1" spans="1:7">
      <c r="A16" s="45" t="s">
        <v>417</v>
      </c>
      <c r="B16" s="27" t="s">
        <v>100</v>
      </c>
      <c r="C16" s="26">
        <f>油气资产!J27</f>
        <v>0</v>
      </c>
      <c r="D16" s="26">
        <f>油气资产!N27</f>
        <v>0</v>
      </c>
      <c r="E16" s="26">
        <f>油气资产!Q27</f>
        <v>0</v>
      </c>
      <c r="F16" s="26">
        <f t="shared" si="0"/>
        <v>0</v>
      </c>
      <c r="G16" s="48" t="str">
        <f t="shared" si="1"/>
        <v/>
      </c>
    </row>
    <row r="17" ht="15.5" customHeight="1" spans="1:7">
      <c r="A17" s="45" t="s">
        <v>418</v>
      </c>
      <c r="B17" s="191" t="s">
        <v>419</v>
      </c>
      <c r="C17" s="26"/>
      <c r="D17" s="26">
        <f>使用权资产!H27</f>
        <v>0</v>
      </c>
      <c r="E17" s="26">
        <f>使用权资产!J27</f>
        <v>0</v>
      </c>
      <c r="F17" s="26" t="str">
        <f>使用权资产!K27</f>
        <v/>
      </c>
      <c r="G17" s="48"/>
    </row>
    <row r="18" ht="15.5" customHeight="1" spans="1:7">
      <c r="A18" s="45" t="s">
        <v>420</v>
      </c>
      <c r="B18" s="27" t="s">
        <v>101</v>
      </c>
      <c r="C18" s="26">
        <f>无形资产汇总!C27</f>
        <v>0</v>
      </c>
      <c r="D18" s="26">
        <f>无形资产汇总!D27</f>
        <v>0</v>
      </c>
      <c r="E18" s="26">
        <f>无形资产汇总!E27</f>
        <v>0</v>
      </c>
      <c r="F18" s="26">
        <f t="shared" ref="F18:F23" si="2">E18-D18</f>
        <v>0</v>
      </c>
      <c r="G18" s="48" t="str">
        <f t="shared" ref="G18:G23" si="3">IF(D18=0,"",F18/D18*100)</f>
        <v/>
      </c>
    </row>
    <row r="19" ht="15.5" customHeight="1" spans="1:7">
      <c r="A19" s="45" t="s">
        <v>421</v>
      </c>
      <c r="B19" s="27" t="s">
        <v>104</v>
      </c>
      <c r="C19" s="26">
        <f>开发支出!D27</f>
        <v>0</v>
      </c>
      <c r="D19" s="26">
        <f>开发支出!F27</f>
        <v>0</v>
      </c>
      <c r="E19" s="26">
        <f>开发支出!G27</f>
        <v>0</v>
      </c>
      <c r="F19" s="26">
        <f t="shared" si="2"/>
        <v>0</v>
      </c>
      <c r="G19" s="48" t="str">
        <f t="shared" si="3"/>
        <v/>
      </c>
    </row>
    <row r="20" ht="15.5" customHeight="1" spans="1:7">
      <c r="A20" s="45" t="s">
        <v>422</v>
      </c>
      <c r="B20" s="27" t="s">
        <v>105</v>
      </c>
      <c r="C20" s="26">
        <f>商誉!D27</f>
        <v>0</v>
      </c>
      <c r="D20" s="26">
        <f>商誉!F27</f>
        <v>0</v>
      </c>
      <c r="E20" s="26">
        <f>商誉!G27</f>
        <v>0</v>
      </c>
      <c r="F20" s="26">
        <f t="shared" si="2"/>
        <v>0</v>
      </c>
      <c r="G20" s="48" t="str">
        <f t="shared" si="3"/>
        <v/>
      </c>
    </row>
    <row r="21" ht="15.5" customHeight="1" spans="1:7">
      <c r="A21" s="45" t="s">
        <v>423</v>
      </c>
      <c r="B21" s="27" t="s">
        <v>107</v>
      </c>
      <c r="C21" s="26">
        <f>长期待摊费用!F27</f>
        <v>0</v>
      </c>
      <c r="D21" s="26">
        <f>长期待摊费用!H27</f>
        <v>0</v>
      </c>
      <c r="E21" s="26">
        <f>长期待摊费用!J27</f>
        <v>0</v>
      </c>
      <c r="F21" s="26">
        <f t="shared" si="2"/>
        <v>0</v>
      </c>
      <c r="G21" s="48" t="str">
        <f t="shared" si="3"/>
        <v/>
      </c>
    </row>
    <row r="22" ht="15.5" customHeight="1" spans="1:7">
      <c r="A22" s="45" t="s">
        <v>424</v>
      </c>
      <c r="B22" s="27" t="s">
        <v>108</v>
      </c>
      <c r="C22" s="26">
        <f>递延所得税资产!D27</f>
        <v>0</v>
      </c>
      <c r="D22" s="26">
        <f>递延所得税资产!F27</f>
        <v>0</v>
      </c>
      <c r="E22" s="26">
        <f>递延所得税资产!G27</f>
        <v>0</v>
      </c>
      <c r="F22" s="26">
        <f t="shared" si="2"/>
        <v>0</v>
      </c>
      <c r="G22" s="48" t="str">
        <f t="shared" si="3"/>
        <v/>
      </c>
    </row>
    <row r="23" ht="15.5" customHeight="1" spans="1:7">
      <c r="A23" s="45" t="s">
        <v>425</v>
      </c>
      <c r="B23" s="27" t="s">
        <v>109</v>
      </c>
      <c r="C23" s="26">
        <f>其他非流动资产!D27</f>
        <v>0</v>
      </c>
      <c r="D23" s="26">
        <f>其他非流动资产!F27</f>
        <v>0</v>
      </c>
      <c r="E23" s="26">
        <f>其他非流动资产!G27</f>
        <v>0</v>
      </c>
      <c r="F23" s="26">
        <f t="shared" si="2"/>
        <v>0</v>
      </c>
      <c r="G23" s="48" t="str">
        <f t="shared" si="3"/>
        <v/>
      </c>
    </row>
    <row r="24" ht="15.5" customHeight="1" spans="1:7">
      <c r="A24" s="23"/>
      <c r="B24" s="27"/>
      <c r="C24" s="26"/>
      <c r="D24" s="26"/>
      <c r="E24" s="26"/>
      <c r="F24" s="26"/>
      <c r="G24" s="48"/>
    </row>
    <row r="25" ht="15.5" customHeight="1" spans="1:7">
      <c r="A25" s="23"/>
      <c r="B25" s="27"/>
      <c r="C25" s="26"/>
      <c r="D25" s="26"/>
      <c r="E25" s="26"/>
      <c r="F25" s="26"/>
      <c r="G25" s="48"/>
    </row>
    <row r="26" ht="15.5" customHeight="1" spans="1:7">
      <c r="A26" s="45"/>
      <c r="B26" s="45"/>
      <c r="C26" s="26"/>
      <c r="D26" s="26"/>
      <c r="E26" s="26"/>
      <c r="F26" s="26"/>
      <c r="G26" s="48"/>
    </row>
    <row r="27" ht="15.5" customHeight="1" spans="1:7">
      <c r="A27" s="45"/>
      <c r="B27" s="45"/>
      <c r="C27" s="26"/>
      <c r="D27" s="26"/>
      <c r="E27" s="26"/>
      <c r="F27" s="26"/>
      <c r="G27" s="48"/>
    </row>
    <row r="28" ht="15.5" customHeight="1" spans="1:7">
      <c r="A28" s="45" t="s">
        <v>426</v>
      </c>
      <c r="B28" s="23" t="s">
        <v>258</v>
      </c>
      <c r="C28" s="26">
        <f>SUM(C6:C27)</f>
        <v>0</v>
      </c>
      <c r="D28" s="26">
        <f>SUM(D6:D27)</f>
        <v>0</v>
      </c>
      <c r="E28" s="26">
        <f>SUM(E6:E27)</f>
        <v>0</v>
      </c>
      <c r="F28" s="26">
        <f>SUM(F6:F27)</f>
        <v>0</v>
      </c>
      <c r="G28" s="48" t="str">
        <f>IF(D28=0,"",F28/D28*100)</f>
        <v/>
      </c>
    </row>
    <row r="29" ht="15.5" customHeight="1" spans="1:7">
      <c r="A29" s="29" t="str">
        <f>封面!D11&amp;封面!G11</f>
        <v>被评估单位填表人：</v>
      </c>
      <c r="E29" s="19" t="str">
        <f>"评估人员："&amp;封面!G22</f>
        <v>评估人员：</v>
      </c>
    </row>
    <row r="30" ht="15.5" customHeight="1" spans="1:7">
      <c r="A30" s="29" t="str">
        <f>CONCATENATE(封面!D13,封面!F13,封面!G13,封面!H13,封面!I13,封面!J13,封面!K13)</f>
        <v>填表日期：年月日</v>
      </c>
    </row>
    <row r="31" ht="15.5" customHeight="1"/>
    <row r="32" ht="15.5" customHeight="1" spans="1:7">
      <c r="D32" s="78">
        <f>D11/10000</f>
        <v>0</v>
      </c>
      <c r="E32" s="78">
        <f>E11/10000</f>
        <v>0</v>
      </c>
      <c r="F32" s="78">
        <f>F11/10000</f>
        <v>0</v>
      </c>
    </row>
    <row r="33" ht="15.5" customHeight="1" spans="4:6">
      <c r="D33" s="78">
        <f>D18/10000</f>
        <v>0</v>
      </c>
      <c r="E33" s="78">
        <f>E18/10000</f>
        <v>0</v>
      </c>
      <c r="F33" s="78">
        <f>F18/10000</f>
        <v>0</v>
      </c>
    </row>
    <row r="34" ht="15.5" customHeight="1" spans="4:6">
      <c r="D34" s="78">
        <f>D28/10000</f>
        <v>0</v>
      </c>
      <c r="E34" s="78">
        <f>E28/10000</f>
        <v>0</v>
      </c>
      <c r="F34" s="78">
        <f>F28/10000</f>
        <v>0</v>
      </c>
    </row>
  </sheetData>
  <mergeCells count="2">
    <mergeCell ref="A2:G2"/>
    <mergeCell ref="A3:G3"/>
  </mergeCells>
  <hyperlinks>
    <hyperlink ref="A1" location="索引目录!C28" display="返回索引页"/>
    <hyperlink ref="B1" location="分类汇总!B20" display="返回"/>
    <hyperlink ref="B6" location="可供出售金融资产汇总!B1" display="可供出售金融资产"/>
    <hyperlink ref="B7" location="持有到期投资!B1" display="持有至到期投资"/>
    <hyperlink ref="B8" location="长期应收!B1" display="长期应收款"/>
    <hyperlink ref="B9" location="股权投资!B1" display="长期股权投资"/>
    <hyperlink ref="B10" location="投资性房地产!B1" display="投资性房地产"/>
    <hyperlink ref="B11" location="固定资产汇总!A1" display="固定资产"/>
    <hyperlink ref="B12" location="在建工程汇总!Print_Area" display="在建工程"/>
    <hyperlink ref="B13" location="工程物资!Print_Titles" display="工程物资"/>
    <hyperlink ref="B14" location="固定资产清理!Print_Area" display="固定资产清理"/>
    <hyperlink ref="B15" location="生产性生物资产!Print_Area" display="生产性生物资产"/>
    <hyperlink ref="B16" location="油气资产!Print_Area" display="油气资产"/>
    <hyperlink ref="B18" location="无形资产汇总!Print_Area" display="无形资产"/>
    <hyperlink ref="B19" location="开发支出!Print_Titles" display="开发支出"/>
    <hyperlink ref="B20" location="商誉!Print_Area" display="商誉"/>
    <hyperlink ref="B21" location="长期待摊费用!Print_Area" display="长期待摊费用"/>
    <hyperlink ref="B22" location="递延所得税资产!Print_Area" display="递延所得税资产"/>
    <hyperlink ref="B23" location="其他非流动资产!Print_Titles" display="其他非流动资产"/>
  </hyperlinks>
  <printOptions horizontalCentered="1"/>
  <pageMargins left="0.354330708661417" right="0.354330708661417" top="0.78740157480315" bottom="0.78740157480315" header="0.99" footer="0.511811023622047"/>
  <pageSetup paperSize="9" fitToHeight="0" orientation="landscape"/>
  <headerFooter alignWithMargins="0">
    <oddHeader>&amp;R&amp;"宋体,常规"共&amp;"Times New Roman,常规"&amp;N&amp;"宋体,常规"页第&amp;"Times New Roman,常规"&amp;P&amp;"宋体,常规"4
页</oddHead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4">
    <pageSetUpPr fitToPage="1"/>
  </sheetPr>
  <dimension ref="A1:H29"/>
  <sheetViews>
    <sheetView view="pageBreakPreview" zoomScale="60" zoomScaleNormal="85" workbookViewId="0">
      <selection activeCell="G451" sqref="G451"/>
    </sheetView>
  </sheetViews>
  <sheetFormatPr defaultColWidth="9" defaultRowHeight="15.75" customHeight="1" outlineLevelCol="7"/>
  <cols>
    <col min="1" max="1" width="6.25" style="13" customWidth="1"/>
    <col min="2" max="2" width="28" style="13" customWidth="1"/>
    <col min="3" max="4" width="19.0833333333333" style="13" hidden="1" customWidth="1" outlineLevel="1"/>
    <col min="5" max="5" width="25" style="13" customWidth="1" collapsed="1"/>
    <col min="6" max="7" width="25" style="13" customWidth="1"/>
    <col min="8" max="8" width="12.3333333333333" style="13" customWidth="1"/>
    <col min="9" max="16384" width="9" style="13" customWidth="1"/>
  </cols>
  <sheetData>
    <row r="1" ht="15.5" customHeight="1" spans="1:8">
      <c r="A1" s="14" t="s">
        <v>111</v>
      </c>
      <c r="B1" s="68" t="s">
        <v>210</v>
      </c>
      <c r="C1" s="16"/>
      <c r="D1" s="16"/>
      <c r="E1" s="16"/>
      <c r="F1" s="16"/>
      <c r="G1" s="16"/>
      <c r="H1" s="16"/>
    </row>
    <row r="2" s="11" customFormat="1" ht="30" customHeight="1" spans="1:8">
      <c r="A2" s="17" t="s">
        <v>427</v>
      </c>
    </row>
    <row r="3" ht="14.15" customHeight="1" spans="1:8">
      <c r="A3" s="18" t="str">
        <f>CONCATENATE(封面!D9,封面!F9,封面!G9,封面!H9,封面!I9,封面!J9,封面!K9)</f>
        <v>评估基准日：年月日</v>
      </c>
    </row>
    <row r="4" ht="15.5" customHeight="1" spans="1:8">
      <c r="A4" s="19" t="str">
        <f>封面!D7&amp;封面!F7</f>
        <v>被评估单位：</v>
      </c>
      <c r="H4" s="44" t="s">
        <v>139</v>
      </c>
    </row>
    <row r="5" s="43" customFormat="1" ht="13" customHeight="1" spans="1:8">
      <c r="A5" s="45" t="s">
        <v>260</v>
      </c>
      <c r="B5" s="45" t="s">
        <v>212</v>
      </c>
      <c r="C5" s="45" t="s">
        <v>175</v>
      </c>
      <c r="D5" s="45" t="s">
        <v>281</v>
      </c>
      <c r="E5" s="45" t="s">
        <v>176</v>
      </c>
      <c r="F5" s="45" t="s">
        <v>177</v>
      </c>
      <c r="G5" s="46" t="s">
        <v>214</v>
      </c>
      <c r="H5" s="45" t="s">
        <v>215</v>
      </c>
    </row>
    <row r="6" ht="15.5" customHeight="1" spans="1:8">
      <c r="A6" s="45" t="s">
        <v>428</v>
      </c>
      <c r="B6" s="27" t="s">
        <v>429</v>
      </c>
      <c r="C6" s="26">
        <f>'可出售-股票'!I27</f>
        <v>0</v>
      </c>
      <c r="D6" s="26"/>
      <c r="E6" s="26">
        <f>'可出售-股票'!K27</f>
        <v>0</v>
      </c>
      <c r="F6" s="26">
        <f>'可出售-股票'!L27</f>
        <v>0</v>
      </c>
      <c r="G6" s="26">
        <f>F6-E6</f>
        <v>0</v>
      </c>
      <c r="H6" s="48" t="str">
        <f>IF(E6=0,"",G6/E6*100)</f>
        <v/>
      </c>
    </row>
    <row r="7" ht="15.5" customHeight="1" spans="1:8">
      <c r="A7" s="45" t="s">
        <v>430</v>
      </c>
      <c r="B7" s="27" t="s">
        <v>431</v>
      </c>
      <c r="C7" s="26">
        <f>'可出售-债券'!H27</f>
        <v>0</v>
      </c>
      <c r="D7" s="26"/>
      <c r="E7" s="26">
        <f>'可出售-债券'!J27</f>
        <v>0</v>
      </c>
      <c r="F7" s="26">
        <f>'可出售-债券'!K27</f>
        <v>0</v>
      </c>
      <c r="G7" s="26">
        <f>F7-E7</f>
        <v>0</v>
      </c>
      <c r="H7" s="48" t="str">
        <f>IF(E7=0,"",G7/E7*100)</f>
        <v/>
      </c>
    </row>
    <row r="8" ht="15.5" customHeight="1" spans="1:8">
      <c r="A8" s="45" t="s">
        <v>432</v>
      </c>
      <c r="B8" s="27" t="s">
        <v>433</v>
      </c>
      <c r="C8" s="26">
        <f>'可出售-其他'!H27</f>
        <v>0</v>
      </c>
      <c r="D8" s="26"/>
      <c r="E8" s="26">
        <f>'可出售-其他'!J27</f>
        <v>0</v>
      </c>
      <c r="F8" s="26">
        <f>'可出售-其他'!K27</f>
        <v>0</v>
      </c>
      <c r="G8" s="26">
        <f>F8-E8</f>
        <v>0</v>
      </c>
      <c r="H8" s="48" t="str">
        <f>IF(E8=0,"",G8/E8*100)</f>
        <v/>
      </c>
    </row>
    <row r="9" ht="15.5" customHeight="1" spans="1:8">
      <c r="A9" s="23"/>
      <c r="B9" s="27"/>
      <c r="C9" s="26"/>
      <c r="D9" s="26"/>
      <c r="E9" s="26"/>
      <c r="F9" s="26"/>
      <c r="G9" s="26"/>
      <c r="H9" s="48"/>
    </row>
    <row r="10" ht="15.5" customHeight="1" spans="1:8">
      <c r="A10" s="23"/>
      <c r="B10" s="27"/>
      <c r="C10" s="26"/>
      <c r="D10" s="26"/>
      <c r="E10" s="26"/>
      <c r="F10" s="26"/>
      <c r="G10" s="26"/>
      <c r="H10" s="48"/>
    </row>
    <row r="11" ht="15.5" customHeight="1" spans="1:8">
      <c r="A11" s="23"/>
      <c r="B11" s="27"/>
      <c r="C11" s="26"/>
      <c r="D11" s="26"/>
      <c r="E11" s="26"/>
      <c r="F11" s="26"/>
      <c r="G11" s="26"/>
      <c r="H11" s="48"/>
    </row>
    <row r="12" ht="15.5" customHeight="1" spans="1:8">
      <c r="A12" s="23"/>
      <c r="B12" s="27"/>
      <c r="C12" s="26"/>
      <c r="D12" s="26"/>
      <c r="E12" s="26"/>
      <c r="F12" s="26"/>
      <c r="G12" s="26"/>
      <c r="H12" s="48"/>
    </row>
    <row r="13" ht="15.5" customHeight="1" spans="1:8">
      <c r="A13" s="23"/>
      <c r="B13" s="27"/>
      <c r="C13" s="26"/>
      <c r="D13" s="26"/>
      <c r="E13" s="26"/>
      <c r="F13" s="26"/>
      <c r="G13" s="26"/>
      <c r="H13" s="48"/>
    </row>
    <row r="14" ht="15.5" customHeight="1" spans="1:8">
      <c r="A14" s="23"/>
      <c r="B14" s="27"/>
      <c r="C14" s="26"/>
      <c r="D14" s="26"/>
      <c r="E14" s="26"/>
      <c r="F14" s="26"/>
      <c r="G14" s="26"/>
      <c r="H14" s="48"/>
    </row>
    <row r="15" ht="15.5" customHeight="1" spans="1:8">
      <c r="A15" s="23"/>
      <c r="B15" s="27"/>
      <c r="C15" s="26"/>
      <c r="D15" s="26"/>
      <c r="E15" s="26"/>
      <c r="F15" s="26"/>
      <c r="G15" s="26"/>
      <c r="H15" s="48"/>
    </row>
    <row r="16" ht="15.5" customHeight="1" spans="1:8">
      <c r="A16" s="23"/>
      <c r="B16" s="27"/>
      <c r="C16" s="26"/>
      <c r="D16" s="26"/>
      <c r="E16" s="26"/>
      <c r="F16" s="26"/>
      <c r="G16" s="26"/>
      <c r="H16" s="48"/>
    </row>
    <row r="17" ht="15.5" customHeight="1" spans="1:8">
      <c r="A17" s="23"/>
      <c r="B17" s="27"/>
      <c r="C17" s="26"/>
      <c r="D17" s="26"/>
      <c r="E17" s="26"/>
      <c r="F17" s="26"/>
      <c r="G17" s="26"/>
      <c r="H17" s="48"/>
    </row>
    <row r="18" ht="15.5" customHeight="1" spans="1:8">
      <c r="A18" s="23"/>
      <c r="B18" s="27"/>
      <c r="C18" s="26"/>
      <c r="D18" s="26"/>
      <c r="E18" s="26"/>
      <c r="F18" s="26"/>
      <c r="G18" s="26"/>
      <c r="H18" s="48"/>
    </row>
    <row r="19" ht="15.5" customHeight="1" spans="1:8">
      <c r="A19" s="23"/>
      <c r="B19" s="27"/>
      <c r="C19" s="26"/>
      <c r="D19" s="26"/>
      <c r="E19" s="26"/>
      <c r="F19" s="26"/>
      <c r="G19" s="26"/>
      <c r="H19" s="48"/>
    </row>
    <row r="20" ht="15.5" customHeight="1" spans="1:8">
      <c r="A20" s="23"/>
      <c r="B20" s="27"/>
      <c r="C20" s="26"/>
      <c r="D20" s="26"/>
      <c r="E20" s="26"/>
      <c r="F20" s="26"/>
      <c r="G20" s="26"/>
      <c r="H20" s="48"/>
    </row>
    <row r="21" ht="15.5" customHeight="1" spans="1:8">
      <c r="A21" s="23"/>
      <c r="B21" s="27"/>
      <c r="C21" s="26"/>
      <c r="D21" s="26"/>
      <c r="E21" s="26"/>
      <c r="F21" s="26"/>
      <c r="G21" s="26"/>
      <c r="H21" s="48"/>
    </row>
    <row r="22" ht="15.5" customHeight="1" spans="1:8">
      <c r="A22" s="23"/>
      <c r="B22" s="27"/>
      <c r="C22" s="26"/>
      <c r="D22" s="26"/>
      <c r="E22" s="26"/>
      <c r="F22" s="26"/>
      <c r="G22" s="26"/>
      <c r="H22" s="48"/>
    </row>
    <row r="23" ht="15.5" customHeight="1" spans="1:8">
      <c r="A23" s="23"/>
      <c r="B23" s="27"/>
      <c r="C23" s="26"/>
      <c r="D23" s="26"/>
      <c r="E23" s="26"/>
      <c r="F23" s="26"/>
      <c r="G23" s="26"/>
      <c r="H23" s="48"/>
    </row>
    <row r="24" ht="15.5" customHeight="1" spans="1:8">
      <c r="A24" s="23"/>
      <c r="B24" s="27"/>
      <c r="C24" s="26"/>
      <c r="D24" s="26"/>
      <c r="E24" s="26"/>
      <c r="F24" s="26"/>
      <c r="G24" s="26"/>
      <c r="H24" s="48"/>
    </row>
    <row r="25" ht="15.5" customHeight="1" spans="1:8">
      <c r="A25" s="45" t="s">
        <v>426</v>
      </c>
      <c r="B25" s="45" t="s">
        <v>434</v>
      </c>
      <c r="C25" s="26">
        <f>SUM(C6:C24)</f>
        <v>0</v>
      </c>
      <c r="D25" s="26"/>
      <c r="E25" s="26">
        <f>SUM(E6:E24)</f>
        <v>0</v>
      </c>
      <c r="F25" s="26">
        <f>SUM(F6:F24)</f>
        <v>0</v>
      </c>
      <c r="G25" s="26">
        <f>SUM(G6:G24)</f>
        <v>0</v>
      </c>
      <c r="H25" s="48" t="str">
        <f>IF(E25=0,"",G25/E25*100)</f>
        <v/>
      </c>
    </row>
    <row r="26" ht="15.5" customHeight="1" spans="1:8">
      <c r="A26" s="45" t="s">
        <v>426</v>
      </c>
      <c r="B26" s="45" t="s">
        <v>435</v>
      </c>
      <c r="C26" s="26"/>
      <c r="D26" s="26"/>
      <c r="E26" s="26">
        <f>C26</f>
        <v>0</v>
      </c>
      <c r="F26" s="26">
        <v>0</v>
      </c>
      <c r="G26" s="26">
        <f>F26-E26</f>
        <v>0</v>
      </c>
      <c r="H26" s="48" t="str">
        <f>IF(E26=0,"",G26/E26*100)</f>
        <v/>
      </c>
    </row>
    <row r="27" ht="15.5" customHeight="1" spans="1:8">
      <c r="A27" s="45" t="s">
        <v>426</v>
      </c>
      <c r="B27" s="45" t="s">
        <v>436</v>
      </c>
      <c r="C27" s="26">
        <f>C25-C26</f>
        <v>0</v>
      </c>
      <c r="D27" s="26"/>
      <c r="E27" s="26">
        <f>E25-E26</f>
        <v>0</v>
      </c>
      <c r="F27" s="26">
        <f>F25-F26</f>
        <v>0</v>
      </c>
      <c r="G27" s="26">
        <f>G25-G26</f>
        <v>0</v>
      </c>
      <c r="H27" s="48" t="str">
        <f>IF(E27=0,"",G27/E27*100)</f>
        <v/>
      </c>
    </row>
    <row r="28" ht="15.5" customHeight="1" spans="1:8">
      <c r="A28" s="29" t="str">
        <f>封面!D11&amp;封面!G11</f>
        <v>被评估单位填表人：</v>
      </c>
      <c r="E28" s="19"/>
      <c r="F28" s="13" t="str">
        <f>"评估人员："&amp;封面!G22</f>
        <v>评估人员：</v>
      </c>
    </row>
    <row r="29" ht="15.5" customHeight="1" spans="1:8">
      <c r="A29" s="29" t="str">
        <f>CONCATENATE(封面!D13,封面!F13,封面!G13,封面!H13,封面!I13,封面!J13,封面!K13)</f>
        <v>填表日期：年月日</v>
      </c>
    </row>
  </sheetData>
  <mergeCells count="2">
    <mergeCell ref="A2:H2"/>
    <mergeCell ref="A3:H3"/>
  </mergeCells>
  <hyperlinks>
    <hyperlink ref="A1" location="索引目录!D28" display="返回索引页"/>
    <hyperlink ref="B1" location="长期投资汇总!B6" display="返回"/>
    <hyperlink ref="B6" location="'可出售-股票'!B1" display="可供出售金融资产-股票投资"/>
    <hyperlink ref="B7" location="'可出售-债券'!B1" display="可供出售金融资产-债券投资"/>
    <hyperlink ref="B8" location="'可出售-其他'!B1" display="可供出售金融资产-其他投资"/>
  </hyperlinks>
  <printOptions horizontalCentered="1"/>
  <pageMargins left="0.354330708661417" right="0.354330708661417" top="0.78740157480315" bottom="0.78740157480315" header="1.06" footer="0.511811023622047"/>
  <pageSetup paperSize="9" fitToHeight="0" orientation="landscape"/>
  <headerFooter alignWithMargins="0">
    <oddHeader>&amp;R&amp;"宋体,常规"共&amp;"Times New Roman,常规"&amp;N&amp;"宋体,常规"页第&amp;"Times New Roman,常规"&amp;P&amp;"宋体,常规"4-1
页</oddHead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5">
    <pageSetUpPr fitToPage="1"/>
  </sheetPr>
  <dimension ref="A1:N29"/>
  <sheetViews>
    <sheetView view="pageBreakPreview" zoomScale="60" zoomScaleNormal="100" workbookViewId="0">
      <selection activeCell="G451" sqref="G451"/>
    </sheetView>
  </sheetViews>
  <sheetFormatPr defaultColWidth="9" defaultRowHeight="15.75" customHeight="1"/>
  <cols>
    <col min="1" max="1" width="5.58333333333333" style="13" customWidth="1"/>
    <col min="2" max="2" width="17.75" style="13" customWidth="1"/>
    <col min="3" max="3" width="9" style="13" customWidth="1"/>
    <col min="4" max="4" width="7.58333333333333" style="13" customWidth="1"/>
    <col min="5" max="5" width="7.75" style="13" customWidth="1"/>
    <col min="6" max="6" width="8.83333333333333" style="13" customWidth="1"/>
    <col min="7" max="7" width="9.5" style="13" customWidth="1"/>
    <col min="8" max="8" width="7.83333333333333" style="13" customWidth="1"/>
    <col min="9" max="10" width="13.0833333333333" style="13" hidden="1" customWidth="1" outlineLevel="1"/>
    <col min="11" max="11" width="14.8333333333333" style="13" customWidth="1" collapsed="1"/>
    <col min="12" max="12" width="14.3333333333333" style="13" customWidth="1"/>
    <col min="13" max="16384" width="9" style="13" customWidth="1"/>
  </cols>
  <sheetData>
    <row r="1" ht="12.75" customHeight="1" spans="1:14">
      <c r="A1" s="14" t="s">
        <v>111</v>
      </c>
      <c r="B1" s="15" t="s">
        <v>210</v>
      </c>
      <c r="C1" s="16"/>
      <c r="D1" s="16"/>
      <c r="E1" s="16"/>
      <c r="F1" s="16"/>
      <c r="G1" s="16"/>
      <c r="H1" s="16"/>
      <c r="I1" s="16"/>
      <c r="J1" s="16"/>
      <c r="K1" s="16"/>
      <c r="L1" s="16"/>
      <c r="M1" s="16"/>
      <c r="N1" s="16"/>
    </row>
    <row r="2" s="11" customFormat="1" ht="30" customHeight="1" spans="1:14">
      <c r="A2" s="17" t="s">
        <v>437</v>
      </c>
    </row>
    <row r="3" ht="14.15" customHeight="1" spans="1:14">
      <c r="A3" s="18" t="str">
        <f>CONCATENATE(封面!D9,封面!F9,封面!G9,封面!H9,封面!I9,封面!J9,封面!K9)</f>
        <v>评估基准日：年月日</v>
      </c>
    </row>
    <row r="4" ht="15.5" customHeight="1" spans="1:14">
      <c r="A4" s="19" t="str">
        <f>封面!D7&amp;封面!F7</f>
        <v>被评估单位：</v>
      </c>
      <c r="N4" s="20" t="s">
        <v>139</v>
      </c>
    </row>
    <row r="5" s="12" customFormat="1" ht="27" customHeight="1" spans="1:14">
      <c r="A5" s="21" t="s">
        <v>141</v>
      </c>
      <c r="B5" s="21" t="s">
        <v>298</v>
      </c>
      <c r="C5" s="21" t="s">
        <v>438</v>
      </c>
      <c r="D5" s="21" t="s">
        <v>300</v>
      </c>
      <c r="E5" s="21" t="s">
        <v>301</v>
      </c>
      <c r="F5" s="21" t="s">
        <v>439</v>
      </c>
      <c r="G5" s="22" t="s">
        <v>440</v>
      </c>
      <c r="H5" s="22" t="s">
        <v>441</v>
      </c>
      <c r="I5" s="22" t="s">
        <v>175</v>
      </c>
      <c r="J5" s="22" t="s">
        <v>281</v>
      </c>
      <c r="K5" s="21" t="s">
        <v>176</v>
      </c>
      <c r="L5" s="21" t="s">
        <v>177</v>
      </c>
      <c r="M5" s="21" t="s">
        <v>215</v>
      </c>
      <c r="N5" s="21" t="s">
        <v>144</v>
      </c>
    </row>
    <row r="6" ht="15.5" customHeight="1" spans="1:14">
      <c r="A6" s="23"/>
      <c r="B6" s="24"/>
      <c r="C6" s="23"/>
      <c r="D6" s="25"/>
      <c r="E6" s="23"/>
      <c r="F6" s="23"/>
      <c r="G6" s="26"/>
      <c r="H6" s="26"/>
      <c r="I6" s="26"/>
      <c r="J6" s="26"/>
      <c r="K6" s="26"/>
      <c r="L6" s="26"/>
      <c r="M6" s="26" t="str">
        <f t="shared" ref="M6:M25" si="0">IF(K6=0,"",(L6-K6)/K6*100)</f>
        <v/>
      </c>
      <c r="N6" s="27"/>
    </row>
    <row r="7" ht="15.5" customHeight="1" spans="1:14">
      <c r="A7" s="23"/>
      <c r="B7" s="24"/>
      <c r="C7" s="23"/>
      <c r="D7" s="25"/>
      <c r="E7" s="23"/>
      <c r="F7" s="23"/>
      <c r="G7" s="26"/>
      <c r="H7" s="26"/>
      <c r="I7" s="26"/>
      <c r="J7" s="26"/>
      <c r="K7" s="26"/>
      <c r="L7" s="26"/>
      <c r="M7" s="26" t="str">
        <f t="shared" si="0"/>
        <v/>
      </c>
      <c r="N7" s="27"/>
    </row>
    <row r="8" ht="15.5" customHeight="1" spans="1:14">
      <c r="A8" s="23"/>
      <c r="B8" s="24"/>
      <c r="C8" s="23"/>
      <c r="D8" s="25"/>
      <c r="E8" s="23"/>
      <c r="F8" s="23"/>
      <c r="G8" s="26"/>
      <c r="H8" s="26"/>
      <c r="I8" s="26"/>
      <c r="J8" s="26"/>
      <c r="K8" s="26"/>
      <c r="L8" s="26"/>
      <c r="M8" s="26" t="str">
        <f t="shared" si="0"/>
        <v/>
      </c>
      <c r="N8" s="27"/>
    </row>
    <row r="9" ht="15.5" customHeight="1" spans="1:14">
      <c r="A9" s="23"/>
      <c r="B9" s="24"/>
      <c r="C9" s="23"/>
      <c r="D9" s="25"/>
      <c r="E9" s="23"/>
      <c r="F9" s="23"/>
      <c r="G9" s="26"/>
      <c r="H9" s="26"/>
      <c r="I9" s="26"/>
      <c r="J9" s="26"/>
      <c r="K9" s="26"/>
      <c r="L9" s="26"/>
      <c r="M9" s="26" t="str">
        <f t="shared" si="0"/>
        <v/>
      </c>
      <c r="N9" s="27"/>
    </row>
    <row r="10" ht="15.5" customHeight="1" spans="1:14">
      <c r="A10" s="23"/>
      <c r="B10" s="24"/>
      <c r="C10" s="23"/>
      <c r="D10" s="25"/>
      <c r="E10" s="23"/>
      <c r="F10" s="23"/>
      <c r="G10" s="26"/>
      <c r="H10" s="26"/>
      <c r="I10" s="26"/>
      <c r="J10" s="26"/>
      <c r="K10" s="26"/>
      <c r="L10" s="26"/>
      <c r="M10" s="26" t="str">
        <f t="shared" si="0"/>
        <v/>
      </c>
      <c r="N10" s="27"/>
    </row>
    <row r="11" ht="15.5" customHeight="1" spans="1:14">
      <c r="A11" s="23"/>
      <c r="B11" s="24"/>
      <c r="C11" s="23"/>
      <c r="D11" s="25"/>
      <c r="E11" s="23"/>
      <c r="F11" s="23"/>
      <c r="G11" s="26"/>
      <c r="H11" s="26"/>
      <c r="I11" s="26"/>
      <c r="J11" s="26"/>
      <c r="K11" s="26"/>
      <c r="L11" s="26"/>
      <c r="M11" s="26" t="str">
        <f t="shared" si="0"/>
        <v/>
      </c>
      <c r="N11" s="27"/>
    </row>
    <row r="12" ht="15.5" customHeight="1" spans="1:14">
      <c r="A12" s="23"/>
      <c r="B12" s="24"/>
      <c r="C12" s="23"/>
      <c r="D12" s="25"/>
      <c r="E12" s="23"/>
      <c r="F12" s="23"/>
      <c r="G12" s="26"/>
      <c r="H12" s="26"/>
      <c r="I12" s="26"/>
      <c r="J12" s="26"/>
      <c r="K12" s="26"/>
      <c r="L12" s="26"/>
      <c r="M12" s="26" t="str">
        <f t="shared" si="0"/>
        <v/>
      </c>
      <c r="N12" s="27"/>
    </row>
    <row r="13" ht="15.5" customHeight="1" spans="1:14">
      <c r="A13" s="23"/>
      <c r="B13" s="24"/>
      <c r="C13" s="23"/>
      <c r="D13" s="25"/>
      <c r="E13" s="23"/>
      <c r="F13" s="23"/>
      <c r="G13" s="26"/>
      <c r="H13" s="26"/>
      <c r="I13" s="26"/>
      <c r="J13" s="26"/>
      <c r="K13" s="26"/>
      <c r="L13" s="26"/>
      <c r="M13" s="26" t="str">
        <f t="shared" si="0"/>
        <v/>
      </c>
      <c r="N13" s="27"/>
    </row>
    <row r="14" ht="15.5" customHeight="1" spans="1:14">
      <c r="A14" s="23"/>
      <c r="B14" s="24"/>
      <c r="C14" s="23"/>
      <c r="D14" s="25"/>
      <c r="E14" s="23"/>
      <c r="F14" s="23"/>
      <c r="G14" s="26"/>
      <c r="H14" s="26"/>
      <c r="I14" s="26"/>
      <c r="J14" s="26"/>
      <c r="K14" s="26"/>
      <c r="L14" s="26"/>
      <c r="M14" s="26" t="str">
        <f t="shared" si="0"/>
        <v/>
      </c>
      <c r="N14" s="27"/>
    </row>
    <row r="15" ht="15.5" customHeight="1" spans="1:14">
      <c r="A15" s="23"/>
      <c r="B15" s="24"/>
      <c r="C15" s="23"/>
      <c r="D15" s="25"/>
      <c r="E15" s="23"/>
      <c r="F15" s="23"/>
      <c r="G15" s="26"/>
      <c r="H15" s="26"/>
      <c r="I15" s="26"/>
      <c r="J15" s="26"/>
      <c r="K15" s="26"/>
      <c r="L15" s="26"/>
      <c r="M15" s="26" t="str">
        <f t="shared" si="0"/>
        <v/>
      </c>
      <c r="N15" s="27"/>
    </row>
    <row r="16" ht="15.5" customHeight="1" spans="1:14">
      <c r="A16" s="23"/>
      <c r="B16" s="24"/>
      <c r="C16" s="23"/>
      <c r="D16" s="25"/>
      <c r="E16" s="23"/>
      <c r="F16" s="23"/>
      <c r="G16" s="26"/>
      <c r="H16" s="26"/>
      <c r="I16" s="26"/>
      <c r="J16" s="26"/>
      <c r="K16" s="26"/>
      <c r="L16" s="26"/>
      <c r="M16" s="26" t="str">
        <f t="shared" si="0"/>
        <v/>
      </c>
      <c r="N16" s="27"/>
    </row>
    <row r="17" ht="15.5" customHeight="1" spans="1:14">
      <c r="A17" s="23"/>
      <c r="B17" s="24"/>
      <c r="C17" s="23"/>
      <c r="D17" s="25"/>
      <c r="E17" s="23"/>
      <c r="F17" s="23"/>
      <c r="G17" s="26"/>
      <c r="H17" s="26"/>
      <c r="I17" s="26"/>
      <c r="J17" s="26"/>
      <c r="K17" s="26"/>
      <c r="L17" s="26"/>
      <c r="M17" s="26" t="str">
        <f t="shared" si="0"/>
        <v/>
      </c>
      <c r="N17" s="27"/>
    </row>
    <row r="18" ht="15.5" customHeight="1" spans="1:14">
      <c r="A18" s="23"/>
      <c r="B18" s="24"/>
      <c r="C18" s="23"/>
      <c r="D18" s="25"/>
      <c r="E18" s="23"/>
      <c r="F18" s="23"/>
      <c r="G18" s="26"/>
      <c r="H18" s="26"/>
      <c r="I18" s="26"/>
      <c r="J18" s="26"/>
      <c r="K18" s="26"/>
      <c r="L18" s="26"/>
      <c r="M18" s="26" t="str">
        <f t="shared" si="0"/>
        <v/>
      </c>
      <c r="N18" s="27"/>
    </row>
    <row r="19" ht="15.5" customHeight="1" spans="1:14">
      <c r="A19" s="23"/>
      <c r="B19" s="24"/>
      <c r="C19" s="23"/>
      <c r="D19" s="25"/>
      <c r="E19" s="23"/>
      <c r="F19" s="23"/>
      <c r="G19" s="26"/>
      <c r="H19" s="26"/>
      <c r="I19" s="26"/>
      <c r="J19" s="26"/>
      <c r="K19" s="26"/>
      <c r="L19" s="26"/>
      <c r="M19" s="26" t="str">
        <f t="shared" si="0"/>
        <v/>
      </c>
      <c r="N19" s="27"/>
    </row>
    <row r="20" ht="15.5" customHeight="1" spans="1:14">
      <c r="A20" s="23"/>
      <c r="B20" s="24"/>
      <c r="C20" s="23"/>
      <c r="D20" s="25"/>
      <c r="E20" s="23"/>
      <c r="F20" s="23"/>
      <c r="G20" s="26"/>
      <c r="H20" s="26"/>
      <c r="I20" s="26"/>
      <c r="J20" s="26"/>
      <c r="K20" s="26"/>
      <c r="L20" s="26"/>
      <c r="M20" s="26" t="str">
        <f t="shared" si="0"/>
        <v/>
      </c>
      <c r="N20" s="27"/>
    </row>
    <row r="21" ht="15.5" customHeight="1" spans="1:14">
      <c r="A21" s="23"/>
      <c r="B21" s="24"/>
      <c r="C21" s="23"/>
      <c r="D21" s="25"/>
      <c r="E21" s="23"/>
      <c r="F21" s="23"/>
      <c r="G21" s="26"/>
      <c r="H21" s="26"/>
      <c r="I21" s="26"/>
      <c r="J21" s="26"/>
      <c r="K21" s="26"/>
      <c r="L21" s="26"/>
      <c r="M21" s="26" t="str">
        <f t="shared" si="0"/>
        <v/>
      </c>
      <c r="N21" s="27"/>
    </row>
    <row r="22" ht="15.5" customHeight="1" spans="1:14">
      <c r="A22" s="23"/>
      <c r="B22" s="24"/>
      <c r="C22" s="23"/>
      <c r="D22" s="25"/>
      <c r="E22" s="23"/>
      <c r="F22" s="23"/>
      <c r="G22" s="26"/>
      <c r="H22" s="26"/>
      <c r="I22" s="26"/>
      <c r="J22" s="26"/>
      <c r="K22" s="26"/>
      <c r="L22" s="26"/>
      <c r="M22" s="26" t="str">
        <f t="shared" si="0"/>
        <v/>
      </c>
      <c r="N22" s="27"/>
    </row>
    <row r="23" ht="15.5" customHeight="1" spans="1:14">
      <c r="A23" s="23"/>
      <c r="B23" s="24"/>
      <c r="C23" s="23"/>
      <c r="D23" s="25"/>
      <c r="E23" s="23"/>
      <c r="F23" s="23"/>
      <c r="G23" s="26"/>
      <c r="H23" s="26"/>
      <c r="I23" s="26"/>
      <c r="J23" s="26"/>
      <c r="K23" s="26"/>
      <c r="L23" s="26"/>
      <c r="M23" s="26" t="str">
        <f t="shared" si="0"/>
        <v/>
      </c>
      <c r="N23" s="27"/>
    </row>
    <row r="24" ht="15.5" customHeight="1" spans="1:14">
      <c r="A24" s="23"/>
      <c r="B24" s="24"/>
      <c r="C24" s="23"/>
      <c r="D24" s="25"/>
      <c r="E24" s="23"/>
      <c r="F24" s="23"/>
      <c r="G24" s="26"/>
      <c r="H24" s="26"/>
      <c r="I24" s="26"/>
      <c r="J24" s="26"/>
      <c r="K24" s="26"/>
      <c r="L24" s="26"/>
      <c r="M24" s="26" t="str">
        <f t="shared" si="0"/>
        <v/>
      </c>
      <c r="N24" s="27"/>
    </row>
    <row r="25" ht="15.5" customHeight="1" spans="1:14">
      <c r="A25" s="23"/>
      <c r="B25" s="24"/>
      <c r="C25" s="23"/>
      <c r="D25" s="25"/>
      <c r="E25" s="23"/>
      <c r="F25" s="23"/>
      <c r="G25" s="26"/>
      <c r="H25" s="26"/>
      <c r="I25" s="26"/>
      <c r="J25" s="26"/>
      <c r="K25" s="26"/>
      <c r="L25" s="26"/>
      <c r="M25" s="26" t="str">
        <f t="shared" si="0"/>
        <v/>
      </c>
      <c r="N25" s="27"/>
    </row>
    <row r="26" ht="15.5" customHeight="1" spans="1:14">
      <c r="A26" s="23"/>
      <c r="B26" s="24"/>
      <c r="C26" s="23"/>
      <c r="D26" s="25"/>
      <c r="E26" s="23"/>
      <c r="F26" s="23"/>
      <c r="G26" s="26"/>
      <c r="H26" s="26"/>
      <c r="I26" s="26"/>
      <c r="J26" s="26"/>
      <c r="K26" s="26"/>
      <c r="L26" s="26"/>
      <c r="M26" s="26"/>
      <c r="N26" s="27"/>
    </row>
    <row r="27" ht="15.5" customHeight="1" spans="1:14">
      <c r="A27" s="21" t="s">
        <v>319</v>
      </c>
      <c r="B27" s="28"/>
      <c r="C27" s="23"/>
      <c r="D27" s="25"/>
      <c r="E27" s="23"/>
      <c r="F27" s="23"/>
      <c r="G27" s="26"/>
      <c r="H27" s="26"/>
      <c r="I27" s="26">
        <f>SUM(I6:I26)</f>
        <v>0</v>
      </c>
      <c r="J27" s="26"/>
      <c r="K27" s="26">
        <f>SUM(K6:K26)</f>
        <v>0</v>
      </c>
      <c r="L27" s="26">
        <f>SUM(L6:L26)</f>
        <v>0</v>
      </c>
      <c r="M27" s="26" t="str">
        <f>IF(K27=0,"",(L27-K27)/K27*100)</f>
        <v/>
      </c>
      <c r="N27" s="27"/>
    </row>
    <row r="28" ht="15.5" customHeight="1" spans="1:14">
      <c r="A28" s="29" t="str">
        <f>封面!D11&amp;封面!G11</f>
        <v>被评估单位填表人：</v>
      </c>
      <c r="K28" s="19" t="str">
        <f>"评估人员："&amp;封面!G22</f>
        <v>评估人员：</v>
      </c>
    </row>
    <row r="29" ht="15.5" customHeight="1" spans="1:14">
      <c r="A29" s="29" t="str">
        <f>CONCATENATE(封面!D13,封面!F13,封面!G13,封面!H13,封面!I13,封面!J13,封面!K13)</f>
        <v>填表日期：年月日</v>
      </c>
    </row>
  </sheetData>
  <mergeCells count="3">
    <mergeCell ref="A2:N2"/>
    <mergeCell ref="A3:N3"/>
    <mergeCell ref="A27:B27"/>
  </mergeCells>
  <hyperlinks>
    <hyperlink ref="A1" location="索引目录!E28" display="返回索引页"/>
    <hyperlink ref="B1" location="可供出售金融资产汇总!B6" display="返回"/>
  </hyperlinks>
  <printOptions horizontalCentered="1"/>
  <pageMargins left="0.354330708661417" right="0.354330708661417" top="0.78740157480315" bottom="0.78740157480315" header="1.03" footer="0.511811023622047"/>
  <pageSetup paperSize="9" fitToHeight="0" orientation="landscape"/>
  <headerFooter alignWithMargins="0">
    <oddHeader>&amp;R&amp;"宋体,常规"共&amp;"Times New Roman,常规"&amp;N&amp;"宋体,常规"页第&amp;"Times New Roman,常规"&amp;P&amp;"宋体,常规"4-1-1
页</oddHeader>
  </headerFooter>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6">
    <pageSetUpPr fitToPage="1"/>
  </sheetPr>
  <dimension ref="A1:N29"/>
  <sheetViews>
    <sheetView view="pageBreakPreview" zoomScale="60" zoomScaleNormal="100" workbookViewId="0">
      <selection activeCell="G451" sqref="G451"/>
    </sheetView>
  </sheetViews>
  <sheetFormatPr defaultColWidth="9" defaultRowHeight="15.75" customHeight="1"/>
  <cols>
    <col min="1" max="1" width="4.33333333333333" style="13" customWidth="1"/>
    <col min="2" max="2" width="18.3333333333333" style="13" customWidth="1"/>
    <col min="3" max="3" width="9.5" style="13" customWidth="1"/>
    <col min="4" max="4" width="7.83333333333333" style="13" customWidth="1"/>
    <col min="5" max="5" width="9" style="13" customWidth="1"/>
    <col min="6" max="6" width="9.33333333333333" style="13" customWidth="1"/>
    <col min="7" max="7" width="11.0833333333333" style="13" customWidth="1"/>
    <col min="8" max="9" width="15.3333333333333" style="13" hidden="1" customWidth="1" outlineLevel="1"/>
    <col min="10" max="10" width="15.3333333333333" style="13" customWidth="1" collapsed="1"/>
    <col min="11" max="11" width="15" style="13" customWidth="1"/>
    <col min="12" max="12" width="11.0833333333333" style="13" customWidth="1"/>
    <col min="13" max="13" width="10.5833333333333" style="13" customWidth="1"/>
    <col min="14" max="16384" width="9" style="13" customWidth="1"/>
  </cols>
  <sheetData>
    <row r="1" ht="15.5" customHeight="1" spans="1:14">
      <c r="A1" s="14" t="s">
        <v>111</v>
      </c>
      <c r="B1" s="15" t="s">
        <v>210</v>
      </c>
      <c r="C1" s="16"/>
      <c r="D1" s="16"/>
      <c r="E1" s="16"/>
      <c r="F1" s="16"/>
      <c r="G1" s="16"/>
      <c r="H1" s="16"/>
      <c r="I1" s="16"/>
      <c r="J1" s="16"/>
      <c r="K1" s="16"/>
      <c r="L1" s="16"/>
      <c r="M1" s="16"/>
    </row>
    <row r="2" s="11" customFormat="1" ht="30" customHeight="1" spans="1:14">
      <c r="A2" s="17" t="s">
        <v>442</v>
      </c>
    </row>
    <row r="3" ht="14.15" customHeight="1" spans="1:14">
      <c r="A3" s="18" t="str">
        <f>CONCATENATE(封面!D9,封面!F9,封面!G9,封面!H9,封面!I9,封面!J9,封面!K9)</f>
        <v>评估基准日：年月日</v>
      </c>
      <c r="N3" s="12"/>
    </row>
    <row r="4" ht="15.5" customHeight="1" spans="1:14">
      <c r="A4" s="19" t="str">
        <f>封面!D7&amp;封面!F7</f>
        <v>被评估单位：</v>
      </c>
      <c r="M4" s="20" t="s">
        <v>139</v>
      </c>
    </row>
    <row r="5" s="12" customFormat="1" ht="13" customHeight="1" spans="1:14">
      <c r="A5" s="21" t="s">
        <v>141</v>
      </c>
      <c r="B5" s="21" t="s">
        <v>298</v>
      </c>
      <c r="C5" s="21" t="s">
        <v>443</v>
      </c>
      <c r="D5" s="21" t="s">
        <v>307</v>
      </c>
      <c r="E5" s="21" t="s">
        <v>444</v>
      </c>
      <c r="F5" s="21" t="s">
        <v>308</v>
      </c>
      <c r="G5" s="21" t="s">
        <v>445</v>
      </c>
      <c r="H5" s="22" t="s">
        <v>175</v>
      </c>
      <c r="I5" s="22" t="s">
        <v>281</v>
      </c>
      <c r="J5" s="21" t="s">
        <v>176</v>
      </c>
      <c r="K5" s="21" t="s">
        <v>177</v>
      </c>
      <c r="L5" s="21" t="s">
        <v>215</v>
      </c>
      <c r="M5" s="21" t="s">
        <v>144</v>
      </c>
    </row>
    <row r="6" ht="15.5" customHeight="1" spans="1:14">
      <c r="A6" s="23"/>
      <c r="B6" s="24"/>
      <c r="C6" s="23"/>
      <c r="D6" s="25"/>
      <c r="E6" s="25"/>
      <c r="F6" s="23"/>
      <c r="G6" s="23"/>
      <c r="H6" s="26"/>
      <c r="I6" s="26"/>
      <c r="J6" s="26"/>
      <c r="K6" s="26"/>
      <c r="L6" s="26" t="str">
        <f t="shared" ref="L6:L25" si="0">IF(J6=0,"",(K6-J6)/J6*100)</f>
        <v/>
      </c>
      <c r="M6" s="27"/>
    </row>
    <row r="7" ht="15.5" customHeight="1" spans="1:14">
      <c r="A7" s="23"/>
      <c r="B7" s="24"/>
      <c r="C7" s="23"/>
      <c r="D7" s="25"/>
      <c r="E7" s="25"/>
      <c r="F7" s="23"/>
      <c r="G7" s="23"/>
      <c r="H7" s="26"/>
      <c r="I7" s="26"/>
      <c r="J7" s="26"/>
      <c r="K7" s="26"/>
      <c r="L7" s="26" t="str">
        <f t="shared" si="0"/>
        <v/>
      </c>
      <c r="M7" s="27"/>
    </row>
    <row r="8" ht="15.5" customHeight="1" spans="1:14">
      <c r="A8" s="23"/>
      <c r="B8" s="24"/>
      <c r="C8" s="23"/>
      <c r="D8" s="25"/>
      <c r="E8" s="25"/>
      <c r="F8" s="23"/>
      <c r="G8" s="23"/>
      <c r="H8" s="26"/>
      <c r="I8" s="26"/>
      <c r="J8" s="26"/>
      <c r="K8" s="26"/>
      <c r="L8" s="26" t="str">
        <f t="shared" si="0"/>
        <v/>
      </c>
      <c r="M8" s="27"/>
    </row>
    <row r="9" ht="15.5" customHeight="1" spans="1:14">
      <c r="A9" s="23"/>
      <c r="B9" s="24"/>
      <c r="C9" s="23"/>
      <c r="D9" s="25"/>
      <c r="E9" s="25"/>
      <c r="F9" s="23"/>
      <c r="G9" s="23"/>
      <c r="H9" s="26"/>
      <c r="I9" s="26"/>
      <c r="J9" s="26"/>
      <c r="K9" s="26"/>
      <c r="L9" s="26" t="str">
        <f t="shared" si="0"/>
        <v/>
      </c>
      <c r="M9" s="27"/>
    </row>
    <row r="10" ht="15.5" customHeight="1" spans="1:14">
      <c r="A10" s="23"/>
      <c r="B10" s="24"/>
      <c r="C10" s="23"/>
      <c r="D10" s="25"/>
      <c r="E10" s="25"/>
      <c r="F10" s="23"/>
      <c r="G10" s="23"/>
      <c r="H10" s="26"/>
      <c r="I10" s="26"/>
      <c r="J10" s="26"/>
      <c r="K10" s="26"/>
      <c r="L10" s="26" t="str">
        <f t="shared" si="0"/>
        <v/>
      </c>
      <c r="M10" s="27"/>
    </row>
    <row r="11" ht="15.5" customHeight="1" spans="1:14">
      <c r="A11" s="23"/>
      <c r="B11" s="24"/>
      <c r="C11" s="23"/>
      <c r="D11" s="25"/>
      <c r="E11" s="25"/>
      <c r="F11" s="23"/>
      <c r="G11" s="23"/>
      <c r="H11" s="26"/>
      <c r="I11" s="26"/>
      <c r="J11" s="26"/>
      <c r="K11" s="26"/>
      <c r="L11" s="26" t="str">
        <f t="shared" si="0"/>
        <v/>
      </c>
      <c r="M11" s="27"/>
    </row>
    <row r="12" ht="15.5" customHeight="1" spans="1:14">
      <c r="A12" s="23"/>
      <c r="B12" s="24"/>
      <c r="C12" s="23"/>
      <c r="D12" s="25"/>
      <c r="E12" s="25"/>
      <c r="F12" s="23"/>
      <c r="G12" s="23"/>
      <c r="H12" s="26"/>
      <c r="I12" s="26"/>
      <c r="J12" s="26"/>
      <c r="K12" s="26"/>
      <c r="L12" s="26" t="str">
        <f t="shared" si="0"/>
        <v/>
      </c>
      <c r="M12" s="27"/>
    </row>
    <row r="13" ht="15.5" customHeight="1" spans="1:14">
      <c r="A13" s="23"/>
      <c r="B13" s="24"/>
      <c r="C13" s="23"/>
      <c r="D13" s="25"/>
      <c r="E13" s="25"/>
      <c r="F13" s="23"/>
      <c r="G13" s="23"/>
      <c r="H13" s="26"/>
      <c r="I13" s="26"/>
      <c r="J13" s="26"/>
      <c r="K13" s="26"/>
      <c r="L13" s="26" t="str">
        <f t="shared" si="0"/>
        <v/>
      </c>
      <c r="M13" s="27"/>
    </row>
    <row r="14" ht="15.5" customHeight="1" spans="1:14">
      <c r="A14" s="23"/>
      <c r="B14" s="24"/>
      <c r="C14" s="23"/>
      <c r="D14" s="25"/>
      <c r="E14" s="25"/>
      <c r="F14" s="23"/>
      <c r="G14" s="23"/>
      <c r="H14" s="26"/>
      <c r="I14" s="26"/>
      <c r="J14" s="26"/>
      <c r="K14" s="26"/>
      <c r="L14" s="26" t="str">
        <f t="shared" si="0"/>
        <v/>
      </c>
      <c r="M14" s="27"/>
    </row>
    <row r="15" ht="15.5" customHeight="1" spans="1:14">
      <c r="A15" s="23"/>
      <c r="B15" s="24"/>
      <c r="C15" s="23"/>
      <c r="D15" s="25"/>
      <c r="E15" s="25"/>
      <c r="F15" s="23"/>
      <c r="G15" s="23"/>
      <c r="H15" s="26"/>
      <c r="I15" s="26"/>
      <c r="J15" s="26"/>
      <c r="K15" s="26"/>
      <c r="L15" s="26" t="str">
        <f t="shared" si="0"/>
        <v/>
      </c>
      <c r="M15" s="27"/>
    </row>
    <row r="16" ht="15.5" customHeight="1" spans="1:14">
      <c r="A16" s="23"/>
      <c r="B16" s="24"/>
      <c r="C16" s="23"/>
      <c r="D16" s="25"/>
      <c r="E16" s="25"/>
      <c r="F16" s="23"/>
      <c r="G16" s="23"/>
      <c r="H16" s="26"/>
      <c r="I16" s="26"/>
      <c r="J16" s="26"/>
      <c r="K16" s="26"/>
      <c r="L16" s="26" t="str">
        <f t="shared" si="0"/>
        <v/>
      </c>
      <c r="M16" s="27"/>
    </row>
    <row r="17" ht="15.5" customHeight="1" spans="1:13">
      <c r="A17" s="23"/>
      <c r="B17" s="24"/>
      <c r="C17" s="23"/>
      <c r="D17" s="25"/>
      <c r="E17" s="25"/>
      <c r="F17" s="23"/>
      <c r="G17" s="23"/>
      <c r="H17" s="26"/>
      <c r="I17" s="26"/>
      <c r="J17" s="26"/>
      <c r="K17" s="26"/>
      <c r="L17" s="26" t="str">
        <f t="shared" si="0"/>
        <v/>
      </c>
      <c r="M17" s="27"/>
    </row>
    <row r="18" ht="15.5" customHeight="1" spans="1:13">
      <c r="A18" s="23"/>
      <c r="B18" s="24"/>
      <c r="C18" s="23"/>
      <c r="D18" s="25"/>
      <c r="E18" s="25"/>
      <c r="F18" s="23"/>
      <c r="G18" s="23"/>
      <c r="H18" s="26"/>
      <c r="I18" s="26"/>
      <c r="J18" s="26"/>
      <c r="K18" s="26"/>
      <c r="L18" s="26" t="str">
        <f t="shared" si="0"/>
        <v/>
      </c>
      <c r="M18" s="27"/>
    </row>
    <row r="19" ht="15.5" customHeight="1" spans="1:13">
      <c r="A19" s="23"/>
      <c r="B19" s="24"/>
      <c r="C19" s="23"/>
      <c r="D19" s="25"/>
      <c r="E19" s="25"/>
      <c r="F19" s="23"/>
      <c r="G19" s="23"/>
      <c r="H19" s="26"/>
      <c r="I19" s="26"/>
      <c r="J19" s="26"/>
      <c r="K19" s="26"/>
      <c r="L19" s="26" t="str">
        <f t="shared" si="0"/>
        <v/>
      </c>
      <c r="M19" s="27"/>
    </row>
    <row r="20" ht="15.5" customHeight="1" spans="1:13">
      <c r="A20" s="23"/>
      <c r="B20" s="24"/>
      <c r="C20" s="23"/>
      <c r="D20" s="25"/>
      <c r="E20" s="25"/>
      <c r="F20" s="23"/>
      <c r="G20" s="23"/>
      <c r="H20" s="26"/>
      <c r="I20" s="26"/>
      <c r="J20" s="26"/>
      <c r="K20" s="26"/>
      <c r="L20" s="26" t="str">
        <f t="shared" si="0"/>
        <v/>
      </c>
      <c r="M20" s="27"/>
    </row>
    <row r="21" ht="15.5" customHeight="1" spans="1:13">
      <c r="A21" s="23"/>
      <c r="B21" s="24"/>
      <c r="C21" s="23"/>
      <c r="D21" s="25"/>
      <c r="E21" s="25"/>
      <c r="F21" s="23"/>
      <c r="G21" s="23"/>
      <c r="H21" s="26"/>
      <c r="I21" s="26"/>
      <c r="J21" s="26"/>
      <c r="K21" s="26"/>
      <c r="L21" s="26" t="str">
        <f t="shared" si="0"/>
        <v/>
      </c>
      <c r="M21" s="27"/>
    </row>
    <row r="22" ht="15.5" customHeight="1" spans="1:13">
      <c r="A22" s="23"/>
      <c r="B22" s="24"/>
      <c r="C22" s="23"/>
      <c r="D22" s="25"/>
      <c r="E22" s="25"/>
      <c r="F22" s="23"/>
      <c r="G22" s="23"/>
      <c r="H22" s="26"/>
      <c r="I22" s="26"/>
      <c r="J22" s="26"/>
      <c r="K22" s="26"/>
      <c r="L22" s="26" t="str">
        <f t="shared" si="0"/>
        <v/>
      </c>
      <c r="M22" s="27"/>
    </row>
    <row r="23" ht="15.5" customHeight="1" spans="1:13">
      <c r="A23" s="23"/>
      <c r="B23" s="24"/>
      <c r="C23" s="23"/>
      <c r="D23" s="25"/>
      <c r="E23" s="25"/>
      <c r="F23" s="23"/>
      <c r="G23" s="23"/>
      <c r="H23" s="26"/>
      <c r="I23" s="26"/>
      <c r="J23" s="26"/>
      <c r="K23" s="26"/>
      <c r="L23" s="26" t="str">
        <f t="shared" si="0"/>
        <v/>
      </c>
      <c r="M23" s="27"/>
    </row>
    <row r="24" ht="15.5" customHeight="1" spans="1:13">
      <c r="A24" s="23"/>
      <c r="B24" s="24"/>
      <c r="C24" s="23"/>
      <c r="D24" s="25"/>
      <c r="E24" s="25"/>
      <c r="F24" s="23"/>
      <c r="G24" s="23"/>
      <c r="H24" s="26"/>
      <c r="I24" s="26"/>
      <c r="J24" s="26"/>
      <c r="K24" s="26"/>
      <c r="L24" s="26" t="str">
        <f t="shared" si="0"/>
        <v/>
      </c>
      <c r="M24" s="27"/>
    </row>
    <row r="25" ht="15.5" customHeight="1" spans="1:13">
      <c r="A25" s="23"/>
      <c r="B25" s="24"/>
      <c r="C25" s="23"/>
      <c r="D25" s="25"/>
      <c r="E25" s="25"/>
      <c r="F25" s="23"/>
      <c r="G25" s="23"/>
      <c r="H25" s="26"/>
      <c r="I25" s="26"/>
      <c r="J25" s="26"/>
      <c r="K25" s="26"/>
      <c r="L25" s="26" t="str">
        <f t="shared" si="0"/>
        <v/>
      </c>
      <c r="M25" s="27"/>
    </row>
    <row r="26" ht="15.5" customHeight="1" spans="1:13">
      <c r="A26" s="23"/>
      <c r="B26" s="24"/>
      <c r="C26" s="23"/>
      <c r="D26" s="25"/>
      <c r="E26" s="25"/>
      <c r="F26" s="23"/>
      <c r="G26" s="23"/>
      <c r="H26" s="26"/>
      <c r="I26" s="26"/>
      <c r="J26" s="26"/>
      <c r="K26" s="26"/>
      <c r="L26" s="26"/>
      <c r="M26" s="27"/>
    </row>
    <row r="27" ht="15.5" customHeight="1" spans="1:13">
      <c r="A27" s="21" t="s">
        <v>319</v>
      </c>
      <c r="B27" s="28"/>
      <c r="C27" s="23"/>
      <c r="D27" s="25"/>
      <c r="E27" s="25"/>
      <c r="F27" s="23"/>
      <c r="G27" s="23"/>
      <c r="H27" s="26">
        <f>SUM(H6:H26)</f>
        <v>0</v>
      </c>
      <c r="I27" s="26"/>
      <c r="J27" s="26">
        <f>SUM(J6:J26)</f>
        <v>0</v>
      </c>
      <c r="K27" s="26">
        <f>SUM(K6:K26)</f>
        <v>0</v>
      </c>
      <c r="L27" s="26" t="str">
        <f>IF(J27=0,"",(K27-J27)/J27*100)</f>
        <v/>
      </c>
      <c r="M27" s="27"/>
    </row>
    <row r="28" ht="15.5" customHeight="1" spans="1:13">
      <c r="A28" s="29" t="str">
        <f>封面!D11&amp;封面!G11</f>
        <v>被评估单位填表人：</v>
      </c>
      <c r="J28" s="19" t="str">
        <f>"评估人员："&amp;封面!G22</f>
        <v>评估人员：</v>
      </c>
    </row>
    <row r="29" ht="15.5" customHeight="1" spans="1:13">
      <c r="A29" s="29" t="str">
        <f>CONCATENATE(封面!D13,封面!F13,封面!G13,封面!H13,封面!I13,封面!J13,封面!K13)</f>
        <v>填表日期：年月日</v>
      </c>
    </row>
  </sheetData>
  <mergeCells count="3">
    <mergeCell ref="A2:M2"/>
    <mergeCell ref="A3:M3"/>
    <mergeCell ref="A27:B27"/>
  </mergeCells>
  <hyperlinks>
    <hyperlink ref="A1" location="索引目录!E29" display="返回索引页"/>
    <hyperlink ref="B1" location="可供出售金融资产汇总!B7" display="返回"/>
  </hyperlinks>
  <printOptions horizontalCentered="1"/>
  <pageMargins left="0.354330708661417" right="0.354330708661417" top="0.78740157480315" bottom="0.78740157480315" header="1.05" footer="0.511811023622047"/>
  <pageSetup paperSize="9" fitToHeight="0" orientation="landscape"/>
  <headerFooter alignWithMargins="0">
    <oddHeader>&amp;R&amp;"宋体,常规"共&amp;"Times New Roman,常规"&amp;N&amp;"宋体,常规"页第&amp;"Times New Roman,常规"&amp;P&amp;"宋体,常规"4-1-2
页</oddHead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7">
    <pageSetUpPr fitToPage="1"/>
  </sheetPr>
  <dimension ref="A1:M29"/>
  <sheetViews>
    <sheetView view="pageBreakPreview" zoomScale="60" zoomScaleNormal="100" workbookViewId="0">
      <selection activeCell="G451" sqref="G451"/>
    </sheetView>
  </sheetViews>
  <sheetFormatPr defaultColWidth="9" defaultRowHeight="15.75" customHeight="1"/>
  <cols>
    <col min="1" max="1" width="5.58333333333333" style="13" customWidth="1"/>
    <col min="2" max="2" width="19.8333333333333" style="13" customWidth="1"/>
    <col min="3" max="3" width="14.75" style="13" customWidth="1"/>
    <col min="4" max="4" width="8.33333333333333" style="13" customWidth="1"/>
    <col min="5" max="5" width="7.75" style="13" customWidth="1"/>
    <col min="6" max="6" width="6.58333333333333" style="13" customWidth="1"/>
    <col min="7" max="7" width="11.3333333333333" style="13" customWidth="1"/>
    <col min="8" max="9" width="13.0833333333333" style="13" hidden="1" customWidth="1" outlineLevel="1"/>
    <col min="10" max="10" width="14.8333333333333" style="13" customWidth="1" collapsed="1"/>
    <col min="11" max="11" width="14.3333333333333" style="13" customWidth="1"/>
    <col min="12" max="16384" width="9" style="13" customWidth="1"/>
  </cols>
  <sheetData>
    <row r="1" ht="12.75" customHeight="1" spans="1:13">
      <c r="A1" s="14" t="s">
        <v>111</v>
      </c>
      <c r="B1" s="15" t="s">
        <v>210</v>
      </c>
      <c r="C1" s="16"/>
      <c r="D1" s="16"/>
      <c r="E1" s="16"/>
      <c r="F1" s="16"/>
      <c r="G1" s="16"/>
      <c r="H1" s="16"/>
      <c r="I1" s="16"/>
      <c r="J1" s="16"/>
      <c r="K1" s="16"/>
      <c r="L1" s="16"/>
      <c r="M1" s="16"/>
    </row>
    <row r="2" s="11" customFormat="1" ht="30" customHeight="1" spans="1:13">
      <c r="A2" s="17" t="s">
        <v>446</v>
      </c>
    </row>
    <row r="3" ht="14.15" customHeight="1" spans="1:13">
      <c r="A3" s="18" t="str">
        <f>CONCATENATE(封面!D9,封面!F9,封面!G9,封面!H9,封面!I9,封面!J9,封面!K9)</f>
        <v>评估基准日：年月日</v>
      </c>
    </row>
    <row r="4" ht="15.5" customHeight="1" spans="1:13">
      <c r="A4" s="19" t="str">
        <f>封面!D7&amp;封面!F7</f>
        <v>被评估单位：</v>
      </c>
      <c r="M4" s="20" t="s">
        <v>139</v>
      </c>
    </row>
    <row r="5" s="12" customFormat="1" ht="30.65" customHeight="1" spans="1:13">
      <c r="A5" s="21" t="s">
        <v>141</v>
      </c>
      <c r="B5" s="21" t="s">
        <v>298</v>
      </c>
      <c r="C5" s="21" t="s">
        <v>447</v>
      </c>
      <c r="D5" s="21" t="s">
        <v>300</v>
      </c>
      <c r="E5" s="21" t="s">
        <v>448</v>
      </c>
      <c r="F5" s="22" t="s">
        <v>440</v>
      </c>
      <c r="G5" s="22" t="s">
        <v>302</v>
      </c>
      <c r="H5" s="22" t="s">
        <v>175</v>
      </c>
      <c r="I5" s="22" t="s">
        <v>281</v>
      </c>
      <c r="J5" s="21" t="s">
        <v>176</v>
      </c>
      <c r="K5" s="21" t="s">
        <v>177</v>
      </c>
      <c r="L5" s="21" t="s">
        <v>215</v>
      </c>
      <c r="M5" s="21" t="s">
        <v>144</v>
      </c>
    </row>
    <row r="6" ht="15.5" customHeight="1" spans="1:13">
      <c r="A6" s="23"/>
      <c r="B6" s="24"/>
      <c r="C6" s="23"/>
      <c r="D6" s="25"/>
      <c r="E6" s="23"/>
      <c r="F6" s="26"/>
      <c r="G6" s="26"/>
      <c r="H6" s="26"/>
      <c r="I6" s="26"/>
      <c r="J6" s="26"/>
      <c r="K6" s="26"/>
      <c r="L6" s="26" t="str">
        <f t="shared" ref="L6:L25" si="0">IF(J6=0,"",(K6-J6)/J6*100)</f>
        <v/>
      </c>
      <c r="M6" s="27"/>
    </row>
    <row r="7" ht="15.5" customHeight="1" spans="1:13">
      <c r="A7" s="23"/>
      <c r="B7" s="24"/>
      <c r="C7" s="23"/>
      <c r="D7" s="25"/>
      <c r="E7" s="23"/>
      <c r="F7" s="26"/>
      <c r="G7" s="26"/>
      <c r="H7" s="26"/>
      <c r="I7" s="26"/>
      <c r="J7" s="26"/>
      <c r="K7" s="26"/>
      <c r="L7" s="26" t="str">
        <f t="shared" si="0"/>
        <v/>
      </c>
      <c r="M7" s="27"/>
    </row>
    <row r="8" ht="15.5" customHeight="1" spans="1:13">
      <c r="A8" s="23"/>
      <c r="B8" s="24"/>
      <c r="C8" s="23"/>
      <c r="D8" s="25"/>
      <c r="E8" s="23"/>
      <c r="F8" s="26"/>
      <c r="G8" s="26"/>
      <c r="H8" s="26"/>
      <c r="I8" s="26"/>
      <c r="J8" s="26"/>
      <c r="K8" s="26"/>
      <c r="L8" s="26" t="str">
        <f t="shared" si="0"/>
        <v/>
      </c>
      <c r="M8" s="27"/>
    </row>
    <row r="9" ht="15.5" customHeight="1" spans="1:13">
      <c r="A9" s="23"/>
      <c r="B9" s="24"/>
      <c r="C9" s="23"/>
      <c r="D9" s="25"/>
      <c r="E9" s="23"/>
      <c r="F9" s="26"/>
      <c r="G9" s="26"/>
      <c r="H9" s="26"/>
      <c r="I9" s="26"/>
      <c r="J9" s="26"/>
      <c r="K9" s="26"/>
      <c r="L9" s="26" t="str">
        <f t="shared" si="0"/>
        <v/>
      </c>
      <c r="M9" s="27"/>
    </row>
    <row r="10" ht="15.5" customHeight="1" spans="1:13">
      <c r="A10" s="23"/>
      <c r="B10" s="24"/>
      <c r="C10" s="23"/>
      <c r="D10" s="25"/>
      <c r="E10" s="23"/>
      <c r="F10" s="26"/>
      <c r="G10" s="26"/>
      <c r="H10" s="26"/>
      <c r="I10" s="26"/>
      <c r="J10" s="26"/>
      <c r="K10" s="26"/>
      <c r="L10" s="26" t="str">
        <f t="shared" si="0"/>
        <v/>
      </c>
      <c r="M10" s="27"/>
    </row>
    <row r="11" ht="15.5" customHeight="1" spans="1:13">
      <c r="A11" s="23"/>
      <c r="B11" s="24"/>
      <c r="C11" s="23"/>
      <c r="D11" s="25"/>
      <c r="E11" s="23"/>
      <c r="F11" s="26"/>
      <c r="G11" s="26"/>
      <c r="H11" s="26"/>
      <c r="I11" s="26"/>
      <c r="J11" s="26"/>
      <c r="K11" s="26"/>
      <c r="L11" s="26" t="str">
        <f t="shared" si="0"/>
        <v/>
      </c>
      <c r="M11" s="27"/>
    </row>
    <row r="12" ht="15.5" customHeight="1" spans="1:13">
      <c r="A12" s="23"/>
      <c r="B12" s="24"/>
      <c r="C12" s="23"/>
      <c r="D12" s="25"/>
      <c r="E12" s="23"/>
      <c r="F12" s="26"/>
      <c r="G12" s="26"/>
      <c r="H12" s="26"/>
      <c r="I12" s="26"/>
      <c r="J12" s="26"/>
      <c r="K12" s="26"/>
      <c r="L12" s="26" t="str">
        <f t="shared" si="0"/>
        <v/>
      </c>
      <c r="M12" s="27"/>
    </row>
    <row r="13" ht="15.5" customHeight="1" spans="1:13">
      <c r="A13" s="23"/>
      <c r="B13" s="24"/>
      <c r="C13" s="23"/>
      <c r="D13" s="25"/>
      <c r="E13" s="23"/>
      <c r="F13" s="26"/>
      <c r="G13" s="26"/>
      <c r="H13" s="26"/>
      <c r="I13" s="26"/>
      <c r="J13" s="26"/>
      <c r="K13" s="26"/>
      <c r="L13" s="26" t="str">
        <f t="shared" si="0"/>
        <v/>
      </c>
      <c r="M13" s="27"/>
    </row>
    <row r="14" ht="15.5" customHeight="1" spans="1:13">
      <c r="A14" s="23"/>
      <c r="B14" s="24"/>
      <c r="C14" s="23"/>
      <c r="D14" s="25"/>
      <c r="E14" s="23"/>
      <c r="F14" s="26"/>
      <c r="G14" s="26"/>
      <c r="H14" s="26"/>
      <c r="I14" s="26"/>
      <c r="J14" s="26"/>
      <c r="K14" s="26"/>
      <c r="L14" s="26" t="str">
        <f t="shared" si="0"/>
        <v/>
      </c>
      <c r="M14" s="27"/>
    </row>
    <row r="15" ht="15.5" customHeight="1" spans="1:13">
      <c r="A15" s="23"/>
      <c r="B15" s="24"/>
      <c r="C15" s="23"/>
      <c r="D15" s="25"/>
      <c r="E15" s="23"/>
      <c r="F15" s="26"/>
      <c r="G15" s="26"/>
      <c r="H15" s="26"/>
      <c r="I15" s="26"/>
      <c r="J15" s="26"/>
      <c r="K15" s="26"/>
      <c r="L15" s="26" t="str">
        <f t="shared" si="0"/>
        <v/>
      </c>
      <c r="M15" s="27"/>
    </row>
    <row r="16" ht="15.5" customHeight="1" spans="1:13">
      <c r="A16" s="23"/>
      <c r="B16" s="24"/>
      <c r="C16" s="23"/>
      <c r="D16" s="25"/>
      <c r="E16" s="23"/>
      <c r="F16" s="26"/>
      <c r="G16" s="26"/>
      <c r="H16" s="26"/>
      <c r="I16" s="26"/>
      <c r="J16" s="26"/>
      <c r="K16" s="26"/>
      <c r="L16" s="26" t="str">
        <f t="shared" si="0"/>
        <v/>
      </c>
      <c r="M16" s="27"/>
    </row>
    <row r="17" ht="15.5" customHeight="1" spans="1:13">
      <c r="A17" s="23"/>
      <c r="B17" s="24"/>
      <c r="C17" s="23"/>
      <c r="D17" s="25"/>
      <c r="E17" s="23"/>
      <c r="F17" s="26"/>
      <c r="G17" s="26"/>
      <c r="H17" s="26"/>
      <c r="I17" s="26"/>
      <c r="J17" s="26"/>
      <c r="K17" s="26"/>
      <c r="L17" s="26" t="str">
        <f t="shared" si="0"/>
        <v/>
      </c>
      <c r="M17" s="27"/>
    </row>
    <row r="18" ht="15.5" customHeight="1" spans="1:13">
      <c r="A18" s="23"/>
      <c r="B18" s="24"/>
      <c r="C18" s="23"/>
      <c r="D18" s="25"/>
      <c r="E18" s="23"/>
      <c r="F18" s="26"/>
      <c r="G18" s="26"/>
      <c r="H18" s="26"/>
      <c r="I18" s="26"/>
      <c r="J18" s="26"/>
      <c r="K18" s="26"/>
      <c r="L18" s="26" t="str">
        <f t="shared" si="0"/>
        <v/>
      </c>
      <c r="M18" s="27"/>
    </row>
    <row r="19" ht="15.5" customHeight="1" spans="1:13">
      <c r="A19" s="23"/>
      <c r="B19" s="24"/>
      <c r="C19" s="23"/>
      <c r="D19" s="25"/>
      <c r="E19" s="23"/>
      <c r="F19" s="26"/>
      <c r="G19" s="26"/>
      <c r="H19" s="26"/>
      <c r="I19" s="26"/>
      <c r="J19" s="26"/>
      <c r="K19" s="26"/>
      <c r="L19" s="26" t="str">
        <f t="shared" si="0"/>
        <v/>
      </c>
      <c r="M19" s="27"/>
    </row>
    <row r="20" ht="15.5" customHeight="1" spans="1:13">
      <c r="A20" s="23"/>
      <c r="B20" s="24"/>
      <c r="C20" s="23"/>
      <c r="D20" s="25"/>
      <c r="E20" s="23"/>
      <c r="F20" s="26"/>
      <c r="G20" s="26"/>
      <c r="H20" s="26"/>
      <c r="I20" s="26"/>
      <c r="J20" s="26"/>
      <c r="K20" s="26"/>
      <c r="L20" s="26" t="str">
        <f t="shared" si="0"/>
        <v/>
      </c>
      <c r="M20" s="27"/>
    </row>
    <row r="21" ht="15.5" customHeight="1" spans="1:13">
      <c r="A21" s="23"/>
      <c r="B21" s="24"/>
      <c r="C21" s="23"/>
      <c r="D21" s="25"/>
      <c r="E21" s="23"/>
      <c r="F21" s="26"/>
      <c r="G21" s="26"/>
      <c r="H21" s="26"/>
      <c r="I21" s="26"/>
      <c r="J21" s="26"/>
      <c r="K21" s="26"/>
      <c r="L21" s="26" t="str">
        <f t="shared" si="0"/>
        <v/>
      </c>
      <c r="M21" s="27"/>
    </row>
    <row r="22" ht="15.5" customHeight="1" spans="1:13">
      <c r="A22" s="23"/>
      <c r="B22" s="24"/>
      <c r="C22" s="23"/>
      <c r="D22" s="25"/>
      <c r="E22" s="23"/>
      <c r="F22" s="26"/>
      <c r="G22" s="26"/>
      <c r="H22" s="26"/>
      <c r="I22" s="26"/>
      <c r="J22" s="26"/>
      <c r="K22" s="26"/>
      <c r="L22" s="26" t="str">
        <f t="shared" si="0"/>
        <v/>
      </c>
      <c r="M22" s="27"/>
    </row>
    <row r="23" ht="15.5" customHeight="1" spans="1:13">
      <c r="A23" s="23"/>
      <c r="B23" s="24"/>
      <c r="C23" s="23"/>
      <c r="D23" s="25"/>
      <c r="E23" s="23"/>
      <c r="F23" s="26"/>
      <c r="G23" s="26"/>
      <c r="H23" s="26"/>
      <c r="I23" s="26"/>
      <c r="J23" s="26"/>
      <c r="K23" s="26"/>
      <c r="L23" s="26" t="str">
        <f t="shared" si="0"/>
        <v/>
      </c>
      <c r="M23" s="27"/>
    </row>
    <row r="24" ht="15.5" customHeight="1" spans="1:13">
      <c r="A24" s="23"/>
      <c r="B24" s="24"/>
      <c r="C24" s="23"/>
      <c r="D24" s="25"/>
      <c r="E24" s="23"/>
      <c r="F24" s="26"/>
      <c r="G24" s="26"/>
      <c r="H24" s="26"/>
      <c r="I24" s="26"/>
      <c r="J24" s="26"/>
      <c r="K24" s="26"/>
      <c r="L24" s="26" t="str">
        <f t="shared" si="0"/>
        <v/>
      </c>
      <c r="M24" s="27"/>
    </row>
    <row r="25" ht="15.5" customHeight="1" spans="1:13">
      <c r="A25" s="23"/>
      <c r="B25" s="24"/>
      <c r="C25" s="23"/>
      <c r="D25" s="25"/>
      <c r="E25" s="23"/>
      <c r="F25" s="26"/>
      <c r="G25" s="26"/>
      <c r="H25" s="26"/>
      <c r="I25" s="26"/>
      <c r="J25" s="26"/>
      <c r="K25" s="26"/>
      <c r="L25" s="26" t="str">
        <f t="shared" si="0"/>
        <v/>
      </c>
      <c r="M25" s="27"/>
    </row>
    <row r="26" ht="15.5" customHeight="1" spans="1:13">
      <c r="A26" s="23"/>
      <c r="B26" s="24"/>
      <c r="C26" s="23"/>
      <c r="D26" s="25"/>
      <c r="E26" s="23"/>
      <c r="F26" s="26"/>
      <c r="G26" s="26"/>
      <c r="H26" s="26"/>
      <c r="I26" s="26"/>
      <c r="J26" s="26"/>
      <c r="K26" s="26"/>
      <c r="L26" s="26"/>
      <c r="M26" s="27"/>
    </row>
    <row r="27" ht="15.5" customHeight="1" spans="1:13">
      <c r="A27" s="21" t="s">
        <v>319</v>
      </c>
      <c r="B27" s="28"/>
      <c r="C27" s="23"/>
      <c r="D27" s="25"/>
      <c r="E27" s="23"/>
      <c r="F27" s="26"/>
      <c r="G27" s="26"/>
      <c r="H27" s="26">
        <f>SUM(H6:H26)</f>
        <v>0</v>
      </c>
      <c r="I27" s="26"/>
      <c r="J27" s="26">
        <f>SUM(J6:J26)</f>
        <v>0</v>
      </c>
      <c r="K27" s="26">
        <f>SUM(K6:K26)</f>
        <v>0</v>
      </c>
      <c r="L27" s="26" t="str">
        <f>IF(J27=0,"",(K27-J27)/J27*100)</f>
        <v/>
      </c>
      <c r="M27" s="27"/>
    </row>
    <row r="28" ht="15.5" customHeight="1" spans="1:13">
      <c r="A28" s="29" t="str">
        <f>封面!D11&amp;封面!G11</f>
        <v>被评估单位填表人：</v>
      </c>
      <c r="J28" s="19" t="str">
        <f>"评估人员："&amp;封面!G22</f>
        <v>评估人员：</v>
      </c>
    </row>
    <row r="29" ht="15.5" customHeight="1" spans="1:13">
      <c r="A29" s="29" t="str">
        <f>CONCATENATE(封面!D13,封面!F13,封面!G13,封面!H13,封面!I13,封面!J13,封面!K13)</f>
        <v>填表日期：年月日</v>
      </c>
    </row>
  </sheetData>
  <mergeCells count="3">
    <mergeCell ref="A2:M2"/>
    <mergeCell ref="A3:M3"/>
    <mergeCell ref="A27:B27"/>
  </mergeCells>
  <hyperlinks>
    <hyperlink ref="A1" location="索引目录!E30" display="返回索引页"/>
    <hyperlink ref="B1" location="可供出售金融资产汇总!B8" display="返回"/>
  </hyperlinks>
  <printOptions horizontalCentered="1"/>
  <pageMargins left="0.354330708661417" right="0.354330708661417" top="0.78740157480315" bottom="0.78740157480315" header="1.03" footer="0.511811023622047"/>
  <pageSetup paperSize="9" fitToHeight="0" orientation="landscape"/>
  <headerFooter alignWithMargins="0">
    <oddHeader>&amp;R&amp;"宋体,常规"共&amp;"Times New Roman,常规"&amp;N&amp;"宋体,常规"页第&amp;"Times New Roman,常规"&amp;P&amp;"宋体,常规"4-1-3
页</oddHeader>
  </headerFooter>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8">
    <pageSetUpPr fitToPage="1"/>
  </sheetPr>
  <dimension ref="A1:N29"/>
  <sheetViews>
    <sheetView view="pageBreakPreview" zoomScale="60" zoomScaleNormal="100" workbookViewId="0">
      <selection activeCell="G451" sqref="G451"/>
    </sheetView>
  </sheetViews>
  <sheetFormatPr defaultColWidth="9" defaultRowHeight="15.75" customHeight="1"/>
  <cols>
    <col min="1" max="1" width="4.33333333333333" style="13" customWidth="1"/>
    <col min="2" max="2" width="20.5833333333333" style="13" customWidth="1"/>
    <col min="3" max="3" width="8.5" style="13" customWidth="1"/>
    <col min="4" max="4" width="7.83333333333333" style="13" customWidth="1"/>
    <col min="5" max="5" width="9" style="13" customWidth="1"/>
    <col min="6" max="7" width="9.33333333333333" style="13" customWidth="1"/>
    <col min="8" max="9" width="13.0833333333333" style="13" hidden="1" customWidth="1" outlineLevel="1"/>
    <col min="10" max="10" width="15" style="13" customWidth="1" collapsed="1"/>
    <col min="11" max="11" width="15" style="13" customWidth="1"/>
    <col min="12" max="12" width="11.0833333333333" style="13" customWidth="1"/>
    <col min="13" max="13" width="10.5833333333333" style="13" customWidth="1"/>
    <col min="14" max="16384" width="9" style="13" customWidth="1"/>
  </cols>
  <sheetData>
    <row r="1" ht="15.5" customHeight="1" spans="1:14">
      <c r="A1" s="14" t="s">
        <v>111</v>
      </c>
      <c r="B1" s="15" t="s">
        <v>210</v>
      </c>
      <c r="C1" s="16"/>
      <c r="D1" s="16"/>
      <c r="E1" s="16"/>
      <c r="F1" s="16"/>
      <c r="G1" s="16"/>
      <c r="H1" s="16"/>
      <c r="I1" s="16"/>
      <c r="J1" s="16"/>
      <c r="K1" s="16"/>
      <c r="L1" s="16"/>
      <c r="M1" s="16"/>
    </row>
    <row r="2" s="11" customFormat="1" ht="30" customHeight="1" spans="1:14">
      <c r="A2" s="17" t="s">
        <v>449</v>
      </c>
    </row>
    <row r="3" ht="14.15" customHeight="1" spans="1:14">
      <c r="A3" s="18" t="str">
        <f>CONCATENATE(封面!D9,封面!F9,封面!G9,封面!H9,封面!I9,封面!J9,封面!K9)</f>
        <v>评估基准日：年月日</v>
      </c>
      <c r="N3" s="12"/>
    </row>
    <row r="4" ht="15.5" customHeight="1" spans="1:14">
      <c r="A4" s="19" t="str">
        <f>封面!D7&amp;封面!F7</f>
        <v>被评估单位：</v>
      </c>
      <c r="M4" s="20" t="s">
        <v>139</v>
      </c>
    </row>
    <row r="5" s="12" customFormat="1" ht="13" customHeight="1" spans="1:14">
      <c r="A5" s="21" t="s">
        <v>141</v>
      </c>
      <c r="B5" s="21" t="s">
        <v>298</v>
      </c>
      <c r="C5" s="21" t="s">
        <v>450</v>
      </c>
      <c r="D5" s="21" t="s">
        <v>300</v>
      </c>
      <c r="E5" s="21" t="s">
        <v>444</v>
      </c>
      <c r="F5" s="21" t="s">
        <v>308</v>
      </c>
      <c r="G5" s="21" t="s">
        <v>451</v>
      </c>
      <c r="H5" s="22" t="s">
        <v>175</v>
      </c>
      <c r="I5" s="22" t="s">
        <v>281</v>
      </c>
      <c r="J5" s="21" t="s">
        <v>176</v>
      </c>
      <c r="K5" s="21" t="s">
        <v>177</v>
      </c>
      <c r="L5" s="21" t="s">
        <v>215</v>
      </c>
      <c r="M5" s="21" t="s">
        <v>144</v>
      </c>
    </row>
    <row r="6" ht="15.5" customHeight="1" spans="1:14">
      <c r="A6" s="23"/>
      <c r="B6" s="24"/>
      <c r="C6" s="23"/>
      <c r="D6" s="25"/>
      <c r="E6" s="25"/>
      <c r="F6" s="23"/>
      <c r="G6" s="23"/>
      <c r="H6" s="26"/>
      <c r="I6" s="26"/>
      <c r="J6" s="26"/>
      <c r="K6" s="26"/>
      <c r="L6" s="26" t="str">
        <f t="shared" ref="L6:L27" si="0">IF(J6=0,"",(K6-J6)/J6*100)</f>
        <v/>
      </c>
      <c r="M6" s="27"/>
    </row>
    <row r="7" ht="15.5" customHeight="1" spans="1:14">
      <c r="A7" s="23"/>
      <c r="B7" s="24"/>
      <c r="C7" s="23"/>
      <c r="D7" s="25"/>
      <c r="E7" s="25"/>
      <c r="F7" s="23"/>
      <c r="G7" s="23"/>
      <c r="H7" s="26"/>
      <c r="I7" s="26"/>
      <c r="J7" s="26"/>
      <c r="K7" s="26"/>
      <c r="L7" s="26" t="str">
        <f t="shared" si="0"/>
        <v/>
      </c>
      <c r="M7" s="27"/>
    </row>
    <row r="8" ht="15.5" customHeight="1" spans="1:14">
      <c r="A8" s="23"/>
      <c r="B8" s="24"/>
      <c r="C8" s="23"/>
      <c r="D8" s="25"/>
      <c r="E8" s="25"/>
      <c r="F8" s="23"/>
      <c r="G8" s="23"/>
      <c r="H8" s="26"/>
      <c r="I8" s="26"/>
      <c r="J8" s="26"/>
      <c r="K8" s="26"/>
      <c r="L8" s="26" t="str">
        <f t="shared" si="0"/>
        <v/>
      </c>
      <c r="M8" s="27"/>
    </row>
    <row r="9" ht="15.5" customHeight="1" spans="1:14">
      <c r="A9" s="23"/>
      <c r="B9" s="24"/>
      <c r="C9" s="23"/>
      <c r="D9" s="25"/>
      <c r="E9" s="25"/>
      <c r="F9" s="23"/>
      <c r="G9" s="23"/>
      <c r="H9" s="26"/>
      <c r="I9" s="26"/>
      <c r="J9" s="26"/>
      <c r="K9" s="26"/>
      <c r="L9" s="26" t="str">
        <f t="shared" si="0"/>
        <v/>
      </c>
      <c r="M9" s="27"/>
    </row>
    <row r="10" ht="15.5" customHeight="1" spans="1:14">
      <c r="A10" s="23"/>
      <c r="B10" s="24"/>
      <c r="C10" s="23"/>
      <c r="D10" s="25"/>
      <c r="E10" s="25"/>
      <c r="F10" s="23"/>
      <c r="G10" s="23"/>
      <c r="H10" s="26"/>
      <c r="I10" s="26"/>
      <c r="J10" s="26"/>
      <c r="K10" s="26"/>
      <c r="L10" s="26" t="str">
        <f t="shared" si="0"/>
        <v/>
      </c>
      <c r="M10" s="27"/>
    </row>
    <row r="11" ht="15.5" customHeight="1" spans="1:14">
      <c r="A11" s="23"/>
      <c r="B11" s="24"/>
      <c r="C11" s="23"/>
      <c r="D11" s="25"/>
      <c r="E11" s="25"/>
      <c r="F11" s="23"/>
      <c r="G11" s="23"/>
      <c r="H11" s="26"/>
      <c r="I11" s="26"/>
      <c r="J11" s="26"/>
      <c r="K11" s="26"/>
      <c r="L11" s="26" t="str">
        <f t="shared" si="0"/>
        <v/>
      </c>
      <c r="M11" s="27"/>
    </row>
    <row r="12" ht="15.5" customHeight="1" spans="1:14">
      <c r="A12" s="23"/>
      <c r="B12" s="24"/>
      <c r="C12" s="23"/>
      <c r="D12" s="25"/>
      <c r="E12" s="25"/>
      <c r="F12" s="23"/>
      <c r="G12" s="23"/>
      <c r="H12" s="26"/>
      <c r="I12" s="26"/>
      <c r="J12" s="26"/>
      <c r="K12" s="26"/>
      <c r="L12" s="26" t="str">
        <f t="shared" si="0"/>
        <v/>
      </c>
      <c r="M12" s="27"/>
    </row>
    <row r="13" ht="15.5" customHeight="1" spans="1:14">
      <c r="A13" s="23"/>
      <c r="B13" s="24"/>
      <c r="C13" s="23"/>
      <c r="D13" s="25"/>
      <c r="E13" s="25"/>
      <c r="F13" s="23"/>
      <c r="G13" s="23"/>
      <c r="H13" s="26"/>
      <c r="I13" s="26"/>
      <c r="J13" s="26"/>
      <c r="K13" s="26"/>
      <c r="L13" s="26" t="str">
        <f t="shared" si="0"/>
        <v/>
      </c>
      <c r="M13" s="27"/>
    </row>
    <row r="14" ht="15.5" customHeight="1" spans="1:14">
      <c r="A14" s="23"/>
      <c r="B14" s="24"/>
      <c r="C14" s="23"/>
      <c r="D14" s="25"/>
      <c r="E14" s="25"/>
      <c r="F14" s="23"/>
      <c r="G14" s="23"/>
      <c r="H14" s="26"/>
      <c r="I14" s="26"/>
      <c r="J14" s="26"/>
      <c r="K14" s="26"/>
      <c r="L14" s="26" t="str">
        <f t="shared" si="0"/>
        <v/>
      </c>
      <c r="M14" s="27"/>
    </row>
    <row r="15" ht="15.5" customHeight="1" spans="1:14">
      <c r="A15" s="23"/>
      <c r="B15" s="24"/>
      <c r="C15" s="23"/>
      <c r="D15" s="25"/>
      <c r="E15" s="25"/>
      <c r="F15" s="23"/>
      <c r="G15" s="23"/>
      <c r="H15" s="26"/>
      <c r="I15" s="26"/>
      <c r="J15" s="26"/>
      <c r="K15" s="26"/>
      <c r="L15" s="26" t="str">
        <f t="shared" si="0"/>
        <v/>
      </c>
      <c r="M15" s="27"/>
    </row>
    <row r="16" ht="15.5" customHeight="1" spans="1:14">
      <c r="A16" s="23"/>
      <c r="B16" s="24"/>
      <c r="C16" s="23"/>
      <c r="D16" s="25"/>
      <c r="E16" s="25"/>
      <c r="F16" s="23"/>
      <c r="G16" s="23"/>
      <c r="H16" s="26"/>
      <c r="I16" s="26"/>
      <c r="J16" s="26"/>
      <c r="K16" s="26"/>
      <c r="L16" s="26" t="str">
        <f t="shared" si="0"/>
        <v/>
      </c>
      <c r="M16" s="27"/>
    </row>
    <row r="17" ht="15.5" customHeight="1" spans="1:13">
      <c r="A17" s="23"/>
      <c r="B17" s="24"/>
      <c r="C17" s="23"/>
      <c r="D17" s="25"/>
      <c r="E17" s="25"/>
      <c r="F17" s="23"/>
      <c r="G17" s="23"/>
      <c r="H17" s="26"/>
      <c r="I17" s="26"/>
      <c r="J17" s="26"/>
      <c r="K17" s="26"/>
      <c r="L17" s="26" t="str">
        <f t="shared" si="0"/>
        <v/>
      </c>
      <c r="M17" s="27"/>
    </row>
    <row r="18" ht="15.5" customHeight="1" spans="1:13">
      <c r="A18" s="23"/>
      <c r="B18" s="24"/>
      <c r="C18" s="23"/>
      <c r="D18" s="25"/>
      <c r="E18" s="25"/>
      <c r="F18" s="23"/>
      <c r="G18" s="23"/>
      <c r="H18" s="26"/>
      <c r="I18" s="26"/>
      <c r="J18" s="26"/>
      <c r="K18" s="26"/>
      <c r="L18" s="26" t="str">
        <f t="shared" si="0"/>
        <v/>
      </c>
      <c r="M18" s="27"/>
    </row>
    <row r="19" ht="15.5" customHeight="1" spans="1:13">
      <c r="A19" s="23"/>
      <c r="B19" s="24"/>
      <c r="C19" s="23"/>
      <c r="D19" s="25"/>
      <c r="E19" s="25"/>
      <c r="F19" s="23"/>
      <c r="G19" s="23"/>
      <c r="H19" s="26"/>
      <c r="I19" s="26"/>
      <c r="J19" s="26"/>
      <c r="K19" s="26"/>
      <c r="L19" s="26" t="str">
        <f t="shared" si="0"/>
        <v/>
      </c>
      <c r="M19" s="27"/>
    </row>
    <row r="20" ht="15.5" customHeight="1" spans="1:13">
      <c r="A20" s="23"/>
      <c r="B20" s="24"/>
      <c r="C20" s="23"/>
      <c r="D20" s="25"/>
      <c r="E20" s="25"/>
      <c r="F20" s="23"/>
      <c r="G20" s="23"/>
      <c r="H20" s="26"/>
      <c r="I20" s="26"/>
      <c r="J20" s="26"/>
      <c r="K20" s="26"/>
      <c r="L20" s="26" t="str">
        <f t="shared" si="0"/>
        <v/>
      </c>
      <c r="M20" s="27"/>
    </row>
    <row r="21" ht="15.5" customHeight="1" spans="1:13">
      <c r="A21" s="23"/>
      <c r="B21" s="24"/>
      <c r="C21" s="23"/>
      <c r="D21" s="25"/>
      <c r="E21" s="25"/>
      <c r="F21" s="23"/>
      <c r="G21" s="23"/>
      <c r="H21" s="26"/>
      <c r="I21" s="26"/>
      <c r="J21" s="26"/>
      <c r="K21" s="26"/>
      <c r="L21" s="26" t="str">
        <f t="shared" si="0"/>
        <v/>
      </c>
      <c r="M21" s="27"/>
    </row>
    <row r="22" ht="15.5" customHeight="1" spans="1:13">
      <c r="A22" s="23"/>
      <c r="B22" s="24"/>
      <c r="C22" s="23"/>
      <c r="D22" s="25"/>
      <c r="E22" s="25"/>
      <c r="F22" s="23"/>
      <c r="G22" s="23"/>
      <c r="H22" s="26"/>
      <c r="I22" s="26"/>
      <c r="J22" s="26"/>
      <c r="K22" s="26"/>
      <c r="L22" s="26" t="str">
        <f t="shared" si="0"/>
        <v/>
      </c>
      <c r="M22" s="27"/>
    </row>
    <row r="23" ht="15.5" customHeight="1" spans="1:13">
      <c r="A23" s="23"/>
      <c r="B23" s="24"/>
      <c r="C23" s="23"/>
      <c r="D23" s="25"/>
      <c r="E23" s="25"/>
      <c r="F23" s="23"/>
      <c r="G23" s="23"/>
      <c r="H23" s="26"/>
      <c r="I23" s="26"/>
      <c r="J23" s="26"/>
      <c r="K23" s="26"/>
      <c r="L23" s="26" t="str">
        <f t="shared" si="0"/>
        <v/>
      </c>
      <c r="M23" s="27"/>
    </row>
    <row r="24" ht="15.5" customHeight="1" spans="1:13">
      <c r="A24" s="23"/>
      <c r="B24" s="24"/>
      <c r="C24" s="23"/>
      <c r="D24" s="25"/>
      <c r="E24" s="25"/>
      <c r="F24" s="23"/>
      <c r="G24" s="23"/>
      <c r="H24" s="26"/>
      <c r="I24" s="26"/>
      <c r="J24" s="26"/>
      <c r="K24" s="26"/>
      <c r="L24" s="26" t="str">
        <f t="shared" si="0"/>
        <v/>
      </c>
      <c r="M24" s="27"/>
    </row>
    <row r="25" ht="15.5" customHeight="1" spans="1:13">
      <c r="A25" s="21" t="s">
        <v>319</v>
      </c>
      <c r="B25" s="28"/>
      <c r="C25" s="23"/>
      <c r="D25" s="25"/>
      <c r="E25" s="25"/>
      <c r="F25" s="23"/>
      <c r="G25" s="23"/>
      <c r="H25" s="26">
        <f>SUM(H6:H24)</f>
        <v>0</v>
      </c>
      <c r="I25" s="26"/>
      <c r="J25" s="26">
        <f>SUM(J6:J24)</f>
        <v>0</v>
      </c>
      <c r="K25" s="26">
        <f>SUM(K6:K24)</f>
        <v>0</v>
      </c>
      <c r="L25" s="26" t="str">
        <f t="shared" si="0"/>
        <v/>
      </c>
      <c r="M25" s="27"/>
    </row>
    <row r="26" ht="15.5" customHeight="1" spans="1:13">
      <c r="A26" s="21" t="s">
        <v>452</v>
      </c>
      <c r="B26" s="28"/>
      <c r="C26" s="23"/>
      <c r="D26" s="25"/>
      <c r="E26" s="25"/>
      <c r="F26" s="23"/>
      <c r="G26" s="23"/>
      <c r="H26" s="26"/>
      <c r="I26" s="26"/>
      <c r="J26" s="26">
        <f>H26</f>
        <v>0</v>
      </c>
      <c r="K26" s="26"/>
      <c r="L26" s="26" t="str">
        <f t="shared" si="0"/>
        <v/>
      </c>
      <c r="M26" s="27"/>
    </row>
    <row r="27" ht="15.5" customHeight="1" spans="1:13">
      <c r="A27" s="21" t="s">
        <v>336</v>
      </c>
      <c r="B27" s="28"/>
      <c r="C27" s="23"/>
      <c r="D27" s="25"/>
      <c r="E27" s="25"/>
      <c r="F27" s="23"/>
      <c r="G27" s="23"/>
      <c r="H27" s="26">
        <f>H25-H26</f>
        <v>0</v>
      </c>
      <c r="I27" s="26"/>
      <c r="J27" s="26">
        <f>J25-J26</f>
        <v>0</v>
      </c>
      <c r="K27" s="26">
        <f>K25-K26</f>
        <v>0</v>
      </c>
      <c r="L27" s="26" t="str">
        <f t="shared" si="0"/>
        <v/>
      </c>
      <c r="M27" s="27"/>
    </row>
    <row r="28" ht="15.5" customHeight="1" spans="1:13">
      <c r="A28" s="29" t="str">
        <f>封面!D11&amp;封面!G11</f>
        <v>被评估单位填表人：</v>
      </c>
      <c r="J28" s="19" t="str">
        <f>"评估人员："&amp;封面!G22</f>
        <v>评估人员：</v>
      </c>
    </row>
    <row r="29" ht="15.5" customHeight="1" spans="1:13">
      <c r="A29" s="29" t="str">
        <f>CONCATENATE(封面!D13,封面!F13,封面!G13,封面!H13,封面!I13,封面!J13,封面!K13)</f>
        <v>填表日期：年月日</v>
      </c>
    </row>
  </sheetData>
  <mergeCells count="5">
    <mergeCell ref="A2:M2"/>
    <mergeCell ref="A3:M3"/>
    <mergeCell ref="A25:B25"/>
    <mergeCell ref="A26:B26"/>
    <mergeCell ref="A27:B27"/>
  </mergeCells>
  <hyperlinks>
    <hyperlink ref="A1" location="索引目录!D31" display="返回索引页"/>
    <hyperlink ref="B1" location="长期投资汇总!B7" display="返回"/>
  </hyperlinks>
  <printOptions horizontalCentered="1"/>
  <pageMargins left="0.354330708661417" right="0.354330708661417" top="0.78740157480315" bottom="0.78740157480315" header="1.05" footer="0.511811023622047"/>
  <pageSetup paperSize="9" fitToHeight="0" orientation="landscape"/>
  <headerFooter alignWithMargins="0">
    <oddHeader>&amp;R&amp;"宋体,常规"共&amp;"Times New Roman,常规"&amp;N&amp;"宋体,常规"页第&amp;"Times New Roman,常规"&amp;P&amp;"宋体,常规"4-2
页</oddHead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9">
    <pageSetUpPr fitToPage="1"/>
  </sheetPr>
  <dimension ref="A1:J34"/>
  <sheetViews>
    <sheetView view="pageBreakPreview" zoomScale="60" zoomScaleNormal="100" workbookViewId="0">
      <selection activeCell="G451" sqref="G451"/>
    </sheetView>
  </sheetViews>
  <sheetFormatPr defaultColWidth="9" defaultRowHeight="15.75" customHeight="1"/>
  <cols>
    <col min="1" max="1" width="5.25" style="13" customWidth="1"/>
    <col min="2" max="2" width="26.25" style="13" customWidth="1"/>
    <col min="3" max="3" width="20" style="13" customWidth="1"/>
    <col min="4" max="4" width="8.25" style="13" customWidth="1"/>
    <col min="5" max="6" width="14.75" style="13" hidden="1" customWidth="1" outlineLevel="1"/>
    <col min="7" max="7" width="18.8333333333333" style="13" customWidth="1" collapsed="1"/>
    <col min="8" max="8" width="18.8333333333333" style="13" customWidth="1"/>
    <col min="9" max="9" width="9.58333333333333" style="13" customWidth="1"/>
    <col min="10" max="10" width="14.75" style="13" customWidth="1"/>
    <col min="11" max="16384" width="9" style="13" customWidth="1"/>
  </cols>
  <sheetData>
    <row r="1" ht="15.5" customHeight="1" spans="1:10">
      <c r="A1" s="14" t="s">
        <v>111</v>
      </c>
      <c r="B1" s="15" t="s">
        <v>320</v>
      </c>
      <c r="C1" s="16"/>
      <c r="D1" s="16"/>
      <c r="E1" s="16"/>
      <c r="F1" s="16"/>
      <c r="G1" s="16"/>
      <c r="H1" s="16"/>
      <c r="I1" s="16"/>
      <c r="J1" s="16"/>
    </row>
    <row r="2" s="11" customFormat="1" ht="30" customHeight="1" spans="1:10">
      <c r="A2" s="17" t="s">
        <v>453</v>
      </c>
    </row>
    <row r="3" ht="14.15" customHeight="1" spans="1:10">
      <c r="A3" s="18" t="str">
        <f>CONCATENATE(封面!D9,封面!F9,封面!G9,封面!H9,封面!I9,封面!J9,封面!K9)</f>
        <v>评估基准日：年月日</v>
      </c>
    </row>
    <row r="4" ht="15.5" customHeight="1" spans="1:10">
      <c r="A4" s="19" t="str">
        <f>封面!D7&amp;封面!F7</f>
        <v>被评估单位：</v>
      </c>
      <c r="E4" s="222"/>
      <c r="F4" s="222"/>
      <c r="J4" s="20" t="s">
        <v>139</v>
      </c>
    </row>
    <row r="5" s="12" customFormat="1" ht="13" customHeight="1" spans="1:10">
      <c r="A5" s="21" t="s">
        <v>141</v>
      </c>
      <c r="B5" s="21" t="s">
        <v>324</v>
      </c>
      <c r="C5" s="21" t="s">
        <v>325</v>
      </c>
      <c r="D5" s="21" t="s">
        <v>326</v>
      </c>
      <c r="E5" s="77" t="s">
        <v>175</v>
      </c>
      <c r="F5" s="77" t="s">
        <v>281</v>
      </c>
      <c r="G5" s="21" t="s">
        <v>176</v>
      </c>
      <c r="H5" s="21" t="s">
        <v>177</v>
      </c>
      <c r="I5" s="21" t="s">
        <v>215</v>
      </c>
      <c r="J5" s="21" t="s">
        <v>144</v>
      </c>
    </row>
    <row r="6" ht="15.5" customHeight="1" spans="1:10">
      <c r="A6" s="23"/>
      <c r="B6" s="24"/>
      <c r="C6" s="23"/>
      <c r="D6" s="25"/>
      <c r="E6" s="223"/>
      <c r="F6" s="223"/>
      <c r="G6" s="26"/>
      <c r="H6" s="26">
        <f>G6</f>
        <v>0</v>
      </c>
      <c r="I6" s="26" t="str">
        <f t="shared" ref="I6:I27" si="0">IF(G6=0,"",(H6-G6)/G6*100)</f>
        <v/>
      </c>
      <c r="J6" s="27"/>
    </row>
    <row r="7" ht="15.5" customHeight="1" spans="1:10">
      <c r="A7" s="23"/>
      <c r="B7" s="24"/>
      <c r="C7" s="23"/>
      <c r="D7" s="25"/>
      <c r="E7" s="223"/>
      <c r="F7" s="223"/>
      <c r="G7" s="26"/>
      <c r="H7" s="26"/>
      <c r="I7" s="26" t="str">
        <f t="shared" si="0"/>
        <v/>
      </c>
      <c r="J7" s="27"/>
    </row>
    <row r="8" ht="15.5" customHeight="1" spans="1:10">
      <c r="A8" s="23"/>
      <c r="B8" s="24"/>
      <c r="C8" s="23"/>
      <c r="D8" s="25"/>
      <c r="E8" s="223"/>
      <c r="F8" s="223"/>
      <c r="G8" s="26"/>
      <c r="H8" s="26"/>
      <c r="I8" s="26" t="str">
        <f t="shared" si="0"/>
        <v/>
      </c>
      <c r="J8" s="27"/>
    </row>
    <row r="9" ht="15.5" customHeight="1" spans="1:10">
      <c r="A9" s="23"/>
      <c r="B9" s="24"/>
      <c r="C9" s="23"/>
      <c r="D9" s="25"/>
      <c r="E9" s="223"/>
      <c r="F9" s="223"/>
      <c r="G9" s="26"/>
      <c r="H9" s="26"/>
      <c r="I9" s="26" t="str">
        <f t="shared" si="0"/>
        <v/>
      </c>
      <c r="J9" s="27"/>
    </row>
    <row r="10" ht="15.5" customHeight="1" spans="1:10">
      <c r="A10" s="23"/>
      <c r="B10" s="24"/>
      <c r="C10" s="23"/>
      <c r="D10" s="25"/>
      <c r="E10" s="223"/>
      <c r="F10" s="223"/>
      <c r="G10" s="26"/>
      <c r="H10" s="26"/>
      <c r="I10" s="26" t="str">
        <f t="shared" si="0"/>
        <v/>
      </c>
      <c r="J10" s="27"/>
    </row>
    <row r="11" ht="15.5" customHeight="1" spans="1:10">
      <c r="A11" s="23"/>
      <c r="B11" s="24"/>
      <c r="C11" s="23"/>
      <c r="D11" s="25"/>
      <c r="E11" s="223"/>
      <c r="F11" s="223"/>
      <c r="G11" s="26"/>
      <c r="H11" s="26"/>
      <c r="I11" s="26" t="str">
        <f t="shared" si="0"/>
        <v/>
      </c>
      <c r="J11" s="27"/>
    </row>
    <row r="12" ht="15.5" customHeight="1" spans="1:10">
      <c r="A12" s="23"/>
      <c r="B12" s="24"/>
      <c r="C12" s="23"/>
      <c r="D12" s="25"/>
      <c r="E12" s="223"/>
      <c r="F12" s="223"/>
      <c r="G12" s="26"/>
      <c r="H12" s="26"/>
      <c r="I12" s="26" t="str">
        <f t="shared" si="0"/>
        <v/>
      </c>
      <c r="J12" s="27"/>
    </row>
    <row r="13" ht="15.5" customHeight="1" spans="1:10">
      <c r="A13" s="23"/>
      <c r="B13" s="24"/>
      <c r="C13" s="23"/>
      <c r="D13" s="25"/>
      <c r="E13" s="223"/>
      <c r="F13" s="223"/>
      <c r="G13" s="26"/>
      <c r="H13" s="26"/>
      <c r="I13" s="26" t="str">
        <f t="shared" si="0"/>
        <v/>
      </c>
      <c r="J13" s="27"/>
    </row>
    <row r="14" ht="15.5" customHeight="1" spans="1:10">
      <c r="A14" s="23"/>
      <c r="B14" s="24"/>
      <c r="C14" s="23"/>
      <c r="D14" s="25"/>
      <c r="E14" s="223"/>
      <c r="F14" s="223"/>
      <c r="G14" s="26"/>
      <c r="H14" s="26"/>
      <c r="I14" s="26" t="str">
        <f t="shared" si="0"/>
        <v/>
      </c>
      <c r="J14" s="27"/>
    </row>
    <row r="15" ht="15.5" customHeight="1" spans="1:10">
      <c r="A15" s="23"/>
      <c r="B15" s="24"/>
      <c r="C15" s="23"/>
      <c r="D15" s="25"/>
      <c r="E15" s="223"/>
      <c r="F15" s="223"/>
      <c r="G15" s="26"/>
      <c r="H15" s="26"/>
      <c r="I15" s="26" t="str">
        <f t="shared" si="0"/>
        <v/>
      </c>
      <c r="J15" s="27"/>
    </row>
    <row r="16" ht="15.5" customHeight="1" spans="1:10">
      <c r="A16" s="23"/>
      <c r="B16" s="24"/>
      <c r="C16" s="23"/>
      <c r="D16" s="25"/>
      <c r="E16" s="223"/>
      <c r="F16" s="223"/>
      <c r="G16" s="26"/>
      <c r="H16" s="26"/>
      <c r="I16" s="26" t="str">
        <f t="shared" si="0"/>
        <v/>
      </c>
      <c r="J16" s="27"/>
    </row>
    <row r="17" ht="15.5" customHeight="1" spans="1:10">
      <c r="A17" s="23"/>
      <c r="B17" s="24"/>
      <c r="C17" s="23"/>
      <c r="D17" s="25"/>
      <c r="E17" s="223"/>
      <c r="F17" s="223"/>
      <c r="G17" s="26"/>
      <c r="H17" s="26"/>
      <c r="I17" s="26" t="str">
        <f t="shared" si="0"/>
        <v/>
      </c>
      <c r="J17" s="27"/>
    </row>
    <row r="18" ht="15.5" customHeight="1" spans="1:10">
      <c r="A18" s="23"/>
      <c r="B18" s="24"/>
      <c r="C18" s="23"/>
      <c r="D18" s="25"/>
      <c r="E18" s="223"/>
      <c r="F18" s="223"/>
      <c r="G18" s="26"/>
      <c r="H18" s="26"/>
      <c r="I18" s="26" t="str">
        <f t="shared" si="0"/>
        <v/>
      </c>
      <c r="J18" s="27"/>
    </row>
    <row r="19" ht="15.5" customHeight="1" spans="1:10">
      <c r="A19" s="23"/>
      <c r="B19" s="24"/>
      <c r="C19" s="23"/>
      <c r="D19" s="25"/>
      <c r="E19" s="223"/>
      <c r="F19" s="223"/>
      <c r="G19" s="26"/>
      <c r="H19" s="26"/>
      <c r="I19" s="26" t="str">
        <f t="shared" si="0"/>
        <v/>
      </c>
      <c r="J19" s="27"/>
    </row>
    <row r="20" ht="15.5" customHeight="1" spans="1:10">
      <c r="A20" s="23"/>
      <c r="B20" s="24"/>
      <c r="C20" s="23"/>
      <c r="D20" s="25"/>
      <c r="E20" s="223"/>
      <c r="F20" s="223"/>
      <c r="G20" s="26"/>
      <c r="H20" s="26"/>
      <c r="I20" s="26" t="str">
        <f t="shared" si="0"/>
        <v/>
      </c>
      <c r="J20" s="27"/>
    </row>
    <row r="21" ht="15.5" customHeight="1" spans="1:10">
      <c r="A21" s="23"/>
      <c r="B21" s="24"/>
      <c r="C21" s="23"/>
      <c r="D21" s="25"/>
      <c r="E21" s="223"/>
      <c r="F21" s="223"/>
      <c r="G21" s="26"/>
      <c r="H21" s="26"/>
      <c r="I21" s="26" t="str">
        <f t="shared" si="0"/>
        <v/>
      </c>
      <c r="J21" s="27"/>
    </row>
    <row r="22" ht="15.5" customHeight="1" spans="1:10">
      <c r="A22" s="23"/>
      <c r="B22" s="24"/>
      <c r="C22" s="23"/>
      <c r="D22" s="25"/>
      <c r="E22" s="223"/>
      <c r="F22" s="223"/>
      <c r="G22" s="26"/>
      <c r="H22" s="26"/>
      <c r="I22" s="26" t="str">
        <f t="shared" si="0"/>
        <v/>
      </c>
      <c r="J22" s="27"/>
    </row>
    <row r="23" ht="15.5" customHeight="1" spans="1:10">
      <c r="A23" s="23"/>
      <c r="B23" s="24"/>
      <c r="C23" s="23"/>
      <c r="D23" s="25"/>
      <c r="E23" s="223"/>
      <c r="F23" s="223"/>
      <c r="G23" s="26"/>
      <c r="H23" s="26"/>
      <c r="I23" s="26" t="str">
        <f t="shared" si="0"/>
        <v/>
      </c>
      <c r="J23" s="27"/>
    </row>
    <row r="24" ht="15.5" customHeight="1" spans="1:10">
      <c r="A24" s="21" t="s">
        <v>319</v>
      </c>
      <c r="B24" s="28"/>
      <c r="C24" s="23"/>
      <c r="D24" s="25"/>
      <c r="E24" s="223">
        <f>SUM(E6:E23)</f>
        <v>0</v>
      </c>
      <c r="F24" s="223"/>
      <c r="G24" s="26">
        <f>SUM(G6:G23)</f>
        <v>0</v>
      </c>
      <c r="H24" s="26">
        <f>SUM(H6:H23)</f>
        <v>0</v>
      </c>
      <c r="I24" s="26" t="str">
        <f t="shared" si="0"/>
        <v/>
      </c>
      <c r="J24" s="27"/>
    </row>
    <row r="25" ht="15.5" customHeight="1" spans="1:10">
      <c r="A25" s="21" t="s">
        <v>334</v>
      </c>
      <c r="B25" s="28"/>
      <c r="C25" s="23"/>
      <c r="D25" s="25"/>
      <c r="E25" s="223"/>
      <c r="F25" s="223"/>
      <c r="G25" s="26">
        <f>E25</f>
        <v>0</v>
      </c>
      <c r="H25" s="26"/>
      <c r="I25" s="26" t="str">
        <f t="shared" si="0"/>
        <v/>
      </c>
      <c r="J25" s="27"/>
    </row>
    <row r="26" ht="15.5" customHeight="1" spans="1:10">
      <c r="A26" s="21" t="s">
        <v>335</v>
      </c>
      <c r="B26" s="28"/>
      <c r="C26" s="23"/>
      <c r="D26" s="25"/>
      <c r="E26" s="223"/>
      <c r="F26" s="223"/>
      <c r="G26" s="26"/>
      <c r="H26" s="26"/>
      <c r="I26" s="26" t="str">
        <f t="shared" si="0"/>
        <v/>
      </c>
      <c r="J26" s="27"/>
    </row>
    <row r="27" ht="15.5" customHeight="1" spans="1:10">
      <c r="A27" s="21" t="s">
        <v>336</v>
      </c>
      <c r="B27" s="28"/>
      <c r="C27" s="27"/>
      <c r="D27" s="25"/>
      <c r="E27" s="223">
        <f>E24-E25-E26</f>
        <v>0</v>
      </c>
      <c r="F27" s="223"/>
      <c r="G27" s="26">
        <f>G24-G25-G26</f>
        <v>0</v>
      </c>
      <c r="H27" s="26">
        <f>H24-H25-H26</f>
        <v>0</v>
      </c>
      <c r="I27" s="26" t="str">
        <f t="shared" si="0"/>
        <v/>
      </c>
      <c r="J27" s="27"/>
    </row>
    <row r="28" ht="15.5" customHeight="1" spans="1:10">
      <c r="A28" s="29" t="str">
        <f>封面!D11&amp;封面!G11</f>
        <v>被评估单位填表人：</v>
      </c>
      <c r="G28" s="19" t="str">
        <f>"评估人员："&amp;封面!G22</f>
        <v>评估人员：</v>
      </c>
    </row>
    <row r="29" ht="15.5" customHeight="1" spans="1:10">
      <c r="A29" s="29" t="str">
        <f>CONCATENATE(封面!D13,封面!F13,封面!G13,封面!H13,封面!I13,封面!J13,封面!K13)</f>
        <v>填表日期：年月日</v>
      </c>
    </row>
    <row r="30" ht="15.5" customHeight="1" spans="1:10">
      <c r="B30" s="20" t="s">
        <v>337</v>
      </c>
      <c r="C30" s="74" t="s">
        <v>338</v>
      </c>
    </row>
    <row r="31" ht="15.5" customHeight="1" spans="1:10">
      <c r="B31" s="20" t="s">
        <v>339</v>
      </c>
      <c r="C31" s="13" t="s">
        <v>340</v>
      </c>
    </row>
    <row r="32" ht="15.5" customHeight="1" spans="1:10">
      <c r="C32" s="13" t="s">
        <v>341</v>
      </c>
    </row>
    <row r="33" ht="15.5" customHeight="1" spans="3:3">
      <c r="C33" s="13" t="s">
        <v>342</v>
      </c>
    </row>
    <row r="34" ht="15.5" customHeight="1" spans="3:3">
      <c r="C34" s="13" t="s">
        <v>343</v>
      </c>
    </row>
  </sheetData>
  <mergeCells count="6">
    <mergeCell ref="A2:J2"/>
    <mergeCell ref="A3:J3"/>
    <mergeCell ref="A24:B24"/>
    <mergeCell ref="A25:B25"/>
    <mergeCell ref="A26:B26"/>
    <mergeCell ref="A27:B27"/>
  </mergeCells>
  <hyperlinks>
    <hyperlink ref="A1" location="索引目录!D32" display="返回索引页"/>
    <hyperlink ref="B1" location="长期投资汇总!B8" display="返回 "/>
  </hyperlinks>
  <printOptions horizontalCentered="1"/>
  <pageMargins left="0.354330708661417" right="0.354330708661417" top="0.78740157480315" bottom="0.78740157480315" header="1.03" footer="0.511811023622047"/>
  <pageSetup paperSize="9" fitToHeight="0" orientation="landscape"/>
  <headerFooter alignWithMargins="0">
    <oddHeader>&amp;R&amp;"宋体,常规"共&amp;"Times New Roman,常规"&amp;N&amp;"宋体,常规"页第&amp;"Times New Roman,常规"&amp;P&amp;"宋体,常规"3-4
页</oddHeader>
  </headerFooter>
  <legacy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0">
    <pageSetUpPr fitToPage="1"/>
  </sheetPr>
  <dimension ref="A1:S29"/>
  <sheetViews>
    <sheetView view="pageBreakPreview" zoomScaleNormal="100" workbookViewId="0">
      <selection activeCell="G451" sqref="G451"/>
    </sheetView>
  </sheetViews>
  <sheetFormatPr defaultColWidth="9" defaultRowHeight="15.75" customHeight="1"/>
  <cols>
    <col min="1" max="1" width="4.75" style="13" customWidth="1"/>
    <col min="2" max="2" width="38.4166666666667" style="13" customWidth="1"/>
    <col min="3" max="3" width="8.25" style="13" customWidth="1"/>
    <col min="4" max="4" width="14.1666666666667" style="13" customWidth="1"/>
    <col min="5" max="5" width="9.58333333333333" style="13" customWidth="1"/>
    <col min="6" max="6" width="9.33333333333333" style="13" customWidth="1"/>
    <col min="7" max="8" width="13.0833333333333" style="13" hidden="1" customWidth="1" outlineLevel="1"/>
    <col min="9" max="9" width="16.8333333333333" style="13" customWidth="1" collapsed="1"/>
    <col min="10" max="10" width="16.8333333333333" style="13" customWidth="1"/>
    <col min="11" max="11" width="11.75" style="13" customWidth="1"/>
    <col min="12" max="12" width="14.5" style="13" customWidth="1"/>
    <col min="13" max="13" width="11.9166666666667" style="13" customWidth="1"/>
    <col min="14" max="14" width="11.4166666666667" style="13" customWidth="1"/>
    <col min="15" max="15" width="14.9166666666667" style="13" customWidth="1"/>
    <col min="16" max="16" width="12.4166666666667" style="13" customWidth="1"/>
    <col min="17" max="17" width="9" style="13" customWidth="1"/>
    <col min="18" max="19" width="11.5" style="13" customWidth="1"/>
    <col min="20" max="16384" width="9" style="13" customWidth="1"/>
  </cols>
  <sheetData>
    <row r="1" ht="15.5" customHeight="1" spans="1:19">
      <c r="A1" s="14" t="s">
        <v>111</v>
      </c>
      <c r="B1" s="15" t="s">
        <v>210</v>
      </c>
      <c r="C1" s="16"/>
      <c r="D1" s="16"/>
      <c r="E1" s="16"/>
      <c r="F1" s="70"/>
      <c r="G1" s="16"/>
      <c r="H1" s="16"/>
      <c r="I1" s="16"/>
      <c r="J1" s="16"/>
      <c r="K1" s="16"/>
      <c r="L1" s="16"/>
    </row>
    <row r="2" s="11" customFormat="1" ht="30" customHeight="1" spans="1:19">
      <c r="A2" s="17" t="s">
        <v>454</v>
      </c>
    </row>
    <row r="3" ht="14.15" customHeight="1" spans="1:19">
      <c r="A3" s="18" t="str">
        <f>CONCATENATE(封面!D9,封面!F9,封面!G9,封面!H9,封面!I9,封面!J9,封面!K9)</f>
        <v>评估基准日：年月日</v>
      </c>
      <c r="M3" s="12"/>
      <c r="N3" s="12"/>
    </row>
    <row r="4" ht="15.5" customHeight="1" spans="1:19">
      <c r="A4" s="19" t="str">
        <f>封面!D7&amp;封面!F7</f>
        <v>被评估单位：</v>
      </c>
      <c r="L4" s="20" t="s">
        <v>139</v>
      </c>
      <c r="O4" s="43"/>
      <c r="P4" s="217"/>
    </row>
    <row r="5" s="12" customFormat="1" ht="13" customHeight="1" spans="1:19">
      <c r="A5" s="21" t="s">
        <v>141</v>
      </c>
      <c r="B5" s="21" t="s">
        <v>298</v>
      </c>
      <c r="C5" s="21" t="s">
        <v>300</v>
      </c>
      <c r="D5" s="21" t="s">
        <v>455</v>
      </c>
      <c r="E5" s="21" t="s">
        <v>439</v>
      </c>
      <c r="F5" s="21" t="s">
        <v>451</v>
      </c>
      <c r="G5" s="22" t="s">
        <v>175</v>
      </c>
      <c r="H5" s="22" t="s">
        <v>281</v>
      </c>
      <c r="I5" s="21" t="s">
        <v>176</v>
      </c>
      <c r="J5" s="21" t="s">
        <v>177</v>
      </c>
      <c r="K5" s="21" t="s">
        <v>215</v>
      </c>
      <c r="L5" s="21" t="s">
        <v>144</v>
      </c>
      <c r="O5" s="43"/>
      <c r="P5" s="217"/>
    </row>
    <row r="6" ht="15.5" customHeight="1" spans="1:19">
      <c r="A6" s="23"/>
      <c r="B6" s="67"/>
      <c r="C6" s="25"/>
      <c r="D6" s="21"/>
      <c r="E6" s="218"/>
      <c r="F6" s="219"/>
      <c r="G6" s="26"/>
      <c r="H6" s="26"/>
      <c r="I6" s="26"/>
      <c r="J6" s="26"/>
      <c r="K6" s="26" t="str">
        <f t="shared" ref="K6:K27" si="0">IF(I6=0,"",(J6-I6)/I6*100)</f>
        <v/>
      </c>
      <c r="L6" s="27"/>
      <c r="M6" s="220"/>
      <c r="O6" s="74"/>
      <c r="P6" s="78"/>
    </row>
    <row r="7" ht="15.5" customHeight="1" spans="1:19">
      <c r="A7" s="23"/>
      <c r="B7" s="24"/>
      <c r="C7" s="25"/>
      <c r="D7" s="23"/>
      <c r="E7" s="23"/>
      <c r="F7" s="23"/>
      <c r="G7" s="26"/>
      <c r="H7" s="26"/>
      <c r="I7" s="26"/>
      <c r="J7" s="26"/>
      <c r="K7" s="26" t="str">
        <f t="shared" si="0"/>
        <v/>
      </c>
      <c r="L7" s="27"/>
      <c r="M7" s="74"/>
    </row>
    <row r="8" ht="15.5" customHeight="1" spans="1:19">
      <c r="A8" s="23"/>
      <c r="B8" s="24"/>
      <c r="C8" s="25"/>
      <c r="D8" s="23"/>
      <c r="E8" s="23"/>
      <c r="F8" s="23"/>
      <c r="G8" s="26"/>
      <c r="H8" s="26"/>
      <c r="I8" s="26"/>
      <c r="J8" s="26"/>
      <c r="K8" s="26" t="str">
        <f t="shared" si="0"/>
        <v/>
      </c>
      <c r="L8" s="27"/>
      <c r="M8" s="78"/>
      <c r="O8" s="78"/>
      <c r="P8" s="78"/>
      <c r="S8" s="72"/>
    </row>
    <row r="9" ht="15.5" customHeight="1" spans="1:19">
      <c r="A9" s="23"/>
      <c r="B9" s="24"/>
      <c r="C9" s="25"/>
      <c r="D9" s="23"/>
      <c r="E9" s="23"/>
      <c r="F9" s="23"/>
      <c r="G9" s="26"/>
      <c r="H9" s="26"/>
      <c r="I9" s="26"/>
      <c r="J9" s="26"/>
      <c r="K9" s="26" t="str">
        <f t="shared" si="0"/>
        <v/>
      </c>
      <c r="L9" s="27"/>
    </row>
    <row r="10" ht="15.5" customHeight="1" spans="1:19">
      <c r="A10" s="23"/>
      <c r="B10" s="24"/>
      <c r="C10" s="25"/>
      <c r="D10" s="23"/>
      <c r="E10" s="23"/>
      <c r="F10" s="23"/>
      <c r="G10" s="26"/>
      <c r="H10" s="26"/>
      <c r="I10" s="26"/>
      <c r="J10" s="26"/>
      <c r="K10" s="26" t="str">
        <f t="shared" si="0"/>
        <v/>
      </c>
      <c r="L10" s="27"/>
    </row>
    <row r="11" ht="15.5" customHeight="1" spans="1:19">
      <c r="A11" s="23"/>
      <c r="B11" s="24"/>
      <c r="C11" s="25"/>
      <c r="D11" s="23"/>
      <c r="E11" s="23"/>
      <c r="F11" s="23"/>
      <c r="G11" s="26"/>
      <c r="H11" s="26"/>
      <c r="I11" s="26"/>
      <c r="J11" s="26"/>
      <c r="K11" s="26" t="str">
        <f t="shared" si="0"/>
        <v/>
      </c>
      <c r="L11" s="27"/>
    </row>
    <row r="12" ht="15.5" customHeight="1" spans="1:19">
      <c r="A12" s="23"/>
      <c r="B12" s="24"/>
      <c r="C12" s="25"/>
      <c r="D12" s="23"/>
      <c r="E12" s="23"/>
      <c r="F12" s="23"/>
      <c r="G12" s="26"/>
      <c r="H12" s="26"/>
      <c r="I12" s="26"/>
      <c r="J12" s="26"/>
      <c r="K12" s="26" t="str">
        <f t="shared" si="0"/>
        <v/>
      </c>
      <c r="L12" s="27"/>
    </row>
    <row r="13" ht="15.5" customHeight="1" spans="1:19">
      <c r="A13" s="23"/>
      <c r="B13" s="24"/>
      <c r="C13" s="25"/>
      <c r="D13" s="23"/>
      <c r="E13" s="23"/>
      <c r="F13" s="23"/>
      <c r="G13" s="26"/>
      <c r="H13" s="26"/>
      <c r="I13" s="26"/>
      <c r="J13" s="26"/>
      <c r="K13" s="26" t="str">
        <f t="shared" si="0"/>
        <v/>
      </c>
      <c r="L13" s="27"/>
    </row>
    <row r="14" ht="15.5" customHeight="1" spans="1:19">
      <c r="A14" s="23"/>
      <c r="B14" s="24"/>
      <c r="C14" s="25"/>
      <c r="D14" s="23"/>
      <c r="E14" s="23"/>
      <c r="F14" s="23"/>
      <c r="G14" s="26"/>
      <c r="H14" s="26"/>
      <c r="I14" s="26"/>
      <c r="J14" s="26"/>
      <c r="K14" s="26" t="str">
        <f t="shared" si="0"/>
        <v/>
      </c>
      <c r="L14" s="27"/>
    </row>
    <row r="15" ht="15.5" customHeight="1" spans="1:19">
      <c r="A15" s="23"/>
      <c r="B15" s="24"/>
      <c r="C15" s="25"/>
      <c r="D15" s="23"/>
      <c r="E15" s="23"/>
      <c r="F15" s="23"/>
      <c r="G15" s="26"/>
      <c r="H15" s="26"/>
      <c r="I15" s="26"/>
      <c r="J15" s="26"/>
      <c r="K15" s="26" t="str">
        <f t="shared" si="0"/>
        <v/>
      </c>
      <c r="L15" s="27"/>
    </row>
    <row r="16" ht="15.5" customHeight="1" spans="1:19">
      <c r="A16" s="23"/>
      <c r="B16" s="24"/>
      <c r="C16" s="25"/>
      <c r="D16" s="23"/>
      <c r="E16" s="23"/>
      <c r="F16" s="23"/>
      <c r="G16" s="26"/>
      <c r="H16" s="26"/>
      <c r="I16" s="26"/>
      <c r="J16" s="26"/>
      <c r="K16" s="26" t="str">
        <f t="shared" si="0"/>
        <v/>
      </c>
      <c r="L16" s="27"/>
    </row>
    <row r="17" ht="15.5" customHeight="1" spans="1:12">
      <c r="A17" s="23"/>
      <c r="B17" s="24"/>
      <c r="C17" s="25"/>
      <c r="D17" s="23"/>
      <c r="E17" s="23"/>
      <c r="F17" s="23"/>
      <c r="G17" s="26"/>
      <c r="H17" s="26"/>
      <c r="I17" s="26"/>
      <c r="J17" s="26"/>
      <c r="K17" s="26" t="str">
        <f t="shared" si="0"/>
        <v/>
      </c>
      <c r="L17" s="27"/>
    </row>
    <row r="18" ht="15.5" customHeight="1" spans="1:12">
      <c r="A18" s="23"/>
      <c r="B18" s="24"/>
      <c r="C18" s="25"/>
      <c r="D18" s="23"/>
      <c r="E18" s="23"/>
      <c r="F18" s="23"/>
      <c r="G18" s="26"/>
      <c r="H18" s="26"/>
      <c r="I18" s="26"/>
      <c r="J18" s="26"/>
      <c r="K18" s="26" t="str">
        <f t="shared" si="0"/>
        <v/>
      </c>
      <c r="L18" s="27"/>
    </row>
    <row r="19" ht="15.5" customHeight="1" spans="1:12">
      <c r="A19" s="23"/>
      <c r="B19" s="24"/>
      <c r="C19" s="25"/>
      <c r="D19" s="23"/>
      <c r="E19" s="23"/>
      <c r="F19" s="23"/>
      <c r="G19" s="26"/>
      <c r="H19" s="26"/>
      <c r="I19" s="26"/>
      <c r="J19" s="26"/>
      <c r="K19" s="26" t="str">
        <f t="shared" si="0"/>
        <v/>
      </c>
      <c r="L19" s="27"/>
    </row>
    <row r="20" ht="15.5" customHeight="1" spans="1:12">
      <c r="A20" s="23"/>
      <c r="B20" s="24"/>
      <c r="C20" s="25"/>
      <c r="D20" s="23"/>
      <c r="E20" s="23"/>
      <c r="F20" s="23"/>
      <c r="G20" s="26"/>
      <c r="H20" s="26"/>
      <c r="I20" s="26"/>
      <c r="J20" s="26"/>
      <c r="K20" s="26" t="str">
        <f t="shared" si="0"/>
        <v/>
      </c>
      <c r="L20" s="27"/>
    </row>
    <row r="21" ht="15.5" customHeight="1" spans="1:12">
      <c r="A21" s="23"/>
      <c r="B21" s="24"/>
      <c r="C21" s="25"/>
      <c r="D21" s="23"/>
      <c r="E21" s="23"/>
      <c r="F21" s="23"/>
      <c r="G21" s="26"/>
      <c r="H21" s="26"/>
      <c r="I21" s="26"/>
      <c r="J21" s="26"/>
      <c r="K21" s="26" t="str">
        <f t="shared" si="0"/>
        <v/>
      </c>
      <c r="L21" s="27"/>
    </row>
    <row r="22" ht="15.5" customHeight="1" spans="1:12">
      <c r="A22" s="23"/>
      <c r="B22" s="24"/>
      <c r="C22" s="25"/>
      <c r="D22" s="23"/>
      <c r="E22" s="23"/>
      <c r="F22" s="23"/>
      <c r="G22" s="26"/>
      <c r="H22" s="26"/>
      <c r="I22" s="26"/>
      <c r="J22" s="26"/>
      <c r="K22" s="26" t="str">
        <f t="shared" si="0"/>
        <v/>
      </c>
      <c r="L22" s="27"/>
    </row>
    <row r="23" ht="15.5" customHeight="1" spans="1:12">
      <c r="A23" s="23"/>
      <c r="B23" s="24"/>
      <c r="C23" s="25"/>
      <c r="D23" s="23"/>
      <c r="E23" s="23"/>
      <c r="F23" s="23"/>
      <c r="G23" s="26"/>
      <c r="H23" s="26"/>
      <c r="I23" s="26"/>
      <c r="J23" s="26"/>
      <c r="K23" s="26" t="str">
        <f t="shared" si="0"/>
        <v/>
      </c>
      <c r="L23" s="27"/>
    </row>
    <row r="24" ht="15.5" customHeight="1" spans="1:12">
      <c r="A24" s="23"/>
      <c r="B24" s="24"/>
      <c r="C24" s="25"/>
      <c r="D24" s="23"/>
      <c r="E24" s="23"/>
      <c r="F24" s="23"/>
      <c r="G24" s="26"/>
      <c r="H24" s="26"/>
      <c r="I24" s="26"/>
      <c r="J24" s="26"/>
      <c r="K24" s="26" t="str">
        <f t="shared" si="0"/>
        <v/>
      </c>
      <c r="L24" s="27"/>
    </row>
    <row r="25" ht="15.5" customHeight="1" spans="1:12">
      <c r="A25" s="21" t="s">
        <v>319</v>
      </c>
      <c r="B25" s="28"/>
      <c r="C25" s="23"/>
      <c r="D25" s="25"/>
      <c r="E25" s="25"/>
      <c r="F25" s="25"/>
      <c r="G25" s="26">
        <f>SUM(G6:G24)</f>
        <v>0</v>
      </c>
      <c r="H25" s="26"/>
      <c r="I25" s="26">
        <f>SUM(I6:I24)</f>
        <v>0</v>
      </c>
      <c r="J25" s="26">
        <f>SUM(J6:J24)</f>
        <v>0</v>
      </c>
      <c r="K25" s="26" t="str">
        <f t="shared" si="0"/>
        <v/>
      </c>
      <c r="L25" s="27"/>
    </row>
    <row r="26" ht="15.5" customHeight="1" spans="1:12">
      <c r="A26" s="21" t="s">
        <v>456</v>
      </c>
      <c r="B26" s="28"/>
      <c r="C26" s="23"/>
      <c r="D26" s="25"/>
      <c r="E26" s="25"/>
      <c r="F26" s="25"/>
      <c r="G26" s="26"/>
      <c r="H26" s="26"/>
      <c r="I26" s="26">
        <f>G26</f>
        <v>0</v>
      </c>
      <c r="J26" s="26"/>
      <c r="K26" s="26" t="str">
        <f t="shared" si="0"/>
        <v/>
      </c>
      <c r="L26" s="27"/>
    </row>
    <row r="27" ht="15.5" customHeight="1" spans="1:12">
      <c r="A27" s="21" t="s">
        <v>336</v>
      </c>
      <c r="B27" s="28"/>
      <c r="C27" s="23"/>
      <c r="D27" s="25"/>
      <c r="E27" s="25"/>
      <c r="F27" s="25"/>
      <c r="G27" s="26">
        <f>G25-G26</f>
        <v>0</v>
      </c>
      <c r="H27" s="26"/>
      <c r="I27" s="26">
        <f>I25-I26</f>
        <v>0</v>
      </c>
      <c r="J27" s="26">
        <f>J25-J26</f>
        <v>0</v>
      </c>
      <c r="K27" s="26" t="str">
        <f t="shared" si="0"/>
        <v/>
      </c>
      <c r="L27" s="27"/>
    </row>
    <row r="28" ht="15.5" customHeight="1" spans="1:12">
      <c r="A28" s="29" t="str">
        <f>封面!D11&amp;封面!G11</f>
        <v>被评估单位填表人：</v>
      </c>
      <c r="C28" s="221"/>
      <c r="I28" s="13" t="str">
        <f>"评估人员："&amp;封面!G22</f>
        <v>评估人员：</v>
      </c>
    </row>
    <row r="29" ht="15.5" customHeight="1" spans="1:12">
      <c r="A29" s="29" t="str">
        <f>CONCATENATE(封面!D13,封面!F13,封面!G13,封面!H13,封面!I13,封面!J13,封面!K13)</f>
        <v>填表日期：年月日</v>
      </c>
    </row>
  </sheetData>
  <mergeCells count="5">
    <mergeCell ref="A2:L2"/>
    <mergeCell ref="A3:L3"/>
    <mergeCell ref="A25:B25"/>
    <mergeCell ref="A26:B26"/>
    <mergeCell ref="A27:B27"/>
  </mergeCells>
  <hyperlinks>
    <hyperlink ref="A1" location="索引目录!D33" display="返回索引页"/>
    <hyperlink ref="B1" location="长期投资汇总!B9" display="返回"/>
  </hyperlinks>
  <printOptions horizontalCentered="1"/>
  <pageMargins left="0.354330708661417" right="0.354330708661417" top="0.78740157480315" bottom="0.78740157480315" header="1.05" footer="0.511811023622047"/>
  <pageSetup paperSize="9" scale="91" fitToHeight="0" orientation="landscape"/>
  <headerFooter alignWithMargins="0">
    <oddHeader>&amp;R&amp;"宋体,常规"共&amp;"Times New Roman,常规"&amp;N&amp;"宋体,常规"页第&amp;"Times New Roman,常规"&amp;P&amp;"宋体,常规"4-4
页</oddHead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1">
    <tabColor indexed="14"/>
    <pageSetUpPr fitToPage="1"/>
  </sheetPr>
  <dimension ref="A1:U29"/>
  <sheetViews>
    <sheetView view="pageBreakPreview" zoomScale="60" zoomScaleNormal="100" workbookViewId="0">
      <selection activeCell="G451" sqref="G451"/>
    </sheetView>
  </sheetViews>
  <sheetFormatPr defaultColWidth="9" defaultRowHeight="15.75" customHeight="1"/>
  <cols>
    <col min="1" max="1" width="5.5" style="85" customWidth="1"/>
    <col min="2" max="2" width="7.25" style="85" customWidth="1"/>
    <col min="3" max="3" width="9.08333333333333" style="85" customWidth="1"/>
    <col min="4" max="4" width="13.8333333333333" style="85" customWidth="1"/>
    <col min="5" max="5" width="5.33333333333333" style="85" customWidth="1"/>
    <col min="6" max="6" width="6.33333333333333" style="85" customWidth="1"/>
    <col min="7" max="7" width="4.5" style="85" customWidth="1"/>
    <col min="8" max="8" width="7.75" style="85" customWidth="1"/>
    <col min="9" max="9" width="8.58333333333333" style="85" customWidth="1"/>
    <col min="10" max="10" width="8.5" style="85" hidden="1" customWidth="1" outlineLevel="1"/>
    <col min="11" max="13" width="8" style="85" hidden="1" customWidth="1" outlineLevel="1"/>
    <col min="14" max="14" width="8" style="85" customWidth="1" collapsed="1"/>
    <col min="15" max="15" width="8" style="85" customWidth="1"/>
    <col min="16" max="16" width="6.5" style="85" customWidth="1"/>
    <col min="17" max="17" width="7.58333333333333" style="85" customWidth="1"/>
    <col min="18" max="18" width="7.83333333333333" style="85" customWidth="1"/>
    <col min="19" max="19" width="7.75" style="85" customWidth="1"/>
    <col min="20" max="20" width="7.25" style="85" customWidth="1"/>
    <col min="21" max="21" width="6" style="85" customWidth="1"/>
    <col min="22" max="16384" width="9" style="85" customWidth="1"/>
  </cols>
  <sheetData>
    <row r="1" s="13" customFormat="1" ht="15" customHeight="1" spans="1:21">
      <c r="A1" s="14" t="s">
        <v>111</v>
      </c>
      <c r="B1" s="15" t="s">
        <v>210</v>
      </c>
      <c r="C1" s="16"/>
      <c r="D1" s="16"/>
      <c r="E1" s="16"/>
      <c r="F1" s="70"/>
      <c r="G1" s="16"/>
      <c r="H1" s="16"/>
      <c r="I1" s="16"/>
      <c r="J1" s="16"/>
      <c r="K1" s="16"/>
      <c r="L1" s="16"/>
    </row>
    <row r="2" s="199" customFormat="1" ht="30" customHeight="1" spans="1:21">
      <c r="A2" s="83" t="s">
        <v>457</v>
      </c>
    </row>
    <row r="3" s="199" customFormat="1" ht="23" customHeight="1" spans="1:21">
      <c r="A3" s="201" t="s">
        <v>458</v>
      </c>
    </row>
    <row r="4" ht="14.15" customHeight="1" spans="1:21">
      <c r="A4" s="84" t="str">
        <f>股权投资!A3</f>
        <v>评估基准日：年月日</v>
      </c>
    </row>
    <row r="5" ht="15.5" customHeight="1" spans="1:21">
      <c r="A5" s="215" t="s">
        <v>459</v>
      </c>
      <c r="S5" s="216" t="s">
        <v>139</v>
      </c>
      <c r="T5" s="171"/>
      <c r="U5" s="171"/>
    </row>
    <row r="6" s="81" customFormat="1" ht="13" customHeight="1" spans="1:21">
      <c r="A6" s="204" t="s">
        <v>141</v>
      </c>
      <c r="B6" s="204"/>
      <c r="C6" s="87"/>
      <c r="D6" s="87"/>
      <c r="E6" s="204"/>
      <c r="F6" s="87"/>
      <c r="G6" s="194"/>
      <c r="H6" s="194"/>
      <c r="I6" s="87"/>
      <c r="J6" s="204"/>
      <c r="K6" s="28"/>
      <c r="L6" s="204"/>
      <c r="M6" s="28"/>
      <c r="N6" s="204"/>
      <c r="O6" s="28"/>
      <c r="P6" s="204"/>
      <c r="Q6" s="32"/>
      <c r="R6" s="28"/>
      <c r="S6" s="87"/>
      <c r="T6" s="87"/>
      <c r="U6" s="87"/>
    </row>
    <row r="7" s="81" customFormat="1" ht="29.15" customHeight="1" spans="1:21">
      <c r="A7" s="36"/>
      <c r="B7" s="36"/>
      <c r="C7" s="36"/>
      <c r="D7" s="36"/>
      <c r="E7" s="36"/>
      <c r="F7" s="36"/>
      <c r="G7" s="36"/>
      <c r="H7" s="36"/>
      <c r="I7" s="36"/>
      <c r="J7" s="208"/>
      <c r="K7" s="204"/>
      <c r="L7" s="204"/>
      <c r="M7" s="204"/>
      <c r="N7" s="208"/>
      <c r="O7" s="204"/>
      <c r="P7" s="204"/>
      <c r="Q7" s="204"/>
      <c r="R7" s="204"/>
      <c r="S7" s="36"/>
      <c r="T7" s="36"/>
      <c r="U7" s="36"/>
    </row>
    <row r="8" ht="15.5" customHeight="1" spans="1:21">
      <c r="A8" s="89"/>
      <c r="B8" s="203"/>
      <c r="C8" s="203"/>
      <c r="D8" s="203"/>
      <c r="E8" s="89"/>
      <c r="F8" s="90"/>
      <c r="G8" s="90"/>
      <c r="H8" s="206"/>
      <c r="I8" s="91" t="s">
        <v>170</v>
      </c>
      <c r="J8" s="92"/>
      <c r="K8" s="91"/>
      <c r="L8" s="91"/>
      <c r="M8" s="91"/>
      <c r="N8" s="91"/>
      <c r="O8" s="91"/>
      <c r="P8" s="91"/>
      <c r="Q8" s="89"/>
      <c r="R8" s="91"/>
      <c r="S8" s="26" t="str">
        <f t="shared" ref="S8:S25" si="0">IF(Q8=0,"",(R8-O8)/O8*100)</f>
        <v/>
      </c>
      <c r="T8" s="91"/>
      <c r="U8" s="203"/>
    </row>
    <row r="9" ht="15.5" customHeight="1" spans="1:21">
      <c r="A9" s="89"/>
      <c r="B9" s="203"/>
      <c r="C9" s="203"/>
      <c r="D9" s="203"/>
      <c r="E9" s="89"/>
      <c r="F9" s="90"/>
      <c r="G9" s="90"/>
      <c r="H9" s="206"/>
      <c r="I9" s="91" t="s">
        <v>170</v>
      </c>
      <c r="J9" s="92"/>
      <c r="K9" s="91"/>
      <c r="L9" s="91"/>
      <c r="M9" s="91"/>
      <c r="N9" s="91"/>
      <c r="O9" s="91"/>
      <c r="P9" s="91"/>
      <c r="Q9" s="89"/>
      <c r="R9" s="91"/>
      <c r="S9" s="26" t="str">
        <f t="shared" si="0"/>
        <v/>
      </c>
      <c r="T9" s="91"/>
      <c r="U9" s="203"/>
    </row>
    <row r="10" ht="15.5" customHeight="1" spans="1:21">
      <c r="A10" s="89"/>
      <c r="B10" s="203"/>
      <c r="C10" s="203"/>
      <c r="D10" s="203"/>
      <c r="E10" s="89"/>
      <c r="F10" s="90"/>
      <c r="G10" s="90"/>
      <c r="H10" s="206"/>
      <c r="I10" s="91"/>
      <c r="J10" s="92"/>
      <c r="K10" s="91"/>
      <c r="L10" s="91"/>
      <c r="M10" s="91"/>
      <c r="N10" s="91"/>
      <c r="O10" s="91"/>
      <c r="P10" s="91"/>
      <c r="Q10" s="89"/>
      <c r="R10" s="91"/>
      <c r="S10" s="26" t="str">
        <f t="shared" si="0"/>
        <v/>
      </c>
      <c r="T10" s="91"/>
      <c r="U10" s="203"/>
    </row>
    <row r="11" ht="15.5" customHeight="1" spans="1:21">
      <c r="A11" s="89"/>
      <c r="B11" s="203"/>
      <c r="C11" s="203"/>
      <c r="D11" s="203"/>
      <c r="E11" s="89"/>
      <c r="F11" s="90"/>
      <c r="G11" s="90"/>
      <c r="H11" s="206"/>
      <c r="I11" s="91"/>
      <c r="J11" s="92"/>
      <c r="K11" s="91"/>
      <c r="L11" s="91"/>
      <c r="M11" s="91"/>
      <c r="N11" s="91"/>
      <c r="O11" s="91"/>
      <c r="P11" s="91"/>
      <c r="Q11" s="89"/>
      <c r="R11" s="91"/>
      <c r="S11" s="26" t="str">
        <f t="shared" si="0"/>
        <v/>
      </c>
      <c r="T11" s="91"/>
      <c r="U11" s="203"/>
    </row>
    <row r="12" ht="15.5" customHeight="1" spans="1:21">
      <c r="A12" s="89"/>
      <c r="B12" s="203"/>
      <c r="C12" s="203"/>
      <c r="D12" s="203"/>
      <c r="E12" s="89"/>
      <c r="F12" s="90"/>
      <c r="G12" s="90"/>
      <c r="H12" s="206"/>
      <c r="I12" s="91"/>
      <c r="J12" s="92"/>
      <c r="K12" s="91"/>
      <c r="L12" s="91"/>
      <c r="M12" s="91"/>
      <c r="N12" s="91"/>
      <c r="O12" s="91"/>
      <c r="P12" s="91"/>
      <c r="Q12" s="89"/>
      <c r="R12" s="91"/>
      <c r="S12" s="26" t="str">
        <f t="shared" si="0"/>
        <v/>
      </c>
      <c r="T12" s="91"/>
      <c r="U12" s="203"/>
    </row>
    <row r="13" ht="15.5" customHeight="1" spans="1:21">
      <c r="A13" s="89"/>
      <c r="B13" s="203"/>
      <c r="C13" s="203"/>
      <c r="D13" s="203"/>
      <c r="E13" s="89"/>
      <c r="F13" s="90"/>
      <c r="G13" s="90"/>
      <c r="H13" s="206"/>
      <c r="I13" s="91"/>
      <c r="J13" s="92"/>
      <c r="K13" s="91"/>
      <c r="L13" s="91"/>
      <c r="M13" s="91"/>
      <c r="N13" s="91"/>
      <c r="O13" s="91"/>
      <c r="P13" s="91"/>
      <c r="Q13" s="89"/>
      <c r="R13" s="91"/>
      <c r="S13" s="26" t="str">
        <f t="shared" si="0"/>
        <v/>
      </c>
      <c r="T13" s="91"/>
      <c r="U13" s="203"/>
    </row>
    <row r="14" ht="15.5" customHeight="1" spans="1:21">
      <c r="A14" s="89"/>
      <c r="B14" s="203"/>
      <c r="C14" s="203"/>
      <c r="D14" s="203"/>
      <c r="E14" s="89"/>
      <c r="F14" s="90"/>
      <c r="G14" s="90"/>
      <c r="H14" s="206"/>
      <c r="I14" s="91"/>
      <c r="J14" s="92"/>
      <c r="K14" s="91"/>
      <c r="L14" s="91"/>
      <c r="M14" s="91"/>
      <c r="N14" s="91"/>
      <c r="O14" s="91"/>
      <c r="P14" s="91"/>
      <c r="Q14" s="89"/>
      <c r="R14" s="91"/>
      <c r="S14" s="26" t="str">
        <f t="shared" si="0"/>
        <v/>
      </c>
      <c r="T14" s="91"/>
      <c r="U14" s="203"/>
    </row>
    <row r="15" ht="15.5" customHeight="1" spans="1:21">
      <c r="A15" s="89"/>
      <c r="B15" s="203"/>
      <c r="C15" s="203"/>
      <c r="D15" s="203"/>
      <c r="E15" s="89"/>
      <c r="F15" s="90"/>
      <c r="G15" s="90"/>
      <c r="H15" s="206"/>
      <c r="I15" s="91" t="s">
        <v>170</v>
      </c>
      <c r="J15" s="92"/>
      <c r="K15" s="91"/>
      <c r="L15" s="91"/>
      <c r="M15" s="91"/>
      <c r="N15" s="91"/>
      <c r="O15" s="91"/>
      <c r="P15" s="91"/>
      <c r="Q15" s="89"/>
      <c r="R15" s="91"/>
      <c r="S15" s="26" t="str">
        <f t="shared" si="0"/>
        <v/>
      </c>
      <c r="T15" s="91"/>
      <c r="U15" s="203"/>
    </row>
    <row r="16" ht="15.5" customHeight="1" spans="1:21">
      <c r="A16" s="89"/>
      <c r="B16" s="203"/>
      <c r="C16" s="203"/>
      <c r="D16" s="203"/>
      <c r="E16" s="89"/>
      <c r="F16" s="90"/>
      <c r="G16" s="90"/>
      <c r="H16" s="206"/>
      <c r="I16" s="91" t="s">
        <v>170</v>
      </c>
      <c r="J16" s="92"/>
      <c r="K16" s="91"/>
      <c r="L16" s="91"/>
      <c r="M16" s="91"/>
      <c r="N16" s="91"/>
      <c r="O16" s="91"/>
      <c r="P16" s="91"/>
      <c r="Q16" s="89"/>
      <c r="R16" s="91"/>
      <c r="S16" s="26" t="str">
        <f t="shared" si="0"/>
        <v/>
      </c>
      <c r="T16" s="91"/>
      <c r="U16" s="203"/>
    </row>
    <row r="17" ht="15.5" customHeight="1" spans="1:21">
      <c r="A17" s="89"/>
      <c r="B17" s="203"/>
      <c r="C17" s="203"/>
      <c r="D17" s="203"/>
      <c r="E17" s="89"/>
      <c r="F17" s="90"/>
      <c r="G17" s="90"/>
      <c r="H17" s="206"/>
      <c r="I17" s="91" t="s">
        <v>170</v>
      </c>
      <c r="J17" s="92"/>
      <c r="K17" s="91"/>
      <c r="L17" s="91"/>
      <c r="M17" s="91"/>
      <c r="N17" s="91"/>
      <c r="O17" s="91"/>
      <c r="P17" s="91"/>
      <c r="Q17" s="89"/>
      <c r="R17" s="91"/>
      <c r="S17" s="26" t="str">
        <f t="shared" si="0"/>
        <v/>
      </c>
      <c r="T17" s="91"/>
      <c r="U17" s="203"/>
    </row>
    <row r="18" ht="15.5" customHeight="1" spans="1:21">
      <c r="A18" s="89"/>
      <c r="B18" s="203"/>
      <c r="C18" s="203"/>
      <c r="D18" s="203"/>
      <c r="E18" s="89"/>
      <c r="F18" s="90"/>
      <c r="G18" s="90"/>
      <c r="H18" s="206"/>
      <c r="I18" s="91" t="s">
        <v>170</v>
      </c>
      <c r="J18" s="92"/>
      <c r="K18" s="91"/>
      <c r="L18" s="91"/>
      <c r="M18" s="91"/>
      <c r="N18" s="91"/>
      <c r="O18" s="91"/>
      <c r="P18" s="91"/>
      <c r="Q18" s="89"/>
      <c r="R18" s="91"/>
      <c r="S18" s="26" t="str">
        <f t="shared" si="0"/>
        <v/>
      </c>
      <c r="T18" s="91"/>
      <c r="U18" s="203"/>
    </row>
    <row r="19" ht="15.5" customHeight="1" spans="1:21">
      <c r="A19" s="89"/>
      <c r="B19" s="203"/>
      <c r="C19" s="203"/>
      <c r="D19" s="203"/>
      <c r="E19" s="89"/>
      <c r="F19" s="90"/>
      <c r="G19" s="90"/>
      <c r="H19" s="206"/>
      <c r="I19" s="91" t="s">
        <v>170</v>
      </c>
      <c r="J19" s="92"/>
      <c r="K19" s="91"/>
      <c r="L19" s="91"/>
      <c r="M19" s="91"/>
      <c r="N19" s="91"/>
      <c r="O19" s="91"/>
      <c r="P19" s="91"/>
      <c r="Q19" s="89"/>
      <c r="R19" s="91"/>
      <c r="S19" s="26" t="str">
        <f t="shared" si="0"/>
        <v/>
      </c>
      <c r="T19" s="91"/>
      <c r="U19" s="203"/>
    </row>
    <row r="20" ht="15.5" customHeight="1" spans="1:21">
      <c r="A20" s="89"/>
      <c r="B20" s="203"/>
      <c r="C20" s="203"/>
      <c r="D20" s="203"/>
      <c r="E20" s="89"/>
      <c r="F20" s="90"/>
      <c r="G20" s="90"/>
      <c r="H20" s="206"/>
      <c r="I20" s="91" t="s">
        <v>170</v>
      </c>
      <c r="J20" s="92"/>
      <c r="K20" s="91"/>
      <c r="L20" s="91"/>
      <c r="M20" s="91"/>
      <c r="N20" s="91"/>
      <c r="O20" s="91"/>
      <c r="P20" s="91"/>
      <c r="Q20" s="89"/>
      <c r="R20" s="91"/>
      <c r="S20" s="26" t="str">
        <f t="shared" si="0"/>
        <v/>
      </c>
      <c r="T20" s="91"/>
      <c r="U20" s="203"/>
    </row>
    <row r="21" ht="15.5" customHeight="1" spans="1:21">
      <c r="A21" s="89"/>
      <c r="B21" s="203"/>
      <c r="C21" s="203"/>
      <c r="D21" s="203"/>
      <c r="E21" s="89"/>
      <c r="F21" s="90"/>
      <c r="G21" s="90"/>
      <c r="H21" s="206"/>
      <c r="I21" s="91" t="s">
        <v>170</v>
      </c>
      <c r="J21" s="92"/>
      <c r="K21" s="91"/>
      <c r="L21" s="91"/>
      <c r="M21" s="91"/>
      <c r="N21" s="91"/>
      <c r="O21" s="91"/>
      <c r="P21" s="91"/>
      <c r="Q21" s="89"/>
      <c r="R21" s="91"/>
      <c r="S21" s="26" t="str">
        <f t="shared" si="0"/>
        <v/>
      </c>
      <c r="T21" s="91"/>
      <c r="U21" s="203"/>
    </row>
    <row r="22" ht="15.5" customHeight="1" spans="1:21">
      <c r="A22" s="89"/>
      <c r="B22" s="203"/>
      <c r="C22" s="203"/>
      <c r="D22" s="203"/>
      <c r="E22" s="89"/>
      <c r="F22" s="90"/>
      <c r="G22" s="90"/>
      <c r="H22" s="206"/>
      <c r="I22" s="91" t="s">
        <v>170</v>
      </c>
      <c r="J22" s="92"/>
      <c r="K22" s="91"/>
      <c r="L22" s="91"/>
      <c r="M22" s="91"/>
      <c r="N22" s="91"/>
      <c r="O22" s="91"/>
      <c r="P22" s="91"/>
      <c r="Q22" s="89"/>
      <c r="R22" s="91"/>
      <c r="S22" s="26" t="str">
        <f t="shared" si="0"/>
        <v/>
      </c>
      <c r="T22" s="91"/>
      <c r="U22" s="203"/>
    </row>
    <row r="23" ht="15.5" customHeight="1" spans="1:21">
      <c r="A23" s="89"/>
      <c r="B23" s="203"/>
      <c r="C23" s="203"/>
      <c r="D23" s="203"/>
      <c r="E23" s="89"/>
      <c r="F23" s="90"/>
      <c r="G23" s="90"/>
      <c r="H23" s="206"/>
      <c r="I23" s="91" t="s">
        <v>170</v>
      </c>
      <c r="J23" s="92"/>
      <c r="K23" s="91"/>
      <c r="L23" s="91"/>
      <c r="M23" s="91"/>
      <c r="N23" s="91"/>
      <c r="O23" s="91"/>
      <c r="P23" s="91"/>
      <c r="Q23" s="89"/>
      <c r="R23" s="91"/>
      <c r="S23" s="26" t="str">
        <f t="shared" si="0"/>
        <v/>
      </c>
      <c r="T23" s="91"/>
      <c r="U23" s="203"/>
    </row>
    <row r="24" ht="15.5" customHeight="1" spans="1:21">
      <c r="A24" s="89"/>
      <c r="B24" s="203"/>
      <c r="C24" s="203"/>
      <c r="D24" s="203"/>
      <c r="E24" s="89"/>
      <c r="F24" s="90"/>
      <c r="G24" s="90"/>
      <c r="H24" s="206"/>
      <c r="I24" s="91"/>
      <c r="J24" s="92"/>
      <c r="K24" s="91"/>
      <c r="L24" s="91"/>
      <c r="M24" s="91"/>
      <c r="N24" s="91"/>
      <c r="O24" s="91"/>
      <c r="P24" s="91"/>
      <c r="Q24" s="89"/>
      <c r="R24" s="91"/>
      <c r="S24" s="26" t="str">
        <f t="shared" si="0"/>
        <v/>
      </c>
      <c r="T24" s="91"/>
      <c r="U24" s="203"/>
    </row>
    <row r="25" ht="15.5" customHeight="1" spans="1:21">
      <c r="A25" s="204" t="s">
        <v>319</v>
      </c>
      <c r="B25" s="32"/>
      <c r="C25" s="28"/>
      <c r="D25" s="205"/>
      <c r="E25" s="89"/>
      <c r="F25" s="90"/>
      <c r="G25" s="90"/>
      <c r="H25" s="206"/>
      <c r="I25" s="91" t="s">
        <v>170</v>
      </c>
      <c r="J25" s="92">
        <f t="shared" ref="J25:P25" si="1">SUM(J8:J24)</f>
        <v>0</v>
      </c>
      <c r="K25" s="92">
        <f t="shared" si="1"/>
        <v>0</v>
      </c>
      <c r="L25" s="92">
        <f t="shared" si="1"/>
        <v>0</v>
      </c>
      <c r="M25" s="92">
        <f t="shared" si="1"/>
        <v>0</v>
      </c>
      <c r="N25" s="92">
        <f t="shared" si="1"/>
        <v>0</v>
      </c>
      <c r="O25" s="92">
        <f t="shared" si="1"/>
        <v>0</v>
      </c>
      <c r="P25" s="92">
        <f t="shared" si="1"/>
        <v>0</v>
      </c>
      <c r="Q25" s="92"/>
      <c r="R25" s="92">
        <f>SUM(R8:R24)</f>
        <v>0</v>
      </c>
      <c r="S25" s="26" t="str">
        <f t="shared" si="0"/>
        <v/>
      </c>
      <c r="T25" s="91"/>
      <c r="U25" s="203"/>
    </row>
    <row r="26" ht="15.5" customHeight="1" spans="1:21">
      <c r="A26" s="204" t="s">
        <v>460</v>
      </c>
      <c r="B26" s="32"/>
      <c r="C26" s="28"/>
      <c r="D26" s="208"/>
      <c r="E26" s="89"/>
      <c r="F26" s="90"/>
      <c r="G26" s="90"/>
      <c r="H26" s="206"/>
      <c r="I26" s="91"/>
      <c r="J26" s="92"/>
      <c r="K26" s="91"/>
      <c r="L26" s="91"/>
      <c r="M26" s="91"/>
      <c r="N26" s="91"/>
      <c r="O26" s="91"/>
      <c r="P26" s="91"/>
      <c r="Q26" s="89"/>
      <c r="R26" s="91"/>
      <c r="S26" s="91" t="s">
        <v>170</v>
      </c>
      <c r="T26" s="91"/>
      <c r="U26" s="203"/>
    </row>
    <row r="27" ht="15.5" customHeight="1" spans="1:21">
      <c r="A27" s="204" t="s">
        <v>461</v>
      </c>
      <c r="B27" s="32"/>
      <c r="C27" s="28"/>
      <c r="D27" s="208"/>
      <c r="E27" s="89"/>
      <c r="F27" s="90"/>
      <c r="G27" s="90"/>
      <c r="H27" s="93"/>
      <c r="I27" s="91"/>
      <c r="J27" s="92">
        <f t="shared" ref="J27:P27" si="2">J25-J26</f>
        <v>0</v>
      </c>
      <c r="K27" s="92">
        <f t="shared" si="2"/>
        <v>0</v>
      </c>
      <c r="L27" s="92">
        <f t="shared" si="2"/>
        <v>0</v>
      </c>
      <c r="M27" s="92">
        <f t="shared" si="2"/>
        <v>0</v>
      </c>
      <c r="N27" s="92">
        <f t="shared" si="2"/>
        <v>0</v>
      </c>
      <c r="O27" s="92">
        <f t="shared" si="2"/>
        <v>0</v>
      </c>
      <c r="P27" s="92">
        <f t="shared" si="2"/>
        <v>0</v>
      </c>
      <c r="Q27" s="92"/>
      <c r="R27" s="92">
        <f>R25-R26</f>
        <v>0</v>
      </c>
      <c r="S27" s="26" t="str">
        <f>IF(Q27=0,"",(R27-O27)/O27*100)</f>
        <v/>
      </c>
      <c r="T27" s="91"/>
      <c r="U27" s="203"/>
    </row>
    <row r="28" ht="15.5" customHeight="1" spans="1:21">
      <c r="A28" s="29" t="str">
        <f>封面!D11&amp;封面!G11</f>
        <v>被评估单位填表人：</v>
      </c>
      <c r="B28" s="13"/>
      <c r="C28" s="13"/>
      <c r="D28" s="13"/>
      <c r="N28" s="13" t="str">
        <f>"评估人员："&amp;封面!L22</f>
        <v>评估人员：</v>
      </c>
    </row>
    <row r="29" ht="15.5" customHeight="1" spans="1:21">
      <c r="A29" s="29" t="str">
        <f>CONCATENATE(封面!D13,封面!F13,封面!G13,封面!H13,封面!I13,封面!J13,封面!K13)</f>
        <v>填表日期：年月日</v>
      </c>
    </row>
  </sheetData>
  <mergeCells count="24">
    <mergeCell ref="A2:U2"/>
    <mergeCell ref="A3:U3"/>
    <mergeCell ref="A4:U4"/>
    <mergeCell ref="A5:F5"/>
    <mergeCell ref="S5:U5"/>
    <mergeCell ref="J6:K6"/>
    <mergeCell ref="L6:M6"/>
    <mergeCell ref="N6:O6"/>
    <mergeCell ref="P6:R6"/>
    <mergeCell ref="A25:C25"/>
    <mergeCell ref="A26:C26"/>
    <mergeCell ref="A27:C27"/>
    <mergeCell ref="A6:A7"/>
    <mergeCell ref="B6:B7"/>
    <mergeCell ref="C6:C7"/>
    <mergeCell ref="D6:D7"/>
    <mergeCell ref="E6:E7"/>
    <mergeCell ref="F6:F7"/>
    <mergeCell ref="G6:G7"/>
    <mergeCell ref="H6:H7"/>
    <mergeCell ref="I6:I7"/>
    <mergeCell ref="S6:S7"/>
    <mergeCell ref="T6:T7"/>
    <mergeCell ref="U6:U7"/>
  </mergeCells>
  <hyperlinks>
    <hyperlink ref="A1" location="索引目录!D33" display="返回索引页"/>
    <hyperlink ref="B1" location="长期投资汇总!B9" display="返回"/>
  </hyperlinks>
  <printOptions horizontalCentered="1"/>
  <pageMargins left="0.354330708661417" right="0.354330708661417" top="0.78740157480315" bottom="0.78740157480315" header="1.06299212598425" footer="0.511811023622047"/>
  <pageSetup paperSize="9" fitToHeight="0" orientation="landscape"/>
  <headerFooter alignWithMargins="0">
    <oddHeader>&amp;R&amp;"宋体,常规"共&amp;"Times New Roman,常规"&amp;N&amp;"宋体,常规"页第&amp;"Times New Roman,常规"&amp;P&amp;"宋体,常规"4-5-1
页</oddHeader>
  </headerFooter>
  <legacyDrawing r:id="rId2"/>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2">
    <tabColor indexed="14"/>
    <pageSetUpPr fitToPage="1"/>
  </sheetPr>
  <dimension ref="A1:T29"/>
  <sheetViews>
    <sheetView view="pageBreakPreview" zoomScale="60" zoomScaleNormal="100" workbookViewId="0">
      <selection activeCell="G451" sqref="G451"/>
    </sheetView>
  </sheetViews>
  <sheetFormatPr defaultColWidth="9" defaultRowHeight="13"/>
  <cols>
    <col min="1" max="1" width="5" style="85" customWidth="1"/>
    <col min="2" max="2" width="8.08333333333333" style="85" customWidth="1"/>
    <col min="3" max="3" width="9.5" style="85" customWidth="1"/>
    <col min="4" max="4" width="13.3333333333333" style="85" customWidth="1"/>
    <col min="5" max="6" width="5.33333333333333" style="85" customWidth="1"/>
    <col min="7" max="7" width="4.5" style="85" customWidth="1"/>
    <col min="8" max="8" width="6.83333333333333" style="85" customWidth="1"/>
    <col min="9" max="10" width="7.58333333333333" style="85" customWidth="1"/>
    <col min="11" max="11" width="7.75" style="85" customWidth="1"/>
    <col min="12" max="13" width="11.0833333333333" style="85" hidden="1" customWidth="1" outlineLevel="1"/>
    <col min="14" max="14" width="12" style="85" customWidth="1" collapsed="1"/>
    <col min="15" max="16" width="12" style="85" customWidth="1"/>
    <col min="17" max="17" width="7.25" style="85" customWidth="1"/>
    <col min="18" max="18" width="7.5" style="85" customWidth="1"/>
    <col min="19" max="19" width="15.25" style="85" hidden="1" customWidth="1" outlineLevel="1"/>
    <col min="20" max="20" width="13.0833333333333" style="85" hidden="1" customWidth="1" outlineLevel="1"/>
    <col min="21" max="21" width="9" style="85" customWidth="1" collapsed="1"/>
    <col min="22" max="16384" width="9" style="85" customWidth="1"/>
  </cols>
  <sheetData>
    <row r="1" s="13" customFormat="1" ht="15" customHeight="1" spans="1:20">
      <c r="A1" s="14" t="s">
        <v>111</v>
      </c>
      <c r="B1" s="15" t="s">
        <v>210</v>
      </c>
      <c r="C1" s="16"/>
      <c r="D1" s="16"/>
      <c r="E1" s="16"/>
      <c r="F1" s="16"/>
      <c r="G1" s="16"/>
      <c r="H1" s="16"/>
      <c r="I1" s="16"/>
      <c r="J1" s="16"/>
      <c r="K1" s="16"/>
      <c r="L1" s="16"/>
    </row>
    <row r="2" s="199" customFormat="1" ht="30" customHeight="1" spans="1:20">
      <c r="A2" s="83" t="s">
        <v>457</v>
      </c>
      <c r="S2" s="209"/>
    </row>
    <row r="3" s="199" customFormat="1" ht="15.75" customHeight="1" spans="1:20">
      <c r="A3" s="201" t="s">
        <v>462</v>
      </c>
      <c r="S3" s="209"/>
    </row>
    <row r="4" ht="14.15" customHeight="1" spans="1:20">
      <c r="A4" s="84" t="str">
        <f>'4-5-1投资性房地产'!A4:U4</f>
        <v>评估基准日：年月日</v>
      </c>
    </row>
    <row r="5" ht="15.75" customHeight="1" spans="1:20">
      <c r="A5" s="202" t="s">
        <v>459</v>
      </c>
      <c r="B5" s="171"/>
      <c r="C5" s="171"/>
      <c r="D5" s="171"/>
      <c r="E5" s="171"/>
      <c r="F5" s="171"/>
      <c r="G5" s="171"/>
      <c r="R5" s="86" t="s">
        <v>139</v>
      </c>
    </row>
    <row r="6" s="81" customFormat="1" ht="15.75" customHeight="1" spans="1:20">
      <c r="A6" s="204" t="s">
        <v>141</v>
      </c>
      <c r="B6" s="204"/>
      <c r="C6" s="87"/>
      <c r="D6" s="87"/>
      <c r="E6" s="204"/>
      <c r="F6" s="87"/>
      <c r="G6" s="194"/>
      <c r="H6" s="194"/>
      <c r="I6" s="87"/>
      <c r="J6" s="87"/>
      <c r="K6" s="35"/>
      <c r="L6" s="87"/>
      <c r="M6" s="87"/>
      <c r="N6" s="87"/>
      <c r="O6" s="204"/>
      <c r="P6" s="204"/>
      <c r="Q6" s="87"/>
      <c r="R6" s="87"/>
      <c r="S6" s="210"/>
      <c r="T6" s="204"/>
    </row>
    <row r="7" s="81" customFormat="1" ht="30.65" customHeight="1" spans="1:20">
      <c r="A7" s="36"/>
      <c r="B7" s="36"/>
      <c r="C7" s="36"/>
      <c r="D7" s="36"/>
      <c r="E7" s="36"/>
      <c r="F7" s="36"/>
      <c r="G7" s="36"/>
      <c r="H7" s="36"/>
      <c r="I7" s="36"/>
      <c r="J7" s="211"/>
      <c r="K7" s="172"/>
      <c r="L7" s="36"/>
      <c r="M7" s="36"/>
      <c r="N7" s="36"/>
      <c r="O7" s="36"/>
      <c r="P7" s="36"/>
      <c r="Q7" s="36"/>
      <c r="R7" s="36"/>
      <c r="S7" s="36"/>
      <c r="T7" s="36"/>
    </row>
    <row r="8" ht="15.75" customHeight="1" spans="1:20">
      <c r="A8" s="89"/>
      <c r="B8" s="203"/>
      <c r="C8" s="203"/>
      <c r="D8" s="203"/>
      <c r="E8" s="89"/>
      <c r="F8" s="90"/>
      <c r="G8" s="90"/>
      <c r="H8" s="206"/>
      <c r="I8" s="91" t="s">
        <v>170</v>
      </c>
      <c r="J8" s="212"/>
      <c r="K8" s="28"/>
      <c r="L8" s="213"/>
      <c r="M8" s="213"/>
      <c r="N8" s="91"/>
      <c r="O8" s="91"/>
      <c r="P8" s="91"/>
      <c r="Q8" s="91" t="s">
        <v>170</v>
      </c>
      <c r="R8" s="203"/>
      <c r="S8" s="214"/>
      <c r="T8" s="93"/>
    </row>
    <row r="9" ht="15.75" customHeight="1" spans="1:20">
      <c r="A9" s="89"/>
      <c r="B9" s="203"/>
      <c r="C9" s="203"/>
      <c r="D9" s="203"/>
      <c r="E9" s="89"/>
      <c r="F9" s="90"/>
      <c r="G9" s="90"/>
      <c r="H9" s="206"/>
      <c r="I9" s="91" t="s">
        <v>170</v>
      </c>
      <c r="J9" s="212"/>
      <c r="K9" s="28"/>
      <c r="L9" s="213"/>
      <c r="M9" s="213"/>
      <c r="N9" s="91"/>
      <c r="O9" s="91"/>
      <c r="P9" s="91"/>
      <c r="Q9" s="91" t="s">
        <v>170</v>
      </c>
      <c r="R9" s="203"/>
      <c r="S9" s="214"/>
      <c r="T9" s="93"/>
    </row>
    <row r="10" ht="15.75" customHeight="1" spans="1:20">
      <c r="A10" s="89"/>
      <c r="B10" s="203"/>
      <c r="C10" s="203"/>
      <c r="D10" s="203"/>
      <c r="E10" s="89"/>
      <c r="F10" s="90"/>
      <c r="G10" s="90"/>
      <c r="H10" s="206"/>
      <c r="I10" s="91" t="s">
        <v>170</v>
      </c>
      <c r="J10" s="212"/>
      <c r="K10" s="28"/>
      <c r="L10" s="213"/>
      <c r="M10" s="213"/>
      <c r="N10" s="91"/>
      <c r="O10" s="91"/>
      <c r="P10" s="91"/>
      <c r="Q10" s="91" t="s">
        <v>170</v>
      </c>
      <c r="R10" s="203"/>
      <c r="S10" s="214"/>
      <c r="T10" s="93"/>
    </row>
    <row r="11" ht="15.75" customHeight="1" spans="1:20">
      <c r="A11" s="89"/>
      <c r="B11" s="203"/>
      <c r="C11" s="203"/>
      <c r="D11" s="203"/>
      <c r="E11" s="89"/>
      <c r="F11" s="90"/>
      <c r="G11" s="90"/>
      <c r="H11" s="206"/>
      <c r="I11" s="91" t="s">
        <v>170</v>
      </c>
      <c r="J11" s="212"/>
      <c r="K11" s="28"/>
      <c r="L11" s="213"/>
      <c r="M11" s="213"/>
      <c r="N11" s="91"/>
      <c r="O11" s="91"/>
      <c r="P11" s="91"/>
      <c r="Q11" s="91" t="s">
        <v>170</v>
      </c>
      <c r="R11" s="203"/>
      <c r="S11" s="214"/>
      <c r="T11" s="93"/>
    </row>
    <row r="12" ht="15.75" customHeight="1" spans="1:20">
      <c r="A12" s="89"/>
      <c r="B12" s="203"/>
      <c r="C12" s="203"/>
      <c r="D12" s="203"/>
      <c r="E12" s="89"/>
      <c r="F12" s="90"/>
      <c r="G12" s="90"/>
      <c r="H12" s="206"/>
      <c r="I12" s="91" t="s">
        <v>170</v>
      </c>
      <c r="J12" s="212"/>
      <c r="K12" s="28"/>
      <c r="L12" s="213"/>
      <c r="M12" s="213"/>
      <c r="N12" s="91"/>
      <c r="O12" s="91"/>
      <c r="P12" s="91"/>
      <c r="Q12" s="91" t="s">
        <v>170</v>
      </c>
      <c r="R12" s="203"/>
      <c r="S12" s="214"/>
      <c r="T12" s="93"/>
    </row>
    <row r="13" ht="15.75" customHeight="1" spans="1:20">
      <c r="A13" s="89"/>
      <c r="B13" s="203"/>
      <c r="C13" s="203"/>
      <c r="D13" s="203"/>
      <c r="E13" s="89"/>
      <c r="F13" s="90"/>
      <c r="G13" s="90"/>
      <c r="H13" s="206"/>
      <c r="I13" s="91" t="s">
        <v>170</v>
      </c>
      <c r="J13" s="212"/>
      <c r="K13" s="28"/>
      <c r="L13" s="213"/>
      <c r="M13" s="213"/>
      <c r="N13" s="91"/>
      <c r="O13" s="91"/>
      <c r="P13" s="91"/>
      <c r="Q13" s="91" t="s">
        <v>170</v>
      </c>
      <c r="R13" s="203"/>
      <c r="S13" s="214"/>
      <c r="T13" s="93"/>
    </row>
    <row r="14" ht="15.75" customHeight="1" spans="1:20">
      <c r="A14" s="89"/>
      <c r="B14" s="203"/>
      <c r="C14" s="203"/>
      <c r="D14" s="203"/>
      <c r="E14" s="89"/>
      <c r="F14" s="90"/>
      <c r="G14" s="90"/>
      <c r="H14" s="206"/>
      <c r="I14" s="91" t="s">
        <v>170</v>
      </c>
      <c r="J14" s="212"/>
      <c r="K14" s="28"/>
      <c r="L14" s="213"/>
      <c r="M14" s="213"/>
      <c r="N14" s="91"/>
      <c r="O14" s="91"/>
      <c r="P14" s="91"/>
      <c r="Q14" s="91" t="s">
        <v>170</v>
      </c>
      <c r="R14" s="203"/>
      <c r="S14" s="214"/>
      <c r="T14" s="93"/>
    </row>
    <row r="15" ht="15.75" customHeight="1" spans="1:20">
      <c r="A15" s="89"/>
      <c r="B15" s="203"/>
      <c r="C15" s="203"/>
      <c r="D15" s="203"/>
      <c r="E15" s="89"/>
      <c r="F15" s="90"/>
      <c r="G15" s="90"/>
      <c r="H15" s="206"/>
      <c r="I15" s="91"/>
      <c r="J15" s="212"/>
      <c r="K15" s="28"/>
      <c r="L15" s="213"/>
      <c r="M15" s="213"/>
      <c r="N15" s="91"/>
      <c r="O15" s="91"/>
      <c r="P15" s="91"/>
      <c r="Q15" s="91"/>
      <c r="R15" s="203"/>
      <c r="S15" s="214"/>
      <c r="T15" s="93"/>
    </row>
    <row r="16" ht="15.75" customHeight="1" spans="1:20">
      <c r="A16" s="89"/>
      <c r="B16" s="203"/>
      <c r="C16" s="203"/>
      <c r="D16" s="203"/>
      <c r="E16" s="89"/>
      <c r="F16" s="90"/>
      <c r="G16" s="90"/>
      <c r="H16" s="206"/>
      <c r="I16" s="91"/>
      <c r="J16" s="212"/>
      <c r="K16" s="28"/>
      <c r="L16" s="213"/>
      <c r="M16" s="213"/>
      <c r="N16" s="91"/>
      <c r="O16" s="91"/>
      <c r="P16" s="91"/>
      <c r="Q16" s="91"/>
      <c r="R16" s="203"/>
      <c r="S16" s="214"/>
      <c r="T16" s="93"/>
    </row>
    <row r="17" ht="15.75" customHeight="1" spans="1:20">
      <c r="A17" s="89"/>
      <c r="B17" s="203"/>
      <c r="C17" s="203"/>
      <c r="D17" s="203"/>
      <c r="E17" s="89"/>
      <c r="F17" s="90"/>
      <c r="G17" s="90"/>
      <c r="H17" s="206"/>
      <c r="I17" s="91" t="s">
        <v>170</v>
      </c>
      <c r="J17" s="212"/>
      <c r="K17" s="28"/>
      <c r="L17" s="213"/>
      <c r="M17" s="213"/>
      <c r="N17" s="91"/>
      <c r="O17" s="91"/>
      <c r="P17" s="91"/>
      <c r="Q17" s="91" t="s">
        <v>170</v>
      </c>
      <c r="R17" s="203"/>
      <c r="S17" s="214"/>
      <c r="T17" s="93"/>
    </row>
    <row r="18" ht="15.75" customHeight="1" spans="1:20">
      <c r="A18" s="89"/>
      <c r="B18" s="203"/>
      <c r="C18" s="203"/>
      <c r="D18" s="203"/>
      <c r="E18" s="89"/>
      <c r="F18" s="90"/>
      <c r="G18" s="90"/>
      <c r="H18" s="206"/>
      <c r="I18" s="91"/>
      <c r="J18" s="212"/>
      <c r="K18" s="28"/>
      <c r="L18" s="213"/>
      <c r="M18" s="213"/>
      <c r="N18" s="91"/>
      <c r="O18" s="91"/>
      <c r="P18" s="91"/>
      <c r="Q18" s="91"/>
      <c r="R18" s="203"/>
      <c r="S18" s="214"/>
      <c r="T18" s="93"/>
    </row>
    <row r="19" ht="15.75" customHeight="1" spans="1:20">
      <c r="A19" s="89"/>
      <c r="B19" s="203"/>
      <c r="C19" s="203"/>
      <c r="D19" s="203"/>
      <c r="E19" s="89"/>
      <c r="F19" s="90"/>
      <c r="G19" s="90"/>
      <c r="H19" s="206"/>
      <c r="I19" s="91"/>
      <c r="J19" s="212"/>
      <c r="K19" s="28"/>
      <c r="L19" s="213"/>
      <c r="M19" s="213"/>
      <c r="N19" s="91"/>
      <c r="O19" s="91"/>
      <c r="P19" s="91"/>
      <c r="Q19" s="91"/>
      <c r="R19" s="203"/>
      <c r="S19" s="214"/>
      <c r="T19" s="93"/>
    </row>
    <row r="20" ht="15.75" customHeight="1" spans="1:20">
      <c r="A20" s="89"/>
      <c r="B20" s="203"/>
      <c r="C20" s="203"/>
      <c r="D20" s="203"/>
      <c r="E20" s="89"/>
      <c r="F20" s="90"/>
      <c r="G20" s="90"/>
      <c r="H20" s="206"/>
      <c r="I20" s="91"/>
      <c r="J20" s="212"/>
      <c r="K20" s="28"/>
      <c r="L20" s="213"/>
      <c r="M20" s="213"/>
      <c r="N20" s="91"/>
      <c r="O20" s="91"/>
      <c r="P20" s="91"/>
      <c r="Q20" s="91"/>
      <c r="R20" s="203"/>
      <c r="S20" s="214"/>
      <c r="T20" s="93"/>
    </row>
    <row r="21" ht="15.75" customHeight="1" spans="1:20">
      <c r="A21" s="89"/>
      <c r="B21" s="203"/>
      <c r="C21" s="203"/>
      <c r="D21" s="203"/>
      <c r="E21" s="89"/>
      <c r="F21" s="90"/>
      <c r="G21" s="90"/>
      <c r="H21" s="206"/>
      <c r="I21" s="91" t="s">
        <v>170</v>
      </c>
      <c r="J21" s="212"/>
      <c r="K21" s="28"/>
      <c r="L21" s="213"/>
      <c r="M21" s="213"/>
      <c r="N21" s="91"/>
      <c r="O21" s="91"/>
      <c r="P21" s="91"/>
      <c r="Q21" s="91" t="s">
        <v>170</v>
      </c>
      <c r="R21" s="203"/>
      <c r="S21" s="214"/>
      <c r="T21" s="93"/>
    </row>
    <row r="22" ht="15.75" customHeight="1" spans="1:20">
      <c r="A22" s="89"/>
      <c r="B22" s="203"/>
      <c r="C22" s="203"/>
      <c r="D22" s="203"/>
      <c r="E22" s="89"/>
      <c r="F22" s="90"/>
      <c r="G22" s="90"/>
      <c r="H22" s="206"/>
      <c r="I22" s="91" t="s">
        <v>170</v>
      </c>
      <c r="J22" s="212"/>
      <c r="K22" s="28"/>
      <c r="L22" s="213"/>
      <c r="M22" s="213"/>
      <c r="N22" s="91"/>
      <c r="O22" s="91"/>
      <c r="P22" s="91"/>
      <c r="Q22" s="91" t="s">
        <v>170</v>
      </c>
      <c r="R22" s="203"/>
      <c r="S22" s="214"/>
      <c r="T22" s="93"/>
    </row>
    <row r="23" ht="15.75" customHeight="1" spans="1:20">
      <c r="A23" s="89"/>
      <c r="B23" s="203"/>
      <c r="C23" s="203"/>
      <c r="D23" s="203"/>
      <c r="E23" s="89"/>
      <c r="F23" s="90"/>
      <c r="G23" s="90"/>
      <c r="H23" s="206"/>
      <c r="I23" s="91" t="s">
        <v>170</v>
      </c>
      <c r="J23" s="212"/>
      <c r="K23" s="28"/>
      <c r="L23" s="213"/>
      <c r="M23" s="213"/>
      <c r="N23" s="91"/>
      <c r="O23" s="91"/>
      <c r="P23" s="91"/>
      <c r="Q23" s="91" t="s">
        <v>170</v>
      </c>
      <c r="R23" s="203"/>
      <c r="S23" s="214"/>
      <c r="T23" s="93"/>
    </row>
    <row r="24" ht="15.75" customHeight="1" spans="1:20">
      <c r="A24" s="89"/>
      <c r="B24" s="203"/>
      <c r="C24" s="203"/>
      <c r="D24" s="203"/>
      <c r="E24" s="89"/>
      <c r="F24" s="90"/>
      <c r="G24" s="90"/>
      <c r="H24" s="206"/>
      <c r="I24" s="91" t="s">
        <v>170</v>
      </c>
      <c r="J24" s="212"/>
      <c r="K24" s="28"/>
      <c r="L24" s="213"/>
      <c r="M24" s="213"/>
      <c r="N24" s="91"/>
      <c r="O24" s="91"/>
      <c r="P24" s="91"/>
      <c r="Q24" s="91" t="s">
        <v>170</v>
      </c>
      <c r="R24" s="203"/>
      <c r="S24" s="214"/>
      <c r="T24" s="93"/>
    </row>
    <row r="25" ht="15.75" customHeight="1" spans="1:20">
      <c r="A25" s="89"/>
      <c r="B25" s="203"/>
      <c r="C25" s="203"/>
      <c r="D25" s="203"/>
      <c r="E25" s="89"/>
      <c r="F25" s="90"/>
      <c r="G25" s="90"/>
      <c r="H25" s="206"/>
      <c r="I25" s="91" t="s">
        <v>170</v>
      </c>
      <c r="J25" s="212"/>
      <c r="K25" s="28"/>
      <c r="L25" s="213"/>
      <c r="M25" s="213"/>
      <c r="N25" s="91"/>
      <c r="O25" s="91"/>
      <c r="P25" s="91"/>
      <c r="Q25" s="91" t="s">
        <v>170</v>
      </c>
      <c r="R25" s="203"/>
      <c r="S25" s="214"/>
      <c r="T25" s="93"/>
    </row>
    <row r="26" ht="15.75" customHeight="1" spans="1:20">
      <c r="A26" s="89"/>
      <c r="B26" s="203"/>
      <c r="C26" s="203"/>
      <c r="D26" s="203"/>
      <c r="E26" s="89"/>
      <c r="F26" s="90"/>
      <c r="G26" s="90"/>
      <c r="H26" s="206"/>
      <c r="I26" s="91"/>
      <c r="J26" s="212"/>
      <c r="K26" s="28"/>
      <c r="L26" s="213"/>
      <c r="M26" s="213"/>
      <c r="N26" s="91"/>
      <c r="O26" s="91"/>
      <c r="P26" s="91"/>
      <c r="Q26" s="91" t="s">
        <v>170</v>
      </c>
      <c r="R26" s="203"/>
      <c r="S26" s="214"/>
      <c r="T26" s="93"/>
    </row>
    <row r="27" ht="15.75" customHeight="1" spans="1:20">
      <c r="A27" s="204" t="s">
        <v>319</v>
      </c>
      <c r="B27" s="32"/>
      <c r="C27" s="28"/>
      <c r="D27" s="205"/>
      <c r="E27" s="89"/>
      <c r="F27" s="90"/>
      <c r="G27" s="90"/>
      <c r="H27" s="206"/>
      <c r="I27" s="91" t="s">
        <v>170</v>
      </c>
      <c r="J27" s="212"/>
      <c r="K27" s="28"/>
      <c r="L27" s="213">
        <f>SUM(L8:L26)</f>
        <v>0</v>
      </c>
      <c r="M27" s="213"/>
      <c r="N27" s="213">
        <f>SUM(N8:N26)</f>
        <v>0</v>
      </c>
      <c r="O27" s="213">
        <f>SUM(O8:O26)</f>
        <v>0</v>
      </c>
      <c r="P27" s="91"/>
      <c r="Q27" s="91" t="s">
        <v>170</v>
      </c>
      <c r="R27" s="203"/>
      <c r="S27" s="214"/>
      <c r="T27" s="93"/>
    </row>
    <row r="28" ht="15.75" customHeight="1" spans="1:20">
      <c r="A28" s="29" t="str">
        <f>封面!D11&amp;封面!G11</f>
        <v>被评估单位填表人：</v>
      </c>
      <c r="B28" s="13"/>
      <c r="C28" s="13"/>
      <c r="D28" s="13"/>
      <c r="N28" s="13" t="str">
        <f>"评估人员："&amp;封面!L22</f>
        <v>评估人员：</v>
      </c>
    </row>
    <row r="29" ht="15.75" customHeight="1" spans="1:20">
      <c r="A29" s="29" t="str">
        <f>CONCATENATE(封面!D13,封面!F13,封面!G13,封面!H13,封面!I13,封面!J13,封面!K13)</f>
        <v>填表日期：年月日</v>
      </c>
    </row>
  </sheetData>
  <mergeCells count="44">
    <mergeCell ref="A2:R2"/>
    <mergeCell ref="A3:R3"/>
    <mergeCell ref="A4:R4"/>
    <mergeCell ref="A5:G5"/>
    <mergeCell ref="J8:K8"/>
    <mergeCell ref="J9:K9"/>
    <mergeCell ref="J10:K10"/>
    <mergeCell ref="J11:K11"/>
    <mergeCell ref="J12:K12"/>
    <mergeCell ref="J13:K13"/>
    <mergeCell ref="J14:K14"/>
    <mergeCell ref="J15:K15"/>
    <mergeCell ref="J16:K16"/>
    <mergeCell ref="J17:K17"/>
    <mergeCell ref="J18:K18"/>
    <mergeCell ref="J19:K19"/>
    <mergeCell ref="J20:K20"/>
    <mergeCell ref="J21:K21"/>
    <mergeCell ref="J22:K22"/>
    <mergeCell ref="J23:K23"/>
    <mergeCell ref="J24:K24"/>
    <mergeCell ref="J25:K25"/>
    <mergeCell ref="J26:K26"/>
    <mergeCell ref="A27:C27"/>
    <mergeCell ref="J27:K27"/>
    <mergeCell ref="A6:A7"/>
    <mergeCell ref="B6:B7"/>
    <mergeCell ref="C6:C7"/>
    <mergeCell ref="D6:D7"/>
    <mergeCell ref="E6:E7"/>
    <mergeCell ref="F6:F7"/>
    <mergeCell ref="G6:G7"/>
    <mergeCell ref="H6:H7"/>
    <mergeCell ref="I6:I7"/>
    <mergeCell ref="L6:L7"/>
    <mergeCell ref="M6:M7"/>
    <mergeCell ref="N6:N7"/>
    <mergeCell ref="O6:O7"/>
    <mergeCell ref="P6:P7"/>
    <mergeCell ref="Q6:Q7"/>
    <mergeCell ref="R6:R7"/>
    <mergeCell ref="S6:S7"/>
    <mergeCell ref="T6:T7"/>
    <mergeCell ref="J6:K7"/>
  </mergeCells>
  <hyperlinks>
    <hyperlink ref="A1" location="索引目录!C35" display="返回索引页"/>
    <hyperlink ref="B1" location="分类汇总!B25" display="返回"/>
  </hyperlinks>
  <printOptions horizontalCentered="1"/>
  <pageMargins left="0.354330708661417" right="0.354330708661417" top="0.78740157480315" bottom="0.78740157480315" header="1.06299212598425" footer="0.511811023622047"/>
  <pageSetup paperSize="9" orientation="landscape"/>
  <headerFooter alignWithMargins="0">
    <oddHeader>&amp;R&amp;"宋体,常规"共&amp;"Times New Roman,常规"&amp;N&amp;"宋体,常规"页第&amp;"Times New Roman,常规"&amp;P&amp;"宋体,常规"4-5-2
页</oddHeader>
  </headerFooter>
  <legacyDrawing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3">
    <tabColor indexed="14"/>
    <pageSetUpPr fitToPage="1"/>
  </sheetPr>
  <dimension ref="A1:S29"/>
  <sheetViews>
    <sheetView view="pageBreakPreview" zoomScale="60" zoomScaleNormal="100" workbookViewId="0">
      <selection activeCell="G451" sqref="G451"/>
    </sheetView>
  </sheetViews>
  <sheetFormatPr defaultColWidth="9" defaultRowHeight="13"/>
  <cols>
    <col min="1" max="1" width="4.33333333333333" style="85" customWidth="1"/>
    <col min="2" max="2" width="6.25" style="85" customWidth="1"/>
    <col min="3" max="3" width="11.3333333333333" style="85" customWidth="1"/>
    <col min="4" max="4" width="13.75" style="85" customWidth="1"/>
    <col min="5" max="5" width="8.58333333333333" style="85" customWidth="1"/>
    <col min="6" max="7" width="4.83333333333333" style="85" customWidth="1"/>
    <col min="8" max="8" width="4.58333333333333" style="85" customWidth="1"/>
    <col min="9" max="9" width="4.5" style="85" customWidth="1"/>
    <col min="10" max="10" width="4.83333333333333" style="85" customWidth="1"/>
    <col min="11" max="11" width="7.5" style="85" customWidth="1"/>
    <col min="12" max="12" width="8.25" style="85" customWidth="1"/>
    <col min="13" max="13" width="12.25" style="85" hidden="1" customWidth="1" outlineLevel="1"/>
    <col min="14" max="14" width="10.25" style="85" hidden="1" customWidth="1" outlineLevel="1"/>
    <col min="15" max="15" width="10.25" style="85" customWidth="1" collapsed="1"/>
    <col min="16" max="16" width="10.25" style="85" customWidth="1"/>
    <col min="17" max="17" width="8.75" style="85" customWidth="1"/>
    <col min="18" max="18" width="7.33333333333333" style="85" customWidth="1"/>
    <col min="19" max="19" width="8.33333333333333" style="85" customWidth="1"/>
    <col min="20" max="16384" width="9" style="85" customWidth="1"/>
  </cols>
  <sheetData>
    <row r="1" s="13" customFormat="1" ht="15" customHeight="1" spans="1:19">
      <c r="A1" s="14" t="s">
        <v>111</v>
      </c>
      <c r="B1" s="15" t="s">
        <v>210</v>
      </c>
      <c r="C1" s="16"/>
      <c r="D1" s="16"/>
      <c r="E1" s="16"/>
      <c r="F1" s="16"/>
      <c r="G1" s="16"/>
      <c r="H1" s="16"/>
      <c r="I1" s="16"/>
      <c r="J1" s="16"/>
      <c r="K1" s="16"/>
      <c r="L1" s="16"/>
    </row>
    <row r="2" s="199" customFormat="1" ht="30" customHeight="1" spans="1:19">
      <c r="A2" s="83" t="s">
        <v>463</v>
      </c>
    </row>
    <row r="3" s="199" customFormat="1" ht="15.75" customHeight="1" spans="1:19">
      <c r="A3" s="201" t="s">
        <v>458</v>
      </c>
    </row>
    <row r="4" ht="13.5" customHeight="1" spans="1:19">
      <c r="A4" s="84" t="str">
        <f>'4-5-2投资性房地产'!A4:R4</f>
        <v>评估基准日：年月日</v>
      </c>
    </row>
    <row r="5" ht="12.75" customHeight="1" spans="1:19">
      <c r="A5" s="202" t="s">
        <v>459</v>
      </c>
      <c r="B5" s="171"/>
      <c r="C5" s="171"/>
      <c r="D5" s="171"/>
      <c r="E5" s="171"/>
      <c r="S5" s="86" t="s">
        <v>139</v>
      </c>
    </row>
    <row r="6" s="200" customFormat="1" ht="47.15" customHeight="1" spans="1:19">
      <c r="A6" s="87" t="s">
        <v>141</v>
      </c>
      <c r="B6" s="87"/>
      <c r="C6" s="87"/>
      <c r="D6" s="87"/>
      <c r="E6" s="87"/>
      <c r="F6" s="87"/>
      <c r="G6" s="87"/>
      <c r="H6" s="87"/>
      <c r="I6" s="87"/>
      <c r="J6" s="87"/>
      <c r="K6" s="87"/>
      <c r="L6" s="87"/>
      <c r="M6" s="88"/>
      <c r="N6" s="88"/>
      <c r="O6" s="88"/>
      <c r="P6" s="87"/>
      <c r="Q6" s="87"/>
      <c r="R6" s="87"/>
      <c r="S6" s="87"/>
    </row>
    <row r="7" ht="15.75" customHeight="1" spans="1:19">
      <c r="A7" s="89"/>
      <c r="B7" s="89"/>
      <c r="C7" s="203"/>
      <c r="D7" s="203"/>
      <c r="E7" s="203"/>
      <c r="F7" s="90"/>
      <c r="G7" s="89"/>
      <c r="H7" s="89"/>
      <c r="I7" s="89"/>
      <c r="J7" s="89"/>
      <c r="K7" s="91"/>
      <c r="L7" s="91"/>
      <c r="M7" s="92"/>
      <c r="N7" s="92"/>
      <c r="O7" s="92"/>
      <c r="P7" s="91"/>
      <c r="Q7" s="91"/>
      <c r="R7" s="91"/>
      <c r="S7" s="93"/>
    </row>
    <row r="8" ht="15.75" customHeight="1" spans="1:19">
      <c r="A8" s="89"/>
      <c r="B8" s="89"/>
      <c r="C8" s="203"/>
      <c r="D8" s="203"/>
      <c r="E8" s="203"/>
      <c r="F8" s="90"/>
      <c r="G8" s="89"/>
      <c r="H8" s="89"/>
      <c r="I8" s="89"/>
      <c r="J8" s="89"/>
      <c r="K8" s="91"/>
      <c r="L8" s="91"/>
      <c r="M8" s="91"/>
      <c r="N8" s="91"/>
      <c r="O8" s="91"/>
      <c r="P8" s="91"/>
      <c r="Q8" s="91"/>
      <c r="R8" s="91"/>
      <c r="S8" s="93"/>
    </row>
    <row r="9" ht="15.75" customHeight="1" spans="1:19">
      <c r="A9" s="89"/>
      <c r="B9" s="89"/>
      <c r="C9" s="203"/>
      <c r="D9" s="203"/>
      <c r="E9" s="203"/>
      <c r="F9" s="90"/>
      <c r="G9" s="89"/>
      <c r="H9" s="89"/>
      <c r="I9" s="89"/>
      <c r="J9" s="89"/>
      <c r="K9" s="91"/>
      <c r="L9" s="91"/>
      <c r="M9" s="91"/>
      <c r="N9" s="91"/>
      <c r="O9" s="91"/>
      <c r="P9" s="91"/>
      <c r="Q9" s="91"/>
      <c r="R9" s="91"/>
      <c r="S9" s="93"/>
    </row>
    <row r="10" ht="15.75" customHeight="1" spans="1:19">
      <c r="A10" s="89"/>
      <c r="B10" s="89"/>
      <c r="C10" s="203"/>
      <c r="D10" s="203"/>
      <c r="E10" s="203"/>
      <c r="F10" s="90"/>
      <c r="G10" s="89"/>
      <c r="H10" s="89"/>
      <c r="I10" s="89"/>
      <c r="J10" s="89"/>
      <c r="K10" s="91"/>
      <c r="L10" s="91"/>
      <c r="M10" s="91"/>
      <c r="N10" s="91"/>
      <c r="O10" s="91"/>
      <c r="P10" s="91"/>
      <c r="Q10" s="91"/>
      <c r="R10" s="91"/>
      <c r="S10" s="93"/>
    </row>
    <row r="11" ht="15.75" customHeight="1" spans="1:19">
      <c r="A11" s="89"/>
      <c r="B11" s="89"/>
      <c r="C11" s="203"/>
      <c r="D11" s="203"/>
      <c r="E11" s="203"/>
      <c r="F11" s="90"/>
      <c r="G11" s="89"/>
      <c r="H11" s="89"/>
      <c r="I11" s="89"/>
      <c r="J11" s="89"/>
      <c r="K11" s="91"/>
      <c r="L11" s="91"/>
      <c r="M11" s="91"/>
      <c r="N11" s="91"/>
      <c r="O11" s="91"/>
      <c r="P11" s="91"/>
      <c r="Q11" s="91"/>
      <c r="R11" s="91"/>
      <c r="S11" s="93"/>
    </row>
    <row r="12" ht="15.75" customHeight="1" spans="1:19">
      <c r="A12" s="89"/>
      <c r="B12" s="89"/>
      <c r="C12" s="203"/>
      <c r="D12" s="203"/>
      <c r="E12" s="203"/>
      <c r="F12" s="90"/>
      <c r="G12" s="89"/>
      <c r="H12" s="89"/>
      <c r="I12" s="89"/>
      <c r="J12" s="89"/>
      <c r="K12" s="91"/>
      <c r="L12" s="91"/>
      <c r="M12" s="91"/>
      <c r="N12" s="91"/>
      <c r="O12" s="91"/>
      <c r="P12" s="91"/>
      <c r="Q12" s="91"/>
      <c r="R12" s="91"/>
      <c r="S12" s="93"/>
    </row>
    <row r="13" ht="15.75" customHeight="1" spans="1:19">
      <c r="A13" s="89"/>
      <c r="B13" s="89"/>
      <c r="C13" s="203"/>
      <c r="D13" s="203"/>
      <c r="E13" s="203"/>
      <c r="F13" s="90"/>
      <c r="G13" s="89"/>
      <c r="H13" s="89"/>
      <c r="I13" s="89"/>
      <c r="J13" s="89"/>
      <c r="K13" s="91"/>
      <c r="L13" s="91"/>
      <c r="M13" s="91"/>
      <c r="N13" s="91"/>
      <c r="O13" s="91"/>
      <c r="P13" s="91"/>
      <c r="Q13" s="91"/>
      <c r="R13" s="91"/>
      <c r="S13" s="93"/>
    </row>
    <row r="14" ht="15.75" customHeight="1" spans="1:19">
      <c r="A14" s="89"/>
      <c r="B14" s="89"/>
      <c r="C14" s="203"/>
      <c r="D14" s="203"/>
      <c r="E14" s="203"/>
      <c r="F14" s="90"/>
      <c r="G14" s="89"/>
      <c r="H14" s="89"/>
      <c r="I14" s="89"/>
      <c r="J14" s="89"/>
      <c r="K14" s="91"/>
      <c r="L14" s="91"/>
      <c r="M14" s="91"/>
      <c r="N14" s="91"/>
      <c r="O14" s="91"/>
      <c r="P14" s="91"/>
      <c r="Q14" s="91"/>
      <c r="R14" s="91"/>
      <c r="S14" s="93"/>
    </row>
    <row r="15" ht="15.75" customHeight="1" spans="1:19">
      <c r="A15" s="89"/>
      <c r="B15" s="89"/>
      <c r="C15" s="203"/>
      <c r="D15" s="203"/>
      <c r="E15" s="203"/>
      <c r="F15" s="90"/>
      <c r="G15" s="89"/>
      <c r="H15" s="89"/>
      <c r="I15" s="89"/>
      <c r="J15" s="89"/>
      <c r="K15" s="91"/>
      <c r="L15" s="91"/>
      <c r="M15" s="91"/>
      <c r="N15" s="91"/>
      <c r="O15" s="91"/>
      <c r="P15" s="91"/>
      <c r="Q15" s="91"/>
      <c r="R15" s="91"/>
      <c r="S15" s="93"/>
    </row>
    <row r="16" ht="15.75" customHeight="1" spans="1:19">
      <c r="A16" s="89"/>
      <c r="B16" s="89"/>
      <c r="C16" s="203"/>
      <c r="D16" s="203"/>
      <c r="E16" s="203"/>
      <c r="F16" s="90"/>
      <c r="G16" s="89"/>
      <c r="H16" s="89"/>
      <c r="I16" s="89"/>
      <c r="J16" s="89"/>
      <c r="K16" s="91"/>
      <c r="L16" s="91"/>
      <c r="M16" s="91"/>
      <c r="N16" s="91"/>
      <c r="O16" s="91"/>
      <c r="P16" s="91"/>
      <c r="Q16" s="91"/>
      <c r="R16" s="91"/>
      <c r="S16" s="93"/>
    </row>
    <row r="17" ht="15.75" customHeight="1" spans="1:19">
      <c r="A17" s="89"/>
      <c r="B17" s="89"/>
      <c r="C17" s="203"/>
      <c r="D17" s="203"/>
      <c r="E17" s="203"/>
      <c r="F17" s="90"/>
      <c r="G17" s="89"/>
      <c r="H17" s="89"/>
      <c r="I17" s="89"/>
      <c r="J17" s="89"/>
      <c r="K17" s="91"/>
      <c r="L17" s="91"/>
      <c r="M17" s="91"/>
      <c r="N17" s="91"/>
      <c r="O17" s="91"/>
      <c r="P17" s="91"/>
      <c r="Q17" s="91"/>
      <c r="R17" s="91"/>
      <c r="S17" s="93"/>
    </row>
    <row r="18" ht="15.75" customHeight="1" spans="1:19">
      <c r="A18" s="89"/>
      <c r="B18" s="89"/>
      <c r="C18" s="203"/>
      <c r="D18" s="203"/>
      <c r="E18" s="203"/>
      <c r="F18" s="90"/>
      <c r="G18" s="89"/>
      <c r="H18" s="89"/>
      <c r="I18" s="89"/>
      <c r="J18" s="89"/>
      <c r="K18" s="91"/>
      <c r="L18" s="91"/>
      <c r="M18" s="91"/>
      <c r="N18" s="91"/>
      <c r="O18" s="91"/>
      <c r="P18" s="91"/>
      <c r="Q18" s="91"/>
      <c r="R18" s="91"/>
      <c r="S18" s="93"/>
    </row>
    <row r="19" ht="15.75" customHeight="1" spans="1:19">
      <c r="A19" s="89"/>
      <c r="B19" s="89"/>
      <c r="C19" s="203"/>
      <c r="D19" s="203"/>
      <c r="E19" s="203"/>
      <c r="F19" s="90"/>
      <c r="G19" s="89"/>
      <c r="H19" s="89"/>
      <c r="I19" s="89"/>
      <c r="J19" s="89"/>
      <c r="K19" s="91"/>
      <c r="L19" s="91"/>
      <c r="M19" s="91"/>
      <c r="N19" s="91"/>
      <c r="O19" s="91"/>
      <c r="P19" s="91"/>
      <c r="Q19" s="91"/>
      <c r="R19" s="91"/>
      <c r="S19" s="93"/>
    </row>
    <row r="20" ht="15.75" customHeight="1" spans="1:19">
      <c r="A20" s="89"/>
      <c r="B20" s="89"/>
      <c r="C20" s="203"/>
      <c r="D20" s="203"/>
      <c r="E20" s="203"/>
      <c r="F20" s="90"/>
      <c r="G20" s="89"/>
      <c r="H20" s="89"/>
      <c r="I20" s="89"/>
      <c r="J20" s="89"/>
      <c r="K20" s="91"/>
      <c r="L20" s="91"/>
      <c r="M20" s="91"/>
      <c r="N20" s="91"/>
      <c r="O20" s="91"/>
      <c r="P20" s="91"/>
      <c r="Q20" s="91"/>
      <c r="R20" s="91"/>
      <c r="S20" s="93"/>
    </row>
    <row r="21" ht="15.75" customHeight="1" spans="1:19">
      <c r="A21" s="89"/>
      <c r="B21" s="89"/>
      <c r="C21" s="203"/>
      <c r="D21" s="203"/>
      <c r="E21" s="203"/>
      <c r="F21" s="90"/>
      <c r="G21" s="89"/>
      <c r="H21" s="89"/>
      <c r="I21" s="89"/>
      <c r="J21" s="89"/>
      <c r="K21" s="91"/>
      <c r="L21" s="91"/>
      <c r="M21" s="91"/>
      <c r="N21" s="91"/>
      <c r="O21" s="91"/>
      <c r="P21" s="91"/>
      <c r="Q21" s="91"/>
      <c r="R21" s="91"/>
      <c r="S21" s="93"/>
    </row>
    <row r="22" ht="15.75" customHeight="1" spans="1:19">
      <c r="A22" s="89"/>
      <c r="B22" s="89"/>
      <c r="C22" s="203"/>
      <c r="D22" s="203"/>
      <c r="E22" s="203"/>
      <c r="F22" s="90"/>
      <c r="G22" s="89"/>
      <c r="H22" s="89"/>
      <c r="I22" s="89"/>
      <c r="J22" s="89"/>
      <c r="K22" s="91"/>
      <c r="L22" s="91"/>
      <c r="M22" s="91"/>
      <c r="N22" s="91"/>
      <c r="O22" s="91"/>
      <c r="P22" s="91"/>
      <c r="Q22" s="91"/>
      <c r="R22" s="91"/>
      <c r="S22" s="93"/>
    </row>
    <row r="23" ht="15.75" customHeight="1" spans="1:19">
      <c r="A23" s="89"/>
      <c r="B23" s="89"/>
      <c r="C23" s="203"/>
      <c r="D23" s="203"/>
      <c r="E23" s="203"/>
      <c r="F23" s="90"/>
      <c r="G23" s="89"/>
      <c r="H23" s="89"/>
      <c r="I23" s="89"/>
      <c r="J23" s="89"/>
      <c r="K23" s="91"/>
      <c r="L23" s="91"/>
      <c r="M23" s="91"/>
      <c r="N23" s="91"/>
      <c r="O23" s="91"/>
      <c r="P23" s="91"/>
      <c r="Q23" s="91"/>
      <c r="R23" s="91"/>
      <c r="S23" s="93"/>
    </row>
    <row r="24" ht="15.75" customHeight="1" spans="1:19">
      <c r="A24" s="89"/>
      <c r="B24" s="89"/>
      <c r="C24" s="203"/>
      <c r="D24" s="203"/>
      <c r="E24" s="203"/>
      <c r="F24" s="90"/>
      <c r="G24" s="89"/>
      <c r="H24" s="89"/>
      <c r="I24" s="89"/>
      <c r="J24" s="89"/>
      <c r="K24" s="91"/>
      <c r="L24" s="91"/>
      <c r="M24" s="91"/>
      <c r="N24" s="91"/>
      <c r="O24" s="91"/>
      <c r="P24" s="91"/>
      <c r="Q24" s="91"/>
      <c r="R24" s="91"/>
      <c r="S24" s="93"/>
    </row>
    <row r="25" ht="15.75" customHeight="1" spans="1:19">
      <c r="A25" s="204" t="s">
        <v>319</v>
      </c>
      <c r="B25" s="32"/>
      <c r="C25" s="28"/>
      <c r="D25" s="205"/>
      <c r="E25" s="89"/>
      <c r="F25" s="90"/>
      <c r="G25" s="90"/>
      <c r="H25" s="90"/>
      <c r="I25" s="206"/>
      <c r="J25" s="91" t="s">
        <v>170</v>
      </c>
      <c r="K25" s="92"/>
      <c r="L25" s="91"/>
      <c r="M25" s="91"/>
      <c r="N25" s="91"/>
      <c r="O25" s="91"/>
      <c r="P25" s="89"/>
      <c r="Q25" s="89"/>
      <c r="R25" s="91"/>
      <c r="S25" s="91" t="s">
        <v>170</v>
      </c>
    </row>
    <row r="26" ht="15.75" customHeight="1" spans="1:19">
      <c r="A26" s="207" t="s">
        <v>460</v>
      </c>
      <c r="B26" s="32"/>
      <c r="C26" s="28"/>
      <c r="D26" s="208"/>
      <c r="E26" s="89"/>
      <c r="F26" s="90"/>
      <c r="G26" s="90"/>
      <c r="H26" s="90"/>
      <c r="I26" s="206"/>
      <c r="J26" s="91"/>
      <c r="K26" s="92"/>
      <c r="L26" s="91"/>
      <c r="M26" s="91"/>
      <c r="N26" s="91"/>
      <c r="O26" s="91"/>
      <c r="P26" s="89"/>
      <c r="Q26" s="89"/>
      <c r="R26" s="91"/>
      <c r="S26" s="91" t="s">
        <v>170</v>
      </c>
    </row>
    <row r="27" ht="15.75" customHeight="1" spans="1:19">
      <c r="A27" s="204" t="s">
        <v>319</v>
      </c>
      <c r="B27" s="32"/>
      <c r="C27" s="28"/>
      <c r="D27" s="208"/>
      <c r="E27" s="89"/>
      <c r="F27" s="90"/>
      <c r="G27" s="90"/>
      <c r="H27" s="90"/>
      <c r="I27" s="93"/>
      <c r="J27" s="91"/>
      <c r="K27" s="92"/>
      <c r="L27" s="91"/>
      <c r="M27" s="91">
        <f>SUM(M7:M26)</f>
        <v>0</v>
      </c>
      <c r="N27" s="91"/>
      <c r="O27" s="91">
        <f>SUM(O7:O26)</f>
        <v>0</v>
      </c>
      <c r="P27" s="91">
        <f>SUM(P7:P26)</f>
        <v>0</v>
      </c>
      <c r="Q27" s="89"/>
      <c r="R27" s="91"/>
      <c r="S27" s="91" t="s">
        <v>170</v>
      </c>
    </row>
    <row r="28" ht="15.75" customHeight="1" spans="1:19">
      <c r="A28" s="29" t="str">
        <f>封面!D11&amp;封面!G11</f>
        <v>被评估单位填表人：</v>
      </c>
      <c r="B28" s="13"/>
      <c r="C28" s="13"/>
      <c r="D28" s="13"/>
      <c r="O28" s="13" t="str">
        <f>"评估人员："&amp;封面!L22</f>
        <v>评估人员：</v>
      </c>
    </row>
    <row r="29" ht="15.75" customHeight="1" spans="1:19">
      <c r="A29" s="29" t="str">
        <f>CONCATENATE(封面!D13,封面!F13,封面!G13,封面!H13,封面!I13,封面!J13,封面!K13)</f>
        <v>填表日期：年月日</v>
      </c>
    </row>
  </sheetData>
  <mergeCells count="7">
    <mergeCell ref="A2:S2"/>
    <mergeCell ref="A3:S3"/>
    <mergeCell ref="A4:S4"/>
    <mergeCell ref="A5:E5"/>
    <mergeCell ref="A25:C25"/>
    <mergeCell ref="A26:C26"/>
    <mergeCell ref="A27:C27"/>
  </mergeCells>
  <hyperlinks>
    <hyperlink ref="A1" location="索引目录!C35" display="返回索引页"/>
    <hyperlink ref="B1" location="分类汇总!B25" display="返回"/>
  </hyperlinks>
  <printOptions horizontalCentered="1"/>
  <pageMargins left="0.354330708661417" right="0.354330708661417" top="0.78740157480315" bottom="0.78740157480315" header="1.06299212598425" footer="0.511811023622047"/>
  <pageSetup paperSize="9" orientation="landscape"/>
  <headerFooter alignWithMargins="0">
    <oddHeader>&amp;R&amp;"宋体,常规"共&amp;"Times New Roman,常规"&amp;N&amp;"宋体,常规"页第&amp;"Times New Roman,常规"&amp;P&amp;"宋体,常规"4-5-3
页</oddHeader>
  </headerFooter>
  <legacyDrawing r:id="rId2"/>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4">
    <tabColor indexed="14"/>
    <pageSetUpPr fitToPage="1"/>
  </sheetPr>
  <dimension ref="A1:T29"/>
  <sheetViews>
    <sheetView view="pageBreakPreview" zoomScale="60" zoomScaleNormal="100" workbookViewId="0">
      <selection activeCell="G451" sqref="G451"/>
    </sheetView>
  </sheetViews>
  <sheetFormatPr defaultColWidth="9" defaultRowHeight="13"/>
  <cols>
    <col min="1" max="1" width="6.33333333333333" style="85" customWidth="1"/>
    <col min="2" max="2" width="6.83333333333333" style="85" customWidth="1"/>
    <col min="3" max="3" width="7.83333333333333" style="85" customWidth="1"/>
    <col min="4" max="4" width="13.75" style="85" customWidth="1"/>
    <col min="5" max="5" width="9.08333333333333" style="85" customWidth="1"/>
    <col min="6" max="6" width="4.75" style="85" customWidth="1"/>
    <col min="7" max="7" width="4.83333333333333" style="85" customWidth="1"/>
    <col min="8" max="8" width="4.58333333333333" style="85" customWidth="1"/>
    <col min="9" max="9" width="4.25" style="85" customWidth="1"/>
    <col min="10" max="10" width="4.75" style="85" customWidth="1"/>
    <col min="11" max="11" width="6.75" style="85" customWidth="1"/>
    <col min="12" max="12" width="10.25" style="85" customWidth="1"/>
    <col min="13" max="13" width="12.5833333333333" style="85" hidden="1" customWidth="1" outlineLevel="1"/>
    <col min="14" max="14" width="11.8333333333333" style="85" hidden="1" customWidth="1" outlineLevel="1"/>
    <col min="15" max="15" width="11.8333333333333" style="85" customWidth="1" collapsed="1"/>
    <col min="16" max="16" width="11.8333333333333" style="85" customWidth="1"/>
    <col min="17" max="17" width="10.0833333333333" style="85" customWidth="1"/>
    <col min="18" max="18" width="7.5" style="85" customWidth="1"/>
    <col min="19" max="19" width="7.83333333333333" style="85" customWidth="1"/>
    <col min="20" max="16384" width="9" style="85" customWidth="1"/>
  </cols>
  <sheetData>
    <row r="1" s="13" customFormat="1" ht="15" customHeight="1" spans="1:20">
      <c r="A1" s="14" t="s">
        <v>111</v>
      </c>
      <c r="B1" s="15" t="s">
        <v>210</v>
      </c>
      <c r="C1" s="16"/>
      <c r="D1" s="16"/>
      <c r="E1" s="16"/>
      <c r="F1" s="16"/>
      <c r="G1" s="16"/>
      <c r="H1" s="16"/>
      <c r="I1" s="16"/>
      <c r="J1" s="16"/>
      <c r="K1" s="16"/>
      <c r="L1" s="16"/>
    </row>
    <row r="2" s="199" customFormat="1" ht="30" customHeight="1" spans="1:20">
      <c r="A2" s="83" t="s">
        <v>463</v>
      </c>
      <c r="T2" s="200"/>
    </row>
    <row r="3" s="199" customFormat="1" ht="15.75" customHeight="1" spans="1:20">
      <c r="A3" s="201" t="s">
        <v>462</v>
      </c>
      <c r="T3" s="200"/>
    </row>
    <row r="4" ht="14.15" customHeight="1" spans="1:20">
      <c r="A4" s="84" t="str">
        <f>'4-5-3投资性地产'!A4:S4</f>
        <v>评估基准日：年月日</v>
      </c>
    </row>
    <row r="5" ht="15.75" customHeight="1" spans="1:20">
      <c r="A5" s="202" t="s">
        <v>459</v>
      </c>
      <c r="B5" s="171"/>
      <c r="C5" s="171"/>
      <c r="D5" s="171"/>
      <c r="E5" s="171"/>
      <c r="S5" s="86" t="s">
        <v>139</v>
      </c>
    </row>
    <row r="6" s="200" customFormat="1" ht="55.5" customHeight="1" spans="1:20">
      <c r="A6" s="87" t="s">
        <v>141</v>
      </c>
      <c r="B6" s="87"/>
      <c r="C6" s="87"/>
      <c r="D6" s="87"/>
      <c r="E6" s="87"/>
      <c r="F6" s="87"/>
      <c r="G6" s="87"/>
      <c r="H6" s="87"/>
      <c r="I6" s="87"/>
      <c r="J6" s="87"/>
      <c r="K6" s="87"/>
      <c r="L6" s="87"/>
      <c r="M6" s="88"/>
      <c r="N6" s="88"/>
      <c r="O6" s="88"/>
      <c r="P6" s="87"/>
      <c r="Q6" s="87"/>
      <c r="R6" s="87"/>
      <c r="S6" s="87"/>
    </row>
    <row r="7" ht="15.75" customHeight="1" spans="1:20">
      <c r="A7" s="89"/>
      <c r="B7" s="89"/>
      <c r="C7" s="203"/>
      <c r="D7" s="203"/>
      <c r="E7" s="203"/>
      <c r="F7" s="90"/>
      <c r="G7" s="89"/>
      <c r="H7" s="89"/>
      <c r="I7" s="89"/>
      <c r="J7" s="89"/>
      <c r="K7" s="91"/>
      <c r="L7" s="91"/>
      <c r="M7" s="92"/>
      <c r="N7" s="92"/>
      <c r="O7" s="92"/>
      <c r="P7" s="91"/>
      <c r="Q7" s="91"/>
      <c r="R7" s="91" t="s">
        <v>170</v>
      </c>
      <c r="S7" s="93"/>
    </row>
    <row r="8" ht="15.75" customHeight="1" spans="1:20">
      <c r="A8" s="89"/>
      <c r="B8" s="89"/>
      <c r="C8" s="203"/>
      <c r="D8" s="203"/>
      <c r="E8" s="203"/>
      <c r="F8" s="90"/>
      <c r="G8" s="89"/>
      <c r="H8" s="89"/>
      <c r="I8" s="89"/>
      <c r="J8" s="89"/>
      <c r="K8" s="91"/>
      <c r="L8" s="91"/>
      <c r="M8" s="91"/>
      <c r="N8" s="91"/>
      <c r="O8" s="91"/>
      <c r="P8" s="91"/>
      <c r="Q8" s="91"/>
      <c r="R8" s="91" t="s">
        <v>170</v>
      </c>
      <c r="S8" s="93"/>
    </row>
    <row r="9" ht="15.75" customHeight="1" spans="1:20">
      <c r="A9" s="89"/>
      <c r="B9" s="89"/>
      <c r="C9" s="203"/>
      <c r="D9" s="203"/>
      <c r="E9" s="203"/>
      <c r="F9" s="90"/>
      <c r="G9" s="89"/>
      <c r="H9" s="89"/>
      <c r="I9" s="89"/>
      <c r="J9" s="89"/>
      <c r="K9" s="91"/>
      <c r="L9" s="91"/>
      <c r="M9" s="91"/>
      <c r="N9" s="91"/>
      <c r="O9" s="91"/>
      <c r="P9" s="91"/>
      <c r="Q9" s="91"/>
      <c r="R9" s="91" t="s">
        <v>170</v>
      </c>
      <c r="S9" s="93"/>
    </row>
    <row r="10" ht="15.75" customHeight="1" spans="1:20">
      <c r="A10" s="89"/>
      <c r="B10" s="89"/>
      <c r="C10" s="203"/>
      <c r="D10" s="203"/>
      <c r="E10" s="203"/>
      <c r="F10" s="90"/>
      <c r="G10" s="89"/>
      <c r="H10" s="89"/>
      <c r="I10" s="89"/>
      <c r="J10" s="89"/>
      <c r="K10" s="91"/>
      <c r="L10" s="91"/>
      <c r="M10" s="91"/>
      <c r="N10" s="91"/>
      <c r="O10" s="91"/>
      <c r="P10" s="91"/>
      <c r="Q10" s="91"/>
      <c r="R10" s="91" t="s">
        <v>170</v>
      </c>
      <c r="S10" s="93"/>
    </row>
    <row r="11" ht="15.75" customHeight="1" spans="1:20">
      <c r="A11" s="89"/>
      <c r="B11" s="89"/>
      <c r="C11" s="203"/>
      <c r="D11" s="203"/>
      <c r="E11" s="203"/>
      <c r="F11" s="90"/>
      <c r="G11" s="89"/>
      <c r="H11" s="89"/>
      <c r="I11" s="89"/>
      <c r="J11" s="89"/>
      <c r="K11" s="91"/>
      <c r="L11" s="91"/>
      <c r="M11" s="91"/>
      <c r="N11" s="91"/>
      <c r="O11" s="91"/>
      <c r="P11" s="91"/>
      <c r="Q11" s="91"/>
      <c r="R11" s="91" t="s">
        <v>170</v>
      </c>
      <c r="S11" s="93"/>
    </row>
    <row r="12" ht="15.75" customHeight="1" spans="1:20">
      <c r="A12" s="89"/>
      <c r="B12" s="89"/>
      <c r="C12" s="203"/>
      <c r="D12" s="203"/>
      <c r="E12" s="203"/>
      <c r="F12" s="90"/>
      <c r="G12" s="89"/>
      <c r="H12" s="89"/>
      <c r="I12" s="89"/>
      <c r="J12" s="89"/>
      <c r="K12" s="91"/>
      <c r="L12" s="91"/>
      <c r="M12" s="91"/>
      <c r="N12" s="91"/>
      <c r="O12" s="91"/>
      <c r="P12" s="91"/>
      <c r="Q12" s="91"/>
      <c r="R12" s="91" t="s">
        <v>170</v>
      </c>
      <c r="S12" s="93"/>
    </row>
    <row r="13" ht="15.75" customHeight="1" spans="1:20">
      <c r="A13" s="89"/>
      <c r="B13" s="89"/>
      <c r="C13" s="203"/>
      <c r="D13" s="203"/>
      <c r="E13" s="203"/>
      <c r="F13" s="90"/>
      <c r="G13" s="89"/>
      <c r="H13" s="89"/>
      <c r="I13" s="89"/>
      <c r="J13" s="89"/>
      <c r="K13" s="91"/>
      <c r="L13" s="91"/>
      <c r="M13" s="91"/>
      <c r="N13" s="91"/>
      <c r="O13" s="91"/>
      <c r="P13" s="91"/>
      <c r="Q13" s="91"/>
      <c r="R13" s="91"/>
      <c r="S13" s="93"/>
    </row>
    <row r="14" ht="15.75" customHeight="1" spans="1:20">
      <c r="A14" s="89"/>
      <c r="B14" s="89"/>
      <c r="C14" s="203"/>
      <c r="D14" s="203"/>
      <c r="E14" s="203"/>
      <c r="F14" s="90"/>
      <c r="G14" s="89"/>
      <c r="H14" s="89"/>
      <c r="I14" s="89"/>
      <c r="J14" s="89"/>
      <c r="K14" s="91"/>
      <c r="L14" s="91"/>
      <c r="M14" s="91"/>
      <c r="N14" s="91"/>
      <c r="O14" s="91"/>
      <c r="P14" s="91"/>
      <c r="Q14" s="91"/>
      <c r="R14" s="91"/>
      <c r="S14" s="93"/>
    </row>
    <row r="15" ht="15.75" customHeight="1" spans="1:20">
      <c r="A15" s="89"/>
      <c r="B15" s="89"/>
      <c r="C15" s="203"/>
      <c r="D15" s="203"/>
      <c r="E15" s="203"/>
      <c r="F15" s="90"/>
      <c r="G15" s="89"/>
      <c r="H15" s="89"/>
      <c r="I15" s="89"/>
      <c r="J15" s="89"/>
      <c r="K15" s="91"/>
      <c r="L15" s="91"/>
      <c r="M15" s="91"/>
      <c r="N15" s="91"/>
      <c r="O15" s="91"/>
      <c r="P15" s="91"/>
      <c r="Q15" s="91"/>
      <c r="R15" s="91"/>
      <c r="S15" s="93"/>
    </row>
    <row r="16" ht="15.75" customHeight="1" spans="1:20">
      <c r="A16" s="89"/>
      <c r="B16" s="89"/>
      <c r="C16" s="203"/>
      <c r="D16" s="203"/>
      <c r="E16" s="203"/>
      <c r="F16" s="90"/>
      <c r="G16" s="89"/>
      <c r="H16" s="89"/>
      <c r="I16" s="89"/>
      <c r="J16" s="89"/>
      <c r="K16" s="91"/>
      <c r="L16" s="91"/>
      <c r="M16" s="91"/>
      <c r="N16" s="91"/>
      <c r="O16" s="91"/>
      <c r="P16" s="91"/>
      <c r="Q16" s="91"/>
      <c r="R16" s="91"/>
      <c r="S16" s="93"/>
    </row>
    <row r="17" ht="15.75" customHeight="1" spans="1:19">
      <c r="A17" s="89"/>
      <c r="B17" s="89"/>
      <c r="C17" s="203"/>
      <c r="D17" s="203"/>
      <c r="E17" s="203"/>
      <c r="F17" s="90"/>
      <c r="G17" s="89"/>
      <c r="H17" s="89"/>
      <c r="I17" s="89"/>
      <c r="J17" s="89"/>
      <c r="K17" s="91"/>
      <c r="L17" s="91"/>
      <c r="M17" s="91"/>
      <c r="N17" s="91"/>
      <c r="O17" s="91"/>
      <c r="P17" s="91"/>
      <c r="Q17" s="91"/>
      <c r="R17" s="91" t="s">
        <v>170</v>
      </c>
      <c r="S17" s="93"/>
    </row>
    <row r="18" ht="15.75" customHeight="1" spans="1:19">
      <c r="A18" s="89"/>
      <c r="B18" s="89"/>
      <c r="C18" s="203"/>
      <c r="D18" s="203"/>
      <c r="E18" s="203"/>
      <c r="F18" s="90"/>
      <c r="G18" s="89"/>
      <c r="H18" s="89"/>
      <c r="I18" s="89"/>
      <c r="J18" s="89"/>
      <c r="K18" s="91"/>
      <c r="L18" s="91"/>
      <c r="M18" s="91"/>
      <c r="N18" s="91"/>
      <c r="O18" s="91"/>
      <c r="P18" s="91"/>
      <c r="Q18" s="91"/>
      <c r="R18" s="91"/>
      <c r="S18" s="93"/>
    </row>
    <row r="19" ht="15.75" customHeight="1" spans="1:19">
      <c r="A19" s="89"/>
      <c r="B19" s="89"/>
      <c r="C19" s="203"/>
      <c r="D19" s="203"/>
      <c r="E19" s="203"/>
      <c r="F19" s="90"/>
      <c r="G19" s="89"/>
      <c r="H19" s="89"/>
      <c r="I19" s="89"/>
      <c r="J19" s="89"/>
      <c r="K19" s="91"/>
      <c r="L19" s="91"/>
      <c r="M19" s="91"/>
      <c r="N19" s="91"/>
      <c r="O19" s="91"/>
      <c r="P19" s="91"/>
      <c r="Q19" s="91"/>
      <c r="R19" s="91"/>
      <c r="S19" s="93"/>
    </row>
    <row r="20" ht="15.75" customHeight="1" spans="1:19">
      <c r="A20" s="89"/>
      <c r="B20" s="89"/>
      <c r="C20" s="203"/>
      <c r="D20" s="203"/>
      <c r="E20" s="203"/>
      <c r="F20" s="90"/>
      <c r="G20" s="89"/>
      <c r="H20" s="89"/>
      <c r="I20" s="89"/>
      <c r="J20" s="89"/>
      <c r="K20" s="91"/>
      <c r="L20" s="91"/>
      <c r="M20" s="91"/>
      <c r="N20" s="91"/>
      <c r="O20" s="91"/>
      <c r="P20" s="91"/>
      <c r="Q20" s="91"/>
      <c r="R20" s="91" t="s">
        <v>170</v>
      </c>
      <c r="S20" s="93"/>
    </row>
    <row r="21" ht="15.75" customHeight="1" spans="1:19">
      <c r="A21" s="89"/>
      <c r="B21" s="89"/>
      <c r="C21" s="203"/>
      <c r="D21" s="203"/>
      <c r="E21" s="203"/>
      <c r="F21" s="90"/>
      <c r="G21" s="89"/>
      <c r="H21" s="89"/>
      <c r="I21" s="89"/>
      <c r="J21" s="89"/>
      <c r="K21" s="91"/>
      <c r="L21" s="91"/>
      <c r="M21" s="91"/>
      <c r="N21" s="91"/>
      <c r="O21" s="91"/>
      <c r="P21" s="91"/>
      <c r="Q21" s="91"/>
      <c r="R21" s="91" t="s">
        <v>170</v>
      </c>
      <c r="S21" s="93"/>
    </row>
    <row r="22" ht="15.75" customHeight="1" spans="1:19">
      <c r="A22" s="89"/>
      <c r="B22" s="89"/>
      <c r="C22" s="203"/>
      <c r="D22" s="203"/>
      <c r="E22" s="203"/>
      <c r="F22" s="90"/>
      <c r="G22" s="89"/>
      <c r="H22" s="89"/>
      <c r="I22" s="89"/>
      <c r="J22" s="89"/>
      <c r="K22" s="91"/>
      <c r="L22" s="91"/>
      <c r="M22" s="91"/>
      <c r="N22" s="91"/>
      <c r="O22" s="91"/>
      <c r="P22" s="91"/>
      <c r="Q22" s="91"/>
      <c r="R22" s="91" t="s">
        <v>170</v>
      </c>
      <c r="S22" s="93"/>
    </row>
    <row r="23" ht="15.75" customHeight="1" spans="1:19">
      <c r="A23" s="89"/>
      <c r="B23" s="89"/>
      <c r="C23" s="203"/>
      <c r="D23" s="203"/>
      <c r="E23" s="203"/>
      <c r="F23" s="90"/>
      <c r="G23" s="89"/>
      <c r="H23" s="89"/>
      <c r="I23" s="89"/>
      <c r="J23" s="89"/>
      <c r="K23" s="91"/>
      <c r="L23" s="91"/>
      <c r="M23" s="91"/>
      <c r="N23" s="91"/>
      <c r="O23" s="91"/>
      <c r="P23" s="91"/>
      <c r="Q23" s="91"/>
      <c r="R23" s="91" t="s">
        <v>170</v>
      </c>
      <c r="S23" s="93"/>
    </row>
    <row r="24" ht="15.75" customHeight="1" spans="1:19">
      <c r="A24" s="89"/>
      <c r="B24" s="89"/>
      <c r="C24" s="203"/>
      <c r="D24" s="203"/>
      <c r="E24" s="203"/>
      <c r="F24" s="90"/>
      <c r="G24" s="89"/>
      <c r="H24" s="89"/>
      <c r="I24" s="89"/>
      <c r="J24" s="89"/>
      <c r="K24" s="91"/>
      <c r="L24" s="91"/>
      <c r="M24" s="91"/>
      <c r="N24" s="91"/>
      <c r="O24" s="91"/>
      <c r="P24" s="91"/>
      <c r="Q24" s="91"/>
      <c r="R24" s="91" t="s">
        <v>170</v>
      </c>
      <c r="S24" s="93"/>
    </row>
    <row r="25" ht="15.75" customHeight="1" spans="1:19">
      <c r="A25" s="89"/>
      <c r="B25" s="89"/>
      <c r="C25" s="203"/>
      <c r="D25" s="203"/>
      <c r="E25" s="203"/>
      <c r="F25" s="90"/>
      <c r="G25" s="89"/>
      <c r="H25" s="89"/>
      <c r="I25" s="89"/>
      <c r="J25" s="89"/>
      <c r="K25" s="91"/>
      <c r="L25" s="91"/>
      <c r="M25" s="91"/>
      <c r="N25" s="91"/>
      <c r="O25" s="91"/>
      <c r="P25" s="91"/>
      <c r="Q25" s="91"/>
      <c r="R25" s="91" t="s">
        <v>170</v>
      </c>
      <c r="S25" s="93"/>
    </row>
    <row r="26" ht="15.75" customHeight="1" spans="1:19">
      <c r="A26" s="89"/>
      <c r="B26" s="89"/>
      <c r="C26" s="203"/>
      <c r="D26" s="203"/>
      <c r="E26" s="203"/>
      <c r="F26" s="90"/>
      <c r="G26" s="89"/>
      <c r="H26" s="89"/>
      <c r="I26" s="89"/>
      <c r="J26" s="89"/>
      <c r="K26" s="91"/>
      <c r="L26" s="91"/>
      <c r="M26" s="91"/>
      <c r="N26" s="91"/>
      <c r="O26" s="91"/>
      <c r="P26" s="91"/>
      <c r="Q26" s="91"/>
      <c r="R26" s="91"/>
      <c r="S26" s="93"/>
    </row>
    <row r="27" ht="15.75" customHeight="1" spans="1:19">
      <c r="A27" s="204" t="s">
        <v>282</v>
      </c>
      <c r="B27" s="32"/>
      <c r="C27" s="32"/>
      <c r="D27" s="32"/>
      <c r="E27" s="28"/>
      <c r="F27" s="90"/>
      <c r="G27" s="89"/>
      <c r="H27" s="89"/>
      <c r="I27" s="89"/>
      <c r="J27" s="89"/>
      <c r="K27" s="91"/>
      <c r="L27" s="91"/>
      <c r="M27" s="91">
        <f>SUM(M7:M26)</f>
        <v>0</v>
      </c>
      <c r="N27" s="91"/>
      <c r="O27" s="91">
        <f>SUM(O7:O26)</f>
        <v>0</v>
      </c>
      <c r="P27" s="91">
        <f>SUM(P7:P26)</f>
        <v>0</v>
      </c>
      <c r="Q27" s="91"/>
      <c r="R27" s="91" t="s">
        <v>170</v>
      </c>
      <c r="S27" s="93"/>
    </row>
    <row r="28" ht="15.75" customHeight="1" spans="1:19">
      <c r="A28" s="29" t="str">
        <f>封面!D11&amp;封面!G11</f>
        <v>被评估单位填表人：</v>
      </c>
      <c r="B28" s="13"/>
      <c r="C28" s="13"/>
      <c r="D28" s="13"/>
      <c r="N28" s="13"/>
      <c r="O28" s="13" t="str">
        <f>"评估人员："&amp;封面!M22</f>
        <v>评估人员：</v>
      </c>
    </row>
    <row r="29" ht="15.75" customHeight="1" spans="1:19">
      <c r="A29" s="29" t="str">
        <f>CONCATENATE(封面!D13,封面!F13,封面!G13,封面!H13,封面!I13,封面!J13,封面!K13)</f>
        <v>填表日期：年月日</v>
      </c>
    </row>
  </sheetData>
  <mergeCells count="5">
    <mergeCell ref="A2:S2"/>
    <mergeCell ref="A3:S3"/>
    <mergeCell ref="A4:S4"/>
    <mergeCell ref="A5:E5"/>
    <mergeCell ref="A27:E27"/>
  </mergeCells>
  <hyperlinks>
    <hyperlink ref="A1" location="索引目录!C35" display="返回索引页"/>
    <hyperlink ref="B1" location="分类汇总!B25" display="返回"/>
  </hyperlinks>
  <printOptions horizontalCentered="1"/>
  <pageMargins left="0.354330708661417" right="0.354330708661417" top="0.78740157480315" bottom="0.78740157480315" header="1.06299212598425" footer="0.511811023622047"/>
  <pageSetup paperSize="9" scale="98" orientation="landscape"/>
  <headerFooter alignWithMargins="0">
    <oddHeader>&amp;R&amp;"宋体,常规"共&amp;"Times New Roman,常规"&amp;N&amp;"宋体,常规"页第&amp;"Times New Roman,常规"&amp;P&amp;"宋体,常规"4-5-4
页</oddHeader>
  </headerFooter>
  <legacyDrawing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5">
    <pageSetUpPr fitToPage="1"/>
  </sheetPr>
  <dimension ref="A1:L24"/>
  <sheetViews>
    <sheetView view="pageBreakPreview" zoomScale="90" zoomScaleNormal="85" workbookViewId="0">
      <selection activeCell="H14" sqref="H14"/>
    </sheetView>
  </sheetViews>
  <sheetFormatPr defaultColWidth="9" defaultRowHeight="15.75" customHeight="1"/>
  <cols>
    <col min="1" max="1" width="4.33333333333333" style="13" customWidth="1"/>
    <col min="2" max="2" width="26.5" style="13" customWidth="1"/>
    <col min="3" max="4" width="13" style="13" hidden="1" customWidth="1" outlineLevel="1"/>
    <col min="5" max="5" width="14.5" style="13" customWidth="1" collapsed="1"/>
    <col min="6" max="8" width="14.5" style="13" customWidth="1"/>
    <col min="9" max="10" width="9.25" style="13" customWidth="1"/>
    <col min="11" max="12" width="7.83333333333333" style="13" customWidth="1"/>
    <col min="13" max="16384" width="9" style="13" customWidth="1"/>
  </cols>
  <sheetData>
    <row r="1" ht="15.5" customHeight="1" spans="1:12">
      <c r="A1" s="51" t="s">
        <v>111</v>
      </c>
      <c r="B1" s="52" t="s">
        <v>210</v>
      </c>
      <c r="C1" s="16"/>
      <c r="D1" s="16"/>
      <c r="E1" s="16"/>
      <c r="F1" s="16"/>
      <c r="G1" s="16"/>
      <c r="H1" s="16"/>
      <c r="I1" s="16"/>
      <c r="J1" s="16"/>
      <c r="K1" s="16"/>
      <c r="L1" s="16"/>
    </row>
    <row r="2" s="11" customFormat="1" ht="30" customHeight="1" spans="1:12">
      <c r="A2" s="53" t="s">
        <v>464</v>
      </c>
    </row>
    <row r="3" ht="14.15" customHeight="1" spans="1:12">
      <c r="A3" s="18" t="str">
        <f>CONCATENATE(封面!D9,封面!F9,封面!G9,封面!H9,封面!I9,封面!J9,封面!K9)</f>
        <v>评估基准日：年月日</v>
      </c>
    </row>
    <row r="4" ht="15.5" customHeight="1" spans="1:12">
      <c r="A4" s="19" t="str">
        <f>封面!D7&amp;封面!F7</f>
        <v>被评估单位：</v>
      </c>
      <c r="K4" s="196"/>
      <c r="L4" s="54" t="s">
        <v>139</v>
      </c>
    </row>
    <row r="5" s="12" customFormat="1" ht="13" customHeight="1" spans="1:12">
      <c r="A5" s="23" t="s">
        <v>260</v>
      </c>
      <c r="B5" s="23" t="s">
        <v>212</v>
      </c>
      <c r="C5" s="45" t="s">
        <v>175</v>
      </c>
      <c r="D5" s="28"/>
      <c r="E5" s="45" t="s">
        <v>176</v>
      </c>
      <c r="F5" s="28"/>
      <c r="G5" s="45" t="s">
        <v>177</v>
      </c>
      <c r="H5" s="28"/>
      <c r="I5" s="45" t="s">
        <v>214</v>
      </c>
      <c r="J5" s="28"/>
      <c r="K5" s="197" t="s">
        <v>215</v>
      </c>
      <c r="L5" s="172"/>
    </row>
    <row r="6" s="12" customFormat="1" ht="13" customHeight="1" spans="1:12">
      <c r="A6" s="36"/>
      <c r="B6" s="36"/>
      <c r="C6" s="45" t="s">
        <v>465</v>
      </c>
      <c r="D6" s="45" t="s">
        <v>466</v>
      </c>
      <c r="E6" s="45" t="s">
        <v>465</v>
      </c>
      <c r="F6" s="45" t="s">
        <v>466</v>
      </c>
      <c r="G6" s="45" t="s">
        <v>465</v>
      </c>
      <c r="H6" s="45" t="s">
        <v>466</v>
      </c>
      <c r="I6" s="45" t="s">
        <v>465</v>
      </c>
      <c r="J6" s="45" t="s">
        <v>466</v>
      </c>
      <c r="K6" s="45" t="s">
        <v>465</v>
      </c>
      <c r="L6" s="45" t="s">
        <v>466</v>
      </c>
    </row>
    <row r="7" ht="18" customHeight="1" spans="1:12">
      <c r="A7" s="98"/>
      <c r="B7" s="98" t="s">
        <v>467</v>
      </c>
      <c r="C7" s="26">
        <f t="shared" ref="C7:J7" si="0">SUM(C8:C10)</f>
        <v>0</v>
      </c>
      <c r="D7" s="26">
        <f t="shared" si="0"/>
        <v>0</v>
      </c>
      <c r="E7" s="26">
        <f t="shared" si="0"/>
        <v>0</v>
      </c>
      <c r="F7" s="26">
        <f t="shared" si="0"/>
        <v>0</v>
      </c>
      <c r="G7" s="26">
        <f t="shared" si="0"/>
        <v>0</v>
      </c>
      <c r="H7" s="26">
        <f t="shared" si="0"/>
        <v>0</v>
      </c>
      <c r="I7" s="26">
        <f t="shared" si="0"/>
        <v>0</v>
      </c>
      <c r="J7" s="26">
        <f t="shared" si="0"/>
        <v>0</v>
      </c>
      <c r="K7" s="26" t="str">
        <f>IF(E7=0,"",I7/E7*100)</f>
        <v/>
      </c>
      <c r="L7" s="26" t="str">
        <f>IF(F7=0,"",J7/F7*100)</f>
        <v/>
      </c>
    </row>
    <row r="8" ht="18" customHeight="1" spans="1:12">
      <c r="A8" s="98" t="s">
        <v>468</v>
      </c>
      <c r="B8" s="98" t="s">
        <v>469</v>
      </c>
      <c r="C8" s="26">
        <f>房屋建筑物!U35</f>
        <v>0</v>
      </c>
      <c r="D8" s="26">
        <f>房屋建筑物!V35</f>
        <v>0</v>
      </c>
      <c r="E8" s="26">
        <f>房屋建筑物!Y35</f>
        <v>0</v>
      </c>
      <c r="F8" s="26">
        <f>房屋建筑物!Z35</f>
        <v>0</v>
      </c>
      <c r="G8" s="26">
        <f>房屋建筑物!AA35</f>
        <v>0</v>
      </c>
      <c r="H8" s="26">
        <f>房屋建筑物!AC35</f>
        <v>0</v>
      </c>
      <c r="I8" s="26">
        <f>G8-E8</f>
        <v>0</v>
      </c>
      <c r="J8" s="26">
        <f>H8-F8</f>
        <v>0</v>
      </c>
      <c r="K8" s="26" t="str">
        <f>IF(E8=0,"",I8/E8*100)</f>
        <v/>
      </c>
      <c r="L8" s="26" t="str">
        <f>IF(F8=0,"",J8/F8*100)</f>
        <v/>
      </c>
    </row>
    <row r="9" ht="18" customHeight="1" spans="1:12">
      <c r="A9" s="98" t="s">
        <v>470</v>
      </c>
      <c r="B9" s="98" t="s">
        <v>471</v>
      </c>
      <c r="C9" s="26">
        <f>构筑物!J47</f>
        <v>0</v>
      </c>
      <c r="D9" s="26">
        <f>构筑物!K47</f>
        <v>0</v>
      </c>
      <c r="E9" s="26">
        <f>构筑物!N47</f>
        <v>0</v>
      </c>
      <c r="F9" s="26">
        <f>构筑物!O47</f>
        <v>0</v>
      </c>
      <c r="G9" s="26">
        <f>构筑物!P47</f>
        <v>0</v>
      </c>
      <c r="H9" s="26">
        <f>构筑物!R47</f>
        <v>0</v>
      </c>
      <c r="I9" s="26">
        <f>G9-E9</f>
        <v>0</v>
      </c>
      <c r="J9" s="26">
        <f>H9-F9</f>
        <v>0</v>
      </c>
      <c r="K9" s="26" t="str">
        <f>IF(E9=0,"",I9/E9*100)</f>
        <v/>
      </c>
      <c r="L9" s="26" t="str">
        <f>IF(F9=0,"",J9/F9*100)</f>
        <v/>
      </c>
    </row>
    <row r="10" ht="18" customHeight="1" spans="1:12">
      <c r="A10" s="98" t="s">
        <v>472</v>
      </c>
      <c r="B10" s="98" t="s">
        <v>473</v>
      </c>
      <c r="C10" s="26">
        <f>管道沟槽!J27</f>
        <v>0</v>
      </c>
      <c r="D10" s="26">
        <f>管道沟槽!K27</f>
        <v>0</v>
      </c>
      <c r="E10" s="26">
        <f>管道沟槽!N27</f>
        <v>0</v>
      </c>
      <c r="F10" s="26">
        <f>管道沟槽!O27</f>
        <v>0</v>
      </c>
      <c r="G10" s="26">
        <f>管道沟槽!P27</f>
        <v>0</v>
      </c>
      <c r="H10" s="26">
        <f>管道沟槽!R27</f>
        <v>0</v>
      </c>
      <c r="I10" s="26">
        <f>G10-E10</f>
        <v>0</v>
      </c>
      <c r="J10" s="26">
        <f>H10-F10</f>
        <v>0</v>
      </c>
      <c r="K10" s="26" t="str">
        <f>IF(E10=0,"",I10/E10*100)</f>
        <v/>
      </c>
      <c r="L10" s="26" t="str">
        <f>IF(F10=0,"",J10/F10*100)</f>
        <v/>
      </c>
    </row>
    <row r="11" ht="18" customHeight="1" spans="1:12">
      <c r="A11" s="98" t="s">
        <v>474</v>
      </c>
      <c r="B11" s="98" t="s">
        <v>475</v>
      </c>
      <c r="C11" s="26">
        <f>井巷!AI26</f>
        <v>0</v>
      </c>
      <c r="D11" s="26">
        <f>井巷!AJ26</f>
        <v>0</v>
      </c>
      <c r="E11" s="26">
        <f>井巷!AM26</f>
        <v>0</v>
      </c>
      <c r="F11" s="26">
        <f>井巷!AN26</f>
        <v>0</v>
      </c>
      <c r="G11" s="26"/>
      <c r="H11" s="26"/>
      <c r="I11" s="26"/>
      <c r="J11" s="26"/>
      <c r="K11" s="26"/>
      <c r="L11" s="26"/>
    </row>
    <row r="12" ht="18" customHeight="1" spans="1:12">
      <c r="A12" s="98"/>
      <c r="B12" s="198"/>
      <c r="C12" s="26"/>
      <c r="D12" s="26"/>
      <c r="E12" s="26"/>
      <c r="F12" s="26"/>
      <c r="G12" s="26"/>
      <c r="H12" s="26"/>
      <c r="I12" s="26"/>
      <c r="J12" s="26"/>
      <c r="K12" s="26"/>
      <c r="L12" s="26"/>
    </row>
    <row r="13" ht="18" customHeight="1" spans="1:12">
      <c r="A13" s="98"/>
      <c r="B13" s="98" t="s">
        <v>476</v>
      </c>
      <c r="C13" s="26">
        <f t="shared" ref="C13:J13" si="1">SUM(C14:C16)</f>
        <v>0</v>
      </c>
      <c r="D13" s="26">
        <f t="shared" si="1"/>
        <v>0</v>
      </c>
      <c r="E13" s="26">
        <f t="shared" si="1"/>
        <v>0</v>
      </c>
      <c r="F13" s="26">
        <f t="shared" si="1"/>
        <v>0</v>
      </c>
      <c r="G13" s="26">
        <f t="shared" si="1"/>
        <v>0</v>
      </c>
      <c r="H13" s="26">
        <f t="shared" si="1"/>
        <v>0</v>
      </c>
      <c r="I13" s="26">
        <f t="shared" si="1"/>
        <v>0</v>
      </c>
      <c r="J13" s="26">
        <f t="shared" si="1"/>
        <v>0</v>
      </c>
      <c r="K13" s="26" t="str">
        <f>IF(E13=0,"",I13/E13*100)</f>
        <v/>
      </c>
      <c r="L13" s="26" t="str">
        <f>IF(F13=0,"",J13/F13*100)</f>
        <v/>
      </c>
    </row>
    <row r="14" ht="18" customHeight="1" spans="1:12">
      <c r="A14" s="98" t="s">
        <v>474</v>
      </c>
      <c r="B14" s="98" t="s">
        <v>477</v>
      </c>
      <c r="C14" s="26">
        <f>机器设备!K234</f>
        <v>0</v>
      </c>
      <c r="D14" s="26">
        <f>机器设备!L234</f>
        <v>0</v>
      </c>
      <c r="E14" s="26">
        <f>机器设备!O234</f>
        <v>0</v>
      </c>
      <c r="F14" s="26">
        <f>机器设备!P234</f>
        <v>0</v>
      </c>
      <c r="G14" s="26">
        <f>机器设备!Q234</f>
        <v>0</v>
      </c>
      <c r="H14" s="26">
        <f>机器设备!S234</f>
        <v>0</v>
      </c>
      <c r="I14" s="26">
        <f>G14-E14</f>
        <v>0</v>
      </c>
      <c r="J14" s="26">
        <f>H14-F14</f>
        <v>0</v>
      </c>
      <c r="K14" s="26" t="str">
        <f>IF(E14=0,"",I14/E14*100)</f>
        <v/>
      </c>
      <c r="L14" s="26" t="str">
        <f>IF(F14=0,"",J14/F14*100)</f>
        <v/>
      </c>
    </row>
    <row r="15" ht="18" customHeight="1" spans="1:12">
      <c r="A15" s="98" t="s">
        <v>478</v>
      </c>
      <c r="B15" s="98" t="s">
        <v>479</v>
      </c>
      <c r="C15" s="26">
        <f>车辆!K27</f>
        <v>0</v>
      </c>
      <c r="D15" s="26">
        <f>车辆!L27</f>
        <v>0</v>
      </c>
      <c r="E15" s="26">
        <f>车辆!O27</f>
        <v>0</v>
      </c>
      <c r="F15" s="26">
        <f>车辆!P27</f>
        <v>0</v>
      </c>
      <c r="G15" s="26">
        <f>车辆!Q27</f>
        <v>0</v>
      </c>
      <c r="H15" s="26">
        <f>车辆!S27</f>
        <v>0</v>
      </c>
      <c r="I15" s="26">
        <f>G15-E15</f>
        <v>0</v>
      </c>
      <c r="J15" s="26">
        <f>H15-F15</f>
        <v>0</v>
      </c>
      <c r="K15" s="26" t="str">
        <f>IF(E15=0,"",I15/E15*100)</f>
        <v/>
      </c>
      <c r="L15" s="26" t="str">
        <f>IF(F15=0,"",J15/F15*100)</f>
        <v/>
      </c>
    </row>
    <row r="16" ht="18" customHeight="1" spans="1:12">
      <c r="A16" s="98" t="s">
        <v>480</v>
      </c>
      <c r="B16" s="98" t="s">
        <v>481</v>
      </c>
      <c r="C16" s="26">
        <f>电子设备!L449</f>
        <v>0</v>
      </c>
      <c r="D16" s="26">
        <f>电子设备!M449</f>
        <v>0</v>
      </c>
      <c r="E16" s="26">
        <f>电子设备!P449</f>
        <v>0</v>
      </c>
      <c r="F16" s="26">
        <f>电子设备!Q449</f>
        <v>0</v>
      </c>
      <c r="G16" s="26">
        <f>电子设备!R449</f>
        <v>0</v>
      </c>
      <c r="H16" s="26">
        <f>电子设备!T449</f>
        <v>0</v>
      </c>
      <c r="I16" s="26">
        <f>G16-E16</f>
        <v>0</v>
      </c>
      <c r="J16" s="26">
        <f>H16-F16</f>
        <v>0</v>
      </c>
      <c r="K16" s="26" t="str">
        <f>IF(E16=0,"",I16/E16*100)</f>
        <v/>
      </c>
      <c r="L16" s="26" t="str">
        <f>IF(F16=0,"",J16/F16*100)</f>
        <v/>
      </c>
    </row>
    <row r="17" ht="18" customHeight="1" spans="1:12">
      <c r="A17" s="98"/>
      <c r="B17" s="198"/>
      <c r="C17" s="26"/>
      <c r="D17" s="26"/>
      <c r="E17" s="26"/>
      <c r="F17" s="26"/>
      <c r="G17" s="26"/>
      <c r="H17" s="26"/>
      <c r="I17" s="26"/>
      <c r="J17" s="26"/>
      <c r="K17" s="26"/>
      <c r="L17" s="26"/>
    </row>
    <row r="18" ht="18" customHeight="1" spans="1:12">
      <c r="A18" s="98"/>
      <c r="B18" s="198"/>
      <c r="C18" s="26"/>
      <c r="D18" s="26"/>
      <c r="E18" s="26"/>
      <c r="F18" s="26"/>
      <c r="G18" s="26"/>
      <c r="H18" s="26"/>
      <c r="I18" s="26"/>
      <c r="J18" s="26"/>
      <c r="K18" s="26"/>
      <c r="L18" s="26"/>
    </row>
    <row r="19" ht="18" customHeight="1" spans="1:12">
      <c r="A19" s="98" t="s">
        <v>482</v>
      </c>
      <c r="B19" s="98" t="s">
        <v>93</v>
      </c>
      <c r="C19" s="26">
        <f>土地!J28</f>
        <v>0</v>
      </c>
      <c r="D19" s="26">
        <f>土地!K28</f>
        <v>0</v>
      </c>
      <c r="E19" s="26">
        <f>土地!N28</f>
        <v>0</v>
      </c>
      <c r="F19" s="26">
        <f>土地!O28</f>
        <v>0</v>
      </c>
      <c r="G19" s="26">
        <f>土地!P28</f>
        <v>0</v>
      </c>
      <c r="H19" s="26">
        <f>土地!Q28</f>
        <v>0</v>
      </c>
      <c r="I19" s="26">
        <f>G19-E19</f>
        <v>0</v>
      </c>
      <c r="J19" s="26">
        <f>H19-F19</f>
        <v>0</v>
      </c>
      <c r="K19" s="26" t="str">
        <f>IF(E19=0,"",I19/E19*100)</f>
        <v/>
      </c>
      <c r="L19" s="26" t="str">
        <f>IF(F19=0,"",J19/F19*100)</f>
        <v/>
      </c>
    </row>
    <row r="20" ht="18" customHeight="1" spans="1:12">
      <c r="A20" s="98"/>
      <c r="B20" s="45" t="s">
        <v>483</v>
      </c>
      <c r="C20" s="26">
        <f t="shared" ref="C20:J20" si="2">SUM(C7,C13,C19)</f>
        <v>0</v>
      </c>
      <c r="D20" s="26">
        <f t="shared" si="2"/>
        <v>0</v>
      </c>
      <c r="E20" s="26">
        <f t="shared" si="2"/>
        <v>0</v>
      </c>
      <c r="F20" s="26">
        <f t="shared" si="2"/>
        <v>0</v>
      </c>
      <c r="G20" s="26">
        <f t="shared" si="2"/>
        <v>0</v>
      </c>
      <c r="H20" s="26">
        <f t="shared" si="2"/>
        <v>0</v>
      </c>
      <c r="I20" s="26">
        <f t="shared" si="2"/>
        <v>0</v>
      </c>
      <c r="J20" s="26">
        <f t="shared" si="2"/>
        <v>0</v>
      </c>
      <c r="K20" s="26" t="str">
        <f>IF(E20=0,"",I20/E20*100)</f>
        <v/>
      </c>
      <c r="L20" s="26" t="str">
        <f>IF(F20=0,"",J20/F20*100)</f>
        <v/>
      </c>
    </row>
    <row r="21" ht="18" customHeight="1" spans="1:12">
      <c r="A21" s="98"/>
      <c r="B21" s="45" t="s">
        <v>484</v>
      </c>
      <c r="C21" s="26"/>
      <c r="D21" s="26"/>
      <c r="E21" s="26"/>
      <c r="F21" s="26">
        <f>D21</f>
        <v>0</v>
      </c>
      <c r="G21" s="26"/>
      <c r="H21" s="26">
        <v>0</v>
      </c>
      <c r="I21" s="26"/>
      <c r="J21" s="26">
        <f>H21-F21</f>
        <v>0</v>
      </c>
      <c r="K21" s="26" t="str">
        <f>IF(E21=0,"",I21/E21*100)</f>
        <v/>
      </c>
      <c r="L21" s="26" t="str">
        <f>IF(F21=0,"",J21/F21*100)</f>
        <v/>
      </c>
    </row>
    <row r="22" ht="18" customHeight="1" spans="1:12">
      <c r="A22" s="98"/>
      <c r="B22" s="45" t="s">
        <v>86</v>
      </c>
      <c r="C22" s="26">
        <f t="shared" ref="C22:J22" si="3">C20-C21</f>
        <v>0</v>
      </c>
      <c r="D22" s="26">
        <f t="shared" si="3"/>
        <v>0</v>
      </c>
      <c r="E22" s="26">
        <f t="shared" si="3"/>
        <v>0</v>
      </c>
      <c r="F22" s="26">
        <f t="shared" si="3"/>
        <v>0</v>
      </c>
      <c r="G22" s="26">
        <f t="shared" si="3"/>
        <v>0</v>
      </c>
      <c r="H22" s="26">
        <f t="shared" si="3"/>
        <v>0</v>
      </c>
      <c r="I22" s="26">
        <f t="shared" si="3"/>
        <v>0</v>
      </c>
      <c r="J22" s="26">
        <f t="shared" si="3"/>
        <v>0</v>
      </c>
      <c r="K22" s="26" t="str">
        <f>IF(E22=0,"",I22/E22*100)</f>
        <v/>
      </c>
      <c r="L22" s="26" t="str">
        <f>IF(F22=0,"",J22/F22*100)</f>
        <v/>
      </c>
    </row>
    <row r="23" ht="15.5" customHeight="1" spans="1:12">
      <c r="A23" s="29" t="str">
        <f>封面!D11&amp;封面!G11</f>
        <v>被评估单位填表人：</v>
      </c>
      <c r="G23" s="13" t="str">
        <f>"评估人员："&amp;封面!G24&amp;"  "</f>
        <v>评估人员：  </v>
      </c>
    </row>
    <row r="24" ht="15.5" customHeight="1" spans="1:12">
      <c r="A24" s="29" t="str">
        <f>CONCATENATE(封面!D13,封面!F13,封面!G13,封面!H13,封面!I13,封面!J13,封面!K13)</f>
        <v>填表日期：年月日</v>
      </c>
    </row>
  </sheetData>
  <mergeCells count="9">
    <mergeCell ref="A2:L2"/>
    <mergeCell ref="A3:L3"/>
    <mergeCell ref="C5:D5"/>
    <mergeCell ref="E5:F5"/>
    <mergeCell ref="G5:H5"/>
    <mergeCell ref="I5:J5"/>
    <mergeCell ref="K5:L5"/>
    <mergeCell ref="A5:A6"/>
    <mergeCell ref="B5:B6"/>
  </mergeCells>
  <hyperlinks>
    <hyperlink ref="A1" location="索引目录!C35" display="返回索引页"/>
    <hyperlink ref="B1" location="分类汇总!B25" display="返回"/>
    <hyperlink ref="B8" location="房屋建筑物!A1" display="固定资产-房屋建筑物"/>
    <hyperlink ref="B9" location="构筑物!A1" display="固定资产-构筑物及其他辅助设施"/>
    <hyperlink ref="B10" location="管道沟槽!A1" display="固定资产-管道及沟槽"/>
    <hyperlink ref="B11" location="构筑物!A1" display="固定资产-井巷"/>
    <hyperlink ref="B14" location="机器设备!A1" display="固定资产-机器设备"/>
    <hyperlink ref="B15" location="车辆!A1" display="固定资产-车辆"/>
    <hyperlink ref="B16" location="电子设备!A1" display="固定资产-电子设备"/>
    <hyperlink ref="B19" location="土地!A1" display="土地"/>
  </hyperlinks>
  <printOptions horizontalCentered="1"/>
  <pageMargins left="0.354330708661417" right="0.354330708661417" top="0.78740157480315" bottom="0.78740157480315" header="1" footer="0.511811023622047"/>
  <pageSetup paperSize="9" orientation="landscape"/>
  <headerFooter alignWithMargins="0">
    <oddHeader>&amp;R&amp;"宋体,常规"共&amp;"Times New Roman,常规"&amp;N&amp;"宋体,常规"页第&amp;"Times New Roman,常规"&amp;P&amp;"宋体,常规"4-6
页</oddHead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6">
    <pageSetUpPr fitToPage="1"/>
  </sheetPr>
  <dimension ref="A1:AH37"/>
  <sheetViews>
    <sheetView view="pageBreakPreview" zoomScaleNormal="100" workbookViewId="0">
      <selection activeCell="G451" sqref="G451"/>
    </sheetView>
  </sheetViews>
  <sheetFormatPr defaultColWidth="9" defaultRowHeight="15.75" customHeight="1"/>
  <cols>
    <col min="1" max="1" width="5" style="13" customWidth="1"/>
    <col min="2" max="2" width="24.5833333333333" style="13" customWidth="1"/>
    <col min="3" max="3" width="9.25" style="13" customWidth="1"/>
    <col min="4" max="4" width="9" style="13" hidden="1" customWidth="1" outlineLevel="1"/>
    <col min="5" max="5" width="11.3333333333333" style="13" hidden="1" customWidth="1" outlineLevel="1"/>
    <col min="6" max="6" width="6.83333333333333" style="13" customWidth="1" collapsed="1"/>
    <col min="7" max="7" width="5.75" style="13" hidden="1" customWidth="1" outlineLevel="1"/>
    <col min="8" max="9" width="5.5" style="13" hidden="1" customWidth="1" outlineLevel="1"/>
    <col min="10" max="14" width="5" style="13" hidden="1" customWidth="1" outlineLevel="1"/>
    <col min="15" max="15" width="5.25" style="13" hidden="1" customWidth="1" outlineLevel="1"/>
    <col min="16" max="16" width="5" style="13" hidden="1" customWidth="1" outlineLevel="1"/>
    <col min="17" max="17" width="7.58333333333333" style="13" customWidth="1" collapsed="1"/>
    <col min="18" max="18" width="4.5" style="13" customWidth="1"/>
    <col min="19" max="19" width="8.25" style="13" customWidth="1"/>
    <col min="20" max="20" width="7.75" style="13" customWidth="1"/>
    <col min="21" max="24" width="11" style="13" hidden="1" customWidth="1" outlineLevel="1"/>
    <col min="25" max="25" width="12.75" style="13" customWidth="1" collapsed="1"/>
    <col min="26" max="26" width="12.75" style="13" customWidth="1"/>
    <col min="27" max="27" width="11" style="13" customWidth="1"/>
    <col min="28" max="28" width="7.58333333333333" style="13" customWidth="1"/>
    <col min="29" max="29" width="11.75" style="13" customWidth="1"/>
    <col min="30" max="31" width="7.75" style="13" customWidth="1"/>
    <col min="32" max="32" width="7.5" style="13" customWidth="1"/>
    <col min="33" max="33" width="15.25" style="13" customWidth="1" outlineLevel="1"/>
    <col min="34" max="34" width="13.0833333333333" style="13" customWidth="1" outlineLevel="1"/>
    <col min="35" max="16384" width="9" style="13" customWidth="1"/>
  </cols>
  <sheetData>
    <row r="1" ht="15.5" customHeight="1" spans="1:34">
      <c r="A1" s="14" t="s">
        <v>111</v>
      </c>
      <c r="B1" s="15" t="s">
        <v>210</v>
      </c>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row>
    <row r="2" s="11" customFormat="1" ht="30" customHeight="1" spans="1:34">
      <c r="A2" s="17" t="s">
        <v>485</v>
      </c>
      <c r="AF2" s="192"/>
      <c r="AG2" s="192"/>
    </row>
    <row r="3" ht="14.15" customHeight="1" spans="1:34">
      <c r="A3" s="18" t="str">
        <f>CONCATENATE(封面!D9,封面!F9,封面!G9,封面!H9,封面!I9,封面!J9,封面!K9)</f>
        <v>评估基准日：年月日</v>
      </c>
    </row>
    <row r="4" ht="15.5" customHeight="1" spans="1:34">
      <c r="A4" s="19" t="str">
        <f>封面!D7&amp;封面!F7</f>
        <v>被评估单位：</v>
      </c>
      <c r="AF4" s="20" t="s">
        <v>139</v>
      </c>
    </row>
    <row r="5" s="12" customFormat="1" ht="13" customHeight="1" spans="1:34">
      <c r="A5" s="21" t="s">
        <v>141</v>
      </c>
      <c r="B5" s="21" t="s">
        <v>486</v>
      </c>
      <c r="C5" s="21" t="s">
        <v>487</v>
      </c>
      <c r="D5" s="193" t="s">
        <v>488</v>
      </c>
      <c r="E5" s="193" t="s">
        <v>489</v>
      </c>
      <c r="F5" s="22" t="s">
        <v>490</v>
      </c>
      <c r="G5" s="193" t="s">
        <v>491</v>
      </c>
      <c r="H5" s="193" t="s">
        <v>492</v>
      </c>
      <c r="I5" s="193" t="s">
        <v>493</v>
      </c>
      <c r="J5" s="193" t="s">
        <v>494</v>
      </c>
      <c r="K5" s="193" t="s">
        <v>495</v>
      </c>
      <c r="L5" s="193" t="s">
        <v>496</v>
      </c>
      <c r="M5" s="193" t="s">
        <v>497</v>
      </c>
      <c r="N5" s="193" t="s">
        <v>498</v>
      </c>
      <c r="O5" s="193" t="s">
        <v>499</v>
      </c>
      <c r="P5" s="193" t="s">
        <v>500</v>
      </c>
      <c r="Q5" s="22" t="s">
        <v>501</v>
      </c>
      <c r="R5" s="194" t="s">
        <v>367</v>
      </c>
      <c r="S5" s="194" t="s">
        <v>502</v>
      </c>
      <c r="T5" s="22" t="s">
        <v>503</v>
      </c>
      <c r="U5" s="21" t="s">
        <v>175</v>
      </c>
      <c r="V5" s="28"/>
      <c r="W5" s="21" t="s">
        <v>281</v>
      </c>
      <c r="X5" s="28"/>
      <c r="Y5" s="21" t="s">
        <v>176</v>
      </c>
      <c r="Z5" s="28"/>
      <c r="AA5" s="21" t="s">
        <v>177</v>
      </c>
      <c r="AB5" s="32"/>
      <c r="AC5" s="28"/>
      <c r="AD5" s="22" t="s">
        <v>215</v>
      </c>
      <c r="AE5" s="22" t="s">
        <v>504</v>
      </c>
      <c r="AF5" s="22" t="s">
        <v>144</v>
      </c>
      <c r="AG5" s="193" t="s">
        <v>505</v>
      </c>
      <c r="AH5" s="21" t="s">
        <v>506</v>
      </c>
    </row>
    <row r="6" s="12" customFormat="1" ht="13" customHeight="1" spans="1:34">
      <c r="A6" s="36"/>
      <c r="B6" s="36"/>
      <c r="C6" s="36"/>
      <c r="D6" s="36"/>
      <c r="E6" s="36"/>
      <c r="F6" s="36"/>
      <c r="G6" s="36"/>
      <c r="H6" s="36"/>
      <c r="I6" s="36"/>
      <c r="J6" s="36"/>
      <c r="K6" s="36"/>
      <c r="L6" s="36"/>
      <c r="M6" s="36"/>
      <c r="N6" s="36"/>
      <c r="O6" s="36"/>
      <c r="P6" s="36"/>
      <c r="Q6" s="36"/>
      <c r="R6" s="36"/>
      <c r="S6" s="36"/>
      <c r="T6" s="36"/>
      <c r="U6" s="21"/>
      <c r="V6" s="21"/>
      <c r="W6" s="21"/>
      <c r="X6" s="21"/>
      <c r="Y6" s="21"/>
      <c r="Z6" s="21"/>
      <c r="AA6" s="21"/>
      <c r="AB6" s="21"/>
      <c r="AC6" s="21"/>
      <c r="AD6" s="36"/>
      <c r="AE6" s="36"/>
      <c r="AF6" s="36"/>
      <c r="AG6" s="36"/>
      <c r="AH6" s="36"/>
    </row>
    <row r="7" ht="15.5" customHeight="1" spans="1:34">
      <c r="A7" s="23">
        <v>1</v>
      </c>
      <c r="B7" s="24"/>
      <c r="C7" s="24"/>
      <c r="D7" s="24"/>
      <c r="E7" s="24"/>
      <c r="F7" s="21"/>
      <c r="G7" s="23"/>
      <c r="H7" s="23"/>
      <c r="I7" s="23"/>
      <c r="J7" s="23"/>
      <c r="K7" s="23"/>
      <c r="L7" s="23"/>
      <c r="M7" s="23"/>
      <c r="N7" s="23"/>
      <c r="O7" s="24"/>
      <c r="P7" s="23"/>
      <c r="Q7" s="23"/>
      <c r="R7" s="25"/>
      <c r="S7" s="127"/>
      <c r="T7" s="26"/>
      <c r="U7" s="26"/>
      <c r="V7" s="26"/>
      <c r="W7" s="26"/>
      <c r="X7" s="26"/>
      <c r="Y7" s="26"/>
      <c r="Z7" s="26"/>
      <c r="AA7" s="26"/>
      <c r="AB7" s="23"/>
      <c r="AC7" s="26">
        <f t="shared" ref="AC7:AC13" si="0">ROUND(S7*AE7,-1)</f>
        <v>0</v>
      </c>
      <c r="AD7" s="26" t="str">
        <f t="shared" ref="AD7:AD33" si="1">IF(Z7=0,"",(AC7-Z7)/Z7*100)</f>
        <v/>
      </c>
      <c r="AE7" s="26">
        <f>ROUND(2215.16,-1)</f>
        <v>2220</v>
      </c>
      <c r="AF7" s="24"/>
      <c r="AG7" s="103"/>
      <c r="AH7" s="27"/>
    </row>
    <row r="8" ht="15.5" customHeight="1" spans="1:34">
      <c r="A8" s="23">
        <v>2</v>
      </c>
      <c r="B8" s="24"/>
      <c r="C8" s="24"/>
      <c r="D8" s="24"/>
      <c r="E8" s="24"/>
      <c r="F8" s="21"/>
      <c r="G8" s="23"/>
      <c r="H8" s="23"/>
      <c r="I8" s="23"/>
      <c r="J8" s="23"/>
      <c r="K8" s="23"/>
      <c r="L8" s="23"/>
      <c r="M8" s="23"/>
      <c r="N8" s="23"/>
      <c r="O8" s="24"/>
      <c r="P8" s="23"/>
      <c r="Q8" s="23"/>
      <c r="R8" s="25"/>
      <c r="S8" s="127"/>
      <c r="T8" s="26"/>
      <c r="U8" s="26"/>
      <c r="V8" s="26"/>
      <c r="W8" s="26"/>
      <c r="X8" s="26"/>
      <c r="Y8" s="26"/>
      <c r="Z8" s="26"/>
      <c r="AA8" s="26"/>
      <c r="AB8" s="26"/>
      <c r="AC8" s="26">
        <f t="shared" si="0"/>
        <v>0</v>
      </c>
      <c r="AD8" s="26" t="str">
        <f t="shared" si="1"/>
        <v/>
      </c>
      <c r="AE8" s="26">
        <f>ROUND(1985,-1)</f>
        <v>1990</v>
      </c>
      <c r="AF8" s="24"/>
      <c r="AG8" s="103"/>
      <c r="AH8" s="27"/>
    </row>
    <row r="9" ht="15.5" customHeight="1" spans="1:34">
      <c r="A9" s="23">
        <v>3</v>
      </c>
      <c r="B9" s="24"/>
      <c r="C9" s="24"/>
      <c r="D9" s="24"/>
      <c r="E9" s="24"/>
      <c r="F9" s="21"/>
      <c r="G9" s="23"/>
      <c r="H9" s="23"/>
      <c r="I9" s="23"/>
      <c r="J9" s="23"/>
      <c r="K9" s="23"/>
      <c r="L9" s="23"/>
      <c r="M9" s="23"/>
      <c r="N9" s="23"/>
      <c r="O9" s="24"/>
      <c r="P9" s="23"/>
      <c r="Q9" s="23"/>
      <c r="R9" s="25"/>
      <c r="S9" s="127"/>
      <c r="T9" s="26"/>
      <c r="U9" s="26"/>
      <c r="V9" s="26"/>
      <c r="W9" s="26"/>
      <c r="X9" s="26"/>
      <c r="Y9" s="26"/>
      <c r="Z9" s="26"/>
      <c r="AA9" s="26"/>
      <c r="AB9" s="26"/>
      <c r="AC9" s="26">
        <f t="shared" si="0"/>
        <v>0</v>
      </c>
      <c r="AD9" s="26" t="str">
        <f t="shared" si="1"/>
        <v/>
      </c>
      <c r="AE9" s="26">
        <f>ROUND(1717.24,-1)</f>
        <v>1720</v>
      </c>
      <c r="AF9" s="24"/>
      <c r="AG9" s="103"/>
      <c r="AH9" s="27"/>
    </row>
    <row r="10" ht="15.5" customHeight="1" spans="1:34">
      <c r="A10" s="23">
        <v>4</v>
      </c>
      <c r="B10" s="24"/>
      <c r="C10" s="24"/>
      <c r="D10" s="24"/>
      <c r="E10" s="24"/>
      <c r="F10" s="21"/>
      <c r="G10" s="23"/>
      <c r="H10" s="23"/>
      <c r="I10" s="23"/>
      <c r="J10" s="23"/>
      <c r="K10" s="23"/>
      <c r="L10" s="23"/>
      <c r="M10" s="23"/>
      <c r="N10" s="23"/>
      <c r="O10" s="24"/>
      <c r="P10" s="23"/>
      <c r="Q10" s="23"/>
      <c r="R10" s="25"/>
      <c r="S10" s="127"/>
      <c r="T10" s="26"/>
      <c r="U10" s="26"/>
      <c r="V10" s="26"/>
      <c r="W10" s="26"/>
      <c r="X10" s="26"/>
      <c r="Y10" s="26"/>
      <c r="Z10" s="26"/>
      <c r="AA10" s="26"/>
      <c r="AB10" s="23"/>
      <c r="AC10" s="26">
        <f t="shared" si="0"/>
        <v>0</v>
      </c>
      <c r="AD10" s="26" t="str">
        <f t="shared" si="1"/>
        <v/>
      </c>
      <c r="AE10" s="26">
        <f>ROUND(2176.76,-1)</f>
        <v>2180</v>
      </c>
      <c r="AF10" s="24"/>
      <c r="AG10" s="103"/>
      <c r="AH10" s="27"/>
    </row>
    <row r="11" ht="15.5" customHeight="1" spans="1:34">
      <c r="A11" s="23">
        <v>5</v>
      </c>
      <c r="B11" s="24"/>
      <c r="C11" s="24"/>
      <c r="D11" s="24"/>
      <c r="E11" s="24"/>
      <c r="F11" s="21"/>
      <c r="G11" s="23"/>
      <c r="H11" s="23"/>
      <c r="I11" s="23"/>
      <c r="J11" s="23"/>
      <c r="K11" s="23"/>
      <c r="L11" s="23"/>
      <c r="M11" s="23"/>
      <c r="N11" s="23"/>
      <c r="O11" s="24"/>
      <c r="P11" s="23"/>
      <c r="Q11" s="23"/>
      <c r="R11" s="25"/>
      <c r="S11" s="127"/>
      <c r="T11" s="26"/>
      <c r="U11" s="26"/>
      <c r="V11" s="26"/>
      <c r="W11" s="26"/>
      <c r="X11" s="26"/>
      <c r="Y11" s="26"/>
      <c r="Z11" s="26"/>
      <c r="AA11" s="26"/>
      <c r="AB11" s="23"/>
      <c r="AC11" s="26">
        <f t="shared" si="0"/>
        <v>0</v>
      </c>
      <c r="AD11" s="26" t="str">
        <f t="shared" si="1"/>
        <v/>
      </c>
      <c r="AE11" s="26">
        <f>ROUND(3849.26,-1)</f>
        <v>3850</v>
      </c>
      <c r="AF11" s="24"/>
      <c r="AG11" s="103"/>
      <c r="AH11" s="27"/>
    </row>
    <row r="12" ht="15.5" customHeight="1" spans="1:34">
      <c r="A12" s="23">
        <v>6</v>
      </c>
      <c r="B12" s="24"/>
      <c r="C12" s="24"/>
      <c r="D12" s="24"/>
      <c r="E12" s="24"/>
      <c r="F12" s="21"/>
      <c r="G12" s="23"/>
      <c r="H12" s="23"/>
      <c r="I12" s="23"/>
      <c r="J12" s="23"/>
      <c r="K12" s="23"/>
      <c r="L12" s="23"/>
      <c r="M12" s="23"/>
      <c r="N12" s="23"/>
      <c r="O12" s="24"/>
      <c r="P12" s="23"/>
      <c r="Q12" s="23"/>
      <c r="R12" s="25"/>
      <c r="S12" s="127"/>
      <c r="T12" s="26"/>
      <c r="U12" s="26"/>
      <c r="V12" s="26"/>
      <c r="W12" s="26"/>
      <c r="X12" s="26"/>
      <c r="Y12" s="26"/>
      <c r="Z12" s="26"/>
      <c r="AA12" s="26"/>
      <c r="AB12" s="23"/>
      <c r="AC12" s="26">
        <f t="shared" si="0"/>
        <v>0</v>
      </c>
      <c r="AD12" s="26" t="str">
        <f t="shared" si="1"/>
        <v/>
      </c>
      <c r="AE12" s="26">
        <f>ROUND(AVERAGE(AE10:AE11),-1)</f>
        <v>3020</v>
      </c>
      <c r="AF12" s="24"/>
      <c r="AG12" s="103"/>
      <c r="AH12" s="27"/>
    </row>
    <row r="13" ht="15.5" customHeight="1" spans="1:34">
      <c r="A13" s="23">
        <v>7</v>
      </c>
      <c r="B13" s="24"/>
      <c r="C13" s="24"/>
      <c r="D13" s="24"/>
      <c r="E13" s="24"/>
      <c r="F13" s="21"/>
      <c r="G13" s="23"/>
      <c r="H13" s="23"/>
      <c r="I13" s="23"/>
      <c r="J13" s="23"/>
      <c r="K13" s="23"/>
      <c r="L13" s="23"/>
      <c r="M13" s="23"/>
      <c r="N13" s="23"/>
      <c r="O13" s="24"/>
      <c r="P13" s="23"/>
      <c r="Q13" s="23"/>
      <c r="R13" s="25"/>
      <c r="S13" s="127"/>
      <c r="T13" s="26"/>
      <c r="U13" s="26"/>
      <c r="V13" s="26"/>
      <c r="W13" s="26"/>
      <c r="X13" s="26"/>
      <c r="Y13" s="26"/>
      <c r="Z13" s="26"/>
      <c r="AA13" s="26"/>
      <c r="AB13" s="23"/>
      <c r="AC13" s="26">
        <f t="shared" si="0"/>
        <v>0</v>
      </c>
      <c r="AD13" s="26" t="str">
        <f t="shared" si="1"/>
        <v/>
      </c>
      <c r="AE13" s="26">
        <f>ROUND((AE9+AE8)/2,-1)</f>
        <v>1860</v>
      </c>
      <c r="AF13" s="24"/>
      <c r="AG13" s="103"/>
      <c r="AH13" s="27"/>
    </row>
    <row r="14" ht="15.5" customHeight="1" spans="1:34">
      <c r="A14" s="23"/>
      <c r="B14" s="24"/>
      <c r="C14" s="24"/>
      <c r="D14" s="24"/>
      <c r="E14" s="24"/>
      <c r="F14" s="21"/>
      <c r="G14" s="23"/>
      <c r="H14" s="23"/>
      <c r="I14" s="23"/>
      <c r="J14" s="23"/>
      <c r="K14" s="23"/>
      <c r="L14" s="23"/>
      <c r="M14" s="23"/>
      <c r="N14" s="23"/>
      <c r="O14" s="24"/>
      <c r="P14" s="23"/>
      <c r="Q14" s="23"/>
      <c r="R14" s="25"/>
      <c r="S14" s="38"/>
      <c r="T14" s="26"/>
      <c r="U14" s="26"/>
      <c r="V14" s="26"/>
      <c r="W14" s="26"/>
      <c r="X14" s="26"/>
      <c r="Y14" s="26"/>
      <c r="Z14" s="26"/>
      <c r="AA14" s="26">
        <f t="shared" ref="AA14:AA33" si="2">ROUND(S14*AE14,-1)</f>
        <v>0</v>
      </c>
      <c r="AB14" s="23"/>
      <c r="AC14" s="26">
        <f t="shared" ref="AC14:AC33" si="3">ROUND(AA14*AB14/100,0)</f>
        <v>0</v>
      </c>
      <c r="AD14" s="26" t="str">
        <f t="shared" si="1"/>
        <v/>
      </c>
      <c r="AE14" s="26"/>
      <c r="AF14" s="24"/>
      <c r="AG14" s="103"/>
      <c r="AH14" s="27"/>
    </row>
    <row r="15" ht="15.5" customHeight="1" spans="1:34">
      <c r="A15" s="23"/>
      <c r="B15" s="24"/>
      <c r="C15" s="24"/>
      <c r="D15" s="24"/>
      <c r="E15" s="24"/>
      <c r="F15" s="21"/>
      <c r="G15" s="23"/>
      <c r="H15" s="23"/>
      <c r="I15" s="23"/>
      <c r="J15" s="23"/>
      <c r="K15" s="23"/>
      <c r="L15" s="23"/>
      <c r="M15" s="23"/>
      <c r="N15" s="23"/>
      <c r="O15" s="24"/>
      <c r="P15" s="23"/>
      <c r="Q15" s="23"/>
      <c r="R15" s="25"/>
      <c r="S15" s="38"/>
      <c r="T15" s="26"/>
      <c r="U15" s="26"/>
      <c r="V15" s="26"/>
      <c r="W15" s="26"/>
      <c r="X15" s="26"/>
      <c r="Y15" s="26"/>
      <c r="Z15" s="26"/>
      <c r="AA15" s="26">
        <f t="shared" si="2"/>
        <v>0</v>
      </c>
      <c r="AB15" s="23"/>
      <c r="AC15" s="26">
        <f t="shared" si="3"/>
        <v>0</v>
      </c>
      <c r="AD15" s="26" t="str">
        <f t="shared" si="1"/>
        <v/>
      </c>
      <c r="AE15" s="26"/>
      <c r="AF15" s="24"/>
      <c r="AG15" s="103"/>
      <c r="AH15" s="27"/>
    </row>
    <row r="16" ht="15.5" customHeight="1" spans="1:34">
      <c r="A16" s="23"/>
      <c r="B16" s="24"/>
      <c r="C16" s="24"/>
      <c r="D16" s="24"/>
      <c r="E16" s="24"/>
      <c r="F16" s="21"/>
      <c r="G16" s="23"/>
      <c r="H16" s="23"/>
      <c r="I16" s="23"/>
      <c r="J16" s="23"/>
      <c r="K16" s="23"/>
      <c r="L16" s="23"/>
      <c r="M16" s="23"/>
      <c r="N16" s="23"/>
      <c r="O16" s="24"/>
      <c r="P16" s="23"/>
      <c r="Q16" s="25"/>
      <c r="R16" s="25"/>
      <c r="S16" s="38"/>
      <c r="T16" s="26"/>
      <c r="U16" s="26"/>
      <c r="V16" s="26"/>
      <c r="W16" s="26"/>
      <c r="X16" s="26"/>
      <c r="Y16" s="26"/>
      <c r="Z16" s="26"/>
      <c r="AA16" s="26">
        <f t="shared" si="2"/>
        <v>0</v>
      </c>
      <c r="AB16" s="23"/>
      <c r="AC16" s="26">
        <f t="shared" si="3"/>
        <v>0</v>
      </c>
      <c r="AD16" s="26" t="str">
        <f t="shared" si="1"/>
        <v/>
      </c>
      <c r="AE16" s="26"/>
      <c r="AF16" s="24"/>
      <c r="AG16" s="103"/>
      <c r="AH16" s="27"/>
    </row>
    <row r="17" ht="15.5" customHeight="1" spans="1:34">
      <c r="A17" s="23"/>
      <c r="B17" s="24"/>
      <c r="C17" s="24"/>
      <c r="D17" s="24"/>
      <c r="E17" s="24"/>
      <c r="F17" s="21"/>
      <c r="G17" s="23"/>
      <c r="H17" s="23"/>
      <c r="I17" s="23"/>
      <c r="J17" s="23"/>
      <c r="K17" s="23"/>
      <c r="L17" s="23"/>
      <c r="M17" s="23"/>
      <c r="N17" s="23"/>
      <c r="O17" s="24"/>
      <c r="P17" s="23"/>
      <c r="Q17" s="25"/>
      <c r="R17" s="25"/>
      <c r="S17" s="38"/>
      <c r="T17" s="26"/>
      <c r="U17" s="26"/>
      <c r="V17" s="26"/>
      <c r="W17" s="26"/>
      <c r="X17" s="26"/>
      <c r="Y17" s="26"/>
      <c r="Z17" s="26"/>
      <c r="AA17" s="26">
        <f t="shared" si="2"/>
        <v>0</v>
      </c>
      <c r="AB17" s="23"/>
      <c r="AC17" s="26">
        <f t="shared" si="3"/>
        <v>0</v>
      </c>
      <c r="AD17" s="26" t="str">
        <f t="shared" si="1"/>
        <v/>
      </c>
      <c r="AE17" s="26"/>
      <c r="AF17" s="24"/>
      <c r="AG17" s="103"/>
      <c r="AH17" s="27"/>
    </row>
    <row r="18" ht="15.5" customHeight="1" spans="1:34">
      <c r="A18" s="23"/>
      <c r="B18" s="24"/>
      <c r="C18" s="24"/>
      <c r="D18" s="24"/>
      <c r="E18" s="24"/>
      <c r="F18" s="21"/>
      <c r="G18" s="23"/>
      <c r="H18" s="23"/>
      <c r="I18" s="23"/>
      <c r="J18" s="23"/>
      <c r="K18" s="23"/>
      <c r="L18" s="23"/>
      <c r="M18" s="23"/>
      <c r="N18" s="23"/>
      <c r="O18" s="24"/>
      <c r="P18" s="23"/>
      <c r="Q18" s="25"/>
      <c r="R18" s="25"/>
      <c r="S18" s="38"/>
      <c r="T18" s="26"/>
      <c r="U18" s="26"/>
      <c r="V18" s="26"/>
      <c r="W18" s="26"/>
      <c r="X18" s="26"/>
      <c r="Y18" s="26"/>
      <c r="Z18" s="26"/>
      <c r="AA18" s="26">
        <f t="shared" si="2"/>
        <v>0</v>
      </c>
      <c r="AB18" s="23"/>
      <c r="AC18" s="26">
        <f t="shared" si="3"/>
        <v>0</v>
      </c>
      <c r="AD18" s="26" t="str">
        <f t="shared" si="1"/>
        <v/>
      </c>
      <c r="AE18" s="26"/>
      <c r="AF18" s="24"/>
      <c r="AG18" s="103"/>
      <c r="AH18" s="27"/>
    </row>
    <row r="19" ht="15.5" customHeight="1" spans="1:34">
      <c r="A19" s="23"/>
      <c r="B19" s="24"/>
      <c r="C19" s="24"/>
      <c r="D19" s="24"/>
      <c r="E19" s="24"/>
      <c r="F19" s="21"/>
      <c r="G19" s="23"/>
      <c r="H19" s="23"/>
      <c r="I19" s="23"/>
      <c r="J19" s="23"/>
      <c r="K19" s="23"/>
      <c r="L19" s="23"/>
      <c r="M19" s="23"/>
      <c r="N19" s="23"/>
      <c r="O19" s="24"/>
      <c r="P19" s="23"/>
      <c r="Q19" s="25"/>
      <c r="R19" s="25"/>
      <c r="S19" s="38"/>
      <c r="T19" s="26"/>
      <c r="U19" s="26"/>
      <c r="V19" s="26"/>
      <c r="W19" s="26"/>
      <c r="X19" s="26"/>
      <c r="Y19" s="26"/>
      <c r="Z19" s="26"/>
      <c r="AA19" s="26">
        <f t="shared" si="2"/>
        <v>0</v>
      </c>
      <c r="AB19" s="23"/>
      <c r="AC19" s="26">
        <f t="shared" si="3"/>
        <v>0</v>
      </c>
      <c r="AD19" s="26" t="str">
        <f t="shared" si="1"/>
        <v/>
      </c>
      <c r="AE19" s="26"/>
      <c r="AF19" s="24"/>
      <c r="AG19" s="103"/>
      <c r="AH19" s="27"/>
    </row>
    <row r="20" ht="15.5" customHeight="1" spans="1:34">
      <c r="A20" s="23"/>
      <c r="B20" s="24"/>
      <c r="C20" s="24"/>
      <c r="D20" s="24"/>
      <c r="E20" s="24"/>
      <c r="F20" s="21"/>
      <c r="G20" s="23"/>
      <c r="H20" s="23"/>
      <c r="I20" s="23"/>
      <c r="J20" s="23"/>
      <c r="K20" s="23"/>
      <c r="L20" s="23"/>
      <c r="M20" s="23"/>
      <c r="N20" s="23"/>
      <c r="O20" s="24"/>
      <c r="P20" s="23"/>
      <c r="Q20" s="25"/>
      <c r="R20" s="25"/>
      <c r="S20" s="38"/>
      <c r="T20" s="26"/>
      <c r="U20" s="26"/>
      <c r="V20" s="26"/>
      <c r="W20" s="26"/>
      <c r="X20" s="26"/>
      <c r="Y20" s="26"/>
      <c r="Z20" s="26"/>
      <c r="AA20" s="26">
        <f t="shared" si="2"/>
        <v>0</v>
      </c>
      <c r="AB20" s="23"/>
      <c r="AC20" s="26">
        <f t="shared" si="3"/>
        <v>0</v>
      </c>
      <c r="AD20" s="26" t="str">
        <f t="shared" si="1"/>
        <v/>
      </c>
      <c r="AE20" s="26"/>
      <c r="AF20" s="24"/>
      <c r="AG20" s="103"/>
      <c r="AH20" s="27"/>
    </row>
    <row r="21" ht="15.5" customHeight="1" spans="1:34">
      <c r="A21" s="23"/>
      <c r="B21" s="24"/>
      <c r="C21" s="24"/>
      <c r="D21" s="24"/>
      <c r="E21" s="24"/>
      <c r="F21" s="21"/>
      <c r="G21" s="23"/>
      <c r="H21" s="23"/>
      <c r="I21" s="23"/>
      <c r="J21" s="23"/>
      <c r="K21" s="23"/>
      <c r="L21" s="23"/>
      <c r="M21" s="23"/>
      <c r="N21" s="23"/>
      <c r="O21" s="24"/>
      <c r="P21" s="23"/>
      <c r="Q21" s="25"/>
      <c r="R21" s="25"/>
      <c r="S21" s="38"/>
      <c r="T21" s="26"/>
      <c r="U21" s="26"/>
      <c r="V21" s="26"/>
      <c r="W21" s="26"/>
      <c r="X21" s="26"/>
      <c r="Y21" s="26"/>
      <c r="Z21" s="26"/>
      <c r="AA21" s="26">
        <f t="shared" si="2"/>
        <v>0</v>
      </c>
      <c r="AB21" s="23"/>
      <c r="AC21" s="26">
        <f t="shared" si="3"/>
        <v>0</v>
      </c>
      <c r="AD21" s="26" t="str">
        <f t="shared" si="1"/>
        <v/>
      </c>
      <c r="AE21" s="26"/>
      <c r="AF21" s="24"/>
      <c r="AG21" s="103"/>
      <c r="AH21" s="27"/>
    </row>
    <row r="22" ht="15.5" customHeight="1" spans="1:34">
      <c r="A22" s="23"/>
      <c r="B22" s="24"/>
      <c r="C22" s="24"/>
      <c r="D22" s="24"/>
      <c r="E22" s="24"/>
      <c r="F22" s="21"/>
      <c r="G22" s="23"/>
      <c r="H22" s="23"/>
      <c r="I22" s="23"/>
      <c r="J22" s="23"/>
      <c r="K22" s="23"/>
      <c r="L22" s="23"/>
      <c r="M22" s="23"/>
      <c r="N22" s="23"/>
      <c r="O22" s="24"/>
      <c r="P22" s="23"/>
      <c r="Q22" s="25"/>
      <c r="R22" s="25"/>
      <c r="S22" s="38"/>
      <c r="T22" s="26"/>
      <c r="U22" s="26"/>
      <c r="V22" s="26"/>
      <c r="W22" s="26"/>
      <c r="X22" s="26"/>
      <c r="Y22" s="26"/>
      <c r="Z22" s="26"/>
      <c r="AA22" s="26">
        <f t="shared" si="2"/>
        <v>0</v>
      </c>
      <c r="AB22" s="23"/>
      <c r="AC22" s="26">
        <f t="shared" si="3"/>
        <v>0</v>
      </c>
      <c r="AD22" s="26" t="str">
        <f t="shared" si="1"/>
        <v/>
      </c>
      <c r="AE22" s="26"/>
      <c r="AF22" s="24"/>
      <c r="AG22" s="103"/>
      <c r="AH22" s="27"/>
    </row>
    <row r="23" ht="15.5" customHeight="1" spans="1:34">
      <c r="A23" s="23"/>
      <c r="B23" s="24"/>
      <c r="C23" s="24"/>
      <c r="D23" s="24"/>
      <c r="E23" s="24"/>
      <c r="F23" s="21"/>
      <c r="G23" s="23"/>
      <c r="H23" s="23"/>
      <c r="I23" s="23"/>
      <c r="J23" s="23"/>
      <c r="K23" s="23"/>
      <c r="L23" s="23"/>
      <c r="M23" s="23"/>
      <c r="N23" s="23"/>
      <c r="O23" s="24"/>
      <c r="P23" s="23"/>
      <c r="Q23" s="23"/>
      <c r="R23" s="25"/>
      <c r="S23" s="38"/>
      <c r="T23" s="26"/>
      <c r="U23" s="26"/>
      <c r="V23" s="26"/>
      <c r="W23" s="26"/>
      <c r="X23" s="26"/>
      <c r="Y23" s="26"/>
      <c r="Z23" s="26"/>
      <c r="AA23" s="26">
        <f t="shared" si="2"/>
        <v>0</v>
      </c>
      <c r="AB23" s="23"/>
      <c r="AC23" s="26">
        <f t="shared" si="3"/>
        <v>0</v>
      </c>
      <c r="AD23" s="26" t="str">
        <f t="shared" si="1"/>
        <v/>
      </c>
      <c r="AE23" s="26"/>
      <c r="AF23" s="24"/>
      <c r="AG23" s="103"/>
      <c r="AH23" s="27"/>
    </row>
    <row r="24" ht="15.5" customHeight="1" spans="1:34">
      <c r="A24" s="23"/>
      <c r="B24" s="24"/>
      <c r="C24" s="24"/>
      <c r="D24" s="24"/>
      <c r="E24" s="24"/>
      <c r="F24" s="21"/>
      <c r="G24" s="23"/>
      <c r="H24" s="23"/>
      <c r="I24" s="23"/>
      <c r="J24" s="23"/>
      <c r="K24" s="23"/>
      <c r="L24" s="23"/>
      <c r="M24" s="23"/>
      <c r="N24" s="23"/>
      <c r="O24" s="24"/>
      <c r="P24" s="23"/>
      <c r="Q24" s="25"/>
      <c r="R24" s="25"/>
      <c r="S24" s="38"/>
      <c r="T24" s="26"/>
      <c r="U24" s="26"/>
      <c r="V24" s="26"/>
      <c r="W24" s="26"/>
      <c r="X24" s="26"/>
      <c r="Y24" s="26"/>
      <c r="Z24" s="26"/>
      <c r="AA24" s="26">
        <f t="shared" si="2"/>
        <v>0</v>
      </c>
      <c r="AB24" s="23"/>
      <c r="AC24" s="26">
        <f t="shared" si="3"/>
        <v>0</v>
      </c>
      <c r="AD24" s="26" t="str">
        <f t="shared" si="1"/>
        <v/>
      </c>
      <c r="AE24" s="26"/>
      <c r="AF24" s="24"/>
      <c r="AG24" s="103"/>
      <c r="AH24" s="27"/>
    </row>
    <row r="25" ht="15.5" customHeight="1" spans="1:34">
      <c r="A25" s="23"/>
      <c r="B25" s="24"/>
      <c r="C25" s="24"/>
      <c r="D25" s="24"/>
      <c r="E25" s="24"/>
      <c r="F25" s="21"/>
      <c r="G25" s="23"/>
      <c r="H25" s="23"/>
      <c r="I25" s="23"/>
      <c r="J25" s="23"/>
      <c r="K25" s="23"/>
      <c r="L25" s="23"/>
      <c r="M25" s="23"/>
      <c r="N25" s="23"/>
      <c r="O25" s="24"/>
      <c r="P25" s="23"/>
      <c r="Q25" s="25"/>
      <c r="R25" s="25"/>
      <c r="S25" s="38"/>
      <c r="T25" s="26"/>
      <c r="U25" s="26"/>
      <c r="V25" s="26"/>
      <c r="W25" s="26"/>
      <c r="X25" s="26"/>
      <c r="Y25" s="26"/>
      <c r="Z25" s="26"/>
      <c r="AA25" s="26">
        <f t="shared" si="2"/>
        <v>0</v>
      </c>
      <c r="AB25" s="23"/>
      <c r="AC25" s="26">
        <f t="shared" si="3"/>
        <v>0</v>
      </c>
      <c r="AD25" s="26" t="str">
        <f t="shared" si="1"/>
        <v/>
      </c>
      <c r="AE25" s="26"/>
      <c r="AF25" s="24"/>
      <c r="AG25" s="103"/>
      <c r="AH25" s="27"/>
    </row>
    <row r="26" ht="15.5" customHeight="1" spans="1:34">
      <c r="A26" s="23"/>
      <c r="B26" s="24"/>
      <c r="C26" s="24"/>
      <c r="D26" s="24"/>
      <c r="E26" s="24"/>
      <c r="F26" s="21"/>
      <c r="G26" s="23"/>
      <c r="H26" s="23"/>
      <c r="I26" s="23"/>
      <c r="J26" s="23"/>
      <c r="K26" s="23"/>
      <c r="L26" s="23"/>
      <c r="M26" s="23"/>
      <c r="N26" s="23"/>
      <c r="O26" s="24"/>
      <c r="P26" s="23"/>
      <c r="Q26" s="25"/>
      <c r="R26" s="25"/>
      <c r="S26" s="38"/>
      <c r="T26" s="26"/>
      <c r="U26" s="26"/>
      <c r="V26" s="26"/>
      <c r="W26" s="26"/>
      <c r="X26" s="26"/>
      <c r="Y26" s="26"/>
      <c r="Z26" s="26"/>
      <c r="AA26" s="26">
        <f t="shared" si="2"/>
        <v>0</v>
      </c>
      <c r="AB26" s="23"/>
      <c r="AC26" s="26">
        <f t="shared" si="3"/>
        <v>0</v>
      </c>
      <c r="AD26" s="26" t="str">
        <f t="shared" si="1"/>
        <v/>
      </c>
      <c r="AE26" s="26"/>
      <c r="AF26" s="24"/>
      <c r="AG26" s="103"/>
      <c r="AH26" s="27"/>
    </row>
    <row r="27" ht="15.5" customHeight="1" spans="1:34">
      <c r="A27" s="23"/>
      <c r="B27" s="24"/>
      <c r="C27" s="24"/>
      <c r="D27" s="24"/>
      <c r="E27" s="24"/>
      <c r="F27" s="21"/>
      <c r="G27" s="23"/>
      <c r="H27" s="23"/>
      <c r="I27" s="23"/>
      <c r="J27" s="23"/>
      <c r="K27" s="23"/>
      <c r="L27" s="23"/>
      <c r="M27" s="23"/>
      <c r="N27" s="23"/>
      <c r="O27" s="24"/>
      <c r="P27" s="23"/>
      <c r="Q27" s="25"/>
      <c r="R27" s="25"/>
      <c r="S27" s="38"/>
      <c r="T27" s="26"/>
      <c r="U27" s="26"/>
      <c r="V27" s="26"/>
      <c r="W27" s="26"/>
      <c r="X27" s="26"/>
      <c r="Y27" s="26"/>
      <c r="Z27" s="26"/>
      <c r="AA27" s="26">
        <f t="shared" si="2"/>
        <v>0</v>
      </c>
      <c r="AB27" s="23"/>
      <c r="AC27" s="26">
        <f t="shared" si="3"/>
        <v>0</v>
      </c>
      <c r="AD27" s="26" t="str">
        <f t="shared" si="1"/>
        <v/>
      </c>
      <c r="AE27" s="26"/>
      <c r="AF27" s="24"/>
      <c r="AG27" s="103"/>
      <c r="AH27" s="27"/>
    </row>
    <row r="28" ht="15.5" customHeight="1" spans="1:34">
      <c r="A28" s="23"/>
      <c r="B28" s="24"/>
      <c r="C28" s="24"/>
      <c r="D28" s="24"/>
      <c r="E28" s="24"/>
      <c r="F28" s="21"/>
      <c r="G28" s="23"/>
      <c r="H28" s="23"/>
      <c r="I28" s="23"/>
      <c r="J28" s="23"/>
      <c r="K28" s="23"/>
      <c r="L28" s="23"/>
      <c r="M28" s="23"/>
      <c r="N28" s="23"/>
      <c r="O28" s="24"/>
      <c r="P28" s="23"/>
      <c r="Q28" s="25"/>
      <c r="R28" s="25"/>
      <c r="S28" s="38"/>
      <c r="T28" s="26"/>
      <c r="U28" s="26"/>
      <c r="V28" s="26"/>
      <c r="W28" s="26"/>
      <c r="X28" s="26"/>
      <c r="Y28" s="26"/>
      <c r="Z28" s="26"/>
      <c r="AA28" s="26">
        <f t="shared" si="2"/>
        <v>0</v>
      </c>
      <c r="AB28" s="23"/>
      <c r="AC28" s="26">
        <f t="shared" si="3"/>
        <v>0</v>
      </c>
      <c r="AD28" s="26" t="str">
        <f t="shared" si="1"/>
        <v/>
      </c>
      <c r="AE28" s="26"/>
      <c r="AF28" s="24"/>
      <c r="AG28" s="103"/>
      <c r="AH28" s="27"/>
    </row>
    <row r="29" ht="15.5" customHeight="1" spans="1:34">
      <c r="A29" s="23"/>
      <c r="B29" s="24"/>
      <c r="C29" s="24"/>
      <c r="D29" s="24"/>
      <c r="E29" s="24"/>
      <c r="F29" s="23"/>
      <c r="G29" s="23"/>
      <c r="H29" s="23"/>
      <c r="I29" s="23"/>
      <c r="J29" s="23"/>
      <c r="K29" s="23"/>
      <c r="L29" s="23"/>
      <c r="M29" s="23"/>
      <c r="N29" s="23"/>
      <c r="O29" s="24"/>
      <c r="P29" s="23"/>
      <c r="Q29" s="25"/>
      <c r="R29" s="25"/>
      <c r="S29" s="38"/>
      <c r="T29" s="26" t="str">
        <f>IF(S29=0,"",U29/S29)</f>
        <v/>
      </c>
      <c r="U29" s="26"/>
      <c r="V29" s="26"/>
      <c r="W29" s="26"/>
      <c r="X29" s="26"/>
      <c r="Y29" s="26"/>
      <c r="Z29" s="26"/>
      <c r="AA29" s="26">
        <f t="shared" si="2"/>
        <v>0</v>
      </c>
      <c r="AB29" s="23"/>
      <c r="AC29" s="26">
        <f t="shared" si="3"/>
        <v>0</v>
      </c>
      <c r="AD29" s="26" t="str">
        <f t="shared" si="1"/>
        <v/>
      </c>
      <c r="AE29" s="26"/>
      <c r="AF29" s="24"/>
      <c r="AG29" s="103"/>
      <c r="AH29" s="27"/>
    </row>
    <row r="30" ht="15.5" customHeight="1" spans="1:34">
      <c r="A30" s="23"/>
      <c r="B30" s="24"/>
      <c r="C30" s="24"/>
      <c r="D30" s="24"/>
      <c r="E30" s="24"/>
      <c r="F30" s="23"/>
      <c r="G30" s="23"/>
      <c r="H30" s="23"/>
      <c r="I30" s="23"/>
      <c r="J30" s="23"/>
      <c r="K30" s="23"/>
      <c r="L30" s="23"/>
      <c r="M30" s="23"/>
      <c r="N30" s="23"/>
      <c r="O30" s="24"/>
      <c r="P30" s="23"/>
      <c r="Q30" s="25"/>
      <c r="R30" s="25"/>
      <c r="S30" s="38"/>
      <c r="T30" s="26" t="str">
        <f>IF(S30=0,"",U30/S30)</f>
        <v/>
      </c>
      <c r="U30" s="26"/>
      <c r="V30" s="26"/>
      <c r="W30" s="26"/>
      <c r="X30" s="26"/>
      <c r="Y30" s="26"/>
      <c r="Z30" s="26"/>
      <c r="AA30" s="26">
        <f t="shared" si="2"/>
        <v>0</v>
      </c>
      <c r="AB30" s="23"/>
      <c r="AC30" s="26">
        <f t="shared" si="3"/>
        <v>0</v>
      </c>
      <c r="AD30" s="26" t="str">
        <f t="shared" si="1"/>
        <v/>
      </c>
      <c r="AE30" s="26"/>
      <c r="AF30" s="24"/>
      <c r="AG30" s="103"/>
      <c r="AH30" s="27"/>
    </row>
    <row r="31" ht="15.5" customHeight="1" spans="1:34">
      <c r="A31" s="23"/>
      <c r="B31" s="24"/>
      <c r="C31" s="24"/>
      <c r="D31" s="24"/>
      <c r="E31" s="24"/>
      <c r="F31" s="23"/>
      <c r="G31" s="23"/>
      <c r="H31" s="23"/>
      <c r="I31" s="23"/>
      <c r="J31" s="23"/>
      <c r="K31" s="23"/>
      <c r="L31" s="23"/>
      <c r="M31" s="23"/>
      <c r="N31" s="23"/>
      <c r="O31" s="24"/>
      <c r="P31" s="23"/>
      <c r="Q31" s="25"/>
      <c r="R31" s="25"/>
      <c r="S31" s="38"/>
      <c r="T31" s="26" t="str">
        <f>IF(S31=0,"",U31/S31)</f>
        <v/>
      </c>
      <c r="U31" s="26"/>
      <c r="V31" s="26"/>
      <c r="W31" s="26"/>
      <c r="X31" s="26"/>
      <c r="Y31" s="26"/>
      <c r="Z31" s="26"/>
      <c r="AA31" s="26">
        <f t="shared" si="2"/>
        <v>0</v>
      </c>
      <c r="AB31" s="23"/>
      <c r="AC31" s="26">
        <f t="shared" si="3"/>
        <v>0</v>
      </c>
      <c r="AD31" s="26" t="str">
        <f t="shared" si="1"/>
        <v/>
      </c>
      <c r="AE31" s="26"/>
      <c r="AF31" s="24"/>
      <c r="AG31" s="103"/>
      <c r="AH31" s="27"/>
    </row>
    <row r="32" ht="15.5" customHeight="1" spans="1:34">
      <c r="A32" s="23"/>
      <c r="B32" s="24"/>
      <c r="C32" s="24"/>
      <c r="D32" s="103"/>
      <c r="E32" s="103"/>
      <c r="F32" s="23"/>
      <c r="G32" s="104"/>
      <c r="H32" s="104"/>
      <c r="I32" s="104"/>
      <c r="J32" s="104"/>
      <c r="K32" s="104"/>
      <c r="L32" s="104"/>
      <c r="M32" s="104"/>
      <c r="N32" s="104"/>
      <c r="O32" s="103"/>
      <c r="P32" s="104"/>
      <c r="Q32" s="25"/>
      <c r="R32" s="25"/>
      <c r="S32" s="38"/>
      <c r="T32" s="26" t="str">
        <f>IF(S32=0,"",U32/S32)</f>
        <v/>
      </c>
      <c r="U32" s="26"/>
      <c r="V32" s="26"/>
      <c r="W32" s="26"/>
      <c r="X32" s="26"/>
      <c r="Y32" s="26"/>
      <c r="Z32" s="26"/>
      <c r="AA32" s="26">
        <f t="shared" si="2"/>
        <v>0</v>
      </c>
      <c r="AB32" s="23"/>
      <c r="AC32" s="26">
        <f t="shared" si="3"/>
        <v>0</v>
      </c>
      <c r="AD32" s="26" t="str">
        <f t="shared" si="1"/>
        <v/>
      </c>
      <c r="AE32" s="26"/>
      <c r="AF32" s="24"/>
      <c r="AG32" s="103"/>
      <c r="AH32" s="27"/>
    </row>
    <row r="33" ht="15.5" customHeight="1" spans="1:34">
      <c r="A33" s="23"/>
      <c r="B33" s="24"/>
      <c r="C33" s="24"/>
      <c r="D33" s="103"/>
      <c r="E33" s="103"/>
      <c r="F33" s="23"/>
      <c r="G33" s="104"/>
      <c r="H33" s="104"/>
      <c r="I33" s="104"/>
      <c r="J33" s="104"/>
      <c r="K33" s="104"/>
      <c r="L33" s="104"/>
      <c r="M33" s="104"/>
      <c r="N33" s="104"/>
      <c r="O33" s="103"/>
      <c r="P33" s="104"/>
      <c r="Q33" s="25"/>
      <c r="R33" s="25"/>
      <c r="S33" s="38"/>
      <c r="T33" s="26" t="str">
        <f>IF(S33=0,"",U33/S33)</f>
        <v/>
      </c>
      <c r="U33" s="26"/>
      <c r="V33" s="26"/>
      <c r="W33" s="26"/>
      <c r="X33" s="26"/>
      <c r="Y33" s="26"/>
      <c r="Z33" s="26"/>
      <c r="AA33" s="26">
        <f t="shared" si="2"/>
        <v>0</v>
      </c>
      <c r="AB33" s="23"/>
      <c r="AC33" s="26">
        <f t="shared" si="3"/>
        <v>0</v>
      </c>
      <c r="AD33" s="26" t="str">
        <f t="shared" si="1"/>
        <v/>
      </c>
      <c r="AE33" s="26"/>
      <c r="AF33" s="24"/>
      <c r="AG33" s="103"/>
      <c r="AH33" s="27"/>
    </row>
    <row r="34" ht="15.5" customHeight="1" spans="1:34">
      <c r="A34" s="23"/>
      <c r="B34" s="24"/>
      <c r="C34" s="24"/>
      <c r="D34" s="103"/>
      <c r="E34" s="103"/>
      <c r="F34" s="23"/>
      <c r="G34" s="104"/>
      <c r="H34" s="104"/>
      <c r="I34" s="104"/>
      <c r="J34" s="104"/>
      <c r="K34" s="104"/>
      <c r="L34" s="104"/>
      <c r="M34" s="104"/>
      <c r="N34" s="104"/>
      <c r="O34" s="103"/>
      <c r="P34" s="104"/>
      <c r="Q34" s="25"/>
      <c r="R34" s="25"/>
      <c r="S34" s="38"/>
      <c r="T34" s="26"/>
      <c r="U34" s="26"/>
      <c r="V34" s="26"/>
      <c r="W34" s="26"/>
      <c r="X34" s="26"/>
      <c r="Y34" s="26"/>
      <c r="Z34" s="26"/>
      <c r="AA34" s="26"/>
      <c r="AB34" s="23"/>
      <c r="AC34" s="26"/>
      <c r="AD34" s="26"/>
      <c r="AE34" s="26"/>
      <c r="AF34" s="24"/>
      <c r="AG34" s="103"/>
      <c r="AH34" s="27"/>
    </row>
    <row r="35" ht="15.5" customHeight="1" spans="1:34">
      <c r="A35" s="21" t="s">
        <v>319</v>
      </c>
      <c r="B35" s="32"/>
      <c r="C35" s="28"/>
      <c r="D35" s="195"/>
      <c r="E35" s="195"/>
      <c r="F35" s="23"/>
      <c r="G35" s="104"/>
      <c r="H35" s="104"/>
      <c r="I35" s="104"/>
      <c r="J35" s="104"/>
      <c r="K35" s="104"/>
      <c r="L35" s="104"/>
      <c r="M35" s="104"/>
      <c r="N35" s="104"/>
      <c r="O35" s="104"/>
      <c r="P35" s="104"/>
      <c r="Q35" s="25"/>
      <c r="R35" s="25"/>
      <c r="S35" s="27"/>
      <c r="T35" s="26"/>
      <c r="U35" s="26">
        <f>SUM(U7:U34)</f>
        <v>0</v>
      </c>
      <c r="V35" s="26">
        <f>SUM(V7:V34)</f>
        <v>0</v>
      </c>
      <c r="W35" s="26"/>
      <c r="X35" s="26"/>
      <c r="Y35" s="26">
        <f>SUM(Y7:Y34)</f>
        <v>0</v>
      </c>
      <c r="Z35" s="26">
        <f>SUM(Z7:Z34)</f>
        <v>0</v>
      </c>
      <c r="AA35" s="26">
        <f>SUM(AA7:AA34)</f>
        <v>0</v>
      </c>
      <c r="AB35" s="23"/>
      <c r="AC35" s="26">
        <f>SUM(AC7:AC34)</f>
        <v>0</v>
      </c>
      <c r="AD35" s="26" t="str">
        <f>IF(Z35=0,"",(AC35-Z35)/Z35*100)</f>
        <v/>
      </c>
      <c r="AE35" s="26"/>
      <c r="AF35" s="24"/>
      <c r="AG35" s="103"/>
      <c r="AH35" s="27"/>
    </row>
    <row r="36" ht="15.5" customHeight="1" spans="1:34">
      <c r="A36" s="29" t="str">
        <f>封面!D11&amp;封面!G11</f>
        <v>被评估单位填表人：</v>
      </c>
      <c r="Y36" s="13" t="str">
        <f>"评估人员："&amp;封面!G24</f>
        <v>评估人员：</v>
      </c>
    </row>
    <row r="37" ht="15.5" customHeight="1" spans="1:34">
      <c r="A37" s="29" t="str">
        <f>CONCATENATE(封面!D13,封面!F13,封面!G13,封面!H13,封面!I13,封面!J13,封面!K13)</f>
        <v>填表日期：年月日</v>
      </c>
    </row>
  </sheetData>
  <mergeCells count="32">
    <mergeCell ref="A2:AE2"/>
    <mergeCell ref="A3:AF3"/>
    <mergeCell ref="U5:V5"/>
    <mergeCell ref="W5:X5"/>
    <mergeCell ref="Y5:Z5"/>
    <mergeCell ref="AA5:AC5"/>
    <mergeCell ref="A35:C35"/>
    <mergeCell ref="A5:A6"/>
    <mergeCell ref="B5:B6"/>
    <mergeCell ref="C5:C6"/>
    <mergeCell ref="D5:D6"/>
    <mergeCell ref="E5:E6"/>
    <mergeCell ref="F5:F6"/>
    <mergeCell ref="G5:G6"/>
    <mergeCell ref="H5:H6"/>
    <mergeCell ref="I5:I6"/>
    <mergeCell ref="J5:J6"/>
    <mergeCell ref="K5:K6"/>
    <mergeCell ref="L5:L6"/>
    <mergeCell ref="M5:M6"/>
    <mergeCell ref="N5:N6"/>
    <mergeCell ref="O5:O6"/>
    <mergeCell ref="P5:P6"/>
    <mergeCell ref="Q5:Q6"/>
    <mergeCell ref="R5:R6"/>
    <mergeCell ref="S5:S6"/>
    <mergeCell ref="T5:T6"/>
    <mergeCell ref="AD5:AD6"/>
    <mergeCell ref="AE5:AE6"/>
    <mergeCell ref="AF5:AF6"/>
    <mergeCell ref="AG5:AG6"/>
    <mergeCell ref="AH5:AH6"/>
  </mergeCells>
  <hyperlinks>
    <hyperlink ref="A1" location="索引目录!E35" display="返回索引页"/>
    <hyperlink ref="B1" location="固定资产汇总!B8" display="返回"/>
  </hyperlinks>
  <printOptions horizontalCentered="1"/>
  <pageMargins left="0.354330708661417" right="0.354330708661417" top="0.78740157480315" bottom="0.78740157480315" header="1.01" footer="0.511811023622047"/>
  <pageSetup paperSize="9" scale="86" fitToHeight="0" orientation="landscape"/>
  <headerFooter alignWithMargins="0">
    <oddHeader>&amp;R&amp;"宋体,常规"共&amp;"Times New Roman,常规"&amp;N&amp;"宋体,常规"页第&amp;"Times New Roman,常规"&amp;P&amp;"宋体,常规"4-6-1
页</oddHeader>
  </headerFooter>
  <legacyDrawing r:id="rId2"/>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7">
    <pageSetUpPr fitToPage="1"/>
  </sheetPr>
  <dimension ref="A1:X49"/>
  <sheetViews>
    <sheetView zoomScaleSheetLayoutView="115" workbookViewId="0">
      <selection activeCell="G451" sqref="G451"/>
    </sheetView>
  </sheetViews>
  <sheetFormatPr defaultColWidth="9" defaultRowHeight="15.75" customHeight="1"/>
  <cols>
    <col min="1" max="1" width="5.83333333333333" style="13" customWidth="1"/>
    <col min="2" max="2" width="14.75" style="13" customWidth="1"/>
    <col min="3" max="3" width="5.58333333333333" style="13" customWidth="1"/>
    <col min="4" max="4" width="8" style="13" hidden="1" customWidth="1" outlineLevel="1"/>
    <col min="5" max="5" width="7.58333333333333" style="13" customWidth="1" collapsed="1"/>
    <col min="6" max="6" width="4.33333333333333" style="13" customWidth="1"/>
    <col min="7" max="7" width="5.08333333333333" style="13" customWidth="1"/>
    <col min="8" max="8" width="5.25" style="13" customWidth="1"/>
    <col min="9" max="9" width="7.75" style="13" customWidth="1"/>
    <col min="10" max="13" width="11" style="13" hidden="1" customWidth="1" outlineLevel="1"/>
    <col min="14" max="14" width="12.75" style="13" customWidth="1" collapsed="1"/>
    <col min="15" max="15" width="12.75" style="13" customWidth="1"/>
    <col min="16" max="16" width="11" style="13" customWidth="1"/>
    <col min="17" max="17" width="7.25" style="13" customWidth="1"/>
    <col min="18" max="18" width="11" style="13" customWidth="1"/>
    <col min="19" max="19" width="7.5" style="13" customWidth="1"/>
    <col min="20" max="20" width="7.58333333333333" style="13" customWidth="1"/>
    <col min="21" max="21" width="7.25" style="13" customWidth="1"/>
    <col min="22" max="16384" width="9" style="13" customWidth="1"/>
  </cols>
  <sheetData>
    <row r="1" ht="15.5" customHeight="1" spans="1:24">
      <c r="A1" s="14" t="s">
        <v>111</v>
      </c>
      <c r="B1" s="15" t="s">
        <v>210</v>
      </c>
      <c r="C1" s="16"/>
      <c r="D1" s="16"/>
      <c r="E1" s="16"/>
      <c r="F1" s="16"/>
      <c r="G1" s="16"/>
      <c r="H1" s="16"/>
      <c r="I1" s="16"/>
      <c r="J1" s="16"/>
      <c r="K1" s="16"/>
      <c r="L1" s="16"/>
      <c r="M1" s="16"/>
      <c r="N1" s="16"/>
      <c r="O1" s="16"/>
      <c r="P1" s="16"/>
      <c r="Q1" s="16"/>
      <c r="R1" s="16"/>
      <c r="S1" s="16"/>
      <c r="T1" s="16"/>
      <c r="U1" s="16"/>
      <c r="V1" s="16"/>
      <c r="W1" s="16"/>
      <c r="X1" s="16"/>
    </row>
    <row r="2" s="11" customFormat="1" ht="30" customHeight="1" spans="1:24">
      <c r="A2" s="17" t="s">
        <v>507</v>
      </c>
      <c r="V2" s="53"/>
      <c r="W2" s="53"/>
      <c r="X2" s="53"/>
    </row>
    <row r="3" ht="14.15" customHeight="1" spans="1:24">
      <c r="A3" s="18" t="str">
        <f>CONCATENATE(封面!D9,封面!F9,封面!G9,封面!H9,封面!I9,封面!J9,封面!K9)</f>
        <v>评估基准日：年月日</v>
      </c>
      <c r="V3" s="16"/>
      <c r="W3" s="16"/>
      <c r="X3" s="16"/>
    </row>
    <row r="4" ht="15.5" customHeight="1" spans="1:24">
      <c r="A4" s="19" t="str">
        <f>封面!D7&amp;封面!F7</f>
        <v>被评估单位：</v>
      </c>
      <c r="U4" s="20" t="s">
        <v>139</v>
      </c>
    </row>
    <row r="5" s="12" customFormat="1" ht="13" customHeight="1" spans="1:24">
      <c r="A5" s="21" t="s">
        <v>141</v>
      </c>
      <c r="B5" s="23" t="s">
        <v>508</v>
      </c>
      <c r="C5" s="21" t="s">
        <v>490</v>
      </c>
      <c r="D5" s="100" t="s">
        <v>499</v>
      </c>
      <c r="E5" s="22" t="s">
        <v>501</v>
      </c>
      <c r="F5" s="22" t="s">
        <v>509</v>
      </c>
      <c r="G5" s="22" t="s">
        <v>510</v>
      </c>
      <c r="H5" s="22" t="s">
        <v>367</v>
      </c>
      <c r="I5" s="22" t="s">
        <v>511</v>
      </c>
      <c r="J5" s="21" t="s">
        <v>175</v>
      </c>
      <c r="K5" s="28"/>
      <c r="L5" s="21" t="s">
        <v>281</v>
      </c>
      <c r="M5" s="28"/>
      <c r="N5" s="21" t="s">
        <v>176</v>
      </c>
      <c r="O5" s="28"/>
      <c r="P5" s="21" t="s">
        <v>177</v>
      </c>
      <c r="Q5" s="32"/>
      <c r="R5" s="28"/>
      <c r="S5" s="22" t="s">
        <v>215</v>
      </c>
      <c r="T5" s="22" t="s">
        <v>504</v>
      </c>
      <c r="U5" s="22" t="s">
        <v>144</v>
      </c>
    </row>
    <row r="6" s="12" customFormat="1" ht="13" customHeight="1" spans="1:24">
      <c r="A6" s="36"/>
      <c r="B6" s="36"/>
      <c r="C6" s="36"/>
      <c r="D6" s="36"/>
      <c r="E6" s="36"/>
      <c r="F6" s="36"/>
      <c r="G6" s="36"/>
      <c r="H6" s="36"/>
      <c r="I6" s="36"/>
      <c r="J6" s="21" t="s">
        <v>465</v>
      </c>
      <c r="K6" s="21" t="s">
        <v>466</v>
      </c>
      <c r="L6" s="21" t="s">
        <v>465</v>
      </c>
      <c r="M6" s="21" t="s">
        <v>466</v>
      </c>
      <c r="N6" s="21" t="s">
        <v>465</v>
      </c>
      <c r="O6" s="21" t="s">
        <v>466</v>
      </c>
      <c r="P6" s="21" t="s">
        <v>465</v>
      </c>
      <c r="Q6" s="21" t="s">
        <v>401</v>
      </c>
      <c r="R6" s="21" t="s">
        <v>466</v>
      </c>
      <c r="S6" s="36"/>
      <c r="T6" s="36"/>
      <c r="U6" s="36"/>
    </row>
    <row r="7" ht="15.5" customHeight="1" spans="1:24">
      <c r="A7" s="23"/>
      <c r="B7" s="24"/>
      <c r="C7" s="23"/>
      <c r="D7" s="24"/>
      <c r="E7" s="23"/>
      <c r="F7" s="25"/>
      <c r="G7" s="23"/>
      <c r="H7" s="23"/>
      <c r="I7" s="191"/>
      <c r="J7" s="26"/>
      <c r="K7" s="26"/>
      <c r="L7" s="26"/>
      <c r="M7" s="26"/>
      <c r="N7" s="26"/>
      <c r="O7" s="26"/>
      <c r="P7" s="26"/>
      <c r="Q7" s="23"/>
      <c r="R7" s="26">
        <f t="shared" ref="R7:R38" si="0">ROUND(P7*Q7/100,0)</f>
        <v>0</v>
      </c>
      <c r="S7" s="26" t="str">
        <f t="shared" ref="S7:S38" si="1">IF(O7=0,"",(R7-O7)/O7*100)</f>
        <v/>
      </c>
      <c r="T7" s="26"/>
      <c r="U7" s="24"/>
    </row>
    <row r="8" ht="15.5" customHeight="1" spans="1:24">
      <c r="A8" s="23"/>
      <c r="B8" s="24"/>
      <c r="C8" s="23"/>
      <c r="D8" s="24"/>
      <c r="E8" s="23"/>
      <c r="F8" s="25"/>
      <c r="G8" s="23"/>
      <c r="H8" s="23"/>
      <c r="I8" s="191"/>
      <c r="J8" s="26"/>
      <c r="K8" s="26"/>
      <c r="L8" s="26"/>
      <c r="M8" s="26"/>
      <c r="N8" s="26"/>
      <c r="O8" s="26"/>
      <c r="P8" s="26"/>
      <c r="Q8" s="23"/>
      <c r="R8" s="26">
        <f t="shared" si="0"/>
        <v>0</v>
      </c>
      <c r="S8" s="26" t="str">
        <f t="shared" si="1"/>
        <v/>
      </c>
      <c r="T8" s="26"/>
      <c r="U8" s="24"/>
    </row>
    <row r="9" ht="15.5" customHeight="1" spans="1:24">
      <c r="A9" s="23"/>
      <c r="B9" s="24"/>
      <c r="C9" s="23"/>
      <c r="D9" s="24"/>
      <c r="E9" s="23"/>
      <c r="F9" s="25"/>
      <c r="G9" s="23"/>
      <c r="H9" s="23"/>
      <c r="I9" s="191"/>
      <c r="J9" s="26"/>
      <c r="K9" s="26"/>
      <c r="L9" s="26"/>
      <c r="M9" s="26"/>
      <c r="N9" s="26"/>
      <c r="O9" s="26"/>
      <c r="P9" s="26"/>
      <c r="Q9" s="23"/>
      <c r="R9" s="26">
        <f t="shared" si="0"/>
        <v>0</v>
      </c>
      <c r="S9" s="26" t="str">
        <f t="shared" si="1"/>
        <v/>
      </c>
      <c r="T9" s="26"/>
      <c r="U9" s="24"/>
    </row>
    <row r="10" ht="15.5" customHeight="1" spans="1:24">
      <c r="A10" s="23"/>
      <c r="B10" s="24"/>
      <c r="C10" s="23"/>
      <c r="D10" s="24"/>
      <c r="E10" s="23"/>
      <c r="F10" s="25"/>
      <c r="G10" s="23"/>
      <c r="H10" s="23"/>
      <c r="I10" s="191"/>
      <c r="J10" s="26"/>
      <c r="K10" s="26"/>
      <c r="L10" s="26"/>
      <c r="M10" s="26"/>
      <c r="N10" s="26"/>
      <c r="O10" s="26"/>
      <c r="P10" s="26"/>
      <c r="Q10" s="23"/>
      <c r="R10" s="26">
        <f t="shared" si="0"/>
        <v>0</v>
      </c>
      <c r="S10" s="26" t="str">
        <f t="shared" si="1"/>
        <v/>
      </c>
      <c r="T10" s="26"/>
      <c r="U10" s="24"/>
    </row>
    <row r="11" ht="15.5" customHeight="1" spans="1:24">
      <c r="A11" s="23"/>
      <c r="B11" s="24"/>
      <c r="C11" s="23"/>
      <c r="D11" s="24"/>
      <c r="E11" s="23"/>
      <c r="F11" s="25"/>
      <c r="G11" s="23"/>
      <c r="H11" s="23"/>
      <c r="I11" s="191"/>
      <c r="J11" s="26"/>
      <c r="K11" s="26"/>
      <c r="L11" s="26"/>
      <c r="M11" s="26"/>
      <c r="N11" s="26"/>
      <c r="O11" s="26"/>
      <c r="P11" s="26"/>
      <c r="Q11" s="23"/>
      <c r="R11" s="26">
        <f t="shared" si="0"/>
        <v>0</v>
      </c>
      <c r="S11" s="26" t="str">
        <f t="shared" si="1"/>
        <v/>
      </c>
      <c r="T11" s="26"/>
      <c r="U11" s="24"/>
    </row>
    <row r="12" ht="15.5" customHeight="1" spans="1:24">
      <c r="A12" s="23"/>
      <c r="B12" s="24"/>
      <c r="C12" s="23"/>
      <c r="D12" s="24"/>
      <c r="E12" s="23"/>
      <c r="F12" s="25"/>
      <c r="G12" s="23"/>
      <c r="H12" s="23"/>
      <c r="I12" s="191"/>
      <c r="J12" s="26"/>
      <c r="K12" s="26"/>
      <c r="L12" s="26"/>
      <c r="M12" s="26"/>
      <c r="N12" s="26"/>
      <c r="O12" s="26"/>
      <c r="P12" s="26"/>
      <c r="Q12" s="23"/>
      <c r="R12" s="26">
        <f t="shared" si="0"/>
        <v>0</v>
      </c>
      <c r="S12" s="26" t="str">
        <f t="shared" si="1"/>
        <v/>
      </c>
      <c r="T12" s="26"/>
      <c r="U12" s="24"/>
    </row>
    <row r="13" ht="15.5" customHeight="1" spans="1:24">
      <c r="A13" s="23"/>
      <c r="B13" s="24"/>
      <c r="C13" s="23"/>
      <c r="D13" s="24"/>
      <c r="E13" s="23"/>
      <c r="F13" s="25"/>
      <c r="G13" s="23"/>
      <c r="H13" s="23"/>
      <c r="I13" s="191"/>
      <c r="J13" s="26"/>
      <c r="K13" s="26"/>
      <c r="L13" s="26"/>
      <c r="M13" s="26"/>
      <c r="N13" s="26"/>
      <c r="O13" s="26"/>
      <c r="P13" s="26"/>
      <c r="Q13" s="23"/>
      <c r="R13" s="26">
        <f t="shared" si="0"/>
        <v>0</v>
      </c>
      <c r="S13" s="26" t="str">
        <f t="shared" si="1"/>
        <v/>
      </c>
      <c r="T13" s="26"/>
      <c r="U13" s="24"/>
    </row>
    <row r="14" ht="15.5" customHeight="1" spans="1:24">
      <c r="A14" s="23"/>
      <c r="B14" s="24"/>
      <c r="C14" s="23"/>
      <c r="D14" s="24"/>
      <c r="E14" s="23"/>
      <c r="F14" s="25"/>
      <c r="G14" s="23"/>
      <c r="H14" s="23"/>
      <c r="I14" s="191"/>
      <c r="J14" s="26"/>
      <c r="K14" s="26"/>
      <c r="L14" s="26"/>
      <c r="M14" s="26"/>
      <c r="N14" s="26"/>
      <c r="O14" s="26"/>
      <c r="P14" s="26"/>
      <c r="Q14" s="23"/>
      <c r="R14" s="26">
        <f t="shared" si="0"/>
        <v>0</v>
      </c>
      <c r="S14" s="26" t="str">
        <f t="shared" si="1"/>
        <v/>
      </c>
      <c r="T14" s="26"/>
      <c r="U14" s="24"/>
    </row>
    <row r="15" ht="15.5" customHeight="1" spans="1:24">
      <c r="A15" s="23"/>
      <c r="B15" s="24"/>
      <c r="C15" s="23"/>
      <c r="D15" s="24"/>
      <c r="E15" s="23"/>
      <c r="F15" s="25"/>
      <c r="G15" s="23"/>
      <c r="H15" s="23"/>
      <c r="I15" s="191"/>
      <c r="J15" s="26"/>
      <c r="K15" s="26"/>
      <c r="L15" s="26"/>
      <c r="M15" s="26"/>
      <c r="N15" s="26"/>
      <c r="O15" s="26"/>
      <c r="P15" s="26"/>
      <c r="Q15" s="23"/>
      <c r="R15" s="26">
        <f t="shared" si="0"/>
        <v>0</v>
      </c>
      <c r="S15" s="26" t="str">
        <f t="shared" si="1"/>
        <v/>
      </c>
      <c r="T15" s="26"/>
      <c r="U15" s="24"/>
    </row>
    <row r="16" ht="15.5" customHeight="1" spans="1:24">
      <c r="A16" s="23"/>
      <c r="B16" s="24"/>
      <c r="C16" s="23"/>
      <c r="D16" s="24"/>
      <c r="E16" s="25"/>
      <c r="F16" s="25"/>
      <c r="G16" s="23"/>
      <c r="H16" s="23"/>
      <c r="I16" s="191"/>
      <c r="J16" s="26"/>
      <c r="K16" s="26"/>
      <c r="L16" s="26"/>
      <c r="M16" s="26"/>
      <c r="N16" s="26"/>
      <c r="O16" s="26"/>
      <c r="P16" s="26"/>
      <c r="Q16" s="23"/>
      <c r="R16" s="26">
        <f t="shared" si="0"/>
        <v>0</v>
      </c>
      <c r="S16" s="26" t="str">
        <f t="shared" si="1"/>
        <v/>
      </c>
      <c r="T16" s="26"/>
      <c r="U16" s="24"/>
    </row>
    <row r="17" ht="15.5" customHeight="1" spans="1:21">
      <c r="A17" s="23"/>
      <c r="B17" s="24"/>
      <c r="C17" s="23"/>
      <c r="D17" s="24"/>
      <c r="E17" s="25"/>
      <c r="F17" s="25"/>
      <c r="G17" s="23"/>
      <c r="H17" s="23"/>
      <c r="I17" s="191"/>
      <c r="J17" s="26"/>
      <c r="K17" s="26"/>
      <c r="L17" s="26"/>
      <c r="M17" s="26"/>
      <c r="N17" s="26"/>
      <c r="O17" s="26"/>
      <c r="P17" s="26"/>
      <c r="Q17" s="23"/>
      <c r="R17" s="26">
        <f t="shared" si="0"/>
        <v>0</v>
      </c>
      <c r="S17" s="26" t="str">
        <f t="shared" si="1"/>
        <v/>
      </c>
      <c r="T17" s="26"/>
      <c r="U17" s="24"/>
    </row>
    <row r="18" ht="15.5" customHeight="1" spans="1:21">
      <c r="A18" s="23"/>
      <c r="B18" s="24"/>
      <c r="C18" s="23"/>
      <c r="D18" s="24"/>
      <c r="E18" s="25"/>
      <c r="F18" s="25"/>
      <c r="G18" s="23"/>
      <c r="H18" s="23"/>
      <c r="I18" s="191"/>
      <c r="J18" s="26"/>
      <c r="K18" s="26"/>
      <c r="L18" s="26"/>
      <c r="M18" s="26"/>
      <c r="N18" s="26"/>
      <c r="O18" s="26"/>
      <c r="P18" s="26"/>
      <c r="Q18" s="23"/>
      <c r="R18" s="26">
        <f t="shared" si="0"/>
        <v>0</v>
      </c>
      <c r="S18" s="26" t="str">
        <f t="shared" si="1"/>
        <v/>
      </c>
      <c r="T18" s="26"/>
      <c r="U18" s="24"/>
    </row>
    <row r="19" ht="15.5" customHeight="1" spans="1:21">
      <c r="A19" s="23"/>
      <c r="B19" s="24"/>
      <c r="C19" s="23"/>
      <c r="D19" s="24"/>
      <c r="E19" s="25"/>
      <c r="F19" s="25"/>
      <c r="G19" s="23"/>
      <c r="H19" s="23"/>
      <c r="I19" s="38"/>
      <c r="J19" s="26"/>
      <c r="K19" s="26"/>
      <c r="L19" s="26"/>
      <c r="M19" s="26"/>
      <c r="N19" s="26"/>
      <c r="O19" s="26"/>
      <c r="P19" s="26"/>
      <c r="Q19" s="23"/>
      <c r="R19" s="26">
        <f t="shared" si="0"/>
        <v>0</v>
      </c>
      <c r="S19" s="26" t="str">
        <f t="shared" si="1"/>
        <v/>
      </c>
      <c r="T19" s="26"/>
      <c r="U19" s="24"/>
    </row>
    <row r="20" ht="15.5" customHeight="1" spans="1:21">
      <c r="A20" s="23"/>
      <c r="B20" s="24"/>
      <c r="C20" s="23"/>
      <c r="D20" s="24"/>
      <c r="E20" s="25"/>
      <c r="F20" s="25"/>
      <c r="G20" s="23"/>
      <c r="H20" s="23"/>
      <c r="I20" s="38"/>
      <c r="J20" s="26"/>
      <c r="K20" s="26"/>
      <c r="L20" s="26"/>
      <c r="M20" s="26"/>
      <c r="N20" s="26"/>
      <c r="O20" s="26"/>
      <c r="P20" s="26"/>
      <c r="Q20" s="23"/>
      <c r="R20" s="26">
        <f t="shared" si="0"/>
        <v>0</v>
      </c>
      <c r="S20" s="26" t="str">
        <f t="shared" si="1"/>
        <v/>
      </c>
      <c r="T20" s="26"/>
      <c r="U20" s="24"/>
    </row>
    <row r="21" ht="15.5" customHeight="1" spans="1:21">
      <c r="A21" s="23"/>
      <c r="B21" s="24"/>
      <c r="C21" s="23"/>
      <c r="D21" s="24"/>
      <c r="E21" s="25"/>
      <c r="F21" s="25"/>
      <c r="G21" s="23"/>
      <c r="H21" s="23"/>
      <c r="I21" s="38"/>
      <c r="J21" s="26"/>
      <c r="K21" s="26"/>
      <c r="L21" s="26"/>
      <c r="M21" s="26"/>
      <c r="N21" s="26"/>
      <c r="O21" s="26"/>
      <c r="P21" s="26"/>
      <c r="Q21" s="23"/>
      <c r="R21" s="26">
        <f t="shared" si="0"/>
        <v>0</v>
      </c>
      <c r="S21" s="26" t="str">
        <f t="shared" si="1"/>
        <v/>
      </c>
      <c r="T21" s="26"/>
      <c r="U21" s="24"/>
    </row>
    <row r="22" ht="15.5" customHeight="1" spans="1:21">
      <c r="A22" s="23"/>
      <c r="B22" s="24"/>
      <c r="C22" s="23"/>
      <c r="D22" s="24"/>
      <c r="E22" s="25"/>
      <c r="F22" s="25"/>
      <c r="G22" s="23"/>
      <c r="H22" s="23"/>
      <c r="I22" s="38"/>
      <c r="J22" s="26"/>
      <c r="K22" s="26"/>
      <c r="L22" s="26"/>
      <c r="M22" s="26"/>
      <c r="N22" s="26"/>
      <c r="O22" s="26"/>
      <c r="P22" s="26"/>
      <c r="Q22" s="23"/>
      <c r="R22" s="26">
        <f t="shared" si="0"/>
        <v>0</v>
      </c>
      <c r="S22" s="26" t="str">
        <f t="shared" si="1"/>
        <v/>
      </c>
      <c r="T22" s="26"/>
      <c r="U22" s="24"/>
    </row>
    <row r="23" ht="15.5" customHeight="1" spans="1:21">
      <c r="A23" s="23"/>
      <c r="B23" s="24"/>
      <c r="C23" s="23"/>
      <c r="D23" s="24"/>
      <c r="E23" s="25"/>
      <c r="F23" s="25"/>
      <c r="G23" s="23"/>
      <c r="H23" s="23"/>
      <c r="I23" s="38"/>
      <c r="J23" s="26"/>
      <c r="K23" s="26"/>
      <c r="L23" s="26"/>
      <c r="M23" s="26"/>
      <c r="N23" s="26"/>
      <c r="O23" s="26"/>
      <c r="P23" s="26"/>
      <c r="Q23" s="23"/>
      <c r="R23" s="26">
        <f t="shared" si="0"/>
        <v>0</v>
      </c>
      <c r="S23" s="26" t="str">
        <f t="shared" si="1"/>
        <v/>
      </c>
      <c r="T23" s="26"/>
      <c r="U23" s="24"/>
    </row>
    <row r="24" ht="15.5" customHeight="1" spans="1:21">
      <c r="A24" s="23"/>
      <c r="B24" s="24"/>
      <c r="C24" s="23"/>
      <c r="D24" s="24"/>
      <c r="E24" s="25"/>
      <c r="F24" s="25"/>
      <c r="G24" s="23"/>
      <c r="H24" s="23"/>
      <c r="I24" s="38"/>
      <c r="J24" s="26"/>
      <c r="K24" s="26"/>
      <c r="L24" s="26"/>
      <c r="M24" s="26"/>
      <c r="N24" s="26"/>
      <c r="O24" s="26"/>
      <c r="P24" s="26"/>
      <c r="Q24" s="23"/>
      <c r="R24" s="26">
        <f t="shared" si="0"/>
        <v>0</v>
      </c>
      <c r="S24" s="26" t="str">
        <f t="shared" si="1"/>
        <v/>
      </c>
      <c r="T24" s="26"/>
      <c r="U24" s="24"/>
    </row>
    <row r="25" ht="15.5" customHeight="1" spans="1:21">
      <c r="A25" s="23"/>
      <c r="B25" s="24"/>
      <c r="C25" s="23"/>
      <c r="D25" s="24"/>
      <c r="E25" s="25"/>
      <c r="F25" s="25"/>
      <c r="G25" s="23"/>
      <c r="H25" s="23"/>
      <c r="I25" s="38"/>
      <c r="J25" s="26"/>
      <c r="K25" s="26"/>
      <c r="L25" s="26"/>
      <c r="M25" s="26"/>
      <c r="N25" s="26"/>
      <c r="O25" s="26"/>
      <c r="P25" s="26"/>
      <c r="Q25" s="23"/>
      <c r="R25" s="26">
        <f t="shared" si="0"/>
        <v>0</v>
      </c>
      <c r="S25" s="26" t="str">
        <f t="shared" si="1"/>
        <v/>
      </c>
      <c r="T25" s="26"/>
      <c r="U25" s="24"/>
    </row>
    <row r="26" ht="15.5" customHeight="1" spans="1:21">
      <c r="A26" s="23"/>
      <c r="B26" s="24"/>
      <c r="C26" s="23"/>
      <c r="D26" s="24"/>
      <c r="E26" s="25"/>
      <c r="F26" s="25"/>
      <c r="G26" s="23"/>
      <c r="H26" s="23"/>
      <c r="I26" s="38"/>
      <c r="J26" s="26"/>
      <c r="K26" s="26"/>
      <c r="L26" s="26"/>
      <c r="M26" s="26"/>
      <c r="N26" s="26"/>
      <c r="O26" s="26"/>
      <c r="P26" s="26"/>
      <c r="Q26" s="23"/>
      <c r="R26" s="26">
        <f t="shared" si="0"/>
        <v>0</v>
      </c>
      <c r="S26" s="26" t="str">
        <f t="shared" si="1"/>
        <v/>
      </c>
      <c r="T26" s="26"/>
      <c r="U26" s="24"/>
    </row>
    <row r="27" ht="15.5" customHeight="1" spans="1:21">
      <c r="A27" s="23"/>
      <c r="B27" s="24"/>
      <c r="C27" s="23"/>
      <c r="D27" s="24"/>
      <c r="E27" s="25"/>
      <c r="F27" s="25"/>
      <c r="G27" s="23"/>
      <c r="H27" s="23"/>
      <c r="I27" s="38"/>
      <c r="J27" s="26"/>
      <c r="K27" s="26"/>
      <c r="L27" s="26"/>
      <c r="M27" s="26"/>
      <c r="N27" s="26"/>
      <c r="O27" s="26"/>
      <c r="P27" s="26"/>
      <c r="Q27" s="23"/>
      <c r="R27" s="26">
        <f t="shared" si="0"/>
        <v>0</v>
      </c>
      <c r="S27" s="26" t="str">
        <f t="shared" si="1"/>
        <v/>
      </c>
      <c r="T27" s="26"/>
      <c r="U27" s="24"/>
    </row>
    <row r="28" ht="15.5" customHeight="1" spans="1:21">
      <c r="A28" s="23"/>
      <c r="B28" s="24"/>
      <c r="C28" s="23"/>
      <c r="D28" s="24"/>
      <c r="E28" s="25"/>
      <c r="F28" s="25"/>
      <c r="G28" s="23"/>
      <c r="H28" s="23"/>
      <c r="I28" s="38"/>
      <c r="J28" s="26"/>
      <c r="K28" s="26"/>
      <c r="L28" s="26"/>
      <c r="M28" s="26"/>
      <c r="N28" s="26"/>
      <c r="O28" s="26"/>
      <c r="P28" s="26"/>
      <c r="Q28" s="23"/>
      <c r="R28" s="26">
        <f t="shared" si="0"/>
        <v>0</v>
      </c>
      <c r="S28" s="26" t="str">
        <f t="shared" si="1"/>
        <v/>
      </c>
      <c r="T28" s="26"/>
      <c r="U28" s="24"/>
    </row>
    <row r="29" ht="15.5" customHeight="1" spans="1:21">
      <c r="A29" s="23"/>
      <c r="B29" s="24"/>
      <c r="C29" s="23"/>
      <c r="D29" s="24"/>
      <c r="E29" s="25"/>
      <c r="F29" s="25"/>
      <c r="G29" s="23"/>
      <c r="H29" s="23"/>
      <c r="I29" s="38"/>
      <c r="J29" s="26"/>
      <c r="K29" s="26"/>
      <c r="L29" s="26"/>
      <c r="M29" s="26"/>
      <c r="N29" s="26"/>
      <c r="O29" s="26"/>
      <c r="P29" s="26"/>
      <c r="Q29" s="23"/>
      <c r="R29" s="26">
        <f t="shared" si="0"/>
        <v>0</v>
      </c>
      <c r="S29" s="26" t="str">
        <f t="shared" si="1"/>
        <v/>
      </c>
      <c r="T29" s="26"/>
      <c r="U29" s="24"/>
    </row>
    <row r="30" ht="15.5" customHeight="1" spans="1:21">
      <c r="A30" s="23"/>
      <c r="B30" s="24"/>
      <c r="C30" s="23"/>
      <c r="D30" s="24"/>
      <c r="E30" s="25"/>
      <c r="F30" s="25"/>
      <c r="G30" s="23"/>
      <c r="H30" s="23"/>
      <c r="I30" s="38"/>
      <c r="J30" s="26"/>
      <c r="K30" s="26"/>
      <c r="L30" s="26"/>
      <c r="M30" s="26"/>
      <c r="N30" s="26"/>
      <c r="O30" s="26"/>
      <c r="P30" s="26"/>
      <c r="Q30" s="23"/>
      <c r="R30" s="26">
        <f t="shared" si="0"/>
        <v>0</v>
      </c>
      <c r="S30" s="26" t="str">
        <f t="shared" si="1"/>
        <v/>
      </c>
      <c r="T30" s="26"/>
      <c r="U30" s="24"/>
    </row>
    <row r="31" ht="15.5" customHeight="1" spans="1:21">
      <c r="A31" s="23"/>
      <c r="B31" s="24"/>
      <c r="C31" s="23"/>
      <c r="D31" s="24"/>
      <c r="E31" s="25"/>
      <c r="F31" s="25"/>
      <c r="G31" s="23"/>
      <c r="H31" s="23"/>
      <c r="I31" s="38"/>
      <c r="J31" s="26"/>
      <c r="K31" s="26"/>
      <c r="L31" s="26"/>
      <c r="M31" s="26"/>
      <c r="N31" s="26"/>
      <c r="O31" s="26"/>
      <c r="P31" s="26"/>
      <c r="Q31" s="23"/>
      <c r="R31" s="26">
        <f t="shared" si="0"/>
        <v>0</v>
      </c>
      <c r="S31" s="26" t="str">
        <f t="shared" si="1"/>
        <v/>
      </c>
      <c r="T31" s="26"/>
      <c r="U31" s="24"/>
    </row>
    <row r="32" ht="15.5" customHeight="1" spans="1:21">
      <c r="A32" s="23"/>
      <c r="B32" s="24"/>
      <c r="C32" s="23"/>
      <c r="D32" s="24"/>
      <c r="E32" s="25"/>
      <c r="F32" s="25"/>
      <c r="G32" s="23"/>
      <c r="H32" s="23"/>
      <c r="I32" s="38"/>
      <c r="J32" s="26"/>
      <c r="K32" s="26"/>
      <c r="L32" s="26"/>
      <c r="M32" s="26"/>
      <c r="N32" s="26"/>
      <c r="O32" s="26"/>
      <c r="P32" s="26"/>
      <c r="Q32" s="23"/>
      <c r="R32" s="26">
        <f t="shared" si="0"/>
        <v>0</v>
      </c>
      <c r="S32" s="26" t="str">
        <f t="shared" si="1"/>
        <v/>
      </c>
      <c r="T32" s="26"/>
      <c r="U32" s="24"/>
    </row>
    <row r="33" ht="15.5" customHeight="1" spans="1:21">
      <c r="A33" s="23"/>
      <c r="B33" s="24"/>
      <c r="C33" s="23"/>
      <c r="D33" s="24"/>
      <c r="E33" s="25"/>
      <c r="F33" s="25"/>
      <c r="G33" s="23"/>
      <c r="H33" s="23"/>
      <c r="I33" s="38"/>
      <c r="J33" s="26"/>
      <c r="K33" s="26"/>
      <c r="L33" s="26"/>
      <c r="M33" s="26"/>
      <c r="N33" s="26"/>
      <c r="O33" s="26"/>
      <c r="P33" s="26"/>
      <c r="Q33" s="23"/>
      <c r="R33" s="26">
        <f t="shared" si="0"/>
        <v>0</v>
      </c>
      <c r="S33" s="26" t="str">
        <f t="shared" si="1"/>
        <v/>
      </c>
      <c r="T33" s="26"/>
      <c r="U33" s="24"/>
    </row>
    <row r="34" ht="15.5" customHeight="1" spans="1:21">
      <c r="A34" s="23"/>
      <c r="B34" s="24"/>
      <c r="C34" s="23"/>
      <c r="D34" s="24"/>
      <c r="E34" s="25"/>
      <c r="F34" s="25"/>
      <c r="G34" s="23"/>
      <c r="H34" s="23"/>
      <c r="I34" s="38"/>
      <c r="J34" s="26"/>
      <c r="K34" s="26"/>
      <c r="L34" s="26"/>
      <c r="M34" s="26"/>
      <c r="N34" s="26"/>
      <c r="O34" s="26"/>
      <c r="P34" s="26"/>
      <c r="Q34" s="23"/>
      <c r="R34" s="26">
        <f t="shared" si="0"/>
        <v>0</v>
      </c>
      <c r="S34" s="26" t="str">
        <f t="shared" si="1"/>
        <v/>
      </c>
      <c r="T34" s="26"/>
      <c r="U34" s="24"/>
    </row>
    <row r="35" ht="15.5" customHeight="1" spans="1:21">
      <c r="A35" s="23"/>
      <c r="B35" s="24"/>
      <c r="C35" s="23"/>
      <c r="D35" s="24"/>
      <c r="E35" s="23"/>
      <c r="F35" s="25"/>
      <c r="G35" s="23"/>
      <c r="H35" s="23"/>
      <c r="I35" s="38"/>
      <c r="J35" s="26"/>
      <c r="K35" s="26"/>
      <c r="L35" s="26"/>
      <c r="M35" s="26"/>
      <c r="N35" s="26"/>
      <c r="O35" s="26"/>
      <c r="P35" s="26"/>
      <c r="Q35" s="23"/>
      <c r="R35" s="26">
        <f t="shared" si="0"/>
        <v>0</v>
      </c>
      <c r="S35" s="26" t="str">
        <f t="shared" si="1"/>
        <v/>
      </c>
      <c r="T35" s="26"/>
      <c r="U35" s="24"/>
    </row>
    <row r="36" ht="15.5" customHeight="1" spans="1:21">
      <c r="A36" s="23"/>
      <c r="B36" s="24"/>
      <c r="C36" s="23"/>
      <c r="D36" s="24"/>
      <c r="E36" s="23"/>
      <c r="F36" s="25"/>
      <c r="G36" s="23"/>
      <c r="H36" s="23"/>
      <c r="I36" s="38"/>
      <c r="J36" s="26"/>
      <c r="K36" s="26"/>
      <c r="L36" s="26"/>
      <c r="M36" s="26"/>
      <c r="N36" s="26"/>
      <c r="O36" s="26"/>
      <c r="P36" s="26"/>
      <c r="Q36" s="23"/>
      <c r="R36" s="26">
        <f t="shared" si="0"/>
        <v>0</v>
      </c>
      <c r="S36" s="26" t="str">
        <f t="shared" si="1"/>
        <v/>
      </c>
      <c r="T36" s="26"/>
      <c r="U36" s="24"/>
    </row>
    <row r="37" ht="15.5" customHeight="1" spans="1:21">
      <c r="A37" s="23"/>
      <c r="B37" s="24"/>
      <c r="C37" s="23"/>
      <c r="D37" s="24"/>
      <c r="E37" s="23"/>
      <c r="F37" s="25"/>
      <c r="G37" s="23"/>
      <c r="H37" s="23"/>
      <c r="I37" s="38"/>
      <c r="J37" s="26"/>
      <c r="K37" s="26"/>
      <c r="L37" s="26"/>
      <c r="M37" s="26"/>
      <c r="N37" s="26"/>
      <c r="O37" s="26"/>
      <c r="P37" s="26"/>
      <c r="Q37" s="23"/>
      <c r="R37" s="26">
        <f t="shared" si="0"/>
        <v>0</v>
      </c>
      <c r="S37" s="26" t="str">
        <f t="shared" si="1"/>
        <v/>
      </c>
      <c r="T37" s="26"/>
      <c r="U37" s="24"/>
    </row>
    <row r="38" ht="15.5" customHeight="1" spans="1:21">
      <c r="A38" s="23"/>
      <c r="B38" s="24"/>
      <c r="C38" s="23"/>
      <c r="D38" s="24"/>
      <c r="E38" s="23"/>
      <c r="F38" s="25"/>
      <c r="G38" s="23"/>
      <c r="H38" s="23"/>
      <c r="I38" s="38"/>
      <c r="J38" s="26"/>
      <c r="K38" s="26"/>
      <c r="L38" s="26"/>
      <c r="M38" s="26"/>
      <c r="N38" s="26"/>
      <c r="O38" s="26"/>
      <c r="P38" s="26"/>
      <c r="Q38" s="23"/>
      <c r="R38" s="26">
        <f t="shared" si="0"/>
        <v>0</v>
      </c>
      <c r="S38" s="26" t="str">
        <f t="shared" si="1"/>
        <v/>
      </c>
      <c r="T38" s="26"/>
      <c r="U38" s="24"/>
    </row>
    <row r="39" ht="15.5" customHeight="1" spans="1:21">
      <c r="A39" s="23"/>
      <c r="B39" s="24"/>
      <c r="C39" s="23"/>
      <c r="D39" s="103"/>
      <c r="E39" s="25"/>
      <c r="F39" s="25"/>
      <c r="G39" s="23"/>
      <c r="H39" s="23"/>
      <c r="I39" s="38"/>
      <c r="J39" s="26"/>
      <c r="K39" s="26"/>
      <c r="L39" s="26"/>
      <c r="M39" s="26"/>
      <c r="N39" s="26"/>
      <c r="O39" s="26"/>
      <c r="P39" s="26"/>
      <c r="Q39" s="23"/>
      <c r="R39" s="26"/>
      <c r="S39" s="26"/>
      <c r="T39" s="26"/>
      <c r="U39" s="24"/>
    </row>
    <row r="40" ht="15.5" customHeight="1" spans="1:21">
      <c r="A40" s="23"/>
      <c r="B40" s="24"/>
      <c r="C40" s="23"/>
      <c r="D40" s="103"/>
      <c r="E40" s="25"/>
      <c r="F40" s="25"/>
      <c r="G40" s="23"/>
      <c r="H40" s="23"/>
      <c r="I40" s="38"/>
      <c r="J40" s="26"/>
      <c r="K40" s="26"/>
      <c r="L40" s="26"/>
      <c r="M40" s="26"/>
      <c r="N40" s="26"/>
      <c r="O40" s="26"/>
      <c r="P40" s="26"/>
      <c r="Q40" s="23"/>
      <c r="R40" s="26"/>
      <c r="S40" s="26"/>
      <c r="T40" s="26"/>
      <c r="U40" s="24"/>
    </row>
    <row r="41" ht="15.5" customHeight="1" spans="1:21">
      <c r="A41" s="23"/>
      <c r="B41" s="24"/>
      <c r="C41" s="23"/>
      <c r="D41" s="103"/>
      <c r="E41" s="25"/>
      <c r="F41" s="25"/>
      <c r="G41" s="23"/>
      <c r="H41" s="23"/>
      <c r="I41" s="38"/>
      <c r="J41" s="26"/>
      <c r="K41" s="26"/>
      <c r="L41" s="26"/>
      <c r="M41" s="26"/>
      <c r="N41" s="26"/>
      <c r="O41" s="26"/>
      <c r="P41" s="26"/>
      <c r="Q41" s="23"/>
      <c r="R41" s="26"/>
      <c r="S41" s="26"/>
      <c r="T41" s="26"/>
      <c r="U41" s="24"/>
    </row>
    <row r="42" ht="15.5" customHeight="1" spans="1:21">
      <c r="A42" s="23"/>
      <c r="B42" s="24"/>
      <c r="C42" s="23"/>
      <c r="D42" s="103"/>
      <c r="E42" s="25"/>
      <c r="F42" s="25"/>
      <c r="G42" s="23"/>
      <c r="H42" s="23"/>
      <c r="I42" s="38"/>
      <c r="J42" s="26"/>
      <c r="K42" s="26"/>
      <c r="L42" s="26"/>
      <c r="M42" s="26"/>
      <c r="N42" s="26"/>
      <c r="O42" s="26"/>
      <c r="P42" s="26"/>
      <c r="Q42" s="23"/>
      <c r="R42" s="26"/>
      <c r="S42" s="26"/>
      <c r="T42" s="26"/>
      <c r="U42" s="24"/>
    </row>
    <row r="43" ht="15.5" customHeight="1" spans="1:21">
      <c r="A43" s="23"/>
      <c r="B43" s="24"/>
      <c r="C43" s="23"/>
      <c r="D43" s="103"/>
      <c r="E43" s="25"/>
      <c r="F43" s="25"/>
      <c r="G43" s="23"/>
      <c r="H43" s="23"/>
      <c r="I43" s="38"/>
      <c r="J43" s="26"/>
      <c r="K43" s="26"/>
      <c r="L43" s="26"/>
      <c r="M43" s="26"/>
      <c r="N43" s="26"/>
      <c r="O43" s="26"/>
      <c r="P43" s="26"/>
      <c r="Q43" s="23"/>
      <c r="R43" s="26"/>
      <c r="S43" s="26"/>
      <c r="T43" s="26"/>
      <c r="U43" s="24"/>
    </row>
    <row r="44" ht="15.5" customHeight="1" spans="1:21">
      <c r="A44" s="23"/>
      <c r="B44" s="24"/>
      <c r="C44" s="23"/>
      <c r="D44" s="103"/>
      <c r="E44" s="25"/>
      <c r="F44" s="25"/>
      <c r="G44" s="23"/>
      <c r="H44" s="23"/>
      <c r="I44" s="38"/>
      <c r="J44" s="26"/>
      <c r="K44" s="26"/>
      <c r="L44" s="26"/>
      <c r="M44" s="26"/>
      <c r="N44" s="26"/>
      <c r="O44" s="26"/>
      <c r="P44" s="26"/>
      <c r="Q44" s="23"/>
      <c r="R44" s="26"/>
      <c r="S44" s="26"/>
      <c r="T44" s="26"/>
      <c r="U44" s="24"/>
    </row>
    <row r="45" ht="15.5" customHeight="1" spans="1:21">
      <c r="A45" s="23"/>
      <c r="B45" s="24"/>
      <c r="C45" s="23"/>
      <c r="D45" s="103"/>
      <c r="E45" s="25"/>
      <c r="F45" s="25"/>
      <c r="G45" s="23"/>
      <c r="H45" s="23"/>
      <c r="I45" s="38"/>
      <c r="J45" s="26"/>
      <c r="K45" s="26"/>
      <c r="L45" s="26"/>
      <c r="M45" s="26"/>
      <c r="N45" s="26"/>
      <c r="O45" s="26"/>
      <c r="P45" s="26"/>
      <c r="Q45" s="23"/>
      <c r="R45" s="26">
        <f>ROUND(P45*Q45/100,0)</f>
        <v>0</v>
      </c>
      <c r="S45" s="26" t="str">
        <f>IF(O45=0,"",(R45-O45)/O45*100)</f>
        <v/>
      </c>
      <c r="T45" s="26"/>
      <c r="U45" s="24"/>
    </row>
    <row r="46" ht="15.5" customHeight="1" spans="1:21">
      <c r="A46" s="23"/>
      <c r="B46" s="24"/>
      <c r="C46" s="23"/>
      <c r="D46" s="103"/>
      <c r="E46" s="25"/>
      <c r="F46" s="25"/>
      <c r="G46" s="23"/>
      <c r="H46" s="23"/>
      <c r="I46" s="38"/>
      <c r="J46" s="26"/>
      <c r="K46" s="26"/>
      <c r="L46" s="26"/>
      <c r="M46" s="26"/>
      <c r="N46" s="26"/>
      <c r="O46" s="26"/>
      <c r="P46" s="26"/>
      <c r="Q46" s="23"/>
      <c r="R46" s="26"/>
      <c r="S46" s="26"/>
      <c r="T46" s="26"/>
      <c r="U46" s="24"/>
    </row>
    <row r="47" ht="15.5" customHeight="1" spans="1:21">
      <c r="A47" s="21" t="s">
        <v>319</v>
      </c>
      <c r="B47" s="32"/>
      <c r="C47" s="28"/>
      <c r="D47" s="103"/>
      <c r="E47" s="25"/>
      <c r="F47" s="25"/>
      <c r="G47" s="23"/>
      <c r="H47" s="23"/>
      <c r="I47" s="38"/>
      <c r="J47" s="26">
        <f>SUM(J7:J46)</f>
        <v>0</v>
      </c>
      <c r="K47" s="26">
        <f>SUM(K7:K46)</f>
        <v>0</v>
      </c>
      <c r="L47" s="26"/>
      <c r="M47" s="26"/>
      <c r="N47" s="26">
        <f>SUM(N7:N46)</f>
        <v>0</v>
      </c>
      <c r="O47" s="26">
        <f>SUM(O7:O46)</f>
        <v>0</v>
      </c>
      <c r="P47" s="26">
        <f>SUM(P7:P46)</f>
        <v>0</v>
      </c>
      <c r="Q47" s="23"/>
      <c r="R47" s="26">
        <f>SUM(R7:R46)</f>
        <v>0</v>
      </c>
      <c r="S47" s="26" t="str">
        <f>IF(O47=0,"",(R47-O47)/O47*100)</f>
        <v/>
      </c>
      <c r="T47" s="26"/>
      <c r="U47" s="24"/>
    </row>
    <row r="48" ht="15.5" customHeight="1" spans="1:21">
      <c r="A48" s="29" t="str">
        <f>封面!D11&amp;封面!G11</f>
        <v>被评估单位填表人：</v>
      </c>
      <c r="N48" s="29" t="str">
        <f>"评估人员："&amp;封面!G24</f>
        <v>评估人员：</v>
      </c>
    </row>
    <row r="49" ht="15.5" customHeight="1" spans="1:1">
      <c r="A49" s="29" t="str">
        <f>CONCATENATE(封面!D13,封面!F13,封面!G13,封面!H13,封面!I13,封面!J13,封面!K13)</f>
        <v>填表日期：年月日</v>
      </c>
    </row>
  </sheetData>
  <mergeCells count="19">
    <mergeCell ref="A2:U2"/>
    <mergeCell ref="A3:U3"/>
    <mergeCell ref="J5:K5"/>
    <mergeCell ref="L5:M5"/>
    <mergeCell ref="N5:O5"/>
    <mergeCell ref="P5:R5"/>
    <mergeCell ref="A47:C47"/>
    <mergeCell ref="A5:A6"/>
    <mergeCell ref="B5:B6"/>
    <mergeCell ref="C5:C6"/>
    <mergeCell ref="D5:D6"/>
    <mergeCell ref="E5:E6"/>
    <mergeCell ref="F5:F6"/>
    <mergeCell ref="G5:G6"/>
    <mergeCell ref="H5:H6"/>
    <mergeCell ref="I5:I6"/>
    <mergeCell ref="S5:S6"/>
    <mergeCell ref="T5:T6"/>
    <mergeCell ref="U5:U6"/>
  </mergeCells>
  <hyperlinks>
    <hyperlink ref="A1" location="索引目录!E36" display="返回索引页"/>
    <hyperlink ref="B1" location="固定资产汇总!B9" display="返回"/>
  </hyperlinks>
  <printOptions horizontalCentered="1"/>
  <pageMargins left="0.354330708661417" right="0.354330708661417" top="0.78740157480315" bottom="0.78740157480315" header="0.98" footer="0.511811023622047"/>
  <pageSetup paperSize="9" scale="98" fitToHeight="0" orientation="landscape"/>
  <headerFooter alignWithMargins="0">
    <oddHeader>&amp;R&amp;"宋体,常规"共&amp;"Times New Roman,常规"&amp;N&amp;"宋体,常规"页第&amp;"Times New Roman,常规"&amp;P&amp;"宋体,常规"4-6-2
页</oddHeader>
  </headerFooter>
  <legacyDrawing r:id="rId2"/>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8"/>
  <dimension ref="A1:AS28"/>
  <sheetViews>
    <sheetView view="pageBreakPreview" zoomScale="115" zoomScaleNormal="100" workbookViewId="0">
      <selection activeCell="G451" sqref="G451"/>
    </sheetView>
  </sheetViews>
  <sheetFormatPr defaultColWidth="9" defaultRowHeight="15"/>
  <cols>
    <col min="1" max="1" width="4.25" style="151" customWidth="1"/>
    <col min="2" max="2" width="10.5833333333333" style="151" customWidth="1"/>
    <col min="3" max="3" width="10.5833333333333" style="152" customWidth="1"/>
    <col min="4" max="4" width="4.08333333333333" style="151" customWidth="1"/>
    <col min="5" max="5" width="4.25" style="151" customWidth="1"/>
    <col min="6" max="6" width="8.08333333333333" style="151" customWidth="1"/>
    <col min="7" max="7" width="4" style="151" customWidth="1"/>
    <col min="8" max="8" width="5" style="151" customWidth="1"/>
    <col min="9" max="11" width="4.75" style="151" customWidth="1"/>
    <col min="12" max="12" width="5" style="151" customWidth="1"/>
    <col min="13" max="13" width="4.75" style="151" customWidth="1"/>
    <col min="14" max="14" width="4.5" style="151" customWidth="1"/>
    <col min="15" max="15" width="4" style="151" customWidth="1"/>
    <col min="16" max="16" width="5.5" style="151" customWidth="1"/>
    <col min="17" max="17" width="8.5" style="153" customWidth="1"/>
    <col min="18" max="18" width="3.83333333333333" style="151" customWidth="1"/>
    <col min="19" max="19" width="7.33333333333333" style="151" customWidth="1"/>
    <col min="20" max="34" width="6.25" style="151" customWidth="1"/>
    <col min="35" max="38" width="6.83333333333333" style="151" hidden="1" customWidth="1" outlineLevel="1"/>
    <col min="39" max="39" width="6.83333333333333" style="151" customWidth="1" collapsed="1"/>
    <col min="40" max="40" width="6.83333333333333" style="151" customWidth="1"/>
    <col min="41" max="41" width="9.25" style="154" customWidth="1"/>
    <col min="42" max="42" width="7" style="151" customWidth="1"/>
    <col min="43" max="43" width="7" style="154" customWidth="1"/>
    <col min="44" max="44" width="5.58333333333333" style="154" customWidth="1"/>
    <col min="45" max="45" width="16.75" style="151" customWidth="1"/>
    <col min="46" max="16384" width="9" style="151" customWidth="1"/>
  </cols>
  <sheetData>
    <row r="1" s="148" customFormat="1" ht="8" customHeight="1" spans="1:45">
      <c r="A1" s="155" t="s">
        <v>111</v>
      </c>
      <c r="B1" s="155" t="s">
        <v>210</v>
      </c>
      <c r="C1" s="156" t="s">
        <v>210</v>
      </c>
      <c r="D1" s="157"/>
      <c r="E1" s="157"/>
      <c r="F1" s="157"/>
      <c r="G1" s="157"/>
      <c r="H1" s="157"/>
      <c r="I1" s="157"/>
      <c r="J1" s="157"/>
      <c r="K1" s="157"/>
      <c r="L1" s="157"/>
      <c r="M1" s="157"/>
      <c r="N1" s="157"/>
      <c r="O1" s="157"/>
      <c r="P1" s="157"/>
      <c r="Q1" s="157"/>
      <c r="R1" s="157"/>
      <c r="S1" s="157"/>
      <c r="T1" s="157"/>
      <c r="U1" s="157"/>
      <c r="V1" s="157"/>
      <c r="W1" s="157"/>
      <c r="X1" s="157"/>
      <c r="Y1" s="157"/>
      <c r="Z1" s="157"/>
      <c r="AA1" s="157"/>
      <c r="AB1" s="157"/>
      <c r="AC1" s="157"/>
      <c r="AD1" s="157"/>
      <c r="AE1" s="157"/>
      <c r="AF1" s="157"/>
      <c r="AG1" s="157"/>
      <c r="AH1" s="157"/>
      <c r="AI1" s="157"/>
      <c r="AJ1" s="157"/>
      <c r="AK1" s="157"/>
      <c r="AL1" s="157"/>
      <c r="AM1" s="157"/>
      <c r="AN1" s="157"/>
      <c r="AO1" s="157"/>
      <c r="AP1" s="157"/>
      <c r="AQ1" s="157"/>
      <c r="AR1" s="157"/>
    </row>
    <row r="2" s="11" customFormat="1" ht="37.5" customHeight="1" spans="1:45">
      <c r="A2" s="17" t="s">
        <v>512</v>
      </c>
    </row>
    <row r="3" s="149" customFormat="1" ht="18.75" customHeight="1" spans="1:45">
      <c r="A3" s="158" t="s">
        <v>513</v>
      </c>
    </row>
    <row r="4" s="149" customFormat="1" ht="15.75" customHeight="1" spans="1:45">
      <c r="A4" s="19" t="s">
        <v>3</v>
      </c>
      <c r="B4" s="159"/>
      <c r="AS4" s="160" t="s">
        <v>139</v>
      </c>
    </row>
    <row r="5" s="150" customFormat="1" ht="18.75" customHeight="1" spans="1:45">
      <c r="A5" s="101" t="s">
        <v>141</v>
      </c>
      <c r="B5" s="101" t="s">
        <v>514</v>
      </c>
      <c r="C5" s="101" t="s">
        <v>515</v>
      </c>
      <c r="D5" s="101" t="s">
        <v>516</v>
      </c>
      <c r="E5" s="101" t="s">
        <v>517</v>
      </c>
      <c r="F5" s="101" t="s">
        <v>518</v>
      </c>
      <c r="G5" s="101" t="s">
        <v>519</v>
      </c>
      <c r="H5" s="101" t="s">
        <v>520</v>
      </c>
      <c r="I5" s="101" t="s">
        <v>521</v>
      </c>
      <c r="J5" s="101" t="s">
        <v>522</v>
      </c>
      <c r="K5" s="161" t="s">
        <v>523</v>
      </c>
      <c r="L5" s="28"/>
      <c r="M5" s="161" t="s">
        <v>524</v>
      </c>
      <c r="N5" s="28"/>
      <c r="O5" s="101" t="s">
        <v>525</v>
      </c>
      <c r="P5" s="32"/>
      <c r="Q5" s="32"/>
      <c r="R5" s="28"/>
      <c r="S5" s="101" t="s">
        <v>526</v>
      </c>
      <c r="T5" s="101" t="s">
        <v>527</v>
      </c>
      <c r="U5" s="101" t="s">
        <v>528</v>
      </c>
      <c r="V5" s="101" t="s">
        <v>529</v>
      </c>
      <c r="W5" s="101" t="s">
        <v>530</v>
      </c>
      <c r="X5" s="101" t="s">
        <v>531</v>
      </c>
      <c r="Y5" s="101" t="s">
        <v>532</v>
      </c>
      <c r="Z5" s="101" t="s">
        <v>533</v>
      </c>
      <c r="AA5" s="101" t="s">
        <v>534</v>
      </c>
      <c r="AB5" s="101" t="s">
        <v>535</v>
      </c>
      <c r="AC5" s="101" t="s">
        <v>536</v>
      </c>
      <c r="AD5" s="162" t="s">
        <v>537</v>
      </c>
      <c r="AE5" s="101" t="s">
        <v>538</v>
      </c>
      <c r="AF5" s="101" t="s">
        <v>539</v>
      </c>
      <c r="AG5" s="101" t="s">
        <v>540</v>
      </c>
      <c r="AH5" s="101" t="s">
        <v>541</v>
      </c>
      <c r="AI5" s="163" t="s">
        <v>542</v>
      </c>
      <c r="AJ5" s="164"/>
      <c r="AK5" s="165" t="s">
        <v>543</v>
      </c>
      <c r="AL5" s="35"/>
      <c r="AM5" s="166" t="s">
        <v>176</v>
      </c>
      <c r="AN5" s="32"/>
      <c r="AO5" s="167" t="s">
        <v>177</v>
      </c>
      <c r="AP5" s="32"/>
      <c r="AQ5" s="28"/>
      <c r="AR5" s="168" t="s">
        <v>215</v>
      </c>
      <c r="AS5" s="101" t="s">
        <v>144</v>
      </c>
    </row>
    <row r="6" s="150" customFormat="1" ht="18.75" customHeight="1" spans="1:45">
      <c r="A6" s="169"/>
      <c r="B6" s="169"/>
      <c r="C6" s="169"/>
      <c r="D6" s="169"/>
      <c r="E6" s="169"/>
      <c r="F6" s="169"/>
      <c r="G6" s="169"/>
      <c r="H6" s="169"/>
      <c r="I6" s="169"/>
      <c r="J6" s="169"/>
      <c r="K6" s="101"/>
      <c r="L6" s="101"/>
      <c r="M6" s="101"/>
      <c r="N6" s="101"/>
      <c r="O6" s="101"/>
      <c r="P6" s="170"/>
      <c r="Q6" s="28"/>
      <c r="R6" s="170"/>
      <c r="S6" s="169"/>
      <c r="T6" s="169"/>
      <c r="U6" s="169"/>
      <c r="V6" s="169"/>
      <c r="W6" s="169"/>
      <c r="X6" s="169"/>
      <c r="Y6" s="169"/>
      <c r="Z6" s="169"/>
      <c r="AA6" s="169"/>
      <c r="AB6" s="169"/>
      <c r="AC6" s="169"/>
      <c r="AD6" s="169"/>
      <c r="AE6" s="169"/>
      <c r="AF6" s="169"/>
      <c r="AG6" s="169"/>
      <c r="AH6" s="169"/>
      <c r="AI6" s="101"/>
      <c r="AJ6" s="163"/>
      <c r="AK6" s="171"/>
      <c r="AL6" s="172"/>
      <c r="AM6" s="101"/>
      <c r="AN6" s="101"/>
      <c r="AO6" s="167"/>
      <c r="AP6" s="167"/>
      <c r="AQ6" s="167"/>
      <c r="AR6" s="36"/>
      <c r="AS6" s="36"/>
    </row>
    <row r="7" s="150" customFormat="1" ht="22.5" customHeight="1" spans="1:45">
      <c r="A7" s="169"/>
      <c r="B7" s="169"/>
      <c r="C7" s="169"/>
      <c r="D7" s="169"/>
      <c r="E7" s="169"/>
      <c r="F7" s="169"/>
      <c r="G7" s="169"/>
      <c r="H7" s="169"/>
      <c r="I7" s="169"/>
      <c r="J7" s="169"/>
      <c r="K7" s="169"/>
      <c r="L7" s="169"/>
      <c r="M7" s="169"/>
      <c r="N7" s="169"/>
      <c r="O7" s="169"/>
      <c r="P7" s="173"/>
      <c r="Q7" s="173"/>
      <c r="R7" s="36"/>
      <c r="S7" s="169"/>
      <c r="T7" s="169"/>
      <c r="U7" s="169"/>
      <c r="V7" s="169"/>
      <c r="W7" s="169"/>
      <c r="X7" s="169"/>
      <c r="Y7" s="169"/>
      <c r="Z7" s="169"/>
      <c r="AA7" s="169"/>
      <c r="AB7" s="169"/>
      <c r="AC7" s="169"/>
      <c r="AD7" s="169"/>
      <c r="AE7" s="169"/>
      <c r="AF7" s="169"/>
      <c r="AG7" s="169"/>
      <c r="AH7" s="169"/>
      <c r="AI7" s="101"/>
      <c r="AJ7" s="163"/>
      <c r="AK7" s="165"/>
      <c r="AL7" s="167"/>
      <c r="AM7" s="174">
        <f t="shared" ref="AM7:AM25" si="0">AI7+AK7</f>
        <v>0</v>
      </c>
      <c r="AN7" s="174">
        <f t="shared" ref="AN7:AN25" si="1">AJ7+AL7</f>
        <v>0</v>
      </c>
      <c r="AO7" s="167"/>
      <c r="AP7" s="167"/>
      <c r="AQ7" s="167"/>
      <c r="AR7" s="175"/>
      <c r="AS7" s="102"/>
    </row>
    <row r="8" s="150" customFormat="1" ht="27.75" customHeight="1" spans="1:45">
      <c r="A8" s="36"/>
      <c r="B8" s="36"/>
      <c r="C8" s="36"/>
      <c r="D8" s="36"/>
      <c r="E8" s="36"/>
      <c r="F8" s="36"/>
      <c r="G8" s="36"/>
      <c r="H8" s="36"/>
      <c r="I8" s="36"/>
      <c r="J8" s="36"/>
      <c r="K8" s="36"/>
      <c r="L8" s="36"/>
      <c r="M8" s="36"/>
      <c r="N8" s="36"/>
      <c r="O8" s="36"/>
      <c r="P8" s="102"/>
      <c r="Q8" s="102"/>
      <c r="R8" s="102"/>
      <c r="S8" s="36"/>
      <c r="T8" s="36"/>
      <c r="U8" s="36"/>
      <c r="V8" s="36"/>
      <c r="W8" s="36"/>
      <c r="X8" s="36"/>
      <c r="Y8" s="36"/>
      <c r="Z8" s="36"/>
      <c r="AA8" s="36"/>
      <c r="AB8" s="36"/>
      <c r="AC8" s="36"/>
      <c r="AD8" s="36"/>
      <c r="AE8" s="36"/>
      <c r="AF8" s="36"/>
      <c r="AG8" s="36"/>
      <c r="AH8" s="36"/>
      <c r="AI8" s="101"/>
      <c r="AJ8" s="163"/>
      <c r="AK8" s="165"/>
      <c r="AL8" s="167"/>
      <c r="AM8" s="174">
        <f t="shared" si="0"/>
        <v>0</v>
      </c>
      <c r="AN8" s="174">
        <f t="shared" si="1"/>
        <v>0</v>
      </c>
      <c r="AO8" s="167"/>
      <c r="AP8" s="167"/>
      <c r="AQ8" s="167"/>
      <c r="AR8" s="175"/>
      <c r="AS8" s="102"/>
    </row>
    <row r="9" s="150" customFormat="1" ht="18.75" customHeight="1" spans="1:45">
      <c r="A9" s="176"/>
      <c r="B9" s="177"/>
      <c r="C9" s="177"/>
      <c r="D9" s="102"/>
      <c r="E9" s="178"/>
      <c r="F9" s="102"/>
      <c r="G9" s="102"/>
      <c r="H9" s="102"/>
      <c r="I9" s="102"/>
      <c r="J9" s="102"/>
      <c r="K9" s="179"/>
      <c r="L9" s="102"/>
      <c r="M9" s="102"/>
      <c r="N9" s="102"/>
      <c r="O9" s="102"/>
      <c r="P9" s="102"/>
      <c r="Q9" s="180"/>
      <c r="R9" s="102"/>
      <c r="S9" s="181"/>
      <c r="T9" s="181"/>
      <c r="U9" s="181"/>
      <c r="V9" s="181"/>
      <c r="W9" s="181"/>
      <c r="X9" s="181"/>
      <c r="Y9" s="181"/>
      <c r="Z9" s="181"/>
      <c r="AA9" s="181"/>
      <c r="AB9" s="181"/>
      <c r="AC9" s="181"/>
      <c r="AD9" s="181"/>
      <c r="AE9" s="181"/>
      <c r="AF9" s="181"/>
      <c r="AG9" s="181"/>
      <c r="AH9" s="181"/>
      <c r="AI9" s="101"/>
      <c r="AJ9" s="163"/>
      <c r="AK9" s="165"/>
      <c r="AL9" s="167"/>
      <c r="AM9" s="174">
        <f t="shared" si="0"/>
        <v>0</v>
      </c>
      <c r="AN9" s="174">
        <f t="shared" si="1"/>
        <v>0</v>
      </c>
      <c r="AO9" s="167"/>
      <c r="AP9" s="167"/>
      <c r="AQ9" s="167"/>
      <c r="AR9" s="175"/>
      <c r="AS9" s="102"/>
    </row>
    <row r="10" s="150" customFormat="1" ht="18.75" customHeight="1" spans="1:45">
      <c r="A10" s="176"/>
      <c r="B10" s="177"/>
      <c r="C10" s="177"/>
      <c r="D10" s="102"/>
      <c r="E10" s="178"/>
      <c r="F10" s="102"/>
      <c r="G10" s="102"/>
      <c r="H10" s="102"/>
      <c r="I10" s="102"/>
      <c r="J10" s="102"/>
      <c r="K10" s="179"/>
      <c r="L10" s="102"/>
      <c r="M10" s="102"/>
      <c r="N10" s="102"/>
      <c r="O10" s="102"/>
      <c r="P10" s="102"/>
      <c r="Q10" s="180"/>
      <c r="R10" s="102"/>
      <c r="S10" s="181"/>
      <c r="T10" s="181"/>
      <c r="U10" s="181"/>
      <c r="V10" s="181"/>
      <c r="W10" s="181"/>
      <c r="X10" s="181"/>
      <c r="Y10" s="181"/>
      <c r="Z10" s="181"/>
      <c r="AA10" s="181"/>
      <c r="AB10" s="181"/>
      <c r="AC10" s="181"/>
      <c r="AD10" s="181"/>
      <c r="AE10" s="181"/>
      <c r="AF10" s="181"/>
      <c r="AG10" s="181"/>
      <c r="AH10" s="181"/>
      <c r="AI10" s="101"/>
      <c r="AJ10" s="163"/>
      <c r="AK10" s="165"/>
      <c r="AL10" s="167"/>
      <c r="AM10" s="174">
        <f t="shared" si="0"/>
        <v>0</v>
      </c>
      <c r="AN10" s="174">
        <f t="shared" si="1"/>
        <v>0</v>
      </c>
      <c r="AO10" s="167"/>
      <c r="AP10" s="167"/>
      <c r="AQ10" s="167"/>
      <c r="AR10" s="175"/>
      <c r="AS10" s="102"/>
    </row>
    <row r="11" s="150" customFormat="1" ht="18.75" customHeight="1" spans="1:45">
      <c r="A11" s="176"/>
      <c r="B11" s="177"/>
      <c r="C11" s="177"/>
      <c r="D11" s="102"/>
      <c r="E11" s="178"/>
      <c r="F11" s="102"/>
      <c r="G11" s="102"/>
      <c r="H11" s="102"/>
      <c r="I11" s="102"/>
      <c r="J11" s="102"/>
      <c r="K11" s="179"/>
      <c r="L11" s="102"/>
      <c r="M11" s="102"/>
      <c r="N11" s="102"/>
      <c r="O11" s="102"/>
      <c r="P11" s="102"/>
      <c r="Q11" s="180"/>
      <c r="R11" s="102"/>
      <c r="S11" s="181"/>
      <c r="T11" s="181"/>
      <c r="U11" s="181"/>
      <c r="V11" s="181"/>
      <c r="W11" s="181"/>
      <c r="X11" s="181"/>
      <c r="Y11" s="181"/>
      <c r="Z11" s="181"/>
      <c r="AA11" s="181"/>
      <c r="AB11" s="181"/>
      <c r="AC11" s="181"/>
      <c r="AD11" s="181"/>
      <c r="AE11" s="181"/>
      <c r="AF11" s="181"/>
      <c r="AG11" s="181"/>
      <c r="AH11" s="181"/>
      <c r="AI11" s="101"/>
      <c r="AJ11" s="163"/>
      <c r="AK11" s="165"/>
      <c r="AL11" s="167"/>
      <c r="AM11" s="174">
        <f t="shared" si="0"/>
        <v>0</v>
      </c>
      <c r="AN11" s="174">
        <f t="shared" si="1"/>
        <v>0</v>
      </c>
      <c r="AO11" s="167"/>
      <c r="AP11" s="167"/>
      <c r="AQ11" s="167"/>
      <c r="AR11" s="175"/>
      <c r="AS11" s="102"/>
    </row>
    <row r="12" s="150" customFormat="1" ht="18.75" customHeight="1" spans="1:45">
      <c r="A12" s="176"/>
      <c r="B12" s="177"/>
      <c r="C12" s="177"/>
      <c r="D12" s="102"/>
      <c r="E12" s="178"/>
      <c r="F12" s="102"/>
      <c r="G12" s="102"/>
      <c r="H12" s="102"/>
      <c r="I12" s="102"/>
      <c r="J12" s="102"/>
      <c r="K12" s="179"/>
      <c r="L12" s="102"/>
      <c r="M12" s="102"/>
      <c r="N12" s="102"/>
      <c r="O12" s="102"/>
      <c r="P12" s="102"/>
      <c r="Q12" s="180"/>
      <c r="R12" s="102"/>
      <c r="S12" s="181"/>
      <c r="T12" s="181"/>
      <c r="U12" s="181"/>
      <c r="V12" s="181"/>
      <c r="W12" s="181"/>
      <c r="X12" s="181"/>
      <c r="Y12" s="181"/>
      <c r="Z12" s="181"/>
      <c r="AA12" s="181"/>
      <c r="AB12" s="181"/>
      <c r="AC12" s="181"/>
      <c r="AD12" s="181"/>
      <c r="AE12" s="181"/>
      <c r="AF12" s="181"/>
      <c r="AG12" s="181"/>
      <c r="AH12" s="181"/>
      <c r="AI12" s="101"/>
      <c r="AJ12" s="163"/>
      <c r="AK12" s="165"/>
      <c r="AL12" s="167"/>
      <c r="AM12" s="174">
        <f t="shared" si="0"/>
        <v>0</v>
      </c>
      <c r="AN12" s="174">
        <f t="shared" si="1"/>
        <v>0</v>
      </c>
      <c r="AO12" s="167"/>
      <c r="AP12" s="167"/>
      <c r="AQ12" s="167"/>
      <c r="AR12" s="175"/>
      <c r="AS12" s="102"/>
    </row>
    <row r="13" s="150" customFormat="1" ht="18.75" customHeight="1" spans="1:45">
      <c r="A13" s="176"/>
      <c r="B13" s="177"/>
      <c r="C13" s="177"/>
      <c r="D13" s="102"/>
      <c r="E13" s="178"/>
      <c r="F13" s="102"/>
      <c r="G13" s="102"/>
      <c r="H13" s="102"/>
      <c r="I13" s="102"/>
      <c r="J13" s="102"/>
      <c r="K13" s="179"/>
      <c r="L13" s="102"/>
      <c r="M13" s="102"/>
      <c r="N13" s="102"/>
      <c r="O13" s="102"/>
      <c r="P13" s="102"/>
      <c r="Q13" s="180"/>
      <c r="R13" s="102"/>
      <c r="S13" s="181"/>
      <c r="T13" s="181"/>
      <c r="U13" s="181"/>
      <c r="V13" s="181"/>
      <c r="W13" s="181"/>
      <c r="X13" s="181"/>
      <c r="Y13" s="181"/>
      <c r="Z13" s="181"/>
      <c r="AA13" s="181"/>
      <c r="AB13" s="181"/>
      <c r="AC13" s="181"/>
      <c r="AD13" s="181"/>
      <c r="AE13" s="181"/>
      <c r="AF13" s="181"/>
      <c r="AG13" s="181"/>
      <c r="AH13" s="181"/>
      <c r="AI13" s="101"/>
      <c r="AJ13" s="163"/>
      <c r="AK13" s="165"/>
      <c r="AL13" s="167"/>
      <c r="AM13" s="174">
        <f t="shared" si="0"/>
        <v>0</v>
      </c>
      <c r="AN13" s="174">
        <f t="shared" si="1"/>
        <v>0</v>
      </c>
      <c r="AO13" s="167"/>
      <c r="AP13" s="167"/>
      <c r="AQ13" s="167"/>
      <c r="AR13" s="175"/>
      <c r="AS13" s="102"/>
    </row>
    <row r="14" s="150" customFormat="1" ht="18.75" customHeight="1" spans="1:45">
      <c r="A14" s="176"/>
      <c r="B14" s="177"/>
      <c r="C14" s="177"/>
      <c r="D14" s="102"/>
      <c r="E14" s="178"/>
      <c r="F14" s="102"/>
      <c r="G14" s="102"/>
      <c r="H14" s="102"/>
      <c r="I14" s="102"/>
      <c r="J14" s="102"/>
      <c r="K14" s="179"/>
      <c r="L14" s="102"/>
      <c r="M14" s="102"/>
      <c r="N14" s="102"/>
      <c r="O14" s="102"/>
      <c r="P14" s="102"/>
      <c r="Q14" s="180"/>
      <c r="R14" s="102"/>
      <c r="S14" s="181"/>
      <c r="T14" s="181"/>
      <c r="U14" s="181"/>
      <c r="V14" s="181"/>
      <c r="W14" s="181"/>
      <c r="X14" s="181"/>
      <c r="Y14" s="181"/>
      <c r="Z14" s="181"/>
      <c r="AA14" s="181"/>
      <c r="AB14" s="181"/>
      <c r="AC14" s="181"/>
      <c r="AD14" s="181"/>
      <c r="AE14" s="181"/>
      <c r="AF14" s="181"/>
      <c r="AG14" s="181"/>
      <c r="AH14" s="181"/>
      <c r="AI14" s="101"/>
      <c r="AJ14" s="163"/>
      <c r="AK14" s="165"/>
      <c r="AL14" s="167"/>
      <c r="AM14" s="174">
        <f t="shared" si="0"/>
        <v>0</v>
      </c>
      <c r="AN14" s="174">
        <f t="shared" si="1"/>
        <v>0</v>
      </c>
      <c r="AO14" s="167"/>
      <c r="AP14" s="167"/>
      <c r="AQ14" s="167"/>
      <c r="AR14" s="175"/>
      <c r="AS14" s="102"/>
    </row>
    <row r="15" s="150" customFormat="1" ht="18.75" customHeight="1" spans="1:45">
      <c r="A15" s="176"/>
      <c r="B15" s="177"/>
      <c r="C15" s="177"/>
      <c r="D15" s="102"/>
      <c r="E15" s="178"/>
      <c r="F15" s="102"/>
      <c r="G15" s="102"/>
      <c r="H15" s="102"/>
      <c r="I15" s="102"/>
      <c r="J15" s="102"/>
      <c r="K15" s="179"/>
      <c r="L15" s="102"/>
      <c r="M15" s="102"/>
      <c r="N15" s="102"/>
      <c r="O15" s="102"/>
      <c r="P15" s="102"/>
      <c r="Q15" s="180"/>
      <c r="R15" s="102"/>
      <c r="S15" s="181"/>
      <c r="T15" s="181"/>
      <c r="U15" s="181"/>
      <c r="V15" s="181"/>
      <c r="W15" s="181"/>
      <c r="X15" s="181"/>
      <c r="Y15" s="181"/>
      <c r="Z15" s="181"/>
      <c r="AA15" s="181"/>
      <c r="AB15" s="181"/>
      <c r="AC15" s="181"/>
      <c r="AD15" s="181"/>
      <c r="AE15" s="181"/>
      <c r="AF15" s="181"/>
      <c r="AG15" s="181"/>
      <c r="AH15" s="181"/>
      <c r="AI15" s="101"/>
      <c r="AJ15" s="163"/>
      <c r="AK15" s="165"/>
      <c r="AL15" s="167"/>
      <c r="AM15" s="174">
        <f t="shared" si="0"/>
        <v>0</v>
      </c>
      <c r="AN15" s="174">
        <f t="shared" si="1"/>
        <v>0</v>
      </c>
      <c r="AO15" s="167"/>
      <c r="AP15" s="167"/>
      <c r="AQ15" s="167"/>
      <c r="AR15" s="175"/>
      <c r="AS15" s="102"/>
    </row>
    <row r="16" s="150" customFormat="1" ht="18.75" customHeight="1" spans="1:45">
      <c r="A16" s="176"/>
      <c r="B16" s="177"/>
      <c r="C16" s="177"/>
      <c r="D16" s="102"/>
      <c r="E16" s="178"/>
      <c r="F16" s="102"/>
      <c r="G16" s="102"/>
      <c r="H16" s="102"/>
      <c r="I16" s="102"/>
      <c r="J16" s="102"/>
      <c r="K16" s="179"/>
      <c r="L16" s="102"/>
      <c r="M16" s="102"/>
      <c r="N16" s="102"/>
      <c r="O16" s="102"/>
      <c r="P16" s="102"/>
      <c r="Q16" s="180"/>
      <c r="R16" s="102"/>
      <c r="S16" s="181"/>
      <c r="T16" s="181"/>
      <c r="U16" s="181"/>
      <c r="V16" s="181"/>
      <c r="W16" s="181"/>
      <c r="X16" s="181"/>
      <c r="Y16" s="181"/>
      <c r="Z16" s="181"/>
      <c r="AA16" s="181"/>
      <c r="AB16" s="181"/>
      <c r="AC16" s="181"/>
      <c r="AD16" s="181"/>
      <c r="AE16" s="181"/>
      <c r="AF16" s="181"/>
      <c r="AG16" s="181"/>
      <c r="AH16" s="181"/>
      <c r="AI16" s="101"/>
      <c r="AJ16" s="163"/>
      <c r="AK16" s="165"/>
      <c r="AL16" s="167"/>
      <c r="AM16" s="174">
        <f t="shared" si="0"/>
        <v>0</v>
      </c>
      <c r="AN16" s="174">
        <f t="shared" si="1"/>
        <v>0</v>
      </c>
      <c r="AO16" s="167"/>
      <c r="AP16" s="167"/>
      <c r="AQ16" s="167"/>
      <c r="AR16" s="175"/>
      <c r="AS16" s="102"/>
    </row>
    <row r="17" s="150" customFormat="1" ht="18.75" customHeight="1" spans="1:45">
      <c r="A17" s="176"/>
      <c r="B17" s="177"/>
      <c r="C17" s="177"/>
      <c r="D17" s="102"/>
      <c r="E17" s="178"/>
      <c r="F17" s="102"/>
      <c r="G17" s="102"/>
      <c r="H17" s="102"/>
      <c r="I17" s="102"/>
      <c r="J17" s="102"/>
      <c r="K17" s="179"/>
      <c r="L17" s="102"/>
      <c r="M17" s="102"/>
      <c r="N17" s="102"/>
      <c r="O17" s="102"/>
      <c r="P17" s="102"/>
      <c r="Q17" s="180"/>
      <c r="R17" s="102"/>
      <c r="S17" s="181"/>
      <c r="T17" s="181"/>
      <c r="U17" s="181"/>
      <c r="V17" s="181"/>
      <c r="W17" s="181"/>
      <c r="X17" s="181"/>
      <c r="Y17" s="181"/>
      <c r="Z17" s="181"/>
      <c r="AA17" s="181"/>
      <c r="AB17" s="181"/>
      <c r="AC17" s="181"/>
      <c r="AD17" s="181"/>
      <c r="AE17" s="181"/>
      <c r="AF17" s="181"/>
      <c r="AG17" s="181"/>
      <c r="AH17" s="181"/>
      <c r="AI17" s="101"/>
      <c r="AJ17" s="163"/>
      <c r="AK17" s="165"/>
      <c r="AL17" s="167"/>
      <c r="AM17" s="174">
        <f t="shared" si="0"/>
        <v>0</v>
      </c>
      <c r="AN17" s="174">
        <f t="shared" si="1"/>
        <v>0</v>
      </c>
      <c r="AO17" s="167"/>
      <c r="AP17" s="167"/>
      <c r="AQ17" s="167"/>
      <c r="AR17" s="175"/>
      <c r="AS17" s="102"/>
    </row>
    <row r="18" s="150" customFormat="1" ht="18.75" customHeight="1" spans="1:45">
      <c r="A18" s="176"/>
      <c r="B18" s="177"/>
      <c r="C18" s="177"/>
      <c r="D18" s="102"/>
      <c r="E18" s="178"/>
      <c r="F18" s="102"/>
      <c r="G18" s="102"/>
      <c r="H18" s="102"/>
      <c r="I18" s="102"/>
      <c r="J18" s="102"/>
      <c r="K18" s="179"/>
      <c r="L18" s="102"/>
      <c r="M18" s="102"/>
      <c r="N18" s="102"/>
      <c r="O18" s="102"/>
      <c r="P18" s="102"/>
      <c r="Q18" s="180"/>
      <c r="R18" s="102"/>
      <c r="S18" s="181"/>
      <c r="T18" s="181"/>
      <c r="U18" s="181"/>
      <c r="V18" s="181"/>
      <c r="W18" s="181"/>
      <c r="X18" s="181"/>
      <c r="Y18" s="181"/>
      <c r="Z18" s="181"/>
      <c r="AA18" s="181"/>
      <c r="AB18" s="181"/>
      <c r="AC18" s="181"/>
      <c r="AD18" s="181"/>
      <c r="AE18" s="181"/>
      <c r="AF18" s="181"/>
      <c r="AG18" s="181"/>
      <c r="AH18" s="181"/>
      <c r="AI18" s="101"/>
      <c r="AJ18" s="163"/>
      <c r="AK18" s="165"/>
      <c r="AL18" s="167"/>
      <c r="AM18" s="174">
        <f t="shared" si="0"/>
        <v>0</v>
      </c>
      <c r="AN18" s="174">
        <f t="shared" si="1"/>
        <v>0</v>
      </c>
      <c r="AO18" s="167"/>
      <c r="AP18" s="167"/>
      <c r="AQ18" s="167"/>
      <c r="AR18" s="175"/>
      <c r="AS18" s="102"/>
    </row>
    <row r="19" s="150" customFormat="1" ht="18.75" customHeight="1" spans="1:45">
      <c r="A19" s="176"/>
      <c r="B19" s="177"/>
      <c r="C19" s="177"/>
      <c r="D19" s="102"/>
      <c r="E19" s="178"/>
      <c r="F19" s="102"/>
      <c r="G19" s="102"/>
      <c r="H19" s="102"/>
      <c r="I19" s="102"/>
      <c r="J19" s="102"/>
      <c r="K19" s="179"/>
      <c r="L19" s="102"/>
      <c r="M19" s="102"/>
      <c r="N19" s="102"/>
      <c r="O19" s="102"/>
      <c r="P19" s="102"/>
      <c r="Q19" s="180"/>
      <c r="R19" s="102"/>
      <c r="S19" s="181"/>
      <c r="T19" s="181"/>
      <c r="U19" s="181"/>
      <c r="V19" s="181"/>
      <c r="W19" s="181"/>
      <c r="X19" s="181"/>
      <c r="Y19" s="181"/>
      <c r="Z19" s="181"/>
      <c r="AA19" s="181"/>
      <c r="AB19" s="181"/>
      <c r="AC19" s="181"/>
      <c r="AD19" s="181"/>
      <c r="AE19" s="181"/>
      <c r="AF19" s="181"/>
      <c r="AG19" s="181"/>
      <c r="AH19" s="181"/>
      <c r="AI19" s="101"/>
      <c r="AJ19" s="163"/>
      <c r="AK19" s="165"/>
      <c r="AL19" s="167"/>
      <c r="AM19" s="174">
        <f t="shared" si="0"/>
        <v>0</v>
      </c>
      <c r="AN19" s="174">
        <f t="shared" si="1"/>
        <v>0</v>
      </c>
      <c r="AO19" s="167"/>
      <c r="AP19" s="167"/>
      <c r="AQ19" s="167"/>
      <c r="AR19" s="175"/>
      <c r="AS19" s="102"/>
    </row>
    <row r="20" s="150" customFormat="1" ht="18.75" customHeight="1" spans="1:45">
      <c r="A20" s="176"/>
      <c r="B20" s="177"/>
      <c r="C20" s="177"/>
      <c r="D20" s="102"/>
      <c r="E20" s="178"/>
      <c r="F20" s="102"/>
      <c r="G20" s="102"/>
      <c r="H20" s="102"/>
      <c r="I20" s="102"/>
      <c r="J20" s="102"/>
      <c r="K20" s="179"/>
      <c r="L20" s="102"/>
      <c r="M20" s="102"/>
      <c r="N20" s="102"/>
      <c r="O20" s="102"/>
      <c r="P20" s="102"/>
      <c r="Q20" s="180"/>
      <c r="R20" s="102"/>
      <c r="S20" s="181"/>
      <c r="T20" s="181"/>
      <c r="U20" s="181"/>
      <c r="V20" s="181"/>
      <c r="W20" s="181"/>
      <c r="X20" s="181"/>
      <c r="Y20" s="181"/>
      <c r="Z20" s="181"/>
      <c r="AA20" s="181"/>
      <c r="AB20" s="181"/>
      <c r="AC20" s="181"/>
      <c r="AD20" s="181"/>
      <c r="AE20" s="181"/>
      <c r="AF20" s="181"/>
      <c r="AG20" s="181"/>
      <c r="AH20" s="181"/>
      <c r="AI20" s="101"/>
      <c r="AJ20" s="163"/>
      <c r="AK20" s="165"/>
      <c r="AL20" s="167"/>
      <c r="AM20" s="174">
        <f t="shared" si="0"/>
        <v>0</v>
      </c>
      <c r="AN20" s="174">
        <f t="shared" si="1"/>
        <v>0</v>
      </c>
      <c r="AO20" s="167"/>
      <c r="AP20" s="167"/>
      <c r="AQ20" s="167"/>
      <c r="AR20" s="175"/>
      <c r="AS20" s="102"/>
    </row>
    <row r="21" s="150" customFormat="1" ht="18.75" customHeight="1" spans="1:45">
      <c r="A21" s="176"/>
      <c r="B21" s="177"/>
      <c r="C21" s="177"/>
      <c r="D21" s="102"/>
      <c r="E21" s="178"/>
      <c r="F21" s="102"/>
      <c r="G21" s="102"/>
      <c r="H21" s="102"/>
      <c r="I21" s="102"/>
      <c r="J21" s="102"/>
      <c r="K21" s="179"/>
      <c r="L21" s="102"/>
      <c r="M21" s="102"/>
      <c r="N21" s="102"/>
      <c r="O21" s="102"/>
      <c r="P21" s="102"/>
      <c r="Q21" s="180"/>
      <c r="R21" s="102"/>
      <c r="S21" s="181"/>
      <c r="T21" s="181"/>
      <c r="U21" s="181"/>
      <c r="V21" s="181"/>
      <c r="W21" s="181"/>
      <c r="X21" s="181"/>
      <c r="Y21" s="181"/>
      <c r="Z21" s="181"/>
      <c r="AA21" s="181"/>
      <c r="AB21" s="181"/>
      <c r="AC21" s="181"/>
      <c r="AD21" s="181"/>
      <c r="AE21" s="181"/>
      <c r="AF21" s="181"/>
      <c r="AG21" s="181"/>
      <c r="AH21" s="181"/>
      <c r="AI21" s="101"/>
      <c r="AJ21" s="163"/>
      <c r="AK21" s="165"/>
      <c r="AL21" s="167"/>
      <c r="AM21" s="174">
        <f t="shared" si="0"/>
        <v>0</v>
      </c>
      <c r="AN21" s="174">
        <f t="shared" si="1"/>
        <v>0</v>
      </c>
      <c r="AO21" s="167"/>
      <c r="AP21" s="167"/>
      <c r="AQ21" s="167"/>
      <c r="AR21" s="175"/>
      <c r="AS21" s="102"/>
    </row>
    <row r="22" s="150" customFormat="1" ht="18.75" customHeight="1" spans="1:45">
      <c r="A22" s="176"/>
      <c r="B22" s="177"/>
      <c r="C22" s="177"/>
      <c r="D22" s="102"/>
      <c r="E22" s="178"/>
      <c r="F22" s="102"/>
      <c r="G22" s="102"/>
      <c r="H22" s="102"/>
      <c r="I22" s="102"/>
      <c r="J22" s="102"/>
      <c r="K22" s="179"/>
      <c r="L22" s="102"/>
      <c r="M22" s="102"/>
      <c r="N22" s="102"/>
      <c r="O22" s="102"/>
      <c r="P22" s="102"/>
      <c r="Q22" s="180"/>
      <c r="R22" s="102"/>
      <c r="S22" s="181"/>
      <c r="T22" s="181"/>
      <c r="U22" s="181"/>
      <c r="V22" s="181"/>
      <c r="W22" s="181"/>
      <c r="X22" s="181"/>
      <c r="Y22" s="181"/>
      <c r="Z22" s="181"/>
      <c r="AA22" s="181"/>
      <c r="AB22" s="181"/>
      <c r="AC22" s="181"/>
      <c r="AD22" s="181"/>
      <c r="AE22" s="181"/>
      <c r="AF22" s="181"/>
      <c r="AG22" s="181"/>
      <c r="AH22" s="181"/>
      <c r="AI22" s="101"/>
      <c r="AJ22" s="163"/>
      <c r="AK22" s="165"/>
      <c r="AL22" s="167"/>
      <c r="AM22" s="174">
        <f t="shared" si="0"/>
        <v>0</v>
      </c>
      <c r="AN22" s="174">
        <f t="shared" si="1"/>
        <v>0</v>
      </c>
      <c r="AO22" s="167"/>
      <c r="AP22" s="167"/>
      <c r="AQ22" s="167"/>
      <c r="AR22" s="175"/>
      <c r="AS22" s="102"/>
    </row>
    <row r="23" s="150" customFormat="1" ht="18.75" customHeight="1" spans="1:45">
      <c r="A23" s="176"/>
      <c r="B23" s="177"/>
      <c r="C23" s="177"/>
      <c r="D23" s="102"/>
      <c r="E23" s="178"/>
      <c r="F23" s="102"/>
      <c r="G23" s="102"/>
      <c r="H23" s="102"/>
      <c r="I23" s="102"/>
      <c r="J23" s="102"/>
      <c r="K23" s="179"/>
      <c r="L23" s="102"/>
      <c r="M23" s="102"/>
      <c r="N23" s="102"/>
      <c r="O23" s="102"/>
      <c r="P23" s="102"/>
      <c r="Q23" s="180"/>
      <c r="R23" s="102"/>
      <c r="S23" s="181"/>
      <c r="T23" s="181"/>
      <c r="U23" s="181"/>
      <c r="V23" s="181"/>
      <c r="W23" s="181"/>
      <c r="X23" s="181"/>
      <c r="Y23" s="181"/>
      <c r="Z23" s="181"/>
      <c r="AA23" s="181"/>
      <c r="AB23" s="181"/>
      <c r="AC23" s="181"/>
      <c r="AD23" s="181"/>
      <c r="AE23" s="181"/>
      <c r="AF23" s="181"/>
      <c r="AG23" s="181"/>
      <c r="AH23" s="181"/>
      <c r="AI23" s="101"/>
      <c r="AJ23" s="163"/>
      <c r="AK23" s="165"/>
      <c r="AL23" s="167"/>
      <c r="AM23" s="174">
        <f t="shared" si="0"/>
        <v>0</v>
      </c>
      <c r="AN23" s="174">
        <f t="shared" si="1"/>
        <v>0</v>
      </c>
      <c r="AO23" s="167"/>
      <c r="AP23" s="167"/>
      <c r="AQ23" s="167"/>
      <c r="AR23" s="175"/>
      <c r="AS23" s="102"/>
    </row>
    <row r="24" s="150" customFormat="1" ht="18.75" customHeight="1" spans="1:45">
      <c r="A24" s="176"/>
      <c r="B24" s="177"/>
      <c r="C24" s="177"/>
      <c r="D24" s="102"/>
      <c r="E24" s="178"/>
      <c r="F24" s="102"/>
      <c r="G24" s="102"/>
      <c r="H24" s="102"/>
      <c r="I24" s="102"/>
      <c r="J24" s="102"/>
      <c r="K24" s="179"/>
      <c r="L24" s="102"/>
      <c r="M24" s="102"/>
      <c r="N24" s="102"/>
      <c r="O24" s="102"/>
      <c r="P24" s="102"/>
      <c r="Q24" s="180"/>
      <c r="R24" s="102"/>
      <c r="S24" s="181"/>
      <c r="T24" s="181"/>
      <c r="U24" s="181"/>
      <c r="V24" s="181"/>
      <c r="W24" s="181"/>
      <c r="X24" s="181"/>
      <c r="Y24" s="181"/>
      <c r="Z24" s="181"/>
      <c r="AA24" s="181"/>
      <c r="AB24" s="181"/>
      <c r="AC24" s="181"/>
      <c r="AD24" s="181"/>
      <c r="AE24" s="181"/>
      <c r="AF24" s="181"/>
      <c r="AG24" s="181"/>
      <c r="AH24" s="181"/>
      <c r="AI24" s="101"/>
      <c r="AJ24" s="163"/>
      <c r="AK24" s="165"/>
      <c r="AL24" s="167"/>
      <c r="AM24" s="174">
        <f t="shared" si="0"/>
        <v>0</v>
      </c>
      <c r="AN24" s="174">
        <f t="shared" si="1"/>
        <v>0</v>
      </c>
      <c r="AO24" s="167"/>
      <c r="AP24" s="167"/>
      <c r="AQ24" s="167"/>
      <c r="AR24" s="175"/>
      <c r="AS24" s="102"/>
    </row>
    <row r="25" s="150" customFormat="1" ht="15.75" customHeight="1" spans="1:45">
      <c r="A25" s="182"/>
      <c r="B25" s="182"/>
      <c r="C25" s="183"/>
      <c r="D25" s="184"/>
      <c r="E25" s="184"/>
      <c r="F25" s="161"/>
      <c r="G25" s="161"/>
      <c r="H25" s="161"/>
      <c r="I25" s="161"/>
      <c r="J25" s="161"/>
      <c r="K25" s="161"/>
      <c r="L25" s="161"/>
      <c r="M25" s="161"/>
      <c r="N25" s="161"/>
      <c r="O25" s="161"/>
      <c r="P25" s="161"/>
      <c r="Q25" s="185"/>
      <c r="R25" s="186"/>
      <c r="S25" s="186"/>
      <c r="T25" s="186"/>
      <c r="U25" s="186"/>
      <c r="V25" s="186"/>
      <c r="W25" s="186"/>
      <c r="X25" s="186"/>
      <c r="Y25" s="186"/>
      <c r="Z25" s="186"/>
      <c r="AA25" s="186"/>
      <c r="AB25" s="186"/>
      <c r="AC25" s="186"/>
      <c r="AD25" s="186"/>
      <c r="AE25" s="186"/>
      <c r="AF25" s="186"/>
      <c r="AG25" s="186"/>
      <c r="AH25" s="186"/>
      <c r="AI25" s="187"/>
      <c r="AJ25" s="188"/>
      <c r="AK25" s="189"/>
      <c r="AL25" s="187"/>
      <c r="AM25" s="174">
        <f t="shared" si="0"/>
        <v>0</v>
      </c>
      <c r="AN25" s="174">
        <f t="shared" si="1"/>
        <v>0</v>
      </c>
      <c r="AO25" s="187"/>
      <c r="AP25" s="182"/>
      <c r="AQ25" s="187"/>
      <c r="AR25" s="175" t="str">
        <f>IF(AN25=0,"",(AQ25-AN25)/AN25*100)</f>
        <v/>
      </c>
      <c r="AS25" s="102"/>
    </row>
    <row r="26" s="150" customFormat="1" ht="15.75" customHeight="1" spans="1:45">
      <c r="A26" s="182" t="s">
        <v>544</v>
      </c>
      <c r="B26" s="32"/>
      <c r="C26" s="28"/>
      <c r="D26" s="184"/>
      <c r="E26" s="184"/>
      <c r="F26" s="161"/>
      <c r="G26" s="161"/>
      <c r="H26" s="161"/>
      <c r="I26" s="161"/>
      <c r="J26" s="161"/>
      <c r="K26" s="161"/>
      <c r="L26" s="161"/>
      <c r="M26" s="161"/>
      <c r="N26" s="161"/>
      <c r="O26" s="161"/>
      <c r="P26" s="161"/>
      <c r="Q26" s="185"/>
      <c r="R26" s="186"/>
      <c r="S26" s="186"/>
      <c r="T26" s="186"/>
      <c r="U26" s="186"/>
      <c r="V26" s="186"/>
      <c r="W26" s="186"/>
      <c r="X26" s="186"/>
      <c r="Y26" s="186"/>
      <c r="Z26" s="186"/>
      <c r="AA26" s="186"/>
      <c r="AB26" s="186"/>
      <c r="AC26" s="186"/>
      <c r="AD26" s="186"/>
      <c r="AE26" s="186"/>
      <c r="AF26" s="186"/>
      <c r="AG26" s="186"/>
      <c r="AH26" s="186"/>
      <c r="AI26" s="187">
        <f>SUM(AI9:AI25)</f>
        <v>0</v>
      </c>
      <c r="AJ26" s="187">
        <f>SUM(AJ9:AJ25)</f>
        <v>0</v>
      </c>
      <c r="AK26" s="189"/>
      <c r="AL26" s="187"/>
      <c r="AM26" s="187">
        <f>SUM(AM9:AM25)</f>
        <v>0</v>
      </c>
      <c r="AN26" s="187">
        <f>SUM(AN9:AN25)</f>
        <v>0</v>
      </c>
      <c r="AO26" s="187">
        <f>SUM(AO25:AO25)</f>
        <v>0</v>
      </c>
      <c r="AP26" s="187"/>
      <c r="AQ26" s="187">
        <f>SUM(AQ25:AQ25)</f>
        <v>0</v>
      </c>
      <c r="AR26" s="175" t="str">
        <f>IF(AN26=0,"",(AQ26-AN26)/AN26*100)</f>
        <v/>
      </c>
      <c r="AS26" s="102"/>
    </row>
    <row r="27" s="149" customFormat="1" ht="15.75" customHeight="1" spans="1:45">
      <c r="A27" s="29" t="s">
        <v>9</v>
      </c>
      <c r="B27" s="190"/>
      <c r="AO27" s="13" t="s">
        <v>545</v>
      </c>
      <c r="AS27" s="182"/>
    </row>
    <row r="28" s="149" customFormat="1" ht="15.75" customHeight="1" spans="1:45">
      <c r="A28" s="29" t="s">
        <v>546</v>
      </c>
      <c r="B28" s="190"/>
    </row>
  </sheetData>
  <mergeCells count="45">
    <mergeCell ref="A2:AS2"/>
    <mergeCell ref="A3:AS3"/>
    <mergeCell ref="K5:L5"/>
    <mergeCell ref="M5:N5"/>
    <mergeCell ref="O5:R5"/>
    <mergeCell ref="AI5:AJ5"/>
    <mergeCell ref="AM5:AN5"/>
    <mergeCell ref="AO5:AQ5"/>
    <mergeCell ref="P6:Q6"/>
    <mergeCell ref="A26:C26"/>
    <mergeCell ref="A5:A8"/>
    <mergeCell ref="B5:B8"/>
    <mergeCell ref="C5:C8"/>
    <mergeCell ref="D5:D8"/>
    <mergeCell ref="E5:E8"/>
    <mergeCell ref="F5:F8"/>
    <mergeCell ref="G5:G8"/>
    <mergeCell ref="H5:H8"/>
    <mergeCell ref="I5:I8"/>
    <mergeCell ref="J5:J8"/>
    <mergeCell ref="K6:K8"/>
    <mergeCell ref="L6:L8"/>
    <mergeCell ref="M6:M8"/>
    <mergeCell ref="N6:N8"/>
    <mergeCell ref="O6:O8"/>
    <mergeCell ref="R6:R7"/>
    <mergeCell ref="S5:S8"/>
    <mergeCell ref="T5:T8"/>
    <mergeCell ref="U5:U8"/>
    <mergeCell ref="V5:V8"/>
    <mergeCell ref="W5:W8"/>
    <mergeCell ref="X5:X8"/>
    <mergeCell ref="Y5:Y8"/>
    <mergeCell ref="Z5:Z8"/>
    <mergeCell ref="AA5:AA8"/>
    <mergeCell ref="AB5:AB8"/>
    <mergeCell ref="AC5:AC8"/>
    <mergeCell ref="AD5:AD8"/>
    <mergeCell ref="AE5:AE8"/>
    <mergeCell ref="AF5:AF8"/>
    <mergeCell ref="AG5:AG8"/>
    <mergeCell ref="AH5:AH8"/>
    <mergeCell ref="AR5:AR6"/>
    <mergeCell ref="AS5:AS6"/>
    <mergeCell ref="AK5:AL6"/>
  </mergeCells>
  <hyperlinks>
    <hyperlink ref="A1" location="索引目录!D27" display="返回索引页"/>
    <hyperlink ref="B1" location="固定资产汇总!A1" display="返回"/>
    <hyperlink ref="C1" location="固定资产汇总!B10" display="返回"/>
  </hyperlinks>
  <pageMargins left="0.7" right="0.7" top="0.75" bottom="0.75" header="0.3" footer="0.3"/>
  <pageSetup paperSize="9" orientation="portrait"/>
  <headerFooter/>
  <legacyDrawing r:id="rId2"/>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9"/>
  <dimension ref="A1"/>
  <sheetViews>
    <sheetView workbookViewId="0">
      <selection activeCell="G451" sqref="G451"/>
    </sheetView>
  </sheetViews>
  <sheetFormatPr defaultColWidth="9" defaultRowHeight="15.5"/>
  <sheetData/>
  <pageMargins left="0.7" right="0.7" top="0.75" bottom="0.75" header="0.3" footer="0.3"/>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0">
    <pageSetUpPr fitToPage="1"/>
  </sheetPr>
  <dimension ref="A1:T29"/>
  <sheetViews>
    <sheetView view="pageBreakPreview" zoomScale="115" zoomScaleNormal="100" workbookViewId="0">
      <selection activeCell="G451" sqref="G451"/>
    </sheetView>
  </sheetViews>
  <sheetFormatPr defaultColWidth="9" defaultRowHeight="15.75" customHeight="1"/>
  <cols>
    <col min="1" max="1" width="4.5" style="13" customWidth="1"/>
    <col min="2" max="2" width="13.25" style="13" customWidth="1"/>
    <col min="3" max="3" width="8" style="13" hidden="1" customWidth="1" outlineLevel="1"/>
    <col min="4" max="4" width="4.75" style="13" customWidth="1" collapsed="1"/>
    <col min="5" max="5" width="4.75" style="13" customWidth="1"/>
    <col min="6" max="6" width="16.3333333333333" style="13" customWidth="1"/>
    <col min="7" max="7" width="4.33333333333333" style="13" customWidth="1"/>
    <col min="8" max="8" width="4.83333333333333" style="13" customWidth="1"/>
    <col min="9" max="9" width="5" style="13" customWidth="1"/>
    <col min="10" max="13" width="11" style="13" hidden="1" customWidth="1" outlineLevel="1"/>
    <col min="14" max="14" width="11.75" style="13" customWidth="1" collapsed="1"/>
    <col min="15" max="15" width="11.5" style="13" customWidth="1"/>
    <col min="16" max="16" width="11" style="13" customWidth="1"/>
    <col min="17" max="17" width="6.58333333333333" style="13" customWidth="1"/>
    <col min="18" max="18" width="11" style="13" customWidth="1"/>
    <col min="19" max="19" width="6.08333333333333" style="13" customWidth="1"/>
    <col min="20" max="20" width="5.75" style="13" customWidth="1"/>
    <col min="21" max="16384" width="9" style="13" customWidth="1"/>
  </cols>
  <sheetData>
    <row r="1" ht="15.5" customHeight="1" spans="1:20">
      <c r="A1" s="14" t="s">
        <v>111</v>
      </c>
      <c r="B1" s="15" t="s">
        <v>210</v>
      </c>
      <c r="C1" s="16"/>
      <c r="D1" s="16"/>
      <c r="E1" s="16"/>
      <c r="F1" s="16"/>
      <c r="G1" s="16"/>
      <c r="H1" s="16"/>
      <c r="I1" s="16"/>
      <c r="J1" s="16"/>
      <c r="K1" s="16"/>
      <c r="L1" s="16"/>
      <c r="M1" s="16"/>
      <c r="N1" s="16"/>
      <c r="O1" s="16"/>
      <c r="P1" s="16"/>
      <c r="Q1" s="16"/>
      <c r="R1" s="16"/>
      <c r="S1" s="16"/>
      <c r="T1" s="16"/>
    </row>
    <row r="2" s="11" customFormat="1" ht="30" customHeight="1" spans="1:20">
      <c r="A2" s="17" t="s">
        <v>547</v>
      </c>
    </row>
    <row r="3" ht="14.15" customHeight="1" spans="1:20">
      <c r="A3" s="18" t="str">
        <f>CONCATENATE(封面!D9,封面!F9,封面!G9,封面!H9,封面!I9,封面!J9,封面!K9)</f>
        <v>评估基准日：年月日</v>
      </c>
    </row>
    <row r="4" ht="15.5" customHeight="1" spans="1:20">
      <c r="A4" s="19" t="str">
        <f>封面!D7&amp;封面!F7</f>
        <v>被评估单位：</v>
      </c>
      <c r="G4" s="54"/>
      <c r="H4" s="54"/>
      <c r="I4" s="54"/>
      <c r="T4" s="20" t="s">
        <v>139</v>
      </c>
    </row>
    <row r="5" s="12" customFormat="1" ht="13" customHeight="1" spans="1:20">
      <c r="A5" s="21" t="s">
        <v>141</v>
      </c>
      <c r="B5" s="23" t="s">
        <v>508</v>
      </c>
      <c r="C5" s="100" t="s">
        <v>499</v>
      </c>
      <c r="D5" s="22" t="s">
        <v>509</v>
      </c>
      <c r="E5" s="22" t="s">
        <v>548</v>
      </c>
      <c r="F5" s="22" t="s">
        <v>549</v>
      </c>
      <c r="G5" s="22" t="s">
        <v>522</v>
      </c>
      <c r="H5" s="22" t="s">
        <v>550</v>
      </c>
      <c r="I5" s="22" t="s">
        <v>551</v>
      </c>
      <c r="J5" s="101" t="s">
        <v>175</v>
      </c>
      <c r="K5" s="28"/>
      <c r="L5" s="102" t="s">
        <v>281</v>
      </c>
      <c r="M5" s="28"/>
      <c r="N5" s="21" t="s">
        <v>176</v>
      </c>
      <c r="O5" s="28"/>
      <c r="P5" s="21" t="s">
        <v>177</v>
      </c>
      <c r="Q5" s="32"/>
      <c r="R5" s="28"/>
      <c r="S5" s="22" t="s">
        <v>215</v>
      </c>
      <c r="T5" s="22" t="s">
        <v>144</v>
      </c>
    </row>
    <row r="6" s="12" customFormat="1" ht="13" customHeight="1" spans="1:20">
      <c r="A6" s="36"/>
      <c r="B6" s="36"/>
      <c r="C6" s="36"/>
      <c r="D6" s="36"/>
      <c r="E6" s="36"/>
      <c r="F6" s="36"/>
      <c r="G6" s="36"/>
      <c r="H6" s="36"/>
      <c r="I6" s="36"/>
      <c r="J6" s="21" t="s">
        <v>465</v>
      </c>
      <c r="K6" s="21" t="s">
        <v>466</v>
      </c>
      <c r="L6" s="21" t="s">
        <v>465</v>
      </c>
      <c r="M6" s="21" t="s">
        <v>466</v>
      </c>
      <c r="N6" s="21" t="s">
        <v>465</v>
      </c>
      <c r="O6" s="21" t="s">
        <v>466</v>
      </c>
      <c r="P6" s="21" t="s">
        <v>465</v>
      </c>
      <c r="Q6" s="21" t="s">
        <v>401</v>
      </c>
      <c r="R6" s="21" t="s">
        <v>466</v>
      </c>
      <c r="S6" s="36"/>
      <c r="T6" s="36"/>
    </row>
    <row r="7" ht="15.5" customHeight="1" spans="1:20">
      <c r="A7" s="23"/>
      <c r="B7" s="24"/>
      <c r="C7" s="103"/>
      <c r="D7" s="23"/>
      <c r="E7" s="23"/>
      <c r="F7" s="23"/>
      <c r="G7" s="23"/>
      <c r="H7" s="23"/>
      <c r="I7" s="21"/>
      <c r="J7" s="26"/>
      <c r="K7" s="26"/>
      <c r="L7" s="26"/>
      <c r="M7" s="26"/>
      <c r="N7" s="26"/>
      <c r="O7" s="26"/>
      <c r="P7" s="26"/>
      <c r="Q7" s="23"/>
      <c r="R7" s="26">
        <f t="shared" ref="R7:R25" si="0">ROUND(P7*Q7/100,0)</f>
        <v>0</v>
      </c>
      <c r="S7" s="26" t="str">
        <f t="shared" ref="S7:S25" si="1">IF(O7=0,"",(R7-O7)/O7*100)</f>
        <v/>
      </c>
      <c r="T7" s="27"/>
    </row>
    <row r="8" ht="15.5" customHeight="1" spans="1:20">
      <c r="A8" s="23"/>
      <c r="B8" s="24"/>
      <c r="C8" s="103"/>
      <c r="D8" s="23"/>
      <c r="E8" s="23"/>
      <c r="F8" s="23"/>
      <c r="G8" s="23"/>
      <c r="H8" s="23"/>
      <c r="I8" s="25"/>
      <c r="J8" s="26"/>
      <c r="K8" s="26"/>
      <c r="L8" s="26"/>
      <c r="M8" s="26"/>
      <c r="N8" s="26"/>
      <c r="O8" s="26"/>
      <c r="P8" s="26"/>
      <c r="Q8" s="23"/>
      <c r="R8" s="26">
        <f t="shared" si="0"/>
        <v>0</v>
      </c>
      <c r="S8" s="26" t="str">
        <f t="shared" si="1"/>
        <v/>
      </c>
      <c r="T8" s="27"/>
    </row>
    <row r="9" ht="15.5" customHeight="1" spans="1:20">
      <c r="A9" s="23"/>
      <c r="B9" s="24"/>
      <c r="C9" s="103"/>
      <c r="D9" s="23"/>
      <c r="E9" s="23"/>
      <c r="F9" s="23"/>
      <c r="G9" s="23"/>
      <c r="H9" s="23"/>
      <c r="I9" s="25"/>
      <c r="J9" s="26"/>
      <c r="K9" s="26"/>
      <c r="L9" s="26"/>
      <c r="M9" s="26"/>
      <c r="N9" s="26"/>
      <c r="O9" s="26"/>
      <c r="P9" s="26"/>
      <c r="Q9" s="23"/>
      <c r="R9" s="26">
        <f t="shared" si="0"/>
        <v>0</v>
      </c>
      <c r="S9" s="26" t="str">
        <f t="shared" si="1"/>
        <v/>
      </c>
      <c r="T9" s="27"/>
    </row>
    <row r="10" ht="15.5" customHeight="1" spans="1:20">
      <c r="A10" s="23"/>
      <c r="B10" s="24"/>
      <c r="C10" s="103"/>
      <c r="D10" s="23"/>
      <c r="E10" s="23"/>
      <c r="F10" s="23"/>
      <c r="G10" s="23"/>
      <c r="H10" s="23"/>
      <c r="I10" s="25"/>
      <c r="J10" s="26"/>
      <c r="K10" s="26"/>
      <c r="L10" s="26"/>
      <c r="M10" s="26"/>
      <c r="N10" s="26"/>
      <c r="O10" s="26"/>
      <c r="P10" s="26"/>
      <c r="Q10" s="23"/>
      <c r="R10" s="26">
        <f t="shared" si="0"/>
        <v>0</v>
      </c>
      <c r="S10" s="26" t="str">
        <f t="shared" si="1"/>
        <v/>
      </c>
      <c r="T10" s="27"/>
    </row>
    <row r="11" ht="15.5" customHeight="1" spans="1:20">
      <c r="A11" s="23"/>
      <c r="B11" s="24"/>
      <c r="C11" s="103"/>
      <c r="D11" s="23"/>
      <c r="E11" s="23"/>
      <c r="F11" s="23"/>
      <c r="G11" s="23"/>
      <c r="H11" s="23"/>
      <c r="I11" s="25"/>
      <c r="J11" s="26"/>
      <c r="K11" s="26"/>
      <c r="L11" s="26"/>
      <c r="M11" s="26"/>
      <c r="N11" s="26"/>
      <c r="O11" s="26"/>
      <c r="P11" s="26"/>
      <c r="Q11" s="23"/>
      <c r="R11" s="26">
        <f t="shared" si="0"/>
        <v>0</v>
      </c>
      <c r="S11" s="26" t="str">
        <f t="shared" si="1"/>
        <v/>
      </c>
      <c r="T11" s="27"/>
    </row>
    <row r="12" ht="15.5" customHeight="1" spans="1:20">
      <c r="A12" s="23"/>
      <c r="B12" s="24"/>
      <c r="C12" s="103"/>
      <c r="D12" s="23"/>
      <c r="E12" s="23"/>
      <c r="F12" s="23"/>
      <c r="G12" s="23"/>
      <c r="H12" s="23"/>
      <c r="I12" s="25"/>
      <c r="J12" s="26"/>
      <c r="K12" s="26"/>
      <c r="L12" s="26"/>
      <c r="M12" s="26"/>
      <c r="N12" s="26"/>
      <c r="O12" s="26"/>
      <c r="P12" s="26"/>
      <c r="Q12" s="23"/>
      <c r="R12" s="26">
        <f t="shared" si="0"/>
        <v>0</v>
      </c>
      <c r="S12" s="26" t="str">
        <f t="shared" si="1"/>
        <v/>
      </c>
      <c r="T12" s="27"/>
    </row>
    <row r="13" ht="15.5" customHeight="1" spans="1:20">
      <c r="A13" s="23"/>
      <c r="B13" s="24"/>
      <c r="C13" s="103"/>
      <c r="D13" s="23"/>
      <c r="E13" s="23"/>
      <c r="F13" s="23"/>
      <c r="G13" s="23"/>
      <c r="H13" s="23"/>
      <c r="I13" s="25"/>
      <c r="J13" s="26"/>
      <c r="K13" s="26"/>
      <c r="L13" s="26"/>
      <c r="M13" s="26"/>
      <c r="N13" s="26"/>
      <c r="O13" s="26"/>
      <c r="P13" s="26"/>
      <c r="Q13" s="23"/>
      <c r="R13" s="26">
        <f t="shared" si="0"/>
        <v>0</v>
      </c>
      <c r="S13" s="26" t="str">
        <f t="shared" si="1"/>
        <v/>
      </c>
      <c r="T13" s="27"/>
    </row>
    <row r="14" ht="15.5" customHeight="1" spans="1:20">
      <c r="A14" s="23"/>
      <c r="B14" s="24"/>
      <c r="C14" s="103"/>
      <c r="D14" s="23"/>
      <c r="E14" s="23"/>
      <c r="F14" s="23"/>
      <c r="G14" s="23"/>
      <c r="H14" s="23"/>
      <c r="I14" s="25"/>
      <c r="J14" s="26"/>
      <c r="K14" s="26"/>
      <c r="L14" s="26"/>
      <c r="M14" s="26"/>
      <c r="N14" s="26"/>
      <c r="O14" s="26"/>
      <c r="P14" s="26"/>
      <c r="Q14" s="23"/>
      <c r="R14" s="26">
        <f t="shared" si="0"/>
        <v>0</v>
      </c>
      <c r="S14" s="26" t="str">
        <f t="shared" si="1"/>
        <v/>
      </c>
      <c r="T14" s="27"/>
    </row>
    <row r="15" ht="15.5" customHeight="1" spans="1:20">
      <c r="A15" s="23"/>
      <c r="B15" s="24"/>
      <c r="C15" s="103"/>
      <c r="D15" s="23"/>
      <c r="E15" s="23"/>
      <c r="F15" s="23"/>
      <c r="G15" s="23"/>
      <c r="H15" s="23"/>
      <c r="I15" s="25"/>
      <c r="J15" s="26"/>
      <c r="K15" s="26"/>
      <c r="L15" s="26"/>
      <c r="M15" s="26"/>
      <c r="N15" s="26"/>
      <c r="O15" s="26"/>
      <c r="P15" s="26"/>
      <c r="Q15" s="23"/>
      <c r="R15" s="26">
        <f t="shared" si="0"/>
        <v>0</v>
      </c>
      <c r="S15" s="26" t="str">
        <f t="shared" si="1"/>
        <v/>
      </c>
      <c r="T15" s="27"/>
    </row>
    <row r="16" ht="15.5" customHeight="1" spans="1:20">
      <c r="A16" s="23"/>
      <c r="B16" s="24"/>
      <c r="C16" s="103"/>
      <c r="D16" s="23"/>
      <c r="E16" s="23"/>
      <c r="F16" s="23"/>
      <c r="G16" s="23"/>
      <c r="H16" s="23"/>
      <c r="I16" s="25"/>
      <c r="J16" s="26"/>
      <c r="K16" s="26"/>
      <c r="L16" s="26"/>
      <c r="M16" s="26"/>
      <c r="N16" s="26"/>
      <c r="O16" s="26"/>
      <c r="P16" s="26"/>
      <c r="Q16" s="23"/>
      <c r="R16" s="26">
        <f t="shared" si="0"/>
        <v>0</v>
      </c>
      <c r="S16" s="26" t="str">
        <f t="shared" si="1"/>
        <v/>
      </c>
      <c r="T16" s="27"/>
    </row>
    <row r="17" ht="15.5" customHeight="1" spans="1:20">
      <c r="A17" s="23"/>
      <c r="B17" s="24"/>
      <c r="C17" s="103"/>
      <c r="D17" s="23"/>
      <c r="E17" s="23"/>
      <c r="F17" s="23"/>
      <c r="G17" s="23"/>
      <c r="H17" s="23"/>
      <c r="I17" s="25"/>
      <c r="J17" s="26"/>
      <c r="K17" s="26"/>
      <c r="L17" s="26"/>
      <c r="M17" s="26"/>
      <c r="N17" s="26"/>
      <c r="O17" s="26"/>
      <c r="P17" s="26"/>
      <c r="Q17" s="23"/>
      <c r="R17" s="26">
        <f t="shared" si="0"/>
        <v>0</v>
      </c>
      <c r="S17" s="26" t="str">
        <f t="shared" si="1"/>
        <v/>
      </c>
      <c r="T17" s="27"/>
    </row>
    <row r="18" ht="15.5" customHeight="1" spans="1:20">
      <c r="A18" s="23"/>
      <c r="B18" s="24"/>
      <c r="C18" s="103"/>
      <c r="D18" s="23"/>
      <c r="E18" s="23"/>
      <c r="F18" s="23"/>
      <c r="G18" s="23"/>
      <c r="H18" s="23"/>
      <c r="I18" s="25"/>
      <c r="J18" s="26"/>
      <c r="K18" s="26"/>
      <c r="L18" s="26"/>
      <c r="M18" s="26"/>
      <c r="N18" s="26"/>
      <c r="O18" s="26"/>
      <c r="P18" s="26"/>
      <c r="Q18" s="23"/>
      <c r="R18" s="26">
        <f t="shared" si="0"/>
        <v>0</v>
      </c>
      <c r="S18" s="26" t="str">
        <f t="shared" si="1"/>
        <v/>
      </c>
      <c r="T18" s="27"/>
    </row>
    <row r="19" ht="15.5" customHeight="1" spans="1:20">
      <c r="A19" s="23"/>
      <c r="B19" s="24"/>
      <c r="C19" s="103"/>
      <c r="D19" s="23"/>
      <c r="E19" s="23"/>
      <c r="F19" s="23"/>
      <c r="G19" s="23"/>
      <c r="H19" s="23"/>
      <c r="I19" s="25"/>
      <c r="J19" s="26"/>
      <c r="K19" s="26"/>
      <c r="L19" s="26"/>
      <c r="M19" s="26"/>
      <c r="N19" s="26"/>
      <c r="O19" s="26"/>
      <c r="P19" s="26"/>
      <c r="Q19" s="23"/>
      <c r="R19" s="26">
        <f t="shared" si="0"/>
        <v>0</v>
      </c>
      <c r="S19" s="26" t="str">
        <f t="shared" si="1"/>
        <v/>
      </c>
      <c r="T19" s="27"/>
    </row>
    <row r="20" ht="15.5" customHeight="1" spans="1:20">
      <c r="A20" s="23"/>
      <c r="B20" s="24"/>
      <c r="C20" s="103"/>
      <c r="D20" s="23"/>
      <c r="E20" s="23"/>
      <c r="F20" s="23"/>
      <c r="G20" s="23"/>
      <c r="H20" s="23"/>
      <c r="I20" s="25"/>
      <c r="J20" s="26"/>
      <c r="K20" s="26"/>
      <c r="L20" s="26"/>
      <c r="M20" s="26"/>
      <c r="N20" s="26"/>
      <c r="O20" s="26"/>
      <c r="P20" s="26"/>
      <c r="Q20" s="23"/>
      <c r="R20" s="26">
        <f t="shared" si="0"/>
        <v>0</v>
      </c>
      <c r="S20" s="26" t="str">
        <f t="shared" si="1"/>
        <v/>
      </c>
      <c r="T20" s="27"/>
    </row>
    <row r="21" ht="15.5" customHeight="1" spans="1:20">
      <c r="A21" s="23"/>
      <c r="B21" s="24"/>
      <c r="C21" s="103"/>
      <c r="D21" s="23"/>
      <c r="E21" s="23"/>
      <c r="F21" s="23"/>
      <c r="G21" s="23"/>
      <c r="H21" s="23"/>
      <c r="I21" s="25"/>
      <c r="J21" s="26"/>
      <c r="K21" s="26"/>
      <c r="L21" s="26"/>
      <c r="M21" s="26"/>
      <c r="N21" s="26"/>
      <c r="O21" s="26"/>
      <c r="P21" s="26"/>
      <c r="Q21" s="23"/>
      <c r="R21" s="26">
        <f t="shared" si="0"/>
        <v>0</v>
      </c>
      <c r="S21" s="26" t="str">
        <f t="shared" si="1"/>
        <v/>
      </c>
      <c r="T21" s="27"/>
    </row>
    <row r="22" ht="15.5" customHeight="1" spans="1:20">
      <c r="A22" s="23"/>
      <c r="B22" s="24"/>
      <c r="C22" s="103"/>
      <c r="D22" s="23"/>
      <c r="E22" s="23"/>
      <c r="F22" s="23"/>
      <c r="G22" s="23"/>
      <c r="H22" s="23"/>
      <c r="I22" s="25"/>
      <c r="J22" s="26"/>
      <c r="K22" s="26"/>
      <c r="L22" s="26"/>
      <c r="M22" s="26"/>
      <c r="N22" s="26"/>
      <c r="O22" s="26"/>
      <c r="P22" s="26"/>
      <c r="Q22" s="23"/>
      <c r="R22" s="26">
        <f t="shared" si="0"/>
        <v>0</v>
      </c>
      <c r="S22" s="26" t="str">
        <f t="shared" si="1"/>
        <v/>
      </c>
      <c r="T22" s="27"/>
    </row>
    <row r="23" ht="15.5" customHeight="1" spans="1:20">
      <c r="A23" s="23"/>
      <c r="B23" s="24"/>
      <c r="C23" s="103"/>
      <c r="D23" s="23"/>
      <c r="E23" s="23"/>
      <c r="F23" s="23"/>
      <c r="G23" s="23"/>
      <c r="H23" s="23"/>
      <c r="I23" s="25"/>
      <c r="J23" s="26"/>
      <c r="K23" s="26"/>
      <c r="L23" s="26"/>
      <c r="M23" s="26"/>
      <c r="N23" s="26"/>
      <c r="O23" s="26"/>
      <c r="P23" s="26"/>
      <c r="Q23" s="23"/>
      <c r="R23" s="26">
        <f t="shared" si="0"/>
        <v>0</v>
      </c>
      <c r="S23" s="26" t="str">
        <f t="shared" si="1"/>
        <v/>
      </c>
      <c r="T23" s="27"/>
    </row>
    <row r="24" ht="15.5" customHeight="1" spans="1:20">
      <c r="A24" s="23"/>
      <c r="B24" s="24"/>
      <c r="C24" s="103"/>
      <c r="D24" s="23"/>
      <c r="E24" s="23"/>
      <c r="F24" s="23"/>
      <c r="G24" s="23"/>
      <c r="H24" s="23"/>
      <c r="I24" s="25"/>
      <c r="J24" s="26"/>
      <c r="K24" s="26"/>
      <c r="L24" s="26"/>
      <c r="M24" s="26"/>
      <c r="N24" s="26"/>
      <c r="O24" s="26"/>
      <c r="P24" s="26"/>
      <c r="Q24" s="23"/>
      <c r="R24" s="26">
        <f t="shared" si="0"/>
        <v>0</v>
      </c>
      <c r="S24" s="26" t="str">
        <f t="shared" si="1"/>
        <v/>
      </c>
      <c r="T24" s="27"/>
    </row>
    <row r="25" ht="15.5" customHeight="1" spans="1:20">
      <c r="A25" s="23"/>
      <c r="B25" s="24"/>
      <c r="C25" s="103"/>
      <c r="D25" s="23"/>
      <c r="E25" s="23"/>
      <c r="F25" s="23"/>
      <c r="G25" s="23"/>
      <c r="H25" s="23"/>
      <c r="I25" s="25"/>
      <c r="J25" s="26"/>
      <c r="K25" s="26"/>
      <c r="L25" s="26"/>
      <c r="M25" s="26"/>
      <c r="N25" s="26"/>
      <c r="O25" s="26"/>
      <c r="P25" s="26"/>
      <c r="Q25" s="23"/>
      <c r="R25" s="26">
        <f t="shared" si="0"/>
        <v>0</v>
      </c>
      <c r="S25" s="26" t="str">
        <f t="shared" si="1"/>
        <v/>
      </c>
      <c r="T25" s="27"/>
    </row>
    <row r="26" ht="15.5" customHeight="1" spans="1:20">
      <c r="A26" s="23"/>
      <c r="B26" s="24"/>
      <c r="C26" s="103"/>
      <c r="D26" s="23"/>
      <c r="E26" s="23"/>
      <c r="F26" s="23"/>
      <c r="G26" s="23"/>
      <c r="H26" s="23"/>
      <c r="I26" s="25"/>
      <c r="J26" s="26"/>
      <c r="K26" s="26"/>
      <c r="L26" s="26"/>
      <c r="M26" s="26"/>
      <c r="N26" s="26"/>
      <c r="O26" s="26"/>
      <c r="P26" s="26"/>
      <c r="Q26" s="23"/>
      <c r="R26" s="26"/>
      <c r="S26" s="26"/>
      <c r="T26" s="27"/>
    </row>
    <row r="27" ht="15.5" customHeight="1" spans="1:20">
      <c r="A27" s="21" t="s">
        <v>319</v>
      </c>
      <c r="B27" s="28"/>
      <c r="C27" s="104"/>
      <c r="D27" s="23"/>
      <c r="E27" s="23"/>
      <c r="F27" s="23"/>
      <c r="G27" s="23"/>
      <c r="H27" s="23"/>
      <c r="I27" s="25"/>
      <c r="J27" s="26">
        <f>SUM(J7:J26)</f>
        <v>0</v>
      </c>
      <c r="K27" s="26">
        <f>SUM(K7:K26)</f>
        <v>0</v>
      </c>
      <c r="L27" s="26"/>
      <c r="M27" s="26"/>
      <c r="N27" s="26">
        <f>SUM(N7:N26)</f>
        <v>0</v>
      </c>
      <c r="O27" s="26">
        <f>SUM(O7:O26)</f>
        <v>0</v>
      </c>
      <c r="P27" s="26">
        <f>SUM(P7:P26)</f>
        <v>0</v>
      </c>
      <c r="Q27" s="23"/>
      <c r="R27" s="26">
        <f>SUM(R7:R26)</f>
        <v>0</v>
      </c>
      <c r="S27" s="26" t="str">
        <f>IF(O27=0,"",(R27-O27)/O27*100)</f>
        <v/>
      </c>
      <c r="T27" s="27"/>
    </row>
    <row r="28" ht="15.5" customHeight="1" spans="1:20">
      <c r="A28" s="29" t="str">
        <f>封面!D11&amp;封面!G11</f>
        <v>被评估单位填表人：</v>
      </c>
      <c r="N28" s="29" t="str">
        <f>"评估人员："&amp;封面!G24</f>
        <v>评估人员：</v>
      </c>
    </row>
    <row r="29" ht="15.5" customHeight="1" spans="1:20">
      <c r="A29" s="29" t="str">
        <f>CONCATENATE(封面!D13,封面!F13,封面!G13,封面!H13,封面!I13,封面!J13,封面!K13)</f>
        <v>填表日期：年月日</v>
      </c>
    </row>
  </sheetData>
  <mergeCells count="18">
    <mergeCell ref="A2:T2"/>
    <mergeCell ref="A3:T3"/>
    <mergeCell ref="J5:K5"/>
    <mergeCell ref="L5:M5"/>
    <mergeCell ref="N5:O5"/>
    <mergeCell ref="P5:R5"/>
    <mergeCell ref="A27:B27"/>
    <mergeCell ref="A5:A6"/>
    <mergeCell ref="B5:B6"/>
    <mergeCell ref="C5:C6"/>
    <mergeCell ref="D5:D6"/>
    <mergeCell ref="E5:E6"/>
    <mergeCell ref="F5:F6"/>
    <mergeCell ref="G5:G6"/>
    <mergeCell ref="H5:H6"/>
    <mergeCell ref="I5:I6"/>
    <mergeCell ref="S5:S6"/>
    <mergeCell ref="T5:T6"/>
  </mergeCells>
  <hyperlinks>
    <hyperlink ref="A1" location="索引目录!E37" display="返回索引页"/>
    <hyperlink ref="B1" location="固定资产汇总!B10" display="返回"/>
  </hyperlinks>
  <printOptions horizontalCentered="1"/>
  <pageMargins left="0.354330708661417" right="0.354330708661417" top="0.78740157480315" bottom="0.78740157480315" header="1.02" footer="0.511811023622047"/>
  <pageSetup paperSize="9" fitToHeight="0" orientation="landscape"/>
  <headerFooter alignWithMargins="0">
    <oddHeader>&amp;R&amp;"宋体,常规"共&amp;"Times New Roman,常规"&amp;N&amp;"宋体,常规"页第&amp;"Times New Roman,常规"&amp;P&amp;"宋体,常规"4-6-3
页</oddHeader>
  </headerFooter>
  <legacyDrawing r:id="rId2"/>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1"/>
  <dimension ref="A1:AG236"/>
  <sheetViews>
    <sheetView view="pageBreakPreview" zoomScale="90" zoomScaleNormal="100" topLeftCell="A36" workbookViewId="0">
      <selection activeCell="S18" sqref="S18"/>
    </sheetView>
  </sheetViews>
  <sheetFormatPr defaultColWidth="9" defaultRowHeight="15.75" customHeight="1"/>
  <cols>
    <col min="1" max="1" width="3.66666666666667" style="13" customWidth="1"/>
    <col min="2" max="2" width="6.66666666666667" style="13" hidden="1" customWidth="1"/>
    <col min="3" max="3" width="7.33333333333333" style="13" customWidth="1"/>
    <col min="4" max="4" width="7.5" style="13" customWidth="1"/>
    <col min="5" max="5" width="0.75" style="13" hidden="1" customWidth="1" outlineLevel="1"/>
    <col min="6" max="6" width="25.0833333333333" style="13" customWidth="1" collapsed="1"/>
    <col min="7" max="8" width="4.33333333333333" style="13" customWidth="1"/>
    <col min="9" max="10" width="9.66666666666667" style="13" customWidth="1"/>
    <col min="11" max="14" width="11" style="13" hidden="1" customWidth="1" outlineLevel="1"/>
    <col min="15" max="15" width="11.8333333333333" style="13" customWidth="1" collapsed="1"/>
    <col min="16" max="16" width="11.8333333333333" style="13" customWidth="1"/>
    <col min="17" max="17" width="9" style="13" customWidth="1"/>
    <col min="18" max="18" width="7" style="13" customWidth="1"/>
    <col min="19" max="19" width="8.91666666666667" style="13" customWidth="1"/>
    <col min="20" max="20" width="7.5" style="13" customWidth="1"/>
    <col min="21" max="21" width="4.08333333333333" style="13" customWidth="1"/>
    <col min="22" max="22" width="9.66666666666667" style="13" customWidth="1"/>
    <col min="23" max="25" width="9" style="13" customWidth="1"/>
    <col min="26" max="26" width="9.41666666666667" style="13" customWidth="1"/>
    <col min="27" max="16384" width="9" style="13" customWidth="1"/>
  </cols>
  <sheetData>
    <row r="1" ht="15.5" customHeight="1" spans="1:33">
      <c r="A1" s="51" t="s">
        <v>111</v>
      </c>
      <c r="B1" s="52" t="s">
        <v>210</v>
      </c>
      <c r="C1" s="16"/>
      <c r="D1" s="16"/>
      <c r="E1" s="16"/>
      <c r="F1" s="16"/>
      <c r="G1" s="16"/>
      <c r="H1" s="16"/>
      <c r="I1" s="16"/>
      <c r="J1" s="16"/>
      <c r="K1" s="16"/>
      <c r="L1" s="16"/>
      <c r="M1" s="16"/>
      <c r="N1" s="16"/>
      <c r="O1" s="16"/>
      <c r="P1" s="16"/>
      <c r="Q1" s="16"/>
      <c r="R1" s="16"/>
      <c r="S1" s="16"/>
      <c r="T1" s="16"/>
      <c r="U1" s="16"/>
    </row>
    <row r="2" s="11" customFormat="1" ht="30" customHeight="1" spans="1:33">
      <c r="A2" s="53" t="s">
        <v>552</v>
      </c>
      <c r="V2" s="144"/>
      <c r="W2" s="144"/>
      <c r="Z2" s="145"/>
    </row>
    <row r="3" ht="14.15" customHeight="1" spans="1:33">
      <c r="A3" s="18" t="str">
        <f>CONCATENATE(封面!D9,封面!F9,封面!G9,封面!H9,封面!I9,封面!J9,封面!K9)</f>
        <v>评估基准日：年月日</v>
      </c>
      <c r="V3" s="12"/>
      <c r="W3" s="12"/>
      <c r="Z3" s="146"/>
    </row>
    <row r="4" ht="15.5" customHeight="1" spans="1:33">
      <c r="A4" s="19" t="str">
        <f>封面!D7&amp;封面!F7</f>
        <v>被评估单位：</v>
      </c>
      <c r="U4" s="54" t="s">
        <v>139</v>
      </c>
      <c r="V4" s="12"/>
      <c r="W4" s="12"/>
      <c r="Z4" s="146"/>
    </row>
    <row r="5" s="12" customFormat="1" ht="13" customHeight="1" spans="1:33">
      <c r="A5" s="63" t="s">
        <v>141</v>
      </c>
      <c r="B5" s="63" t="s">
        <v>553</v>
      </c>
      <c r="C5" s="63" t="s">
        <v>554</v>
      </c>
      <c r="D5" s="63" t="s">
        <v>555</v>
      </c>
      <c r="E5" s="147" t="s">
        <v>499</v>
      </c>
      <c r="F5" s="63" t="s">
        <v>556</v>
      </c>
      <c r="G5" s="55" t="s">
        <v>367</v>
      </c>
      <c r="H5" s="55" t="s">
        <v>368</v>
      </c>
      <c r="I5" s="55" t="s">
        <v>557</v>
      </c>
      <c r="J5" s="55" t="s">
        <v>399</v>
      </c>
      <c r="K5" s="102" t="s">
        <v>175</v>
      </c>
      <c r="L5" s="28"/>
      <c r="M5" s="102" t="s">
        <v>281</v>
      </c>
      <c r="N5" s="28"/>
      <c r="O5" s="23" t="s">
        <v>176</v>
      </c>
      <c r="P5" s="28"/>
      <c r="Q5" s="23" t="s">
        <v>177</v>
      </c>
      <c r="R5" s="32"/>
      <c r="S5" s="28"/>
      <c r="T5" s="55" t="s">
        <v>215</v>
      </c>
      <c r="U5" s="55" t="s">
        <v>144</v>
      </c>
      <c r="V5" s="111"/>
      <c r="W5" s="112" t="s">
        <v>558</v>
      </c>
      <c r="X5" s="113" t="s">
        <v>559</v>
      </c>
      <c r="Y5" s="115" t="s">
        <v>560</v>
      </c>
      <c r="Z5" s="116" t="s">
        <v>561</v>
      </c>
      <c r="AA5" s="117"/>
      <c r="AB5" s="117"/>
      <c r="AC5" s="118" t="s">
        <v>562</v>
      </c>
      <c r="AD5" s="118" t="s">
        <v>563</v>
      </c>
      <c r="AE5" s="118" t="s">
        <v>564</v>
      </c>
      <c r="AF5" s="119" t="s">
        <v>565</v>
      </c>
    </row>
    <row r="6" s="12" customFormat="1" ht="13" customHeight="1" spans="1:33">
      <c r="A6" s="36"/>
      <c r="B6" s="36"/>
      <c r="C6" s="36"/>
      <c r="D6" s="36"/>
      <c r="E6" s="147"/>
      <c r="F6" s="36"/>
      <c r="G6" s="36"/>
      <c r="H6" s="36"/>
      <c r="I6" s="36"/>
      <c r="J6" s="36"/>
      <c r="K6" s="23" t="s">
        <v>465</v>
      </c>
      <c r="L6" s="23" t="s">
        <v>466</v>
      </c>
      <c r="M6" s="23" t="s">
        <v>465</v>
      </c>
      <c r="N6" s="23" t="s">
        <v>466</v>
      </c>
      <c r="O6" s="23" t="s">
        <v>465</v>
      </c>
      <c r="P6" s="23" t="s">
        <v>466</v>
      </c>
      <c r="Q6" s="23" t="s">
        <v>465</v>
      </c>
      <c r="R6" s="23" t="s">
        <v>401</v>
      </c>
      <c r="S6" s="23" t="s">
        <v>466</v>
      </c>
      <c r="T6" s="36"/>
      <c r="U6" s="36"/>
      <c r="V6" s="120" t="s">
        <v>566</v>
      </c>
      <c r="W6" s="36"/>
      <c r="X6" s="36"/>
      <c r="Y6" s="36"/>
      <c r="Z6" s="36"/>
      <c r="AA6" s="117" t="s">
        <v>567</v>
      </c>
      <c r="AB6" s="117" t="s">
        <v>568</v>
      </c>
      <c r="AC6" s="36"/>
      <c r="AD6" s="36"/>
      <c r="AE6" s="36"/>
      <c r="AF6" s="36"/>
    </row>
    <row r="7" ht="15.5" customHeight="1" spans="1:33">
      <c r="A7" s="63"/>
      <c r="B7" s="56"/>
      <c r="C7" s="59"/>
      <c r="D7" s="63"/>
      <c r="E7" s="56"/>
      <c r="F7" s="56"/>
      <c r="G7" s="23"/>
      <c r="H7" s="23"/>
      <c r="I7" s="25"/>
      <c r="J7" s="25"/>
      <c r="K7" s="26"/>
      <c r="L7" s="26"/>
      <c r="M7" s="26"/>
      <c r="N7" s="26"/>
      <c r="O7" s="26"/>
      <c r="P7" s="26"/>
      <c r="Q7" s="26"/>
      <c r="R7" s="23"/>
      <c r="S7" s="26"/>
      <c r="T7" s="26" t="str">
        <f t="shared" ref="T7:T23" si="0">IF(P7=0,"",(S7-P7)/P7*100)</f>
        <v/>
      </c>
      <c r="U7" s="27"/>
      <c r="V7" s="122"/>
      <c r="W7" s="123">
        <f t="shared" ref="W7:W70" si="1">($V$5-J7)/365</f>
        <v>0</v>
      </c>
      <c r="X7" s="124" t="e">
        <f t="shared" ref="X7:X70" si="2">(V7-W7)/V7</f>
        <v>#DIV/0!</v>
      </c>
      <c r="Y7" s="125"/>
      <c r="Z7" s="31">
        <f t="shared" ref="Z7:Z70" si="3">Y7</f>
        <v>0</v>
      </c>
      <c r="AA7" s="127"/>
      <c r="AB7" s="127"/>
      <c r="AC7" s="127">
        <f t="shared" ref="AC7:AC70" si="4">Z7*0.13/(1+0.13)</f>
        <v>0</v>
      </c>
      <c r="AD7" s="128">
        <f t="shared" ref="AD7:AD70" si="5">Z7-AC7</f>
        <v>0</v>
      </c>
      <c r="AE7" s="128">
        <f t="shared" ref="AE7:AE70" si="6">Z7*H7</f>
        <v>0</v>
      </c>
      <c r="AF7" s="127">
        <f t="shared" ref="AF7:AF70" si="7">ROUND(AD7*H7,-2)</f>
        <v>0</v>
      </c>
      <c r="AG7" s="131" t="s">
        <v>569</v>
      </c>
    </row>
    <row r="8" ht="15.5" customHeight="1" spans="1:33">
      <c r="A8" s="63"/>
      <c r="B8" s="56"/>
      <c r="C8" s="56"/>
      <c r="D8" s="63"/>
      <c r="E8" s="56"/>
      <c r="F8" s="56"/>
      <c r="G8" s="23"/>
      <c r="H8" s="23"/>
      <c r="I8" s="25"/>
      <c r="J8" s="25"/>
      <c r="K8" s="26"/>
      <c r="L8" s="26"/>
      <c r="M8" s="26"/>
      <c r="N8" s="26"/>
      <c r="O8" s="26"/>
      <c r="P8" s="26"/>
      <c r="Q8" s="26"/>
      <c r="R8" s="23"/>
      <c r="S8" s="26"/>
      <c r="T8" s="26" t="str">
        <f t="shared" si="0"/>
        <v/>
      </c>
      <c r="U8" s="27"/>
      <c r="V8" s="122"/>
      <c r="W8" s="123">
        <f t="shared" si="1"/>
        <v>0</v>
      </c>
      <c r="X8" s="124" t="e">
        <f t="shared" si="2"/>
        <v>#DIV/0!</v>
      </c>
      <c r="Y8" s="125"/>
      <c r="Z8" s="31">
        <f t="shared" si="3"/>
        <v>0</v>
      </c>
      <c r="AA8" s="127"/>
      <c r="AB8" s="127"/>
      <c r="AC8" s="127">
        <f t="shared" si="4"/>
        <v>0</v>
      </c>
      <c r="AD8" s="128">
        <f t="shared" si="5"/>
        <v>0</v>
      </c>
      <c r="AE8" s="128">
        <f t="shared" si="6"/>
        <v>0</v>
      </c>
      <c r="AF8" s="127">
        <f t="shared" si="7"/>
        <v>0</v>
      </c>
      <c r="AG8" s="131" t="s">
        <v>570</v>
      </c>
    </row>
    <row r="9" ht="15.5" customHeight="1" spans="1:33">
      <c r="A9" s="63"/>
      <c r="B9" s="56"/>
      <c r="C9" s="56"/>
      <c r="D9" s="63"/>
      <c r="E9" s="56"/>
      <c r="F9" s="56"/>
      <c r="G9" s="23"/>
      <c r="H9" s="23"/>
      <c r="I9" s="25"/>
      <c r="J9" s="25"/>
      <c r="K9" s="26"/>
      <c r="L9" s="26"/>
      <c r="M9" s="26"/>
      <c r="N9" s="26"/>
      <c r="O9" s="26"/>
      <c r="P9" s="26"/>
      <c r="Q9" s="26"/>
      <c r="R9" s="23"/>
      <c r="S9" s="26"/>
      <c r="T9" s="26" t="str">
        <f t="shared" si="0"/>
        <v/>
      </c>
      <c r="U9" s="27"/>
      <c r="V9" s="122"/>
      <c r="W9" s="123">
        <f t="shared" si="1"/>
        <v>0</v>
      </c>
      <c r="X9" s="124" t="e">
        <f t="shared" si="2"/>
        <v>#DIV/0!</v>
      </c>
      <c r="Y9" s="125"/>
      <c r="Z9" s="31">
        <f t="shared" si="3"/>
        <v>0</v>
      </c>
      <c r="AA9" s="127"/>
      <c r="AB9" s="127"/>
      <c r="AC9" s="127">
        <f t="shared" si="4"/>
        <v>0</v>
      </c>
      <c r="AD9" s="128">
        <f t="shared" si="5"/>
        <v>0</v>
      </c>
      <c r="AE9" s="128">
        <f t="shared" si="6"/>
        <v>0</v>
      </c>
      <c r="AF9" s="127">
        <f t="shared" si="7"/>
        <v>0</v>
      </c>
      <c r="AG9" s="130" t="s">
        <v>571</v>
      </c>
    </row>
    <row r="10" ht="15.5" customHeight="1" spans="1:33">
      <c r="A10" s="63"/>
      <c r="B10" s="56"/>
      <c r="C10" s="56"/>
      <c r="D10" s="63"/>
      <c r="E10" s="56"/>
      <c r="F10" s="56"/>
      <c r="G10" s="23"/>
      <c r="H10" s="23"/>
      <c r="I10" s="25"/>
      <c r="J10" s="25"/>
      <c r="K10" s="26"/>
      <c r="L10" s="26"/>
      <c r="M10" s="26"/>
      <c r="N10" s="26"/>
      <c r="O10" s="26"/>
      <c r="P10" s="26"/>
      <c r="Q10" s="26"/>
      <c r="R10" s="23"/>
      <c r="S10" s="26"/>
      <c r="T10" s="26" t="str">
        <f t="shared" si="0"/>
        <v/>
      </c>
      <c r="U10" s="27"/>
      <c r="V10" s="122"/>
      <c r="W10" s="123">
        <f t="shared" si="1"/>
        <v>0</v>
      </c>
      <c r="X10" s="124" t="e">
        <f t="shared" si="2"/>
        <v>#DIV/0!</v>
      </c>
      <c r="Y10" s="125"/>
      <c r="Z10" s="31">
        <f t="shared" si="3"/>
        <v>0</v>
      </c>
      <c r="AA10" s="127"/>
      <c r="AB10" s="127"/>
      <c r="AC10" s="127">
        <f t="shared" si="4"/>
        <v>0</v>
      </c>
      <c r="AD10" s="128">
        <f t="shared" si="5"/>
        <v>0</v>
      </c>
      <c r="AE10" s="128">
        <f t="shared" si="6"/>
        <v>0</v>
      </c>
      <c r="AF10" s="127">
        <f t="shared" si="7"/>
        <v>0</v>
      </c>
      <c r="AG10" s="131" t="s">
        <v>572</v>
      </c>
    </row>
    <row r="11" ht="15.5" customHeight="1" spans="1:33">
      <c r="A11" s="63"/>
      <c r="B11" s="56"/>
      <c r="C11" s="56"/>
      <c r="D11" s="63"/>
      <c r="E11" s="56"/>
      <c r="F11" s="56"/>
      <c r="G11" s="23"/>
      <c r="H11" s="23"/>
      <c r="I11" s="25"/>
      <c r="J11" s="25"/>
      <c r="K11" s="26"/>
      <c r="L11" s="26"/>
      <c r="M11" s="26"/>
      <c r="N11" s="26"/>
      <c r="O11" s="26"/>
      <c r="P11" s="26"/>
      <c r="Q11" s="26"/>
      <c r="R11" s="23"/>
      <c r="S11" s="26"/>
      <c r="T11" s="26" t="str">
        <f t="shared" si="0"/>
        <v/>
      </c>
      <c r="U11" s="27"/>
      <c r="V11" s="122"/>
      <c r="W11" s="123">
        <f t="shared" si="1"/>
        <v>0</v>
      </c>
      <c r="X11" s="124" t="e">
        <f t="shared" si="2"/>
        <v>#DIV/0!</v>
      </c>
      <c r="Y11" s="125"/>
      <c r="Z11" s="31">
        <f t="shared" si="3"/>
        <v>0</v>
      </c>
      <c r="AA11" s="127"/>
      <c r="AB11" s="127"/>
      <c r="AC11" s="127">
        <f t="shared" si="4"/>
        <v>0</v>
      </c>
      <c r="AD11" s="128">
        <f t="shared" si="5"/>
        <v>0</v>
      </c>
      <c r="AE11" s="128">
        <f t="shared" si="6"/>
        <v>0</v>
      </c>
      <c r="AF11" s="127">
        <f t="shared" si="7"/>
        <v>0</v>
      </c>
      <c r="AG11" s="131" t="s">
        <v>573</v>
      </c>
    </row>
    <row r="12" ht="16" customHeight="1" spans="1:33">
      <c r="A12" s="23"/>
      <c r="B12" s="24"/>
      <c r="C12" s="24"/>
      <c r="D12" s="23"/>
      <c r="E12" s="24"/>
      <c r="F12" s="24"/>
      <c r="G12" s="23"/>
      <c r="H12" s="23"/>
      <c r="I12" s="25"/>
      <c r="J12" s="25"/>
      <c r="K12" s="26"/>
      <c r="L12" s="26"/>
      <c r="M12" s="26"/>
      <c r="N12" s="26"/>
      <c r="O12" s="26"/>
      <c r="P12" s="26"/>
      <c r="Q12" s="26"/>
      <c r="R12" s="23"/>
      <c r="S12" s="26"/>
      <c r="T12" s="26" t="str">
        <f t="shared" si="0"/>
        <v/>
      </c>
      <c r="U12" s="27"/>
      <c r="V12" s="122"/>
      <c r="W12" s="123">
        <f t="shared" si="1"/>
        <v>0</v>
      </c>
      <c r="X12" s="124" t="e">
        <f t="shared" si="2"/>
        <v>#DIV/0!</v>
      </c>
      <c r="Y12" s="125"/>
      <c r="Z12" s="31">
        <f t="shared" si="3"/>
        <v>0</v>
      </c>
      <c r="AA12" s="127"/>
      <c r="AB12" s="127"/>
      <c r="AC12" s="127">
        <f t="shared" si="4"/>
        <v>0</v>
      </c>
      <c r="AD12" s="128">
        <f t="shared" si="5"/>
        <v>0</v>
      </c>
      <c r="AE12" s="128">
        <f t="shared" si="6"/>
        <v>0</v>
      </c>
      <c r="AF12" s="127">
        <f t="shared" si="7"/>
        <v>0</v>
      </c>
    </row>
    <row r="13" ht="15.5" customHeight="1" spans="1:33">
      <c r="A13" s="23"/>
      <c r="B13" s="24"/>
      <c r="C13" s="24"/>
      <c r="D13" s="23"/>
      <c r="E13" s="24"/>
      <c r="F13" s="24"/>
      <c r="G13" s="23"/>
      <c r="H13" s="23"/>
      <c r="I13" s="121"/>
      <c r="J13" s="121"/>
      <c r="K13" s="26"/>
      <c r="L13" s="26"/>
      <c r="M13" s="26"/>
      <c r="N13" s="26"/>
      <c r="O13" s="26"/>
      <c r="P13" s="26"/>
      <c r="Q13" s="26"/>
      <c r="R13" s="23"/>
      <c r="S13" s="26"/>
      <c r="T13" s="26" t="str">
        <f t="shared" si="0"/>
        <v/>
      </c>
      <c r="U13" s="27"/>
      <c r="V13" s="122"/>
      <c r="W13" s="123">
        <f t="shared" si="1"/>
        <v>0</v>
      </c>
      <c r="X13" s="124" t="e">
        <f t="shared" si="2"/>
        <v>#DIV/0!</v>
      </c>
      <c r="Y13" s="125"/>
      <c r="Z13" s="31">
        <f t="shared" si="3"/>
        <v>0</v>
      </c>
      <c r="AA13" s="127"/>
      <c r="AB13" s="127"/>
      <c r="AC13" s="127">
        <f t="shared" si="4"/>
        <v>0</v>
      </c>
      <c r="AD13" s="128">
        <f t="shared" si="5"/>
        <v>0</v>
      </c>
      <c r="AE13" s="128">
        <f t="shared" si="6"/>
        <v>0</v>
      </c>
      <c r="AF13" s="127">
        <f t="shared" si="7"/>
        <v>0</v>
      </c>
    </row>
    <row r="14" ht="15.5" customHeight="1" spans="1:33">
      <c r="A14" s="23"/>
      <c r="B14" s="24"/>
      <c r="C14" s="24"/>
      <c r="D14" s="23"/>
      <c r="E14" s="24"/>
      <c r="F14" s="24"/>
      <c r="G14" s="23"/>
      <c r="H14" s="23"/>
      <c r="I14" s="121"/>
      <c r="J14" s="121"/>
      <c r="K14" s="26"/>
      <c r="L14" s="26"/>
      <c r="M14" s="26"/>
      <c r="N14" s="26"/>
      <c r="O14" s="26"/>
      <c r="P14" s="26"/>
      <c r="Q14" s="26"/>
      <c r="R14" s="23"/>
      <c r="S14" s="26"/>
      <c r="T14" s="26" t="str">
        <f t="shared" si="0"/>
        <v/>
      </c>
      <c r="U14" s="27"/>
      <c r="V14" s="122"/>
      <c r="W14" s="123">
        <f t="shared" si="1"/>
        <v>0</v>
      </c>
      <c r="X14" s="124" t="e">
        <f t="shared" si="2"/>
        <v>#DIV/0!</v>
      </c>
      <c r="Y14" s="125"/>
      <c r="Z14" s="31">
        <f t="shared" si="3"/>
        <v>0</v>
      </c>
      <c r="AA14" s="127"/>
      <c r="AB14" s="127"/>
      <c r="AC14" s="127">
        <f t="shared" si="4"/>
        <v>0</v>
      </c>
      <c r="AD14" s="128">
        <f t="shared" si="5"/>
        <v>0</v>
      </c>
      <c r="AE14" s="128">
        <f t="shared" si="6"/>
        <v>0</v>
      </c>
      <c r="AF14" s="127">
        <f t="shared" si="7"/>
        <v>0</v>
      </c>
    </row>
    <row r="15" ht="15.5" customHeight="1" spans="1:33">
      <c r="A15" s="23"/>
      <c r="B15" s="24"/>
      <c r="C15" s="24"/>
      <c r="D15" s="23"/>
      <c r="E15" s="24"/>
      <c r="F15" s="24"/>
      <c r="G15" s="23"/>
      <c r="H15" s="23"/>
      <c r="I15" s="121"/>
      <c r="J15" s="121"/>
      <c r="K15" s="26"/>
      <c r="L15" s="26"/>
      <c r="M15" s="26"/>
      <c r="N15" s="26"/>
      <c r="O15" s="26"/>
      <c r="P15" s="26"/>
      <c r="Q15" s="26"/>
      <c r="R15" s="23"/>
      <c r="S15" s="26"/>
      <c r="T15" s="26" t="str">
        <f t="shared" si="0"/>
        <v/>
      </c>
      <c r="U15" s="27"/>
      <c r="V15" s="122"/>
      <c r="W15" s="123">
        <f t="shared" si="1"/>
        <v>0</v>
      </c>
      <c r="X15" s="124" t="e">
        <f t="shared" si="2"/>
        <v>#DIV/0!</v>
      </c>
      <c r="Y15" s="125"/>
      <c r="Z15" s="31">
        <f t="shared" si="3"/>
        <v>0</v>
      </c>
      <c r="AA15" s="127"/>
      <c r="AB15" s="127"/>
      <c r="AC15" s="127">
        <f t="shared" si="4"/>
        <v>0</v>
      </c>
      <c r="AD15" s="128">
        <f t="shared" si="5"/>
        <v>0</v>
      </c>
      <c r="AE15" s="128">
        <f t="shared" si="6"/>
        <v>0</v>
      </c>
      <c r="AF15" s="127">
        <f t="shared" si="7"/>
        <v>0</v>
      </c>
    </row>
    <row r="16" ht="15.5" customHeight="1" spans="1:33">
      <c r="A16" s="23"/>
      <c r="B16" s="24"/>
      <c r="C16" s="24"/>
      <c r="D16" s="23"/>
      <c r="E16" s="24"/>
      <c r="F16" s="24"/>
      <c r="G16" s="23"/>
      <c r="H16" s="23"/>
      <c r="I16" s="25"/>
      <c r="J16" s="25"/>
      <c r="K16" s="26"/>
      <c r="L16" s="26"/>
      <c r="M16" s="26"/>
      <c r="N16" s="26"/>
      <c r="O16" s="26"/>
      <c r="P16" s="26"/>
      <c r="Q16" s="26"/>
      <c r="R16" s="23"/>
      <c r="S16" s="26"/>
      <c r="T16" s="26" t="str">
        <f t="shared" si="0"/>
        <v/>
      </c>
      <c r="U16" s="27"/>
      <c r="V16" s="122"/>
      <c r="W16" s="123">
        <f t="shared" si="1"/>
        <v>0</v>
      </c>
      <c r="X16" s="124" t="e">
        <f t="shared" si="2"/>
        <v>#DIV/0!</v>
      </c>
      <c r="Y16" s="125"/>
      <c r="Z16" s="31">
        <f t="shared" si="3"/>
        <v>0</v>
      </c>
      <c r="AA16" s="127"/>
      <c r="AB16" s="127"/>
      <c r="AC16" s="127">
        <f t="shared" si="4"/>
        <v>0</v>
      </c>
      <c r="AD16" s="128">
        <f t="shared" si="5"/>
        <v>0</v>
      </c>
      <c r="AE16" s="128">
        <f t="shared" si="6"/>
        <v>0</v>
      </c>
      <c r="AF16" s="127">
        <f t="shared" si="7"/>
        <v>0</v>
      </c>
    </row>
    <row r="17" ht="15.5" customHeight="1" spans="1:32">
      <c r="A17" s="23"/>
      <c r="B17" s="24"/>
      <c r="C17" s="24"/>
      <c r="D17" s="23"/>
      <c r="E17" s="24"/>
      <c r="F17" s="24"/>
      <c r="G17" s="23"/>
      <c r="H17" s="23"/>
      <c r="I17" s="25"/>
      <c r="J17" s="25"/>
      <c r="K17" s="26"/>
      <c r="L17" s="26"/>
      <c r="M17" s="26"/>
      <c r="N17" s="26"/>
      <c r="O17" s="26"/>
      <c r="P17" s="26"/>
      <c r="Q17" s="26"/>
      <c r="R17" s="23"/>
      <c r="S17" s="26"/>
      <c r="T17" s="26" t="str">
        <f t="shared" si="0"/>
        <v/>
      </c>
      <c r="U17" s="27"/>
      <c r="V17" s="122"/>
      <c r="W17" s="123">
        <f t="shared" si="1"/>
        <v>0</v>
      </c>
      <c r="X17" s="124" t="e">
        <f t="shared" si="2"/>
        <v>#DIV/0!</v>
      </c>
      <c r="Y17" s="125"/>
      <c r="Z17" s="31">
        <f t="shared" si="3"/>
        <v>0</v>
      </c>
      <c r="AA17" s="127"/>
      <c r="AB17" s="127"/>
      <c r="AC17" s="127">
        <f t="shared" si="4"/>
        <v>0</v>
      </c>
      <c r="AD17" s="128">
        <f t="shared" si="5"/>
        <v>0</v>
      </c>
      <c r="AE17" s="128">
        <f t="shared" si="6"/>
        <v>0</v>
      </c>
      <c r="AF17" s="127">
        <f t="shared" si="7"/>
        <v>0</v>
      </c>
    </row>
    <row r="18" ht="15.5" customHeight="1" spans="1:32">
      <c r="A18" s="23"/>
      <c r="B18" s="24"/>
      <c r="C18" s="24"/>
      <c r="D18" s="23"/>
      <c r="E18" s="24"/>
      <c r="F18" s="24"/>
      <c r="G18" s="23"/>
      <c r="H18" s="23"/>
      <c r="I18" s="121"/>
      <c r="J18" s="121"/>
      <c r="K18" s="26"/>
      <c r="L18" s="26"/>
      <c r="M18" s="26"/>
      <c r="N18" s="26"/>
      <c r="O18" s="26"/>
      <c r="P18" s="26"/>
      <c r="Q18" s="26"/>
      <c r="R18" s="23"/>
      <c r="S18" s="26"/>
      <c r="T18" s="26" t="str">
        <f t="shared" si="0"/>
        <v/>
      </c>
      <c r="U18" s="27"/>
      <c r="V18" s="122"/>
      <c r="W18" s="123">
        <f t="shared" si="1"/>
        <v>0</v>
      </c>
      <c r="X18" s="124" t="e">
        <f t="shared" si="2"/>
        <v>#DIV/0!</v>
      </c>
      <c r="Y18" s="125"/>
      <c r="Z18" s="31">
        <f t="shared" si="3"/>
        <v>0</v>
      </c>
      <c r="AA18" s="127"/>
      <c r="AB18" s="127"/>
      <c r="AC18" s="127">
        <f t="shared" si="4"/>
        <v>0</v>
      </c>
      <c r="AD18" s="128">
        <f t="shared" si="5"/>
        <v>0</v>
      </c>
      <c r="AE18" s="128">
        <f t="shared" si="6"/>
        <v>0</v>
      </c>
      <c r="AF18" s="127">
        <f t="shared" si="7"/>
        <v>0</v>
      </c>
    </row>
    <row r="19" ht="15.5" customHeight="1" spans="1:32">
      <c r="A19" s="23"/>
      <c r="B19" s="24"/>
      <c r="C19" s="24"/>
      <c r="D19" s="23"/>
      <c r="E19" s="24"/>
      <c r="F19" s="24"/>
      <c r="G19" s="23"/>
      <c r="H19" s="23"/>
      <c r="I19" s="121"/>
      <c r="J19" s="121"/>
      <c r="K19" s="26"/>
      <c r="L19" s="26"/>
      <c r="M19" s="26"/>
      <c r="N19" s="26"/>
      <c r="O19" s="26"/>
      <c r="P19" s="26"/>
      <c r="Q19" s="26"/>
      <c r="R19" s="23"/>
      <c r="S19" s="26"/>
      <c r="T19" s="26" t="str">
        <f t="shared" si="0"/>
        <v/>
      </c>
      <c r="U19" s="27"/>
      <c r="V19" s="122"/>
      <c r="W19" s="123">
        <f t="shared" si="1"/>
        <v>0</v>
      </c>
      <c r="X19" s="124" t="e">
        <f t="shared" si="2"/>
        <v>#DIV/0!</v>
      </c>
      <c r="Y19" s="125"/>
      <c r="Z19" s="31">
        <f t="shared" si="3"/>
        <v>0</v>
      </c>
      <c r="AA19" s="127"/>
      <c r="AB19" s="127"/>
      <c r="AC19" s="127">
        <f t="shared" si="4"/>
        <v>0</v>
      </c>
      <c r="AD19" s="128">
        <f t="shared" si="5"/>
        <v>0</v>
      </c>
      <c r="AE19" s="128">
        <f t="shared" si="6"/>
        <v>0</v>
      </c>
      <c r="AF19" s="127">
        <f t="shared" si="7"/>
        <v>0</v>
      </c>
    </row>
    <row r="20" ht="15.5" customHeight="1" spans="1:32">
      <c r="A20" s="23"/>
      <c r="B20" s="24"/>
      <c r="C20" s="24"/>
      <c r="D20" s="23"/>
      <c r="E20" s="24"/>
      <c r="F20" s="24"/>
      <c r="G20" s="23"/>
      <c r="H20" s="23"/>
      <c r="I20" s="121"/>
      <c r="J20" s="121"/>
      <c r="K20" s="26"/>
      <c r="L20" s="26"/>
      <c r="M20" s="26"/>
      <c r="N20" s="26"/>
      <c r="O20" s="26"/>
      <c r="P20" s="26"/>
      <c r="Q20" s="26"/>
      <c r="R20" s="23"/>
      <c r="S20" s="26"/>
      <c r="T20" s="26" t="str">
        <f t="shared" si="0"/>
        <v/>
      </c>
      <c r="U20" s="27"/>
      <c r="V20" s="122"/>
      <c r="W20" s="123">
        <f t="shared" si="1"/>
        <v>0</v>
      </c>
      <c r="X20" s="124" t="e">
        <f t="shared" si="2"/>
        <v>#DIV/0!</v>
      </c>
      <c r="Y20" s="125"/>
      <c r="Z20" s="31">
        <f t="shared" si="3"/>
        <v>0</v>
      </c>
      <c r="AA20" s="127"/>
      <c r="AB20" s="127"/>
      <c r="AC20" s="127">
        <f t="shared" si="4"/>
        <v>0</v>
      </c>
      <c r="AD20" s="128">
        <f t="shared" si="5"/>
        <v>0</v>
      </c>
      <c r="AE20" s="128">
        <f t="shared" si="6"/>
        <v>0</v>
      </c>
      <c r="AF20" s="127">
        <f t="shared" si="7"/>
        <v>0</v>
      </c>
    </row>
    <row r="21" ht="15.5" customHeight="1" spans="1:32">
      <c r="A21" s="23"/>
      <c r="B21" s="24"/>
      <c r="C21" s="24"/>
      <c r="D21" s="23"/>
      <c r="E21" s="24"/>
      <c r="F21" s="24"/>
      <c r="G21" s="23"/>
      <c r="H21" s="23"/>
      <c r="I21" s="121"/>
      <c r="J21" s="121"/>
      <c r="K21" s="26"/>
      <c r="L21" s="26"/>
      <c r="M21" s="26"/>
      <c r="N21" s="26"/>
      <c r="O21" s="26"/>
      <c r="P21" s="26"/>
      <c r="Q21" s="26"/>
      <c r="R21" s="23"/>
      <c r="S21" s="26"/>
      <c r="T21" s="26" t="str">
        <f t="shared" si="0"/>
        <v/>
      </c>
      <c r="U21" s="27"/>
      <c r="V21" s="122"/>
      <c r="W21" s="123">
        <f t="shared" si="1"/>
        <v>0</v>
      </c>
      <c r="X21" s="124" t="e">
        <f t="shared" si="2"/>
        <v>#DIV/0!</v>
      </c>
      <c r="Y21" s="125"/>
      <c r="Z21" s="31">
        <f t="shared" si="3"/>
        <v>0</v>
      </c>
      <c r="AA21" s="127"/>
      <c r="AB21" s="127"/>
      <c r="AC21" s="127">
        <f t="shared" si="4"/>
        <v>0</v>
      </c>
      <c r="AD21" s="128">
        <f t="shared" si="5"/>
        <v>0</v>
      </c>
      <c r="AE21" s="128">
        <f t="shared" si="6"/>
        <v>0</v>
      </c>
      <c r="AF21" s="127">
        <f t="shared" si="7"/>
        <v>0</v>
      </c>
    </row>
    <row r="22" ht="15.5" customHeight="1" spans="1:32">
      <c r="A22" s="23"/>
      <c r="B22" s="24"/>
      <c r="C22" s="24"/>
      <c r="D22" s="23"/>
      <c r="E22" s="24"/>
      <c r="F22" s="24"/>
      <c r="G22" s="23"/>
      <c r="H22" s="23"/>
      <c r="I22" s="25"/>
      <c r="J22" s="25"/>
      <c r="K22" s="26"/>
      <c r="L22" s="26"/>
      <c r="M22" s="26"/>
      <c r="N22" s="26"/>
      <c r="O22" s="26"/>
      <c r="P22" s="26"/>
      <c r="Q22" s="26"/>
      <c r="R22" s="23"/>
      <c r="S22" s="26"/>
      <c r="T22" s="26" t="str">
        <f t="shared" si="0"/>
        <v/>
      </c>
      <c r="U22" s="27"/>
      <c r="V22" s="122"/>
      <c r="W22" s="123">
        <f t="shared" si="1"/>
        <v>0</v>
      </c>
      <c r="X22" s="124" t="e">
        <f t="shared" si="2"/>
        <v>#DIV/0!</v>
      </c>
      <c r="Y22" s="125"/>
      <c r="Z22" s="31">
        <f t="shared" si="3"/>
        <v>0</v>
      </c>
      <c r="AA22" s="127"/>
      <c r="AB22" s="127"/>
      <c r="AC22" s="127">
        <f t="shared" si="4"/>
        <v>0</v>
      </c>
      <c r="AD22" s="128">
        <f t="shared" si="5"/>
        <v>0</v>
      </c>
      <c r="AE22" s="128">
        <f t="shared" si="6"/>
        <v>0</v>
      </c>
      <c r="AF22" s="127">
        <f t="shared" si="7"/>
        <v>0</v>
      </c>
    </row>
    <row r="23" ht="15.5" customHeight="1" spans="1:32">
      <c r="A23" s="23"/>
      <c r="B23" s="24"/>
      <c r="C23" s="24"/>
      <c r="D23" s="23"/>
      <c r="E23" s="24"/>
      <c r="F23" s="24"/>
      <c r="G23" s="23"/>
      <c r="H23" s="23"/>
      <c r="I23" s="121"/>
      <c r="J23" s="121"/>
      <c r="K23" s="26"/>
      <c r="L23" s="26"/>
      <c r="M23" s="26"/>
      <c r="N23" s="26"/>
      <c r="O23" s="26"/>
      <c r="P23" s="26"/>
      <c r="Q23" s="26"/>
      <c r="R23" s="23"/>
      <c r="S23" s="26"/>
      <c r="T23" s="26" t="str">
        <f t="shared" si="0"/>
        <v/>
      </c>
      <c r="U23" s="27"/>
      <c r="V23" s="122"/>
      <c r="W23" s="123">
        <f t="shared" si="1"/>
        <v>0</v>
      </c>
      <c r="X23" s="124" t="e">
        <f t="shared" si="2"/>
        <v>#DIV/0!</v>
      </c>
      <c r="Y23" s="125"/>
      <c r="Z23" s="31">
        <f t="shared" si="3"/>
        <v>0</v>
      </c>
      <c r="AA23" s="127"/>
      <c r="AB23" s="127"/>
      <c r="AC23" s="127">
        <f t="shared" si="4"/>
        <v>0</v>
      </c>
      <c r="AD23" s="128">
        <f t="shared" si="5"/>
        <v>0</v>
      </c>
      <c r="AE23" s="128">
        <f t="shared" si="6"/>
        <v>0</v>
      </c>
      <c r="AF23" s="127">
        <f t="shared" si="7"/>
        <v>0</v>
      </c>
    </row>
    <row r="24" ht="15.5" customHeight="1" spans="1:32">
      <c r="A24" s="23"/>
      <c r="B24" s="24"/>
      <c r="C24" s="24"/>
      <c r="D24" s="23"/>
      <c r="E24" s="24"/>
      <c r="F24" s="24"/>
      <c r="G24" s="23"/>
      <c r="H24" s="23"/>
      <c r="I24" s="121"/>
      <c r="J24" s="121"/>
      <c r="K24" s="26"/>
      <c r="L24" s="26"/>
      <c r="M24" s="26"/>
      <c r="N24" s="26"/>
      <c r="O24" s="26"/>
      <c r="P24" s="26"/>
      <c r="Q24" s="26"/>
      <c r="R24" s="23"/>
      <c r="S24" s="26"/>
      <c r="T24" s="26"/>
      <c r="U24" s="27"/>
      <c r="V24" s="122"/>
      <c r="W24" s="123">
        <f t="shared" si="1"/>
        <v>0</v>
      </c>
      <c r="X24" s="124" t="e">
        <f t="shared" si="2"/>
        <v>#DIV/0!</v>
      </c>
      <c r="Y24" s="125"/>
      <c r="Z24" s="31">
        <f t="shared" si="3"/>
        <v>0</v>
      </c>
      <c r="AA24" s="127"/>
      <c r="AB24" s="127"/>
      <c r="AC24" s="127">
        <f t="shared" si="4"/>
        <v>0</v>
      </c>
      <c r="AD24" s="128">
        <f t="shared" si="5"/>
        <v>0</v>
      </c>
      <c r="AE24" s="128">
        <f t="shared" si="6"/>
        <v>0</v>
      </c>
      <c r="AF24" s="127">
        <f t="shared" si="7"/>
        <v>0</v>
      </c>
    </row>
    <row r="25" ht="15.5" customHeight="1" spans="1:32">
      <c r="A25" s="23"/>
      <c r="B25" s="24"/>
      <c r="C25" s="24"/>
      <c r="D25" s="23"/>
      <c r="E25" s="24"/>
      <c r="F25" s="24"/>
      <c r="G25" s="23"/>
      <c r="H25" s="23"/>
      <c r="I25" s="121"/>
      <c r="J25" s="121"/>
      <c r="K25" s="26"/>
      <c r="L25" s="26"/>
      <c r="M25" s="26"/>
      <c r="N25" s="26"/>
      <c r="O25" s="26"/>
      <c r="P25" s="26"/>
      <c r="Q25" s="26"/>
      <c r="R25" s="23"/>
      <c r="S25" s="26"/>
      <c r="T25" s="26"/>
      <c r="U25" s="27"/>
      <c r="V25" s="122"/>
      <c r="W25" s="123">
        <f t="shared" si="1"/>
        <v>0</v>
      </c>
      <c r="X25" s="124" t="e">
        <f t="shared" si="2"/>
        <v>#DIV/0!</v>
      </c>
      <c r="Y25" s="125"/>
      <c r="Z25" s="31">
        <f t="shared" si="3"/>
        <v>0</v>
      </c>
      <c r="AA25" s="127"/>
      <c r="AB25" s="127"/>
      <c r="AC25" s="127">
        <f t="shared" si="4"/>
        <v>0</v>
      </c>
      <c r="AD25" s="128">
        <f t="shared" si="5"/>
        <v>0</v>
      </c>
      <c r="AE25" s="128">
        <f t="shared" si="6"/>
        <v>0</v>
      </c>
      <c r="AF25" s="127">
        <f t="shared" si="7"/>
        <v>0</v>
      </c>
    </row>
    <row r="26" ht="15.5" customHeight="1" spans="1:32">
      <c r="A26" s="23"/>
      <c r="B26" s="24"/>
      <c r="C26" s="24"/>
      <c r="D26" s="23"/>
      <c r="E26" s="24"/>
      <c r="F26" s="24"/>
      <c r="G26" s="23"/>
      <c r="H26" s="23"/>
      <c r="I26" s="121"/>
      <c r="J26" s="121"/>
      <c r="K26" s="26"/>
      <c r="L26" s="26"/>
      <c r="M26" s="26"/>
      <c r="N26" s="26"/>
      <c r="O26" s="26"/>
      <c r="P26" s="26"/>
      <c r="Q26" s="26"/>
      <c r="R26" s="23"/>
      <c r="S26" s="26"/>
      <c r="T26" s="26" t="str">
        <f>IF(P26=0,"",(S26-P26)/P26*100)</f>
        <v/>
      </c>
      <c r="U26" s="27"/>
      <c r="V26" s="122"/>
      <c r="W26" s="123">
        <f t="shared" si="1"/>
        <v>0</v>
      </c>
      <c r="X26" s="124" t="e">
        <f t="shared" si="2"/>
        <v>#DIV/0!</v>
      </c>
      <c r="Y26" s="125"/>
      <c r="Z26" s="31">
        <f t="shared" si="3"/>
        <v>0</v>
      </c>
      <c r="AA26" s="127"/>
      <c r="AB26" s="127"/>
      <c r="AC26" s="127">
        <f t="shared" si="4"/>
        <v>0</v>
      </c>
      <c r="AD26" s="128">
        <f t="shared" si="5"/>
        <v>0</v>
      </c>
      <c r="AE26" s="128">
        <f t="shared" si="6"/>
        <v>0</v>
      </c>
      <c r="AF26" s="127">
        <f t="shared" si="7"/>
        <v>0</v>
      </c>
    </row>
    <row r="27" ht="15.5" customHeight="1" spans="1:32">
      <c r="A27" s="23"/>
      <c r="B27" s="24"/>
      <c r="C27" s="24"/>
      <c r="D27" s="23"/>
      <c r="E27" s="24"/>
      <c r="F27" s="24"/>
      <c r="G27" s="23"/>
      <c r="H27" s="23"/>
      <c r="I27" s="121"/>
      <c r="J27" s="121"/>
      <c r="K27" s="26"/>
      <c r="L27" s="26"/>
      <c r="M27" s="26"/>
      <c r="N27" s="26"/>
      <c r="O27" s="26"/>
      <c r="P27" s="26"/>
      <c r="Q27" s="26"/>
      <c r="R27" s="23"/>
      <c r="S27" s="26"/>
      <c r="T27" s="26"/>
      <c r="U27" s="27"/>
      <c r="V27" s="122"/>
      <c r="W27" s="123">
        <f t="shared" si="1"/>
        <v>0</v>
      </c>
      <c r="X27" s="124" t="e">
        <f t="shared" si="2"/>
        <v>#DIV/0!</v>
      </c>
      <c r="Y27" s="125"/>
      <c r="Z27" s="31">
        <f t="shared" si="3"/>
        <v>0</v>
      </c>
      <c r="AA27" s="127"/>
      <c r="AB27" s="127"/>
      <c r="AC27" s="127">
        <f t="shared" si="4"/>
        <v>0</v>
      </c>
      <c r="AD27" s="128">
        <f t="shared" si="5"/>
        <v>0</v>
      </c>
      <c r="AE27" s="128">
        <f t="shared" si="6"/>
        <v>0</v>
      </c>
      <c r="AF27" s="127">
        <f t="shared" si="7"/>
        <v>0</v>
      </c>
    </row>
    <row r="28" ht="15.5" customHeight="1" spans="1:32">
      <c r="A28" s="23"/>
      <c r="B28" s="24"/>
      <c r="C28" s="24"/>
      <c r="D28" s="23"/>
      <c r="E28" s="24"/>
      <c r="F28" s="24"/>
      <c r="G28" s="23"/>
      <c r="H28" s="23"/>
      <c r="I28" s="121"/>
      <c r="J28" s="121"/>
      <c r="K28" s="26"/>
      <c r="L28" s="26"/>
      <c r="M28" s="26"/>
      <c r="N28" s="26"/>
      <c r="O28" s="26"/>
      <c r="P28" s="26"/>
      <c r="Q28" s="26"/>
      <c r="R28" s="23"/>
      <c r="S28" s="26"/>
      <c r="T28" s="26"/>
      <c r="U28" s="27"/>
      <c r="V28" s="122"/>
      <c r="W28" s="123">
        <f t="shared" si="1"/>
        <v>0</v>
      </c>
      <c r="X28" s="124" t="e">
        <f t="shared" si="2"/>
        <v>#DIV/0!</v>
      </c>
      <c r="Y28" s="125"/>
      <c r="Z28" s="31">
        <f t="shared" si="3"/>
        <v>0</v>
      </c>
      <c r="AA28" s="127"/>
      <c r="AB28" s="127"/>
      <c r="AC28" s="127">
        <f t="shared" si="4"/>
        <v>0</v>
      </c>
      <c r="AD28" s="128">
        <f t="shared" si="5"/>
        <v>0</v>
      </c>
      <c r="AE28" s="128">
        <f t="shared" si="6"/>
        <v>0</v>
      </c>
      <c r="AF28" s="127">
        <f t="shared" si="7"/>
        <v>0</v>
      </c>
    </row>
    <row r="29" ht="15.5" customHeight="1" spans="1:32">
      <c r="A29" s="23"/>
      <c r="B29" s="24"/>
      <c r="C29" s="24"/>
      <c r="D29" s="23"/>
      <c r="E29" s="24"/>
      <c r="F29" s="24"/>
      <c r="G29" s="23"/>
      <c r="H29" s="23"/>
      <c r="I29" s="121"/>
      <c r="J29" s="121"/>
      <c r="K29" s="26"/>
      <c r="L29" s="26"/>
      <c r="M29" s="26"/>
      <c r="N29" s="26"/>
      <c r="O29" s="26"/>
      <c r="P29" s="26"/>
      <c r="Q29" s="26"/>
      <c r="R29" s="23"/>
      <c r="S29" s="26"/>
      <c r="T29" s="26"/>
      <c r="U29" s="27"/>
      <c r="V29" s="122"/>
      <c r="W29" s="123">
        <f t="shared" si="1"/>
        <v>0</v>
      </c>
      <c r="X29" s="124" t="e">
        <f t="shared" si="2"/>
        <v>#DIV/0!</v>
      </c>
      <c r="Y29" s="125"/>
      <c r="Z29" s="31">
        <f t="shared" si="3"/>
        <v>0</v>
      </c>
      <c r="AA29" s="127"/>
      <c r="AB29" s="127"/>
      <c r="AC29" s="127">
        <f t="shared" si="4"/>
        <v>0</v>
      </c>
      <c r="AD29" s="128">
        <f t="shared" si="5"/>
        <v>0</v>
      </c>
      <c r="AE29" s="128">
        <f t="shared" si="6"/>
        <v>0</v>
      </c>
      <c r="AF29" s="127">
        <f t="shared" si="7"/>
        <v>0</v>
      </c>
    </row>
    <row r="30" ht="15.5" customHeight="1" spans="1:32">
      <c r="A30" s="23"/>
      <c r="B30" s="24"/>
      <c r="C30" s="24"/>
      <c r="D30" s="23"/>
      <c r="E30" s="24"/>
      <c r="F30" s="24"/>
      <c r="G30" s="23"/>
      <c r="H30" s="23"/>
      <c r="I30" s="121"/>
      <c r="J30" s="121"/>
      <c r="K30" s="26"/>
      <c r="L30" s="26"/>
      <c r="M30" s="26"/>
      <c r="N30" s="26"/>
      <c r="O30" s="26"/>
      <c r="P30" s="26"/>
      <c r="Q30" s="26"/>
      <c r="R30" s="23"/>
      <c r="S30" s="26"/>
      <c r="T30" s="26"/>
      <c r="U30" s="27"/>
      <c r="V30" s="122"/>
      <c r="W30" s="123">
        <f t="shared" si="1"/>
        <v>0</v>
      </c>
      <c r="X30" s="124" t="e">
        <f t="shared" si="2"/>
        <v>#DIV/0!</v>
      </c>
      <c r="Y30" s="125"/>
      <c r="Z30" s="31">
        <f t="shared" si="3"/>
        <v>0</v>
      </c>
      <c r="AA30" s="127"/>
      <c r="AB30" s="127"/>
      <c r="AC30" s="127">
        <f t="shared" si="4"/>
        <v>0</v>
      </c>
      <c r="AD30" s="128">
        <f t="shared" si="5"/>
        <v>0</v>
      </c>
      <c r="AE30" s="128">
        <f t="shared" si="6"/>
        <v>0</v>
      </c>
      <c r="AF30" s="127">
        <f t="shared" si="7"/>
        <v>0</v>
      </c>
    </row>
    <row r="31" ht="15.5" customHeight="1" spans="1:32">
      <c r="A31" s="23"/>
      <c r="B31" s="24"/>
      <c r="C31" s="24"/>
      <c r="D31" s="23"/>
      <c r="E31" s="24"/>
      <c r="F31" s="24"/>
      <c r="G31" s="23"/>
      <c r="H31" s="23"/>
      <c r="I31" s="121"/>
      <c r="J31" s="121"/>
      <c r="K31" s="26"/>
      <c r="L31" s="26"/>
      <c r="M31" s="26"/>
      <c r="N31" s="26"/>
      <c r="O31" s="26"/>
      <c r="P31" s="26"/>
      <c r="Q31" s="26"/>
      <c r="R31" s="23"/>
      <c r="S31" s="26"/>
      <c r="T31" s="26"/>
      <c r="U31" s="27"/>
      <c r="V31" s="122"/>
      <c r="W31" s="123">
        <f t="shared" si="1"/>
        <v>0</v>
      </c>
      <c r="X31" s="124" t="e">
        <f t="shared" si="2"/>
        <v>#DIV/0!</v>
      </c>
      <c r="Y31" s="125"/>
      <c r="Z31" s="31">
        <f t="shared" si="3"/>
        <v>0</v>
      </c>
      <c r="AA31" s="127"/>
      <c r="AB31" s="127"/>
      <c r="AC31" s="127">
        <f t="shared" si="4"/>
        <v>0</v>
      </c>
      <c r="AD31" s="128">
        <f t="shared" si="5"/>
        <v>0</v>
      </c>
      <c r="AE31" s="128">
        <f t="shared" si="6"/>
        <v>0</v>
      </c>
      <c r="AF31" s="127">
        <f t="shared" si="7"/>
        <v>0</v>
      </c>
    </row>
    <row r="32" ht="15.5" customHeight="1" spans="1:32">
      <c r="A32" s="23"/>
      <c r="B32" s="24"/>
      <c r="C32" s="24"/>
      <c r="D32" s="23"/>
      <c r="E32" s="24"/>
      <c r="F32" s="24"/>
      <c r="G32" s="23"/>
      <c r="H32" s="23"/>
      <c r="I32" s="121"/>
      <c r="J32" s="121"/>
      <c r="K32" s="26"/>
      <c r="L32" s="26"/>
      <c r="M32" s="26"/>
      <c r="N32" s="26"/>
      <c r="O32" s="26"/>
      <c r="P32" s="26"/>
      <c r="Q32" s="26"/>
      <c r="R32" s="23"/>
      <c r="S32" s="26"/>
      <c r="T32" s="26"/>
      <c r="U32" s="27"/>
      <c r="V32" s="122"/>
      <c r="W32" s="123">
        <f t="shared" si="1"/>
        <v>0</v>
      </c>
      <c r="X32" s="124" t="e">
        <f t="shared" si="2"/>
        <v>#DIV/0!</v>
      </c>
      <c r="Y32" s="125"/>
      <c r="Z32" s="31">
        <f t="shared" si="3"/>
        <v>0</v>
      </c>
      <c r="AA32" s="127"/>
      <c r="AB32" s="127"/>
      <c r="AC32" s="127">
        <f t="shared" si="4"/>
        <v>0</v>
      </c>
      <c r="AD32" s="128">
        <f t="shared" si="5"/>
        <v>0</v>
      </c>
      <c r="AE32" s="128">
        <f t="shared" si="6"/>
        <v>0</v>
      </c>
      <c r="AF32" s="127">
        <f t="shared" si="7"/>
        <v>0</v>
      </c>
    </row>
    <row r="33" ht="15.5" customHeight="1" spans="1:32">
      <c r="A33" s="23"/>
      <c r="B33" s="24"/>
      <c r="C33" s="24"/>
      <c r="D33" s="23"/>
      <c r="E33" s="24"/>
      <c r="F33" s="24"/>
      <c r="G33" s="23"/>
      <c r="H33" s="23"/>
      <c r="I33" s="121"/>
      <c r="J33" s="121"/>
      <c r="K33" s="26"/>
      <c r="L33" s="26"/>
      <c r="M33" s="26"/>
      <c r="N33" s="26"/>
      <c r="O33" s="26"/>
      <c r="P33" s="26"/>
      <c r="Q33" s="26"/>
      <c r="R33" s="23"/>
      <c r="S33" s="26"/>
      <c r="T33" s="26"/>
      <c r="U33" s="27"/>
      <c r="V33" s="122"/>
      <c r="W33" s="123">
        <f t="shared" si="1"/>
        <v>0</v>
      </c>
      <c r="X33" s="124" t="e">
        <f t="shared" si="2"/>
        <v>#DIV/0!</v>
      </c>
      <c r="Y33" s="125"/>
      <c r="Z33" s="31">
        <f t="shared" si="3"/>
        <v>0</v>
      </c>
      <c r="AA33" s="127"/>
      <c r="AB33" s="127"/>
      <c r="AC33" s="127">
        <f t="shared" si="4"/>
        <v>0</v>
      </c>
      <c r="AD33" s="128">
        <f t="shared" si="5"/>
        <v>0</v>
      </c>
      <c r="AE33" s="128">
        <f t="shared" si="6"/>
        <v>0</v>
      </c>
      <c r="AF33" s="127">
        <f t="shared" si="7"/>
        <v>0</v>
      </c>
    </row>
    <row r="34" ht="15.5" customHeight="1" spans="1:32">
      <c r="A34" s="23"/>
      <c r="B34" s="24"/>
      <c r="C34" s="24"/>
      <c r="D34" s="23"/>
      <c r="E34" s="24"/>
      <c r="F34" s="24"/>
      <c r="G34" s="23"/>
      <c r="H34" s="23"/>
      <c r="I34" s="121"/>
      <c r="J34" s="121"/>
      <c r="K34" s="26"/>
      <c r="L34" s="26"/>
      <c r="M34" s="26"/>
      <c r="N34" s="26"/>
      <c r="O34" s="26"/>
      <c r="P34" s="26"/>
      <c r="Q34" s="26"/>
      <c r="R34" s="23"/>
      <c r="S34" s="26"/>
      <c r="T34" s="26"/>
      <c r="U34" s="27"/>
      <c r="V34" s="122"/>
      <c r="W34" s="123">
        <f t="shared" si="1"/>
        <v>0</v>
      </c>
      <c r="X34" s="124" t="e">
        <f t="shared" si="2"/>
        <v>#DIV/0!</v>
      </c>
      <c r="Y34" s="125"/>
      <c r="Z34" s="31">
        <f t="shared" si="3"/>
        <v>0</v>
      </c>
      <c r="AA34" s="127"/>
      <c r="AB34" s="127"/>
      <c r="AC34" s="127">
        <f t="shared" si="4"/>
        <v>0</v>
      </c>
      <c r="AD34" s="128">
        <f t="shared" si="5"/>
        <v>0</v>
      </c>
      <c r="AE34" s="128">
        <f t="shared" si="6"/>
        <v>0</v>
      </c>
      <c r="AF34" s="127">
        <f t="shared" si="7"/>
        <v>0</v>
      </c>
    </row>
    <row r="35" ht="15.5" customHeight="1" spans="1:32">
      <c r="A35" s="23"/>
      <c r="B35" s="24"/>
      <c r="C35" s="24"/>
      <c r="D35" s="23"/>
      <c r="E35" s="24"/>
      <c r="F35" s="24"/>
      <c r="G35" s="23"/>
      <c r="H35" s="23"/>
      <c r="I35" s="121"/>
      <c r="J35" s="121"/>
      <c r="K35" s="26"/>
      <c r="L35" s="26"/>
      <c r="M35" s="26"/>
      <c r="N35" s="26"/>
      <c r="O35" s="26"/>
      <c r="P35" s="26"/>
      <c r="Q35" s="26"/>
      <c r="R35" s="23"/>
      <c r="S35" s="26"/>
      <c r="T35" s="26"/>
      <c r="U35" s="27"/>
      <c r="V35" s="122"/>
      <c r="W35" s="123">
        <f t="shared" si="1"/>
        <v>0</v>
      </c>
      <c r="X35" s="124" t="e">
        <f t="shared" si="2"/>
        <v>#DIV/0!</v>
      </c>
      <c r="Y35" s="125"/>
      <c r="Z35" s="31">
        <f t="shared" si="3"/>
        <v>0</v>
      </c>
      <c r="AA35" s="127"/>
      <c r="AB35" s="127"/>
      <c r="AC35" s="127">
        <f t="shared" si="4"/>
        <v>0</v>
      </c>
      <c r="AD35" s="128">
        <f t="shared" si="5"/>
        <v>0</v>
      </c>
      <c r="AE35" s="128">
        <f t="shared" si="6"/>
        <v>0</v>
      </c>
      <c r="AF35" s="127">
        <f t="shared" si="7"/>
        <v>0</v>
      </c>
    </row>
    <row r="36" ht="15.5" customHeight="1" spans="1:32">
      <c r="A36" s="23"/>
      <c r="B36" s="24"/>
      <c r="C36" s="24"/>
      <c r="D36" s="23"/>
      <c r="E36" s="24"/>
      <c r="F36" s="24"/>
      <c r="G36" s="23"/>
      <c r="H36" s="23"/>
      <c r="I36" s="121"/>
      <c r="J36" s="121"/>
      <c r="K36" s="26"/>
      <c r="L36" s="26"/>
      <c r="M36" s="26"/>
      <c r="N36" s="26"/>
      <c r="O36" s="26"/>
      <c r="P36" s="26"/>
      <c r="Q36" s="26"/>
      <c r="R36" s="23"/>
      <c r="S36" s="26"/>
      <c r="T36" s="26"/>
      <c r="U36" s="27"/>
      <c r="V36" s="122"/>
      <c r="W36" s="123">
        <f t="shared" si="1"/>
        <v>0</v>
      </c>
      <c r="X36" s="124" t="e">
        <f t="shared" si="2"/>
        <v>#DIV/0!</v>
      </c>
      <c r="Y36" s="125"/>
      <c r="Z36" s="31">
        <f t="shared" si="3"/>
        <v>0</v>
      </c>
      <c r="AA36" s="127"/>
      <c r="AB36" s="127"/>
      <c r="AC36" s="127">
        <f t="shared" si="4"/>
        <v>0</v>
      </c>
      <c r="AD36" s="128">
        <f t="shared" si="5"/>
        <v>0</v>
      </c>
      <c r="AE36" s="128">
        <f t="shared" si="6"/>
        <v>0</v>
      </c>
      <c r="AF36" s="127">
        <f t="shared" si="7"/>
        <v>0</v>
      </c>
    </row>
    <row r="37" ht="15.5" customHeight="1" spans="1:32">
      <c r="A37" s="23"/>
      <c r="B37" s="24"/>
      <c r="C37" s="24"/>
      <c r="D37" s="23"/>
      <c r="E37" s="24"/>
      <c r="F37" s="24"/>
      <c r="G37" s="23"/>
      <c r="H37" s="23"/>
      <c r="I37" s="121"/>
      <c r="J37" s="121"/>
      <c r="K37" s="26"/>
      <c r="L37" s="26"/>
      <c r="M37" s="26"/>
      <c r="N37" s="26"/>
      <c r="O37" s="26"/>
      <c r="P37" s="26"/>
      <c r="Q37" s="26"/>
      <c r="R37" s="23"/>
      <c r="S37" s="26"/>
      <c r="T37" s="26"/>
      <c r="U37" s="27"/>
      <c r="V37" s="122"/>
      <c r="W37" s="123">
        <f t="shared" si="1"/>
        <v>0</v>
      </c>
      <c r="X37" s="124" t="e">
        <f t="shared" si="2"/>
        <v>#DIV/0!</v>
      </c>
      <c r="Y37" s="125"/>
      <c r="Z37" s="31">
        <f t="shared" si="3"/>
        <v>0</v>
      </c>
      <c r="AA37" s="127"/>
      <c r="AB37" s="127"/>
      <c r="AC37" s="127">
        <f t="shared" si="4"/>
        <v>0</v>
      </c>
      <c r="AD37" s="128">
        <f t="shared" si="5"/>
        <v>0</v>
      </c>
      <c r="AE37" s="128">
        <f t="shared" si="6"/>
        <v>0</v>
      </c>
      <c r="AF37" s="127">
        <f t="shared" si="7"/>
        <v>0</v>
      </c>
    </row>
    <row r="38" ht="15.5" customHeight="1" spans="1:32">
      <c r="A38" s="23"/>
      <c r="B38" s="24"/>
      <c r="C38" s="24"/>
      <c r="D38" s="23"/>
      <c r="E38" s="24"/>
      <c r="F38" s="24"/>
      <c r="G38" s="23"/>
      <c r="H38" s="23"/>
      <c r="I38" s="121"/>
      <c r="J38" s="121"/>
      <c r="K38" s="26"/>
      <c r="L38" s="26"/>
      <c r="M38" s="26"/>
      <c r="N38" s="26"/>
      <c r="O38" s="26"/>
      <c r="P38" s="26"/>
      <c r="Q38" s="26"/>
      <c r="R38" s="23"/>
      <c r="S38" s="26"/>
      <c r="T38" s="26"/>
      <c r="U38" s="27"/>
      <c r="V38" s="122"/>
      <c r="W38" s="123">
        <f t="shared" si="1"/>
        <v>0</v>
      </c>
      <c r="X38" s="124" t="e">
        <f t="shared" si="2"/>
        <v>#DIV/0!</v>
      </c>
      <c r="Y38" s="125"/>
      <c r="Z38" s="31">
        <f t="shared" si="3"/>
        <v>0</v>
      </c>
      <c r="AA38" s="127"/>
      <c r="AB38" s="127"/>
      <c r="AC38" s="127">
        <f t="shared" si="4"/>
        <v>0</v>
      </c>
      <c r="AD38" s="128">
        <f t="shared" si="5"/>
        <v>0</v>
      </c>
      <c r="AE38" s="128">
        <f t="shared" si="6"/>
        <v>0</v>
      </c>
      <c r="AF38" s="127">
        <f t="shared" si="7"/>
        <v>0</v>
      </c>
    </row>
    <row r="39" ht="15.5" customHeight="1" spans="1:32">
      <c r="A39" s="23"/>
      <c r="B39" s="24"/>
      <c r="C39" s="24"/>
      <c r="D39" s="23"/>
      <c r="E39" s="24"/>
      <c r="F39" s="24"/>
      <c r="G39" s="23"/>
      <c r="H39" s="23"/>
      <c r="I39" s="121"/>
      <c r="J39" s="121"/>
      <c r="K39" s="26"/>
      <c r="L39" s="26"/>
      <c r="M39" s="26"/>
      <c r="N39" s="26"/>
      <c r="O39" s="26"/>
      <c r="P39" s="26"/>
      <c r="Q39" s="26"/>
      <c r="R39" s="23"/>
      <c r="S39" s="26"/>
      <c r="T39" s="26"/>
      <c r="U39" s="27"/>
      <c r="V39" s="122"/>
      <c r="W39" s="123">
        <f t="shared" si="1"/>
        <v>0</v>
      </c>
      <c r="X39" s="124" t="e">
        <f t="shared" si="2"/>
        <v>#DIV/0!</v>
      </c>
      <c r="Y39" s="125"/>
      <c r="Z39" s="31">
        <f t="shared" si="3"/>
        <v>0</v>
      </c>
      <c r="AA39" s="127"/>
      <c r="AB39" s="127"/>
      <c r="AC39" s="127">
        <f t="shared" si="4"/>
        <v>0</v>
      </c>
      <c r="AD39" s="128">
        <f t="shared" si="5"/>
        <v>0</v>
      </c>
      <c r="AE39" s="128">
        <f t="shared" si="6"/>
        <v>0</v>
      </c>
      <c r="AF39" s="127">
        <f t="shared" si="7"/>
        <v>0</v>
      </c>
    </row>
    <row r="40" ht="15.5" customHeight="1" spans="1:32">
      <c r="A40" s="23"/>
      <c r="B40" s="24"/>
      <c r="C40" s="24"/>
      <c r="D40" s="23"/>
      <c r="E40" s="24"/>
      <c r="F40" s="24"/>
      <c r="G40" s="23"/>
      <c r="H40" s="23"/>
      <c r="I40" s="121"/>
      <c r="J40" s="121"/>
      <c r="K40" s="26"/>
      <c r="L40" s="26"/>
      <c r="M40" s="26"/>
      <c r="N40" s="26"/>
      <c r="O40" s="26"/>
      <c r="P40" s="26"/>
      <c r="Q40" s="26"/>
      <c r="R40" s="23"/>
      <c r="S40" s="26"/>
      <c r="T40" s="26"/>
      <c r="U40" s="27"/>
      <c r="V40" s="122"/>
      <c r="W40" s="123">
        <f t="shared" si="1"/>
        <v>0</v>
      </c>
      <c r="X40" s="124" t="e">
        <f t="shared" si="2"/>
        <v>#DIV/0!</v>
      </c>
      <c r="Y40" s="125"/>
      <c r="Z40" s="31">
        <f t="shared" si="3"/>
        <v>0</v>
      </c>
      <c r="AA40" s="127"/>
      <c r="AB40" s="127"/>
      <c r="AC40" s="127">
        <f t="shared" si="4"/>
        <v>0</v>
      </c>
      <c r="AD40" s="128">
        <f t="shared" si="5"/>
        <v>0</v>
      </c>
      <c r="AE40" s="128">
        <f t="shared" si="6"/>
        <v>0</v>
      </c>
      <c r="AF40" s="127">
        <f t="shared" si="7"/>
        <v>0</v>
      </c>
    </row>
    <row r="41" ht="15.5" customHeight="1" spans="1:32">
      <c r="A41" s="23"/>
      <c r="B41" s="24"/>
      <c r="C41" s="24"/>
      <c r="D41" s="23"/>
      <c r="E41" s="24"/>
      <c r="F41" s="24"/>
      <c r="G41" s="23"/>
      <c r="H41" s="23"/>
      <c r="I41" s="121"/>
      <c r="J41" s="121"/>
      <c r="K41" s="26"/>
      <c r="L41" s="26"/>
      <c r="M41" s="26"/>
      <c r="N41" s="26"/>
      <c r="O41" s="26"/>
      <c r="P41" s="26"/>
      <c r="Q41" s="26"/>
      <c r="R41" s="23"/>
      <c r="S41" s="26"/>
      <c r="T41" s="26"/>
      <c r="U41" s="27"/>
      <c r="V41" s="122"/>
      <c r="W41" s="123">
        <f t="shared" si="1"/>
        <v>0</v>
      </c>
      <c r="X41" s="124" t="e">
        <f t="shared" si="2"/>
        <v>#DIV/0!</v>
      </c>
      <c r="Y41" s="125"/>
      <c r="Z41" s="31">
        <f t="shared" si="3"/>
        <v>0</v>
      </c>
      <c r="AA41" s="127"/>
      <c r="AB41" s="127"/>
      <c r="AC41" s="127">
        <f t="shared" si="4"/>
        <v>0</v>
      </c>
      <c r="AD41" s="128">
        <f t="shared" si="5"/>
        <v>0</v>
      </c>
      <c r="AE41" s="128">
        <f t="shared" si="6"/>
        <v>0</v>
      </c>
      <c r="AF41" s="127">
        <f t="shared" si="7"/>
        <v>0</v>
      </c>
    </row>
    <row r="42" ht="15.5" customHeight="1" spans="1:32">
      <c r="A42" s="23"/>
      <c r="B42" s="24"/>
      <c r="C42" s="24"/>
      <c r="D42" s="23"/>
      <c r="E42" s="24"/>
      <c r="F42" s="24"/>
      <c r="G42" s="23"/>
      <c r="H42" s="23"/>
      <c r="I42" s="121"/>
      <c r="J42" s="121"/>
      <c r="K42" s="26"/>
      <c r="L42" s="26"/>
      <c r="M42" s="26"/>
      <c r="N42" s="26"/>
      <c r="O42" s="26"/>
      <c r="P42" s="26"/>
      <c r="Q42" s="26"/>
      <c r="R42" s="23"/>
      <c r="S42" s="26"/>
      <c r="T42" s="26"/>
      <c r="U42" s="27"/>
      <c r="V42" s="122"/>
      <c r="W42" s="123">
        <f t="shared" si="1"/>
        <v>0</v>
      </c>
      <c r="X42" s="124" t="e">
        <f t="shared" si="2"/>
        <v>#DIV/0!</v>
      </c>
      <c r="Y42" s="125"/>
      <c r="Z42" s="31">
        <f t="shared" si="3"/>
        <v>0</v>
      </c>
      <c r="AA42" s="127"/>
      <c r="AB42" s="127"/>
      <c r="AC42" s="127">
        <f t="shared" si="4"/>
        <v>0</v>
      </c>
      <c r="AD42" s="128">
        <f t="shared" si="5"/>
        <v>0</v>
      </c>
      <c r="AE42" s="128">
        <f t="shared" si="6"/>
        <v>0</v>
      </c>
      <c r="AF42" s="127">
        <f t="shared" si="7"/>
        <v>0</v>
      </c>
    </row>
    <row r="43" ht="15.5" customHeight="1" spans="1:32">
      <c r="A43" s="23"/>
      <c r="B43" s="24"/>
      <c r="C43" s="24"/>
      <c r="D43" s="23"/>
      <c r="E43" s="24"/>
      <c r="F43" s="24"/>
      <c r="G43" s="23"/>
      <c r="H43" s="23"/>
      <c r="I43" s="121"/>
      <c r="J43" s="121"/>
      <c r="K43" s="26"/>
      <c r="L43" s="26"/>
      <c r="M43" s="26"/>
      <c r="N43" s="26"/>
      <c r="O43" s="26"/>
      <c r="P43" s="26"/>
      <c r="Q43" s="26"/>
      <c r="R43" s="23"/>
      <c r="S43" s="26"/>
      <c r="T43" s="26"/>
      <c r="U43" s="27"/>
      <c r="V43" s="122"/>
      <c r="W43" s="123">
        <f t="shared" si="1"/>
        <v>0</v>
      </c>
      <c r="X43" s="124" t="e">
        <f t="shared" si="2"/>
        <v>#DIV/0!</v>
      </c>
      <c r="Y43" s="125"/>
      <c r="Z43" s="31">
        <f t="shared" si="3"/>
        <v>0</v>
      </c>
      <c r="AA43" s="127"/>
      <c r="AB43" s="127"/>
      <c r="AC43" s="127">
        <f t="shared" si="4"/>
        <v>0</v>
      </c>
      <c r="AD43" s="128">
        <f t="shared" si="5"/>
        <v>0</v>
      </c>
      <c r="AE43" s="128">
        <f t="shared" si="6"/>
        <v>0</v>
      </c>
      <c r="AF43" s="127">
        <f t="shared" si="7"/>
        <v>0</v>
      </c>
    </row>
    <row r="44" ht="15.5" customHeight="1" spans="1:32">
      <c r="A44" s="23"/>
      <c r="B44" s="24"/>
      <c r="C44" s="24"/>
      <c r="D44" s="23"/>
      <c r="E44" s="24"/>
      <c r="F44" s="24"/>
      <c r="G44" s="23"/>
      <c r="H44" s="23"/>
      <c r="I44" s="121"/>
      <c r="J44" s="121"/>
      <c r="K44" s="26"/>
      <c r="L44" s="26"/>
      <c r="M44" s="26"/>
      <c r="N44" s="26"/>
      <c r="O44" s="26"/>
      <c r="P44" s="26"/>
      <c r="Q44" s="26"/>
      <c r="R44" s="23"/>
      <c r="S44" s="26"/>
      <c r="T44" s="26"/>
      <c r="U44" s="27"/>
      <c r="V44" s="122"/>
      <c r="W44" s="123">
        <f t="shared" si="1"/>
        <v>0</v>
      </c>
      <c r="X44" s="124" t="e">
        <f t="shared" si="2"/>
        <v>#DIV/0!</v>
      </c>
      <c r="Y44" s="125"/>
      <c r="Z44" s="31">
        <f t="shared" si="3"/>
        <v>0</v>
      </c>
      <c r="AA44" s="127"/>
      <c r="AB44" s="127"/>
      <c r="AC44" s="127">
        <f t="shared" si="4"/>
        <v>0</v>
      </c>
      <c r="AD44" s="128">
        <f t="shared" si="5"/>
        <v>0</v>
      </c>
      <c r="AE44" s="128">
        <f t="shared" si="6"/>
        <v>0</v>
      </c>
      <c r="AF44" s="127">
        <f t="shared" si="7"/>
        <v>0</v>
      </c>
    </row>
    <row r="45" ht="15.5" customHeight="1" spans="1:32">
      <c r="A45" s="23"/>
      <c r="B45" s="24"/>
      <c r="C45" s="24"/>
      <c r="D45" s="23"/>
      <c r="E45" s="24"/>
      <c r="F45" s="24"/>
      <c r="G45" s="23"/>
      <c r="H45" s="23"/>
      <c r="I45" s="121"/>
      <c r="J45" s="121"/>
      <c r="K45" s="26"/>
      <c r="L45" s="26"/>
      <c r="M45" s="26"/>
      <c r="N45" s="26"/>
      <c r="O45" s="26"/>
      <c r="P45" s="26"/>
      <c r="Q45" s="26"/>
      <c r="R45" s="23"/>
      <c r="S45" s="26"/>
      <c r="T45" s="26"/>
      <c r="U45" s="27"/>
      <c r="V45" s="122"/>
      <c r="W45" s="123">
        <f t="shared" si="1"/>
        <v>0</v>
      </c>
      <c r="X45" s="124" t="e">
        <f t="shared" si="2"/>
        <v>#DIV/0!</v>
      </c>
      <c r="Y45" s="125"/>
      <c r="Z45" s="31">
        <f t="shared" si="3"/>
        <v>0</v>
      </c>
      <c r="AA45" s="127"/>
      <c r="AB45" s="127"/>
      <c r="AC45" s="127">
        <f t="shared" si="4"/>
        <v>0</v>
      </c>
      <c r="AD45" s="128">
        <f t="shared" si="5"/>
        <v>0</v>
      </c>
      <c r="AE45" s="128">
        <f t="shared" si="6"/>
        <v>0</v>
      </c>
      <c r="AF45" s="127">
        <f t="shared" si="7"/>
        <v>0</v>
      </c>
    </row>
    <row r="46" ht="15.5" customHeight="1" spans="1:32">
      <c r="A46" s="23"/>
      <c r="B46" s="24"/>
      <c r="C46" s="24"/>
      <c r="D46" s="23"/>
      <c r="E46" s="24"/>
      <c r="F46" s="24"/>
      <c r="G46" s="23"/>
      <c r="H46" s="23"/>
      <c r="I46" s="121"/>
      <c r="J46" s="121"/>
      <c r="K46" s="26"/>
      <c r="L46" s="26"/>
      <c r="M46" s="26"/>
      <c r="N46" s="26"/>
      <c r="O46" s="26"/>
      <c r="P46" s="26"/>
      <c r="Q46" s="26"/>
      <c r="R46" s="23"/>
      <c r="S46" s="26"/>
      <c r="T46" s="26"/>
      <c r="U46" s="27"/>
      <c r="V46" s="122"/>
      <c r="W46" s="123">
        <f t="shared" si="1"/>
        <v>0</v>
      </c>
      <c r="X46" s="124" t="e">
        <f t="shared" si="2"/>
        <v>#DIV/0!</v>
      </c>
      <c r="Y46" s="125"/>
      <c r="Z46" s="31">
        <f t="shared" si="3"/>
        <v>0</v>
      </c>
      <c r="AA46" s="127"/>
      <c r="AB46" s="127"/>
      <c r="AC46" s="127">
        <f t="shared" si="4"/>
        <v>0</v>
      </c>
      <c r="AD46" s="128">
        <f t="shared" si="5"/>
        <v>0</v>
      </c>
      <c r="AE46" s="128">
        <f t="shared" si="6"/>
        <v>0</v>
      </c>
      <c r="AF46" s="127">
        <f t="shared" si="7"/>
        <v>0</v>
      </c>
    </row>
    <row r="47" ht="15.5" customHeight="1" spans="1:32">
      <c r="A47" s="23"/>
      <c r="B47" s="24"/>
      <c r="C47" s="24"/>
      <c r="D47" s="23"/>
      <c r="E47" s="24"/>
      <c r="F47" s="24"/>
      <c r="G47" s="23"/>
      <c r="H47" s="23"/>
      <c r="I47" s="121"/>
      <c r="J47" s="121"/>
      <c r="K47" s="26"/>
      <c r="L47" s="26"/>
      <c r="M47" s="26"/>
      <c r="N47" s="26"/>
      <c r="O47" s="26"/>
      <c r="P47" s="26"/>
      <c r="Q47" s="26"/>
      <c r="R47" s="23"/>
      <c r="S47" s="26"/>
      <c r="T47" s="26"/>
      <c r="U47" s="27"/>
      <c r="V47" s="122"/>
      <c r="W47" s="123">
        <f t="shared" si="1"/>
        <v>0</v>
      </c>
      <c r="X47" s="124" t="e">
        <f t="shared" si="2"/>
        <v>#DIV/0!</v>
      </c>
      <c r="Y47" s="125"/>
      <c r="Z47" s="31">
        <f t="shared" si="3"/>
        <v>0</v>
      </c>
      <c r="AA47" s="127"/>
      <c r="AB47" s="127"/>
      <c r="AC47" s="127">
        <f t="shared" si="4"/>
        <v>0</v>
      </c>
      <c r="AD47" s="128">
        <f t="shared" si="5"/>
        <v>0</v>
      </c>
      <c r="AE47" s="128">
        <f t="shared" si="6"/>
        <v>0</v>
      </c>
      <c r="AF47" s="127">
        <f t="shared" si="7"/>
        <v>0</v>
      </c>
    </row>
    <row r="48" ht="15.5" customHeight="1" spans="1:32">
      <c r="A48" s="23"/>
      <c r="B48" s="24"/>
      <c r="C48" s="24"/>
      <c r="D48" s="23"/>
      <c r="E48" s="24"/>
      <c r="F48" s="24"/>
      <c r="G48" s="23"/>
      <c r="H48" s="23"/>
      <c r="I48" s="121"/>
      <c r="J48" s="121"/>
      <c r="K48" s="26"/>
      <c r="L48" s="26"/>
      <c r="M48" s="26"/>
      <c r="N48" s="26"/>
      <c r="O48" s="26"/>
      <c r="P48" s="26"/>
      <c r="Q48" s="26"/>
      <c r="R48" s="23"/>
      <c r="S48" s="26"/>
      <c r="T48" s="26"/>
      <c r="U48" s="27"/>
      <c r="V48" s="122"/>
      <c r="W48" s="123">
        <f t="shared" si="1"/>
        <v>0</v>
      </c>
      <c r="X48" s="124" t="e">
        <f t="shared" si="2"/>
        <v>#DIV/0!</v>
      </c>
      <c r="Y48" s="125"/>
      <c r="Z48" s="31">
        <f t="shared" si="3"/>
        <v>0</v>
      </c>
      <c r="AA48" s="127"/>
      <c r="AB48" s="127"/>
      <c r="AC48" s="127">
        <f t="shared" si="4"/>
        <v>0</v>
      </c>
      <c r="AD48" s="128">
        <f t="shared" si="5"/>
        <v>0</v>
      </c>
      <c r="AE48" s="128">
        <f t="shared" si="6"/>
        <v>0</v>
      </c>
      <c r="AF48" s="127">
        <f t="shared" si="7"/>
        <v>0</v>
      </c>
    </row>
    <row r="49" ht="15.5" customHeight="1" spans="1:32">
      <c r="A49" s="23"/>
      <c r="B49" s="24"/>
      <c r="C49" s="24"/>
      <c r="D49" s="23"/>
      <c r="E49" s="24"/>
      <c r="F49" s="24"/>
      <c r="G49" s="23"/>
      <c r="H49" s="23"/>
      <c r="I49" s="121"/>
      <c r="J49" s="121"/>
      <c r="K49" s="26"/>
      <c r="L49" s="26"/>
      <c r="M49" s="26"/>
      <c r="N49" s="26"/>
      <c r="O49" s="26"/>
      <c r="P49" s="26"/>
      <c r="Q49" s="26"/>
      <c r="R49" s="23"/>
      <c r="S49" s="26"/>
      <c r="T49" s="26"/>
      <c r="U49" s="27"/>
      <c r="V49" s="122"/>
      <c r="W49" s="123">
        <f t="shared" si="1"/>
        <v>0</v>
      </c>
      <c r="X49" s="124" t="e">
        <f t="shared" si="2"/>
        <v>#DIV/0!</v>
      </c>
      <c r="Y49" s="125"/>
      <c r="Z49" s="31">
        <f t="shared" si="3"/>
        <v>0</v>
      </c>
      <c r="AA49" s="127"/>
      <c r="AB49" s="127"/>
      <c r="AC49" s="127">
        <f t="shared" si="4"/>
        <v>0</v>
      </c>
      <c r="AD49" s="128">
        <f t="shared" si="5"/>
        <v>0</v>
      </c>
      <c r="AE49" s="128">
        <f t="shared" si="6"/>
        <v>0</v>
      </c>
      <c r="AF49" s="127">
        <f t="shared" si="7"/>
        <v>0</v>
      </c>
    </row>
    <row r="50" ht="15.5" customHeight="1" spans="1:32">
      <c r="A50" s="23"/>
      <c r="B50" s="24"/>
      <c r="C50" s="24"/>
      <c r="D50" s="23"/>
      <c r="E50" s="24"/>
      <c r="F50" s="24"/>
      <c r="G50" s="23"/>
      <c r="H50" s="23"/>
      <c r="I50" s="121"/>
      <c r="J50" s="121"/>
      <c r="K50" s="26"/>
      <c r="L50" s="26"/>
      <c r="M50" s="26"/>
      <c r="N50" s="26"/>
      <c r="O50" s="26"/>
      <c r="P50" s="26"/>
      <c r="Q50" s="26"/>
      <c r="R50" s="23"/>
      <c r="S50" s="26"/>
      <c r="T50" s="26"/>
      <c r="U50" s="27"/>
      <c r="V50" s="122"/>
      <c r="W50" s="123">
        <f t="shared" si="1"/>
        <v>0</v>
      </c>
      <c r="X50" s="124" t="e">
        <f t="shared" si="2"/>
        <v>#DIV/0!</v>
      </c>
      <c r="Y50" s="125"/>
      <c r="Z50" s="31">
        <f t="shared" si="3"/>
        <v>0</v>
      </c>
      <c r="AA50" s="127"/>
      <c r="AB50" s="127"/>
      <c r="AC50" s="127">
        <f t="shared" si="4"/>
        <v>0</v>
      </c>
      <c r="AD50" s="128">
        <f t="shared" si="5"/>
        <v>0</v>
      </c>
      <c r="AE50" s="128">
        <f t="shared" si="6"/>
        <v>0</v>
      </c>
      <c r="AF50" s="127">
        <f t="shared" si="7"/>
        <v>0</v>
      </c>
    </row>
    <row r="51" ht="15.5" customHeight="1" spans="1:32">
      <c r="A51" s="23"/>
      <c r="B51" s="24"/>
      <c r="C51" s="67"/>
      <c r="D51" s="23"/>
      <c r="E51" s="24"/>
      <c r="F51" s="24"/>
      <c r="G51" s="23"/>
      <c r="H51" s="23"/>
      <c r="I51" s="121"/>
      <c r="J51" s="121"/>
      <c r="K51" s="26"/>
      <c r="L51" s="26"/>
      <c r="M51" s="26"/>
      <c r="N51" s="26"/>
      <c r="O51" s="26"/>
      <c r="P51" s="26"/>
      <c r="Q51" s="26"/>
      <c r="R51" s="23"/>
      <c r="S51" s="26"/>
      <c r="T51" s="26"/>
      <c r="U51" s="27"/>
      <c r="V51" s="122"/>
      <c r="W51" s="123">
        <f t="shared" si="1"/>
        <v>0</v>
      </c>
      <c r="X51" s="124" t="e">
        <f t="shared" si="2"/>
        <v>#DIV/0!</v>
      </c>
      <c r="Y51" s="125"/>
      <c r="Z51" s="31">
        <f t="shared" si="3"/>
        <v>0</v>
      </c>
      <c r="AA51" s="127"/>
      <c r="AB51" s="127"/>
      <c r="AC51" s="127">
        <f t="shared" si="4"/>
        <v>0</v>
      </c>
      <c r="AD51" s="128">
        <f t="shared" si="5"/>
        <v>0</v>
      </c>
      <c r="AE51" s="128">
        <f t="shared" si="6"/>
        <v>0</v>
      </c>
      <c r="AF51" s="127">
        <f t="shared" si="7"/>
        <v>0</v>
      </c>
    </row>
    <row r="52" ht="15.5" customHeight="1" spans="1:32">
      <c r="A52" s="23"/>
      <c r="B52" s="24"/>
      <c r="C52" s="24"/>
      <c r="D52" s="23"/>
      <c r="E52" s="24"/>
      <c r="F52" s="24"/>
      <c r="G52" s="23"/>
      <c r="H52" s="23"/>
      <c r="I52" s="121"/>
      <c r="J52" s="121"/>
      <c r="K52" s="26"/>
      <c r="L52" s="26"/>
      <c r="M52" s="26"/>
      <c r="N52" s="26"/>
      <c r="O52" s="26"/>
      <c r="P52" s="26"/>
      <c r="Q52" s="26"/>
      <c r="R52" s="23"/>
      <c r="S52" s="26"/>
      <c r="T52" s="26"/>
      <c r="U52" s="27"/>
      <c r="V52" s="122"/>
      <c r="W52" s="123">
        <f t="shared" si="1"/>
        <v>0</v>
      </c>
      <c r="X52" s="124" t="e">
        <f t="shared" si="2"/>
        <v>#DIV/0!</v>
      </c>
      <c r="Y52" s="125"/>
      <c r="Z52" s="31">
        <f t="shared" si="3"/>
        <v>0</v>
      </c>
      <c r="AA52" s="127"/>
      <c r="AB52" s="127"/>
      <c r="AC52" s="127">
        <f t="shared" si="4"/>
        <v>0</v>
      </c>
      <c r="AD52" s="128">
        <f t="shared" si="5"/>
        <v>0</v>
      </c>
      <c r="AE52" s="128">
        <f t="shared" si="6"/>
        <v>0</v>
      </c>
      <c r="AF52" s="127">
        <f t="shared" si="7"/>
        <v>0</v>
      </c>
    </row>
    <row r="53" ht="15.5" customHeight="1" spans="1:32">
      <c r="A53" s="23"/>
      <c r="B53" s="24"/>
      <c r="C53" s="24"/>
      <c r="D53" s="23"/>
      <c r="E53" s="24"/>
      <c r="F53" s="24"/>
      <c r="G53" s="23"/>
      <c r="H53" s="23"/>
      <c r="I53" s="121"/>
      <c r="J53" s="121"/>
      <c r="K53" s="26"/>
      <c r="L53" s="26"/>
      <c r="M53" s="26"/>
      <c r="N53" s="26"/>
      <c r="O53" s="26"/>
      <c r="P53" s="26"/>
      <c r="Q53" s="26"/>
      <c r="R53" s="23"/>
      <c r="S53" s="26"/>
      <c r="T53" s="26"/>
      <c r="U53" s="27"/>
      <c r="V53" s="122"/>
      <c r="W53" s="123">
        <f t="shared" si="1"/>
        <v>0</v>
      </c>
      <c r="X53" s="124" t="e">
        <f t="shared" si="2"/>
        <v>#DIV/0!</v>
      </c>
      <c r="Y53" s="125"/>
      <c r="Z53" s="31">
        <f t="shared" si="3"/>
        <v>0</v>
      </c>
      <c r="AA53" s="127"/>
      <c r="AB53" s="127"/>
      <c r="AC53" s="127">
        <f t="shared" si="4"/>
        <v>0</v>
      </c>
      <c r="AD53" s="128">
        <f t="shared" si="5"/>
        <v>0</v>
      </c>
      <c r="AE53" s="128">
        <f t="shared" si="6"/>
        <v>0</v>
      </c>
      <c r="AF53" s="127">
        <f t="shared" si="7"/>
        <v>0</v>
      </c>
    </row>
    <row r="54" ht="15.5" customHeight="1" spans="1:32">
      <c r="A54" s="23"/>
      <c r="B54" s="24"/>
      <c r="C54" s="24"/>
      <c r="D54" s="23"/>
      <c r="E54" s="24"/>
      <c r="F54" s="24"/>
      <c r="G54" s="23"/>
      <c r="H54" s="23"/>
      <c r="I54" s="121"/>
      <c r="J54" s="121"/>
      <c r="K54" s="26"/>
      <c r="L54" s="26"/>
      <c r="M54" s="26"/>
      <c r="N54" s="26"/>
      <c r="O54" s="26"/>
      <c r="P54" s="26"/>
      <c r="Q54" s="26"/>
      <c r="R54" s="23"/>
      <c r="S54" s="26"/>
      <c r="T54" s="26"/>
      <c r="U54" s="27"/>
      <c r="V54" s="122"/>
      <c r="W54" s="123">
        <f t="shared" si="1"/>
        <v>0</v>
      </c>
      <c r="X54" s="124" t="e">
        <f t="shared" si="2"/>
        <v>#DIV/0!</v>
      </c>
      <c r="Y54" s="125"/>
      <c r="Z54" s="31">
        <f t="shared" si="3"/>
        <v>0</v>
      </c>
      <c r="AA54" s="127"/>
      <c r="AB54" s="127"/>
      <c r="AC54" s="127">
        <f t="shared" si="4"/>
        <v>0</v>
      </c>
      <c r="AD54" s="128">
        <f t="shared" si="5"/>
        <v>0</v>
      </c>
      <c r="AE54" s="128">
        <f t="shared" si="6"/>
        <v>0</v>
      </c>
      <c r="AF54" s="127">
        <f t="shared" si="7"/>
        <v>0</v>
      </c>
    </row>
    <row r="55" ht="15.5" customHeight="1" spans="1:32">
      <c r="A55" s="23"/>
      <c r="B55" s="24"/>
      <c r="C55" s="24"/>
      <c r="D55" s="23"/>
      <c r="E55" s="24"/>
      <c r="F55" s="24"/>
      <c r="G55" s="23"/>
      <c r="H55" s="23"/>
      <c r="I55" s="121"/>
      <c r="J55" s="121"/>
      <c r="K55" s="26"/>
      <c r="L55" s="26"/>
      <c r="M55" s="26"/>
      <c r="N55" s="26"/>
      <c r="O55" s="26"/>
      <c r="P55" s="26"/>
      <c r="Q55" s="26"/>
      <c r="R55" s="23"/>
      <c r="S55" s="26"/>
      <c r="T55" s="26"/>
      <c r="U55" s="27"/>
      <c r="V55" s="122"/>
      <c r="W55" s="123">
        <f t="shared" si="1"/>
        <v>0</v>
      </c>
      <c r="X55" s="124" t="e">
        <f t="shared" si="2"/>
        <v>#DIV/0!</v>
      </c>
      <c r="Y55" s="125"/>
      <c r="Z55" s="31">
        <f t="shared" si="3"/>
        <v>0</v>
      </c>
      <c r="AA55" s="127"/>
      <c r="AB55" s="127"/>
      <c r="AC55" s="127">
        <f t="shared" si="4"/>
        <v>0</v>
      </c>
      <c r="AD55" s="128">
        <f t="shared" si="5"/>
        <v>0</v>
      </c>
      <c r="AE55" s="128">
        <f t="shared" si="6"/>
        <v>0</v>
      </c>
      <c r="AF55" s="127">
        <f t="shared" si="7"/>
        <v>0</v>
      </c>
    </row>
    <row r="56" ht="15.5" customHeight="1" spans="1:32">
      <c r="A56" s="23"/>
      <c r="B56" s="24"/>
      <c r="C56" s="24"/>
      <c r="D56" s="23"/>
      <c r="E56" s="24"/>
      <c r="F56" s="24"/>
      <c r="G56" s="23"/>
      <c r="H56" s="23"/>
      <c r="I56" s="121"/>
      <c r="J56" s="121"/>
      <c r="K56" s="26"/>
      <c r="L56" s="26"/>
      <c r="M56" s="26"/>
      <c r="N56" s="26"/>
      <c r="O56" s="26"/>
      <c r="P56" s="26"/>
      <c r="Q56" s="26"/>
      <c r="R56" s="23"/>
      <c r="S56" s="26"/>
      <c r="T56" s="26"/>
      <c r="U56" s="27"/>
      <c r="V56" s="122"/>
      <c r="W56" s="123">
        <f t="shared" si="1"/>
        <v>0</v>
      </c>
      <c r="X56" s="124" t="e">
        <f t="shared" si="2"/>
        <v>#DIV/0!</v>
      </c>
      <c r="Y56" s="125"/>
      <c r="Z56" s="31">
        <f t="shared" si="3"/>
        <v>0</v>
      </c>
      <c r="AA56" s="127"/>
      <c r="AB56" s="127"/>
      <c r="AC56" s="127">
        <f t="shared" si="4"/>
        <v>0</v>
      </c>
      <c r="AD56" s="128">
        <f t="shared" si="5"/>
        <v>0</v>
      </c>
      <c r="AE56" s="128">
        <f t="shared" si="6"/>
        <v>0</v>
      </c>
      <c r="AF56" s="127">
        <f t="shared" si="7"/>
        <v>0</v>
      </c>
    </row>
    <row r="57" ht="15.5" customHeight="1" spans="1:32">
      <c r="A57" s="23"/>
      <c r="B57" s="24"/>
      <c r="C57" s="24"/>
      <c r="D57" s="23"/>
      <c r="E57" s="24"/>
      <c r="F57" s="24"/>
      <c r="G57" s="23"/>
      <c r="H57" s="23"/>
      <c r="I57" s="121"/>
      <c r="J57" s="121"/>
      <c r="K57" s="26"/>
      <c r="L57" s="26"/>
      <c r="M57" s="26"/>
      <c r="N57" s="26"/>
      <c r="O57" s="26"/>
      <c r="P57" s="26"/>
      <c r="Q57" s="26"/>
      <c r="R57" s="23"/>
      <c r="S57" s="26"/>
      <c r="T57" s="26"/>
      <c r="U57" s="27"/>
      <c r="V57" s="122"/>
      <c r="W57" s="123">
        <f t="shared" si="1"/>
        <v>0</v>
      </c>
      <c r="X57" s="124" t="e">
        <f t="shared" si="2"/>
        <v>#DIV/0!</v>
      </c>
      <c r="Y57" s="125"/>
      <c r="Z57" s="31">
        <f t="shared" si="3"/>
        <v>0</v>
      </c>
      <c r="AA57" s="127"/>
      <c r="AB57" s="127"/>
      <c r="AC57" s="127">
        <f t="shared" si="4"/>
        <v>0</v>
      </c>
      <c r="AD57" s="128">
        <f t="shared" si="5"/>
        <v>0</v>
      </c>
      <c r="AE57" s="128">
        <f t="shared" si="6"/>
        <v>0</v>
      </c>
      <c r="AF57" s="127">
        <f t="shared" si="7"/>
        <v>0</v>
      </c>
    </row>
    <row r="58" ht="15.5" customHeight="1" spans="1:32">
      <c r="A58" s="23"/>
      <c r="B58" s="24"/>
      <c r="C58" s="24"/>
      <c r="D58" s="23"/>
      <c r="E58" s="24"/>
      <c r="F58" s="24"/>
      <c r="G58" s="23"/>
      <c r="H58" s="23"/>
      <c r="I58" s="121"/>
      <c r="J58" s="121"/>
      <c r="K58" s="26"/>
      <c r="L58" s="26"/>
      <c r="M58" s="26"/>
      <c r="N58" s="26"/>
      <c r="O58" s="26"/>
      <c r="P58" s="26"/>
      <c r="Q58" s="26"/>
      <c r="R58" s="23"/>
      <c r="S58" s="26"/>
      <c r="T58" s="26"/>
      <c r="U58" s="27"/>
      <c r="V58" s="122"/>
      <c r="W58" s="123">
        <f t="shared" si="1"/>
        <v>0</v>
      </c>
      <c r="X58" s="124" t="e">
        <f t="shared" si="2"/>
        <v>#DIV/0!</v>
      </c>
      <c r="Y58" s="125"/>
      <c r="Z58" s="31">
        <f t="shared" si="3"/>
        <v>0</v>
      </c>
      <c r="AA58" s="127"/>
      <c r="AB58" s="127"/>
      <c r="AC58" s="127">
        <f t="shared" si="4"/>
        <v>0</v>
      </c>
      <c r="AD58" s="128">
        <f t="shared" si="5"/>
        <v>0</v>
      </c>
      <c r="AE58" s="128">
        <f t="shared" si="6"/>
        <v>0</v>
      </c>
      <c r="AF58" s="127">
        <f t="shared" si="7"/>
        <v>0</v>
      </c>
    </row>
    <row r="59" ht="15.5" customHeight="1" spans="1:32">
      <c r="A59" s="23"/>
      <c r="B59" s="24"/>
      <c r="C59" s="24"/>
      <c r="D59" s="23"/>
      <c r="E59" s="24"/>
      <c r="F59" s="24"/>
      <c r="G59" s="23"/>
      <c r="H59" s="23"/>
      <c r="I59" s="121"/>
      <c r="J59" s="121"/>
      <c r="K59" s="26"/>
      <c r="L59" s="26"/>
      <c r="M59" s="26"/>
      <c r="N59" s="26"/>
      <c r="O59" s="26"/>
      <c r="P59" s="26"/>
      <c r="Q59" s="26"/>
      <c r="R59" s="23"/>
      <c r="S59" s="26"/>
      <c r="T59" s="26"/>
      <c r="U59" s="27"/>
      <c r="V59" s="122"/>
      <c r="W59" s="123">
        <f t="shared" si="1"/>
        <v>0</v>
      </c>
      <c r="X59" s="124" t="e">
        <f t="shared" si="2"/>
        <v>#DIV/0!</v>
      </c>
      <c r="Y59" s="125"/>
      <c r="Z59" s="31">
        <f t="shared" si="3"/>
        <v>0</v>
      </c>
      <c r="AA59" s="127"/>
      <c r="AB59" s="127"/>
      <c r="AC59" s="127">
        <f t="shared" si="4"/>
        <v>0</v>
      </c>
      <c r="AD59" s="128">
        <f t="shared" si="5"/>
        <v>0</v>
      </c>
      <c r="AE59" s="128">
        <f t="shared" si="6"/>
        <v>0</v>
      </c>
      <c r="AF59" s="127">
        <f t="shared" si="7"/>
        <v>0</v>
      </c>
    </row>
    <row r="60" ht="15.5" customHeight="1" spans="1:32">
      <c r="A60" s="23"/>
      <c r="B60" s="24"/>
      <c r="C60" s="24"/>
      <c r="D60" s="23"/>
      <c r="E60" s="24"/>
      <c r="F60" s="24"/>
      <c r="G60" s="23"/>
      <c r="H60" s="23"/>
      <c r="I60" s="121"/>
      <c r="J60" s="121"/>
      <c r="K60" s="26"/>
      <c r="L60" s="26"/>
      <c r="M60" s="26"/>
      <c r="N60" s="26"/>
      <c r="O60" s="26"/>
      <c r="P60" s="26"/>
      <c r="Q60" s="26"/>
      <c r="R60" s="23"/>
      <c r="S60" s="26"/>
      <c r="T60" s="26"/>
      <c r="U60" s="27"/>
      <c r="V60" s="122"/>
      <c r="W60" s="123">
        <f t="shared" si="1"/>
        <v>0</v>
      </c>
      <c r="X60" s="124" t="e">
        <f t="shared" si="2"/>
        <v>#DIV/0!</v>
      </c>
      <c r="Y60" s="125"/>
      <c r="Z60" s="31">
        <f t="shared" si="3"/>
        <v>0</v>
      </c>
      <c r="AA60" s="127"/>
      <c r="AB60" s="127"/>
      <c r="AC60" s="127">
        <f t="shared" si="4"/>
        <v>0</v>
      </c>
      <c r="AD60" s="128">
        <f t="shared" si="5"/>
        <v>0</v>
      </c>
      <c r="AE60" s="128">
        <f t="shared" si="6"/>
        <v>0</v>
      </c>
      <c r="AF60" s="127">
        <f t="shared" si="7"/>
        <v>0</v>
      </c>
    </row>
    <row r="61" ht="15.5" customHeight="1" spans="1:32">
      <c r="A61" s="23"/>
      <c r="B61" s="24"/>
      <c r="C61" s="24"/>
      <c r="D61" s="23"/>
      <c r="E61" s="24"/>
      <c r="F61" s="24"/>
      <c r="G61" s="23"/>
      <c r="H61" s="23"/>
      <c r="I61" s="121"/>
      <c r="J61" s="121"/>
      <c r="K61" s="26"/>
      <c r="L61" s="26"/>
      <c r="M61" s="26"/>
      <c r="N61" s="26"/>
      <c r="O61" s="26"/>
      <c r="P61" s="26"/>
      <c r="Q61" s="26"/>
      <c r="R61" s="23"/>
      <c r="S61" s="26"/>
      <c r="T61" s="26"/>
      <c r="U61" s="27"/>
      <c r="V61" s="122"/>
      <c r="W61" s="123">
        <f t="shared" si="1"/>
        <v>0</v>
      </c>
      <c r="X61" s="124" t="e">
        <f t="shared" si="2"/>
        <v>#DIV/0!</v>
      </c>
      <c r="Y61" s="125"/>
      <c r="Z61" s="31">
        <f t="shared" si="3"/>
        <v>0</v>
      </c>
      <c r="AA61" s="127"/>
      <c r="AB61" s="127"/>
      <c r="AC61" s="127">
        <f t="shared" si="4"/>
        <v>0</v>
      </c>
      <c r="AD61" s="128">
        <f t="shared" si="5"/>
        <v>0</v>
      </c>
      <c r="AE61" s="128">
        <f t="shared" si="6"/>
        <v>0</v>
      </c>
      <c r="AF61" s="127">
        <f t="shared" si="7"/>
        <v>0</v>
      </c>
    </row>
    <row r="62" ht="15.5" customHeight="1" spans="1:32">
      <c r="A62" s="23"/>
      <c r="B62" s="24"/>
      <c r="C62" s="24"/>
      <c r="D62" s="23"/>
      <c r="E62" s="24"/>
      <c r="F62" s="24"/>
      <c r="G62" s="23"/>
      <c r="H62" s="23"/>
      <c r="I62" s="121"/>
      <c r="J62" s="121"/>
      <c r="K62" s="26"/>
      <c r="L62" s="26"/>
      <c r="M62" s="26"/>
      <c r="N62" s="26"/>
      <c r="O62" s="26"/>
      <c r="P62" s="26"/>
      <c r="Q62" s="26"/>
      <c r="R62" s="23"/>
      <c r="S62" s="26"/>
      <c r="T62" s="26"/>
      <c r="U62" s="27"/>
      <c r="V62" s="122"/>
      <c r="W62" s="123">
        <f t="shared" si="1"/>
        <v>0</v>
      </c>
      <c r="X62" s="124" t="e">
        <f t="shared" si="2"/>
        <v>#DIV/0!</v>
      </c>
      <c r="Y62" s="125"/>
      <c r="Z62" s="31">
        <f t="shared" si="3"/>
        <v>0</v>
      </c>
      <c r="AA62" s="127"/>
      <c r="AB62" s="127"/>
      <c r="AC62" s="127">
        <f t="shared" si="4"/>
        <v>0</v>
      </c>
      <c r="AD62" s="128">
        <f t="shared" si="5"/>
        <v>0</v>
      </c>
      <c r="AE62" s="128">
        <f t="shared" si="6"/>
        <v>0</v>
      </c>
      <c r="AF62" s="127">
        <f t="shared" si="7"/>
        <v>0</v>
      </c>
    </row>
    <row r="63" ht="15.5" customHeight="1" spans="1:32">
      <c r="A63" s="23"/>
      <c r="B63" s="24"/>
      <c r="C63" s="24"/>
      <c r="D63" s="23"/>
      <c r="E63" s="24"/>
      <c r="F63" s="24"/>
      <c r="G63" s="23"/>
      <c r="H63" s="23"/>
      <c r="I63" s="121"/>
      <c r="J63" s="121"/>
      <c r="K63" s="26"/>
      <c r="L63" s="26"/>
      <c r="M63" s="26"/>
      <c r="N63" s="26"/>
      <c r="O63" s="26"/>
      <c r="P63" s="26"/>
      <c r="Q63" s="26"/>
      <c r="R63" s="23"/>
      <c r="S63" s="26"/>
      <c r="T63" s="26"/>
      <c r="U63" s="27"/>
      <c r="V63" s="122"/>
      <c r="W63" s="123">
        <f t="shared" si="1"/>
        <v>0</v>
      </c>
      <c r="X63" s="124" t="e">
        <f t="shared" si="2"/>
        <v>#DIV/0!</v>
      </c>
      <c r="Y63" s="125"/>
      <c r="Z63" s="31">
        <f t="shared" si="3"/>
        <v>0</v>
      </c>
      <c r="AA63" s="127"/>
      <c r="AB63" s="127"/>
      <c r="AC63" s="127">
        <f t="shared" si="4"/>
        <v>0</v>
      </c>
      <c r="AD63" s="128">
        <f t="shared" si="5"/>
        <v>0</v>
      </c>
      <c r="AE63" s="128">
        <f t="shared" si="6"/>
        <v>0</v>
      </c>
      <c r="AF63" s="127">
        <f t="shared" si="7"/>
        <v>0</v>
      </c>
    </row>
    <row r="64" ht="15.5" customHeight="1" spans="1:32">
      <c r="A64" s="23"/>
      <c r="B64" s="24"/>
      <c r="C64" s="24"/>
      <c r="D64" s="23"/>
      <c r="E64" s="24"/>
      <c r="F64" s="24"/>
      <c r="G64" s="23"/>
      <c r="H64" s="23"/>
      <c r="I64" s="121"/>
      <c r="J64" s="121"/>
      <c r="K64" s="26"/>
      <c r="L64" s="26"/>
      <c r="M64" s="26"/>
      <c r="N64" s="26"/>
      <c r="O64" s="26"/>
      <c r="P64" s="26"/>
      <c r="Q64" s="26"/>
      <c r="R64" s="23"/>
      <c r="S64" s="26"/>
      <c r="T64" s="26"/>
      <c r="U64" s="27"/>
      <c r="V64" s="122"/>
      <c r="W64" s="123">
        <f t="shared" si="1"/>
        <v>0</v>
      </c>
      <c r="X64" s="124" t="e">
        <f t="shared" si="2"/>
        <v>#DIV/0!</v>
      </c>
      <c r="Y64" s="125"/>
      <c r="Z64" s="31">
        <f t="shared" si="3"/>
        <v>0</v>
      </c>
      <c r="AA64" s="127"/>
      <c r="AB64" s="127"/>
      <c r="AC64" s="127">
        <f t="shared" si="4"/>
        <v>0</v>
      </c>
      <c r="AD64" s="128">
        <f t="shared" si="5"/>
        <v>0</v>
      </c>
      <c r="AE64" s="128">
        <f t="shared" si="6"/>
        <v>0</v>
      </c>
      <c r="AF64" s="127">
        <f t="shared" si="7"/>
        <v>0</v>
      </c>
    </row>
    <row r="65" ht="15.5" customHeight="1" spans="1:32">
      <c r="A65" s="23"/>
      <c r="B65" s="24"/>
      <c r="C65" s="24"/>
      <c r="D65" s="23"/>
      <c r="E65" s="24"/>
      <c r="F65" s="24"/>
      <c r="G65" s="23"/>
      <c r="H65" s="23"/>
      <c r="I65" s="121"/>
      <c r="J65" s="121"/>
      <c r="K65" s="26"/>
      <c r="L65" s="26"/>
      <c r="M65" s="26"/>
      <c r="N65" s="26"/>
      <c r="O65" s="26"/>
      <c r="P65" s="26"/>
      <c r="Q65" s="26"/>
      <c r="R65" s="23"/>
      <c r="S65" s="26"/>
      <c r="T65" s="26"/>
      <c r="U65" s="27"/>
      <c r="V65" s="122"/>
      <c r="W65" s="123">
        <f t="shared" si="1"/>
        <v>0</v>
      </c>
      <c r="X65" s="124" t="e">
        <f t="shared" si="2"/>
        <v>#DIV/0!</v>
      </c>
      <c r="Y65" s="125"/>
      <c r="Z65" s="31">
        <f t="shared" si="3"/>
        <v>0</v>
      </c>
      <c r="AA65" s="127"/>
      <c r="AB65" s="127"/>
      <c r="AC65" s="127">
        <f t="shared" si="4"/>
        <v>0</v>
      </c>
      <c r="AD65" s="128">
        <f t="shared" si="5"/>
        <v>0</v>
      </c>
      <c r="AE65" s="128">
        <f t="shared" si="6"/>
        <v>0</v>
      </c>
      <c r="AF65" s="127">
        <f t="shared" si="7"/>
        <v>0</v>
      </c>
    </row>
    <row r="66" ht="15.5" customHeight="1" spans="1:32">
      <c r="A66" s="23"/>
      <c r="B66" s="24"/>
      <c r="C66" s="24"/>
      <c r="D66" s="23"/>
      <c r="E66" s="24"/>
      <c r="F66" s="24"/>
      <c r="G66" s="23"/>
      <c r="H66" s="23"/>
      <c r="I66" s="121"/>
      <c r="J66" s="121"/>
      <c r="K66" s="26"/>
      <c r="L66" s="26"/>
      <c r="M66" s="26"/>
      <c r="N66" s="26"/>
      <c r="O66" s="26"/>
      <c r="P66" s="26"/>
      <c r="Q66" s="26"/>
      <c r="R66" s="23"/>
      <c r="S66" s="26"/>
      <c r="T66" s="26"/>
      <c r="U66" s="27"/>
      <c r="V66" s="122"/>
      <c r="W66" s="123">
        <f t="shared" si="1"/>
        <v>0</v>
      </c>
      <c r="X66" s="124" t="e">
        <f t="shared" si="2"/>
        <v>#DIV/0!</v>
      </c>
      <c r="Y66" s="125"/>
      <c r="Z66" s="31">
        <f t="shared" si="3"/>
        <v>0</v>
      </c>
      <c r="AA66" s="127"/>
      <c r="AB66" s="127"/>
      <c r="AC66" s="127">
        <f t="shared" si="4"/>
        <v>0</v>
      </c>
      <c r="AD66" s="128">
        <f t="shared" si="5"/>
        <v>0</v>
      </c>
      <c r="AE66" s="128">
        <f t="shared" si="6"/>
        <v>0</v>
      </c>
      <c r="AF66" s="127">
        <f t="shared" si="7"/>
        <v>0</v>
      </c>
    </row>
    <row r="67" ht="15.5" customHeight="1" spans="1:32">
      <c r="A67" s="23"/>
      <c r="B67" s="24"/>
      <c r="C67" s="24"/>
      <c r="D67" s="23"/>
      <c r="E67" s="24"/>
      <c r="F67" s="24"/>
      <c r="G67" s="23"/>
      <c r="H67" s="23"/>
      <c r="I67" s="121"/>
      <c r="J67" s="121"/>
      <c r="K67" s="26"/>
      <c r="L67" s="26"/>
      <c r="M67" s="26"/>
      <c r="N67" s="26"/>
      <c r="O67" s="26"/>
      <c r="P67" s="26"/>
      <c r="Q67" s="26"/>
      <c r="R67" s="23"/>
      <c r="S67" s="26"/>
      <c r="T67" s="26"/>
      <c r="U67" s="27"/>
      <c r="V67" s="122"/>
      <c r="W67" s="123">
        <f t="shared" si="1"/>
        <v>0</v>
      </c>
      <c r="X67" s="124" t="e">
        <f t="shared" si="2"/>
        <v>#DIV/0!</v>
      </c>
      <c r="Y67" s="125"/>
      <c r="Z67" s="31">
        <f t="shared" si="3"/>
        <v>0</v>
      </c>
      <c r="AA67" s="127"/>
      <c r="AB67" s="127"/>
      <c r="AC67" s="127">
        <f t="shared" si="4"/>
        <v>0</v>
      </c>
      <c r="AD67" s="128">
        <f t="shared" si="5"/>
        <v>0</v>
      </c>
      <c r="AE67" s="128">
        <f t="shared" si="6"/>
        <v>0</v>
      </c>
      <c r="AF67" s="127">
        <f t="shared" si="7"/>
        <v>0</v>
      </c>
    </row>
    <row r="68" ht="15.5" customHeight="1" spans="1:32">
      <c r="A68" s="23"/>
      <c r="B68" s="24"/>
      <c r="C68" s="24"/>
      <c r="D68" s="23"/>
      <c r="E68" s="24"/>
      <c r="F68" s="24"/>
      <c r="G68" s="23"/>
      <c r="H68" s="23"/>
      <c r="I68" s="121"/>
      <c r="J68" s="121"/>
      <c r="K68" s="26"/>
      <c r="L68" s="26"/>
      <c r="M68" s="26"/>
      <c r="N68" s="26"/>
      <c r="O68" s="26"/>
      <c r="P68" s="26"/>
      <c r="Q68" s="26"/>
      <c r="R68" s="23"/>
      <c r="S68" s="26"/>
      <c r="T68" s="26"/>
      <c r="U68" s="27"/>
      <c r="V68" s="122"/>
      <c r="W68" s="123">
        <f t="shared" si="1"/>
        <v>0</v>
      </c>
      <c r="X68" s="124" t="e">
        <f t="shared" si="2"/>
        <v>#DIV/0!</v>
      </c>
      <c r="Y68" s="125"/>
      <c r="Z68" s="31">
        <f t="shared" si="3"/>
        <v>0</v>
      </c>
      <c r="AA68" s="127"/>
      <c r="AB68" s="127"/>
      <c r="AC68" s="127">
        <f t="shared" si="4"/>
        <v>0</v>
      </c>
      <c r="AD68" s="128">
        <f t="shared" si="5"/>
        <v>0</v>
      </c>
      <c r="AE68" s="128">
        <f t="shared" si="6"/>
        <v>0</v>
      </c>
      <c r="AF68" s="127">
        <f t="shared" si="7"/>
        <v>0</v>
      </c>
    </row>
    <row r="69" ht="15.5" customHeight="1" spans="1:32">
      <c r="A69" s="23"/>
      <c r="B69" s="24"/>
      <c r="C69" s="24"/>
      <c r="D69" s="23"/>
      <c r="E69" s="24"/>
      <c r="F69" s="24"/>
      <c r="G69" s="23"/>
      <c r="H69" s="23"/>
      <c r="I69" s="121"/>
      <c r="J69" s="121"/>
      <c r="K69" s="26"/>
      <c r="L69" s="26"/>
      <c r="M69" s="26"/>
      <c r="N69" s="26"/>
      <c r="O69" s="26"/>
      <c r="P69" s="26"/>
      <c r="Q69" s="26"/>
      <c r="R69" s="23"/>
      <c r="S69" s="26"/>
      <c r="T69" s="26"/>
      <c r="U69" s="27"/>
      <c r="V69" s="122"/>
      <c r="W69" s="123">
        <f t="shared" si="1"/>
        <v>0</v>
      </c>
      <c r="X69" s="124" t="e">
        <f t="shared" si="2"/>
        <v>#DIV/0!</v>
      </c>
      <c r="Y69" s="125"/>
      <c r="Z69" s="31">
        <f t="shared" si="3"/>
        <v>0</v>
      </c>
      <c r="AA69" s="127"/>
      <c r="AB69" s="127"/>
      <c r="AC69" s="127">
        <f t="shared" si="4"/>
        <v>0</v>
      </c>
      <c r="AD69" s="128">
        <f t="shared" si="5"/>
        <v>0</v>
      </c>
      <c r="AE69" s="128">
        <f t="shared" si="6"/>
        <v>0</v>
      </c>
      <c r="AF69" s="127">
        <f t="shared" si="7"/>
        <v>0</v>
      </c>
    </row>
    <row r="70" ht="15.5" customHeight="1" spans="1:32">
      <c r="A70" s="23"/>
      <c r="B70" s="24"/>
      <c r="C70" s="24"/>
      <c r="D70" s="23"/>
      <c r="E70" s="24"/>
      <c r="F70" s="24"/>
      <c r="G70" s="23"/>
      <c r="H70" s="23"/>
      <c r="I70" s="121"/>
      <c r="J70" s="121"/>
      <c r="K70" s="26"/>
      <c r="L70" s="26"/>
      <c r="M70" s="26"/>
      <c r="N70" s="26"/>
      <c r="O70" s="26"/>
      <c r="P70" s="26"/>
      <c r="Q70" s="26"/>
      <c r="R70" s="23"/>
      <c r="S70" s="26"/>
      <c r="T70" s="26"/>
      <c r="U70" s="27"/>
      <c r="V70" s="122"/>
      <c r="W70" s="123">
        <f t="shared" si="1"/>
        <v>0</v>
      </c>
      <c r="X70" s="124" t="e">
        <f t="shared" si="2"/>
        <v>#DIV/0!</v>
      </c>
      <c r="Y70" s="125"/>
      <c r="Z70" s="31">
        <f t="shared" si="3"/>
        <v>0</v>
      </c>
      <c r="AA70" s="127"/>
      <c r="AB70" s="127"/>
      <c r="AC70" s="127">
        <f t="shared" si="4"/>
        <v>0</v>
      </c>
      <c r="AD70" s="128">
        <f t="shared" si="5"/>
        <v>0</v>
      </c>
      <c r="AE70" s="128">
        <f t="shared" si="6"/>
        <v>0</v>
      </c>
      <c r="AF70" s="127">
        <f t="shared" si="7"/>
        <v>0</v>
      </c>
    </row>
    <row r="71" ht="15.5" customHeight="1" spans="1:32">
      <c r="A71" s="23"/>
      <c r="B71" s="24"/>
      <c r="C71" s="24"/>
      <c r="D71" s="23"/>
      <c r="E71" s="24"/>
      <c r="F71" s="24"/>
      <c r="G71" s="23"/>
      <c r="H71" s="23"/>
      <c r="I71" s="121"/>
      <c r="J71" s="121"/>
      <c r="K71" s="26"/>
      <c r="L71" s="26"/>
      <c r="M71" s="26"/>
      <c r="N71" s="26"/>
      <c r="O71" s="26"/>
      <c r="P71" s="26"/>
      <c r="Q71" s="26"/>
      <c r="R71" s="23"/>
      <c r="S71" s="26"/>
      <c r="T71" s="26"/>
      <c r="U71" s="27"/>
      <c r="V71" s="122"/>
      <c r="W71" s="123">
        <f t="shared" ref="W71:W134" si="8">($V$5-J71)/365</f>
        <v>0</v>
      </c>
      <c r="X71" s="124" t="e">
        <f t="shared" ref="X71:X134" si="9">(V71-W71)/V71</f>
        <v>#DIV/0!</v>
      </c>
      <c r="Y71" s="125"/>
      <c r="Z71" s="31">
        <f t="shared" ref="Z71:Z134" si="10">Y71</f>
        <v>0</v>
      </c>
      <c r="AA71" s="127"/>
      <c r="AB71" s="127"/>
      <c r="AC71" s="127">
        <f t="shared" ref="AC71:AC134" si="11">Z71*0.13/(1+0.13)</f>
        <v>0</v>
      </c>
      <c r="AD71" s="128">
        <f t="shared" ref="AD71:AD134" si="12">Z71-AC71</f>
        <v>0</v>
      </c>
      <c r="AE71" s="128">
        <f t="shared" ref="AE71:AE134" si="13">Z71*H71</f>
        <v>0</v>
      </c>
      <c r="AF71" s="127">
        <f t="shared" ref="AF71:AF134" si="14">ROUND(AD71*H71,-2)</f>
        <v>0</v>
      </c>
    </row>
    <row r="72" ht="15.5" customHeight="1" spans="1:32">
      <c r="A72" s="23"/>
      <c r="B72" s="24"/>
      <c r="C72" s="24"/>
      <c r="D72" s="23"/>
      <c r="E72" s="24"/>
      <c r="F72" s="24"/>
      <c r="G72" s="23"/>
      <c r="H72" s="23"/>
      <c r="I72" s="121"/>
      <c r="J72" s="121"/>
      <c r="K72" s="26"/>
      <c r="L72" s="26"/>
      <c r="M72" s="26"/>
      <c r="N72" s="26"/>
      <c r="O72" s="26"/>
      <c r="P72" s="26"/>
      <c r="Q72" s="26"/>
      <c r="R72" s="23"/>
      <c r="S72" s="26"/>
      <c r="T72" s="26"/>
      <c r="U72" s="27"/>
      <c r="V72" s="122"/>
      <c r="W72" s="123">
        <f t="shared" si="8"/>
        <v>0</v>
      </c>
      <c r="X72" s="124" t="e">
        <f t="shared" si="9"/>
        <v>#DIV/0!</v>
      </c>
      <c r="Y72" s="125"/>
      <c r="Z72" s="31">
        <f t="shared" si="10"/>
        <v>0</v>
      </c>
      <c r="AA72" s="127"/>
      <c r="AB72" s="127"/>
      <c r="AC72" s="127">
        <f t="shared" si="11"/>
        <v>0</v>
      </c>
      <c r="AD72" s="128">
        <f t="shared" si="12"/>
        <v>0</v>
      </c>
      <c r="AE72" s="128">
        <f t="shared" si="13"/>
        <v>0</v>
      </c>
      <c r="AF72" s="127">
        <f t="shared" si="14"/>
        <v>0</v>
      </c>
    </row>
    <row r="73" ht="15.5" customHeight="1" spans="1:32">
      <c r="A73" s="23"/>
      <c r="B73" s="24"/>
      <c r="C73" s="24"/>
      <c r="D73" s="23"/>
      <c r="E73" s="24"/>
      <c r="F73" s="24"/>
      <c r="G73" s="23"/>
      <c r="H73" s="23"/>
      <c r="I73" s="121"/>
      <c r="J73" s="121"/>
      <c r="K73" s="26"/>
      <c r="L73" s="26"/>
      <c r="M73" s="26"/>
      <c r="N73" s="26"/>
      <c r="O73" s="26"/>
      <c r="P73" s="26"/>
      <c r="Q73" s="26"/>
      <c r="R73" s="23"/>
      <c r="S73" s="26"/>
      <c r="T73" s="26"/>
      <c r="U73" s="27"/>
      <c r="V73" s="122"/>
      <c r="W73" s="123">
        <f t="shared" si="8"/>
        <v>0</v>
      </c>
      <c r="X73" s="124" t="e">
        <f t="shared" si="9"/>
        <v>#DIV/0!</v>
      </c>
      <c r="Y73" s="125"/>
      <c r="Z73" s="31">
        <f t="shared" si="10"/>
        <v>0</v>
      </c>
      <c r="AA73" s="127"/>
      <c r="AB73" s="127"/>
      <c r="AC73" s="127">
        <f t="shared" si="11"/>
        <v>0</v>
      </c>
      <c r="AD73" s="128">
        <f t="shared" si="12"/>
        <v>0</v>
      </c>
      <c r="AE73" s="128">
        <f t="shared" si="13"/>
        <v>0</v>
      </c>
      <c r="AF73" s="127">
        <f t="shared" si="14"/>
        <v>0</v>
      </c>
    </row>
    <row r="74" ht="15.5" customHeight="1" spans="1:32">
      <c r="A74" s="23"/>
      <c r="B74" s="24"/>
      <c r="C74" s="24"/>
      <c r="D74" s="23"/>
      <c r="E74" s="24"/>
      <c r="F74" s="24"/>
      <c r="G74" s="23"/>
      <c r="H74" s="23"/>
      <c r="I74" s="121"/>
      <c r="J74" s="121"/>
      <c r="K74" s="26"/>
      <c r="L74" s="26"/>
      <c r="M74" s="26"/>
      <c r="N74" s="26"/>
      <c r="O74" s="26"/>
      <c r="P74" s="26"/>
      <c r="Q74" s="26"/>
      <c r="R74" s="23"/>
      <c r="S74" s="26"/>
      <c r="T74" s="26"/>
      <c r="U74" s="27"/>
      <c r="V74" s="122"/>
      <c r="W74" s="123">
        <f t="shared" si="8"/>
        <v>0</v>
      </c>
      <c r="X74" s="124" t="e">
        <f t="shared" si="9"/>
        <v>#DIV/0!</v>
      </c>
      <c r="Y74" s="125"/>
      <c r="Z74" s="31">
        <f t="shared" si="10"/>
        <v>0</v>
      </c>
      <c r="AA74" s="127"/>
      <c r="AB74" s="127"/>
      <c r="AC74" s="127">
        <f t="shared" si="11"/>
        <v>0</v>
      </c>
      <c r="AD74" s="128">
        <f t="shared" si="12"/>
        <v>0</v>
      </c>
      <c r="AE74" s="128">
        <f t="shared" si="13"/>
        <v>0</v>
      </c>
      <c r="AF74" s="127">
        <f t="shared" si="14"/>
        <v>0</v>
      </c>
    </row>
    <row r="75" ht="15.5" customHeight="1" spans="1:32">
      <c r="A75" s="23"/>
      <c r="B75" s="24"/>
      <c r="C75" s="24"/>
      <c r="D75" s="23"/>
      <c r="E75" s="24"/>
      <c r="F75" s="24"/>
      <c r="G75" s="23"/>
      <c r="H75" s="23"/>
      <c r="I75" s="121"/>
      <c r="J75" s="121"/>
      <c r="K75" s="26"/>
      <c r="L75" s="26"/>
      <c r="M75" s="26"/>
      <c r="N75" s="26"/>
      <c r="O75" s="26"/>
      <c r="P75" s="26"/>
      <c r="Q75" s="26"/>
      <c r="R75" s="23"/>
      <c r="S75" s="26"/>
      <c r="T75" s="26"/>
      <c r="U75" s="27"/>
      <c r="V75" s="122"/>
      <c r="W75" s="123">
        <f t="shared" si="8"/>
        <v>0</v>
      </c>
      <c r="X75" s="124" t="e">
        <f t="shared" si="9"/>
        <v>#DIV/0!</v>
      </c>
      <c r="Y75" s="125"/>
      <c r="Z75" s="31">
        <f t="shared" si="10"/>
        <v>0</v>
      </c>
      <c r="AA75" s="127"/>
      <c r="AB75" s="127"/>
      <c r="AC75" s="127">
        <f t="shared" si="11"/>
        <v>0</v>
      </c>
      <c r="AD75" s="128">
        <f t="shared" si="12"/>
        <v>0</v>
      </c>
      <c r="AE75" s="128">
        <f t="shared" si="13"/>
        <v>0</v>
      </c>
      <c r="AF75" s="127">
        <f t="shared" si="14"/>
        <v>0</v>
      </c>
    </row>
    <row r="76" ht="15.5" customHeight="1" spans="1:32">
      <c r="A76" s="23"/>
      <c r="B76" s="24"/>
      <c r="C76" s="24"/>
      <c r="D76" s="23"/>
      <c r="E76" s="24"/>
      <c r="F76" s="24"/>
      <c r="G76" s="23"/>
      <c r="H76" s="23"/>
      <c r="I76" s="121"/>
      <c r="J76" s="121"/>
      <c r="K76" s="26"/>
      <c r="L76" s="26"/>
      <c r="M76" s="26"/>
      <c r="N76" s="26"/>
      <c r="O76" s="26"/>
      <c r="P76" s="26"/>
      <c r="Q76" s="26"/>
      <c r="R76" s="23"/>
      <c r="S76" s="26"/>
      <c r="T76" s="26"/>
      <c r="U76" s="27"/>
      <c r="V76" s="122"/>
      <c r="W76" s="123">
        <f t="shared" si="8"/>
        <v>0</v>
      </c>
      <c r="X76" s="124" t="e">
        <f t="shared" si="9"/>
        <v>#DIV/0!</v>
      </c>
      <c r="Y76" s="125"/>
      <c r="Z76" s="31">
        <f t="shared" si="10"/>
        <v>0</v>
      </c>
      <c r="AA76" s="127"/>
      <c r="AB76" s="127"/>
      <c r="AC76" s="127">
        <f t="shared" si="11"/>
        <v>0</v>
      </c>
      <c r="AD76" s="128">
        <f t="shared" si="12"/>
        <v>0</v>
      </c>
      <c r="AE76" s="128">
        <f t="shared" si="13"/>
        <v>0</v>
      </c>
      <c r="AF76" s="127">
        <f t="shared" si="14"/>
        <v>0</v>
      </c>
    </row>
    <row r="77" ht="15.5" customHeight="1" spans="1:32">
      <c r="A77" s="23"/>
      <c r="B77" s="24"/>
      <c r="C77" s="67"/>
      <c r="D77" s="23"/>
      <c r="E77" s="24"/>
      <c r="F77" s="24"/>
      <c r="G77" s="23"/>
      <c r="H77" s="23"/>
      <c r="I77" s="121"/>
      <c r="J77" s="121"/>
      <c r="K77" s="26"/>
      <c r="L77" s="26"/>
      <c r="M77" s="26"/>
      <c r="N77" s="26"/>
      <c r="O77" s="26"/>
      <c r="P77" s="26"/>
      <c r="Q77" s="26"/>
      <c r="R77" s="23"/>
      <c r="S77" s="26"/>
      <c r="T77" s="26"/>
      <c r="U77" s="27"/>
      <c r="V77" s="122"/>
      <c r="W77" s="123">
        <f t="shared" si="8"/>
        <v>0</v>
      </c>
      <c r="X77" s="124" t="e">
        <f t="shared" si="9"/>
        <v>#DIV/0!</v>
      </c>
      <c r="Y77" s="125"/>
      <c r="Z77" s="31">
        <f t="shared" si="10"/>
        <v>0</v>
      </c>
      <c r="AA77" s="127"/>
      <c r="AB77" s="127"/>
      <c r="AC77" s="127">
        <f t="shared" si="11"/>
        <v>0</v>
      </c>
      <c r="AD77" s="128">
        <f t="shared" si="12"/>
        <v>0</v>
      </c>
      <c r="AE77" s="128">
        <f t="shared" si="13"/>
        <v>0</v>
      </c>
      <c r="AF77" s="127">
        <f t="shared" si="14"/>
        <v>0</v>
      </c>
    </row>
    <row r="78" ht="15.5" customHeight="1" spans="1:32">
      <c r="A78" s="23"/>
      <c r="B78" s="24"/>
      <c r="C78" s="24"/>
      <c r="D78" s="23"/>
      <c r="E78" s="24"/>
      <c r="F78" s="24"/>
      <c r="G78" s="23"/>
      <c r="H78" s="23"/>
      <c r="I78" s="121"/>
      <c r="J78" s="121"/>
      <c r="K78" s="26"/>
      <c r="L78" s="26"/>
      <c r="M78" s="26"/>
      <c r="N78" s="26"/>
      <c r="O78" s="26"/>
      <c r="P78" s="26"/>
      <c r="Q78" s="26"/>
      <c r="R78" s="23"/>
      <c r="S78" s="26"/>
      <c r="T78" s="26"/>
      <c r="U78" s="27"/>
      <c r="V78" s="122"/>
      <c r="W78" s="123">
        <f t="shared" si="8"/>
        <v>0</v>
      </c>
      <c r="X78" s="124" t="e">
        <f t="shared" si="9"/>
        <v>#DIV/0!</v>
      </c>
      <c r="Y78" s="125"/>
      <c r="Z78" s="31">
        <f t="shared" si="10"/>
        <v>0</v>
      </c>
      <c r="AA78" s="127"/>
      <c r="AB78" s="127"/>
      <c r="AC78" s="127">
        <f t="shared" si="11"/>
        <v>0</v>
      </c>
      <c r="AD78" s="128">
        <f t="shared" si="12"/>
        <v>0</v>
      </c>
      <c r="AE78" s="128">
        <f t="shared" si="13"/>
        <v>0</v>
      </c>
      <c r="AF78" s="127">
        <f t="shared" si="14"/>
        <v>0</v>
      </c>
    </row>
    <row r="79" ht="15.5" customHeight="1" spans="1:32">
      <c r="A79" s="23"/>
      <c r="B79" s="24"/>
      <c r="C79" s="24"/>
      <c r="D79" s="23"/>
      <c r="E79" s="24"/>
      <c r="F79" s="24"/>
      <c r="G79" s="23"/>
      <c r="H79" s="23"/>
      <c r="I79" s="121"/>
      <c r="J79" s="121"/>
      <c r="K79" s="26"/>
      <c r="L79" s="26"/>
      <c r="M79" s="26"/>
      <c r="N79" s="26"/>
      <c r="O79" s="26"/>
      <c r="P79" s="26"/>
      <c r="Q79" s="26"/>
      <c r="R79" s="23"/>
      <c r="S79" s="26"/>
      <c r="T79" s="26"/>
      <c r="U79" s="27"/>
      <c r="V79" s="122"/>
      <c r="W79" s="123">
        <f t="shared" si="8"/>
        <v>0</v>
      </c>
      <c r="X79" s="124" t="e">
        <f t="shared" si="9"/>
        <v>#DIV/0!</v>
      </c>
      <c r="Y79" s="125"/>
      <c r="Z79" s="31">
        <f t="shared" si="10"/>
        <v>0</v>
      </c>
      <c r="AA79" s="127"/>
      <c r="AB79" s="127"/>
      <c r="AC79" s="127">
        <f t="shared" si="11"/>
        <v>0</v>
      </c>
      <c r="AD79" s="128">
        <f t="shared" si="12"/>
        <v>0</v>
      </c>
      <c r="AE79" s="128">
        <f t="shared" si="13"/>
        <v>0</v>
      </c>
      <c r="AF79" s="127">
        <f t="shared" si="14"/>
        <v>0</v>
      </c>
    </row>
    <row r="80" ht="15.5" customHeight="1" spans="1:32">
      <c r="A80" s="23"/>
      <c r="B80" s="24"/>
      <c r="C80" s="24"/>
      <c r="D80" s="23"/>
      <c r="E80" s="24"/>
      <c r="F80" s="24"/>
      <c r="G80" s="23"/>
      <c r="H80" s="23"/>
      <c r="I80" s="121"/>
      <c r="J80" s="121"/>
      <c r="K80" s="26"/>
      <c r="L80" s="26"/>
      <c r="M80" s="26"/>
      <c r="N80" s="26"/>
      <c r="O80" s="26"/>
      <c r="P80" s="26"/>
      <c r="Q80" s="26"/>
      <c r="R80" s="23"/>
      <c r="S80" s="26"/>
      <c r="T80" s="26"/>
      <c r="U80" s="27"/>
      <c r="V80" s="122"/>
      <c r="W80" s="123">
        <f t="shared" si="8"/>
        <v>0</v>
      </c>
      <c r="X80" s="124" t="e">
        <f t="shared" si="9"/>
        <v>#DIV/0!</v>
      </c>
      <c r="Y80" s="125"/>
      <c r="Z80" s="31">
        <f t="shared" si="10"/>
        <v>0</v>
      </c>
      <c r="AA80" s="127"/>
      <c r="AB80" s="127"/>
      <c r="AC80" s="127">
        <f t="shared" si="11"/>
        <v>0</v>
      </c>
      <c r="AD80" s="128">
        <f t="shared" si="12"/>
        <v>0</v>
      </c>
      <c r="AE80" s="128">
        <f t="shared" si="13"/>
        <v>0</v>
      </c>
      <c r="AF80" s="127">
        <f t="shared" si="14"/>
        <v>0</v>
      </c>
    </row>
    <row r="81" ht="15.5" customHeight="1" spans="1:32">
      <c r="A81" s="23"/>
      <c r="B81" s="24"/>
      <c r="C81" s="24"/>
      <c r="D81" s="23"/>
      <c r="E81" s="24"/>
      <c r="F81" s="24"/>
      <c r="G81" s="23"/>
      <c r="H81" s="23"/>
      <c r="I81" s="121"/>
      <c r="J81" s="121"/>
      <c r="K81" s="26"/>
      <c r="L81" s="26"/>
      <c r="M81" s="26"/>
      <c r="N81" s="26"/>
      <c r="O81" s="26"/>
      <c r="P81" s="26"/>
      <c r="Q81" s="26"/>
      <c r="R81" s="23"/>
      <c r="S81" s="26"/>
      <c r="T81" s="26"/>
      <c r="U81" s="27"/>
      <c r="V81" s="122"/>
      <c r="W81" s="123">
        <f t="shared" si="8"/>
        <v>0</v>
      </c>
      <c r="X81" s="124" t="e">
        <f t="shared" si="9"/>
        <v>#DIV/0!</v>
      </c>
      <c r="Y81" s="125"/>
      <c r="Z81" s="31">
        <f t="shared" si="10"/>
        <v>0</v>
      </c>
      <c r="AA81" s="127"/>
      <c r="AB81" s="127"/>
      <c r="AC81" s="127">
        <f t="shared" si="11"/>
        <v>0</v>
      </c>
      <c r="AD81" s="128">
        <f t="shared" si="12"/>
        <v>0</v>
      </c>
      <c r="AE81" s="128">
        <f t="shared" si="13"/>
        <v>0</v>
      </c>
      <c r="AF81" s="127">
        <f t="shared" si="14"/>
        <v>0</v>
      </c>
    </row>
    <row r="82" ht="15.5" customHeight="1" spans="1:32">
      <c r="A82" s="23"/>
      <c r="B82" s="24"/>
      <c r="C82" s="24"/>
      <c r="D82" s="23"/>
      <c r="E82" s="24"/>
      <c r="F82" s="24"/>
      <c r="G82" s="23"/>
      <c r="H82" s="23"/>
      <c r="I82" s="121"/>
      <c r="J82" s="121"/>
      <c r="K82" s="26"/>
      <c r="L82" s="26"/>
      <c r="M82" s="26"/>
      <c r="N82" s="26"/>
      <c r="O82" s="26"/>
      <c r="P82" s="26"/>
      <c r="Q82" s="26"/>
      <c r="R82" s="23"/>
      <c r="S82" s="26"/>
      <c r="T82" s="26"/>
      <c r="U82" s="27"/>
      <c r="V82" s="122"/>
      <c r="W82" s="123">
        <f t="shared" si="8"/>
        <v>0</v>
      </c>
      <c r="X82" s="124" t="e">
        <f t="shared" si="9"/>
        <v>#DIV/0!</v>
      </c>
      <c r="Y82" s="125"/>
      <c r="Z82" s="31">
        <f t="shared" si="10"/>
        <v>0</v>
      </c>
      <c r="AA82" s="127"/>
      <c r="AB82" s="127"/>
      <c r="AC82" s="127">
        <f t="shared" si="11"/>
        <v>0</v>
      </c>
      <c r="AD82" s="128">
        <f t="shared" si="12"/>
        <v>0</v>
      </c>
      <c r="AE82" s="128">
        <f t="shared" si="13"/>
        <v>0</v>
      </c>
      <c r="AF82" s="127">
        <f t="shared" si="14"/>
        <v>0</v>
      </c>
    </row>
    <row r="83" ht="15.5" customHeight="1" spans="1:32">
      <c r="A83" s="23"/>
      <c r="B83" s="24"/>
      <c r="C83" s="24"/>
      <c r="D83" s="23"/>
      <c r="E83" s="24"/>
      <c r="F83" s="24"/>
      <c r="G83" s="23"/>
      <c r="H83" s="23"/>
      <c r="I83" s="121"/>
      <c r="J83" s="121"/>
      <c r="K83" s="26"/>
      <c r="L83" s="26"/>
      <c r="M83" s="26"/>
      <c r="N83" s="26"/>
      <c r="O83" s="26"/>
      <c r="P83" s="26"/>
      <c r="Q83" s="26"/>
      <c r="R83" s="23"/>
      <c r="S83" s="26"/>
      <c r="T83" s="26"/>
      <c r="U83" s="27"/>
      <c r="V83" s="122"/>
      <c r="W83" s="123">
        <f t="shared" si="8"/>
        <v>0</v>
      </c>
      <c r="X83" s="124" t="e">
        <f t="shared" si="9"/>
        <v>#DIV/0!</v>
      </c>
      <c r="Y83" s="125"/>
      <c r="Z83" s="31">
        <f t="shared" si="10"/>
        <v>0</v>
      </c>
      <c r="AA83" s="127"/>
      <c r="AB83" s="127"/>
      <c r="AC83" s="127">
        <f t="shared" si="11"/>
        <v>0</v>
      </c>
      <c r="AD83" s="128">
        <f t="shared" si="12"/>
        <v>0</v>
      </c>
      <c r="AE83" s="128">
        <f t="shared" si="13"/>
        <v>0</v>
      </c>
      <c r="AF83" s="127">
        <f t="shared" si="14"/>
        <v>0</v>
      </c>
    </row>
    <row r="84" ht="15.5" customHeight="1" spans="1:32">
      <c r="A84" s="23"/>
      <c r="B84" s="24"/>
      <c r="C84" s="24"/>
      <c r="D84" s="23"/>
      <c r="E84" s="24"/>
      <c r="F84" s="24"/>
      <c r="G84" s="23"/>
      <c r="H84" s="23"/>
      <c r="I84" s="121"/>
      <c r="J84" s="121"/>
      <c r="K84" s="26"/>
      <c r="L84" s="26"/>
      <c r="M84" s="26"/>
      <c r="N84" s="26"/>
      <c r="O84" s="26"/>
      <c r="P84" s="26"/>
      <c r="Q84" s="26"/>
      <c r="R84" s="23"/>
      <c r="S84" s="26"/>
      <c r="T84" s="26"/>
      <c r="U84" s="27"/>
      <c r="V84" s="122"/>
      <c r="W84" s="123">
        <f t="shared" si="8"/>
        <v>0</v>
      </c>
      <c r="X84" s="124" t="e">
        <f t="shared" si="9"/>
        <v>#DIV/0!</v>
      </c>
      <c r="Y84" s="125"/>
      <c r="Z84" s="31">
        <f t="shared" si="10"/>
        <v>0</v>
      </c>
      <c r="AA84" s="127"/>
      <c r="AB84" s="127"/>
      <c r="AC84" s="127">
        <f t="shared" si="11"/>
        <v>0</v>
      </c>
      <c r="AD84" s="128">
        <f t="shared" si="12"/>
        <v>0</v>
      </c>
      <c r="AE84" s="128">
        <f t="shared" si="13"/>
        <v>0</v>
      </c>
      <c r="AF84" s="127">
        <f t="shared" si="14"/>
        <v>0</v>
      </c>
    </row>
    <row r="85" ht="15.5" customHeight="1" spans="1:32">
      <c r="A85" s="23"/>
      <c r="B85" s="24"/>
      <c r="C85" s="24"/>
      <c r="D85" s="23"/>
      <c r="E85" s="24"/>
      <c r="F85" s="24"/>
      <c r="G85" s="23"/>
      <c r="H85" s="23"/>
      <c r="I85" s="121"/>
      <c r="J85" s="121"/>
      <c r="K85" s="26"/>
      <c r="L85" s="26"/>
      <c r="M85" s="26"/>
      <c r="N85" s="26"/>
      <c r="O85" s="26"/>
      <c r="P85" s="26"/>
      <c r="Q85" s="26"/>
      <c r="R85" s="23"/>
      <c r="S85" s="26"/>
      <c r="T85" s="26"/>
      <c r="U85" s="27"/>
      <c r="V85" s="122"/>
      <c r="W85" s="123">
        <f t="shared" si="8"/>
        <v>0</v>
      </c>
      <c r="X85" s="124" t="e">
        <f t="shared" si="9"/>
        <v>#DIV/0!</v>
      </c>
      <c r="Y85" s="125"/>
      <c r="Z85" s="31">
        <f t="shared" si="10"/>
        <v>0</v>
      </c>
      <c r="AA85" s="127"/>
      <c r="AB85" s="127"/>
      <c r="AC85" s="127">
        <f t="shared" si="11"/>
        <v>0</v>
      </c>
      <c r="AD85" s="128">
        <f t="shared" si="12"/>
        <v>0</v>
      </c>
      <c r="AE85" s="128">
        <f t="shared" si="13"/>
        <v>0</v>
      </c>
      <c r="AF85" s="127">
        <f t="shared" si="14"/>
        <v>0</v>
      </c>
    </row>
    <row r="86" ht="15.5" customHeight="1" spans="1:32">
      <c r="A86" s="23"/>
      <c r="B86" s="24"/>
      <c r="C86" s="24"/>
      <c r="D86" s="23"/>
      <c r="E86" s="24"/>
      <c r="F86" s="24"/>
      <c r="G86" s="23"/>
      <c r="H86" s="23"/>
      <c r="I86" s="121"/>
      <c r="J86" s="121"/>
      <c r="K86" s="26"/>
      <c r="L86" s="26"/>
      <c r="M86" s="26"/>
      <c r="N86" s="26"/>
      <c r="O86" s="26"/>
      <c r="P86" s="26"/>
      <c r="Q86" s="26"/>
      <c r="R86" s="23"/>
      <c r="S86" s="26"/>
      <c r="T86" s="26"/>
      <c r="U86" s="27"/>
      <c r="V86" s="122"/>
      <c r="W86" s="123">
        <f t="shared" si="8"/>
        <v>0</v>
      </c>
      <c r="X86" s="124" t="e">
        <f t="shared" si="9"/>
        <v>#DIV/0!</v>
      </c>
      <c r="Y86" s="125"/>
      <c r="Z86" s="31">
        <f t="shared" si="10"/>
        <v>0</v>
      </c>
      <c r="AA86" s="127"/>
      <c r="AB86" s="127"/>
      <c r="AC86" s="127">
        <f t="shared" si="11"/>
        <v>0</v>
      </c>
      <c r="AD86" s="128">
        <f t="shared" si="12"/>
        <v>0</v>
      </c>
      <c r="AE86" s="128">
        <f t="shared" si="13"/>
        <v>0</v>
      </c>
      <c r="AF86" s="127">
        <f t="shared" si="14"/>
        <v>0</v>
      </c>
    </row>
    <row r="87" ht="15.5" customHeight="1" spans="1:32">
      <c r="A87" s="23"/>
      <c r="B87" s="24"/>
      <c r="C87" s="24"/>
      <c r="D87" s="23"/>
      <c r="E87" s="24"/>
      <c r="F87" s="24"/>
      <c r="G87" s="23"/>
      <c r="H87" s="23"/>
      <c r="I87" s="121"/>
      <c r="J87" s="121"/>
      <c r="K87" s="26"/>
      <c r="L87" s="26"/>
      <c r="M87" s="26"/>
      <c r="N87" s="26"/>
      <c r="O87" s="26"/>
      <c r="P87" s="26"/>
      <c r="Q87" s="26"/>
      <c r="R87" s="23"/>
      <c r="S87" s="26"/>
      <c r="T87" s="26"/>
      <c r="U87" s="27"/>
      <c r="V87" s="122"/>
      <c r="W87" s="123">
        <f t="shared" si="8"/>
        <v>0</v>
      </c>
      <c r="X87" s="124" t="e">
        <f t="shared" si="9"/>
        <v>#DIV/0!</v>
      </c>
      <c r="Y87" s="125"/>
      <c r="Z87" s="31">
        <f t="shared" si="10"/>
        <v>0</v>
      </c>
      <c r="AA87" s="127"/>
      <c r="AB87" s="127"/>
      <c r="AC87" s="127">
        <f t="shared" si="11"/>
        <v>0</v>
      </c>
      <c r="AD87" s="128">
        <f t="shared" si="12"/>
        <v>0</v>
      </c>
      <c r="AE87" s="128">
        <f t="shared" si="13"/>
        <v>0</v>
      </c>
      <c r="AF87" s="127">
        <f t="shared" si="14"/>
        <v>0</v>
      </c>
    </row>
    <row r="88" ht="15.5" customHeight="1" spans="1:32">
      <c r="A88" s="23"/>
      <c r="B88" s="24"/>
      <c r="C88" s="24"/>
      <c r="D88" s="23"/>
      <c r="E88" s="24"/>
      <c r="F88" s="24"/>
      <c r="G88" s="23"/>
      <c r="H88" s="23"/>
      <c r="I88" s="121"/>
      <c r="J88" s="121"/>
      <c r="K88" s="26"/>
      <c r="L88" s="26"/>
      <c r="M88" s="26"/>
      <c r="N88" s="26"/>
      <c r="O88" s="26"/>
      <c r="P88" s="26"/>
      <c r="Q88" s="26"/>
      <c r="R88" s="23"/>
      <c r="S88" s="26"/>
      <c r="T88" s="26"/>
      <c r="U88" s="27"/>
      <c r="V88" s="122"/>
      <c r="W88" s="123">
        <f t="shared" si="8"/>
        <v>0</v>
      </c>
      <c r="X88" s="124" t="e">
        <f t="shared" si="9"/>
        <v>#DIV/0!</v>
      </c>
      <c r="Y88" s="125"/>
      <c r="Z88" s="31">
        <f t="shared" si="10"/>
        <v>0</v>
      </c>
      <c r="AA88" s="127"/>
      <c r="AB88" s="127"/>
      <c r="AC88" s="127">
        <f t="shared" si="11"/>
        <v>0</v>
      </c>
      <c r="AD88" s="128">
        <f t="shared" si="12"/>
        <v>0</v>
      </c>
      <c r="AE88" s="128">
        <f t="shared" si="13"/>
        <v>0</v>
      </c>
      <c r="AF88" s="127">
        <f t="shared" si="14"/>
        <v>0</v>
      </c>
    </row>
    <row r="89" ht="15.5" customHeight="1" spans="1:32">
      <c r="A89" s="23"/>
      <c r="B89" s="24"/>
      <c r="C89" s="24"/>
      <c r="D89" s="23"/>
      <c r="E89" s="24"/>
      <c r="F89" s="24"/>
      <c r="G89" s="23"/>
      <c r="H89" s="23"/>
      <c r="I89" s="121"/>
      <c r="J89" s="121"/>
      <c r="K89" s="26"/>
      <c r="L89" s="26"/>
      <c r="M89" s="26"/>
      <c r="N89" s="26"/>
      <c r="O89" s="26"/>
      <c r="P89" s="26"/>
      <c r="Q89" s="26"/>
      <c r="R89" s="23"/>
      <c r="S89" s="26"/>
      <c r="T89" s="26"/>
      <c r="U89" s="27"/>
      <c r="V89" s="122"/>
      <c r="W89" s="123">
        <f t="shared" si="8"/>
        <v>0</v>
      </c>
      <c r="X89" s="124" t="e">
        <f t="shared" si="9"/>
        <v>#DIV/0!</v>
      </c>
      <c r="Y89" s="125"/>
      <c r="Z89" s="31">
        <f t="shared" si="10"/>
        <v>0</v>
      </c>
      <c r="AA89" s="127"/>
      <c r="AB89" s="127"/>
      <c r="AC89" s="127">
        <f t="shared" si="11"/>
        <v>0</v>
      </c>
      <c r="AD89" s="128">
        <f t="shared" si="12"/>
        <v>0</v>
      </c>
      <c r="AE89" s="128">
        <f t="shared" si="13"/>
        <v>0</v>
      </c>
      <c r="AF89" s="127">
        <f t="shared" si="14"/>
        <v>0</v>
      </c>
    </row>
    <row r="90" ht="15.5" customHeight="1" spans="1:32">
      <c r="A90" s="23"/>
      <c r="B90" s="24"/>
      <c r="C90" s="67"/>
      <c r="D90" s="23"/>
      <c r="E90" s="24"/>
      <c r="F90" s="24"/>
      <c r="G90" s="23"/>
      <c r="H90" s="23"/>
      <c r="I90" s="121"/>
      <c r="J90" s="121"/>
      <c r="K90" s="26"/>
      <c r="L90" s="26"/>
      <c r="M90" s="26"/>
      <c r="N90" s="26"/>
      <c r="O90" s="26"/>
      <c r="P90" s="26"/>
      <c r="Q90" s="26"/>
      <c r="R90" s="23"/>
      <c r="S90" s="26"/>
      <c r="T90" s="26"/>
      <c r="U90" s="27"/>
      <c r="V90" s="122"/>
      <c r="W90" s="123">
        <f t="shared" si="8"/>
        <v>0</v>
      </c>
      <c r="X90" s="124" t="e">
        <f t="shared" si="9"/>
        <v>#DIV/0!</v>
      </c>
      <c r="Y90" s="125"/>
      <c r="Z90" s="31">
        <f t="shared" si="10"/>
        <v>0</v>
      </c>
      <c r="AA90" s="127"/>
      <c r="AB90" s="127"/>
      <c r="AC90" s="127">
        <f t="shared" si="11"/>
        <v>0</v>
      </c>
      <c r="AD90" s="128">
        <f t="shared" si="12"/>
        <v>0</v>
      </c>
      <c r="AE90" s="128">
        <f t="shared" si="13"/>
        <v>0</v>
      </c>
      <c r="AF90" s="127">
        <f t="shared" si="14"/>
        <v>0</v>
      </c>
    </row>
    <row r="91" ht="15.5" customHeight="1" spans="1:32">
      <c r="A91" s="23"/>
      <c r="B91" s="24"/>
      <c r="C91" s="24"/>
      <c r="D91" s="23"/>
      <c r="E91" s="24"/>
      <c r="F91" s="24"/>
      <c r="G91" s="23"/>
      <c r="H91" s="23"/>
      <c r="I91" s="121"/>
      <c r="J91" s="121"/>
      <c r="K91" s="26"/>
      <c r="L91" s="26"/>
      <c r="M91" s="26"/>
      <c r="N91" s="26"/>
      <c r="O91" s="26"/>
      <c r="P91" s="26"/>
      <c r="Q91" s="26"/>
      <c r="R91" s="23"/>
      <c r="S91" s="26"/>
      <c r="T91" s="26"/>
      <c r="U91" s="27"/>
      <c r="V91" s="122"/>
      <c r="W91" s="123">
        <f t="shared" si="8"/>
        <v>0</v>
      </c>
      <c r="X91" s="124" t="e">
        <f t="shared" si="9"/>
        <v>#DIV/0!</v>
      </c>
      <c r="Y91" s="125"/>
      <c r="Z91" s="31">
        <f t="shared" si="10"/>
        <v>0</v>
      </c>
      <c r="AA91" s="127"/>
      <c r="AB91" s="127"/>
      <c r="AC91" s="127">
        <f t="shared" si="11"/>
        <v>0</v>
      </c>
      <c r="AD91" s="128">
        <f t="shared" si="12"/>
        <v>0</v>
      </c>
      <c r="AE91" s="128">
        <f t="shared" si="13"/>
        <v>0</v>
      </c>
      <c r="AF91" s="127">
        <f t="shared" si="14"/>
        <v>0</v>
      </c>
    </row>
    <row r="92" ht="15.5" customHeight="1" spans="1:32">
      <c r="A92" s="23"/>
      <c r="B92" s="24"/>
      <c r="C92" s="24"/>
      <c r="D92" s="23"/>
      <c r="E92" s="24"/>
      <c r="F92" s="24"/>
      <c r="G92" s="23"/>
      <c r="H92" s="23"/>
      <c r="I92" s="121"/>
      <c r="J92" s="121"/>
      <c r="K92" s="26"/>
      <c r="L92" s="26"/>
      <c r="M92" s="26"/>
      <c r="N92" s="26"/>
      <c r="O92" s="26"/>
      <c r="P92" s="26"/>
      <c r="Q92" s="26"/>
      <c r="R92" s="23"/>
      <c r="S92" s="26"/>
      <c r="T92" s="26"/>
      <c r="U92" s="27"/>
      <c r="V92" s="122"/>
      <c r="W92" s="123">
        <f t="shared" si="8"/>
        <v>0</v>
      </c>
      <c r="X92" s="124" t="e">
        <f t="shared" si="9"/>
        <v>#DIV/0!</v>
      </c>
      <c r="Y92" s="125"/>
      <c r="Z92" s="31">
        <f t="shared" si="10"/>
        <v>0</v>
      </c>
      <c r="AA92" s="127"/>
      <c r="AB92" s="127"/>
      <c r="AC92" s="127">
        <f t="shared" si="11"/>
        <v>0</v>
      </c>
      <c r="AD92" s="128">
        <f t="shared" si="12"/>
        <v>0</v>
      </c>
      <c r="AE92" s="128">
        <f t="shared" si="13"/>
        <v>0</v>
      </c>
      <c r="AF92" s="127">
        <f t="shared" si="14"/>
        <v>0</v>
      </c>
    </row>
    <row r="93" ht="15.5" customHeight="1" spans="1:32">
      <c r="A93" s="23"/>
      <c r="B93" s="24"/>
      <c r="C93" s="24"/>
      <c r="D93" s="23"/>
      <c r="E93" s="24"/>
      <c r="F93" s="24"/>
      <c r="G93" s="23"/>
      <c r="H93" s="23"/>
      <c r="I93" s="121"/>
      <c r="J93" s="121"/>
      <c r="K93" s="26"/>
      <c r="L93" s="26"/>
      <c r="M93" s="26"/>
      <c r="N93" s="26"/>
      <c r="O93" s="26"/>
      <c r="P93" s="26"/>
      <c r="Q93" s="26"/>
      <c r="R93" s="23"/>
      <c r="S93" s="26"/>
      <c r="T93" s="26"/>
      <c r="U93" s="27"/>
      <c r="V93" s="122"/>
      <c r="W93" s="123">
        <f t="shared" si="8"/>
        <v>0</v>
      </c>
      <c r="X93" s="124" t="e">
        <f t="shared" si="9"/>
        <v>#DIV/0!</v>
      </c>
      <c r="Y93" s="125"/>
      <c r="Z93" s="31">
        <f t="shared" si="10"/>
        <v>0</v>
      </c>
      <c r="AA93" s="127"/>
      <c r="AB93" s="127"/>
      <c r="AC93" s="127">
        <f t="shared" si="11"/>
        <v>0</v>
      </c>
      <c r="AD93" s="128">
        <f t="shared" si="12"/>
        <v>0</v>
      </c>
      <c r="AE93" s="128">
        <f t="shared" si="13"/>
        <v>0</v>
      </c>
      <c r="AF93" s="127">
        <f t="shared" si="14"/>
        <v>0</v>
      </c>
    </row>
    <row r="94" ht="15.5" customHeight="1" spans="1:32">
      <c r="A94" s="23"/>
      <c r="B94" s="24"/>
      <c r="C94" s="24"/>
      <c r="D94" s="23"/>
      <c r="E94" s="24"/>
      <c r="F94" s="24"/>
      <c r="G94" s="23"/>
      <c r="H94" s="23"/>
      <c r="I94" s="121"/>
      <c r="J94" s="121"/>
      <c r="K94" s="26"/>
      <c r="L94" s="26"/>
      <c r="M94" s="26"/>
      <c r="N94" s="26"/>
      <c r="O94" s="26"/>
      <c r="P94" s="26"/>
      <c r="Q94" s="26"/>
      <c r="R94" s="23"/>
      <c r="S94" s="26"/>
      <c r="T94" s="26"/>
      <c r="U94" s="27"/>
      <c r="V94" s="122"/>
      <c r="W94" s="123">
        <f t="shared" si="8"/>
        <v>0</v>
      </c>
      <c r="X94" s="124" t="e">
        <f t="shared" si="9"/>
        <v>#DIV/0!</v>
      </c>
      <c r="Y94" s="125"/>
      <c r="Z94" s="31">
        <f t="shared" si="10"/>
        <v>0</v>
      </c>
      <c r="AA94" s="127"/>
      <c r="AB94" s="127"/>
      <c r="AC94" s="127">
        <f t="shared" si="11"/>
        <v>0</v>
      </c>
      <c r="AD94" s="128">
        <f t="shared" si="12"/>
        <v>0</v>
      </c>
      <c r="AE94" s="128">
        <f t="shared" si="13"/>
        <v>0</v>
      </c>
      <c r="AF94" s="127">
        <f t="shared" si="14"/>
        <v>0</v>
      </c>
    </row>
    <row r="95" ht="15.5" customHeight="1" spans="1:32">
      <c r="A95" s="23"/>
      <c r="B95" s="24"/>
      <c r="C95" s="24"/>
      <c r="D95" s="23"/>
      <c r="E95" s="24"/>
      <c r="F95" s="24"/>
      <c r="G95" s="23"/>
      <c r="H95" s="23"/>
      <c r="I95" s="121"/>
      <c r="J95" s="121"/>
      <c r="K95" s="26"/>
      <c r="L95" s="26"/>
      <c r="M95" s="26"/>
      <c r="N95" s="26"/>
      <c r="O95" s="26"/>
      <c r="P95" s="26"/>
      <c r="Q95" s="26"/>
      <c r="R95" s="23"/>
      <c r="S95" s="26"/>
      <c r="T95" s="26"/>
      <c r="U95" s="27"/>
      <c r="V95" s="122"/>
      <c r="W95" s="123">
        <f t="shared" si="8"/>
        <v>0</v>
      </c>
      <c r="X95" s="124" t="e">
        <f t="shared" si="9"/>
        <v>#DIV/0!</v>
      </c>
      <c r="Y95" s="125"/>
      <c r="Z95" s="31">
        <f t="shared" si="10"/>
        <v>0</v>
      </c>
      <c r="AA95" s="127"/>
      <c r="AB95" s="127"/>
      <c r="AC95" s="127">
        <f t="shared" si="11"/>
        <v>0</v>
      </c>
      <c r="AD95" s="128">
        <f t="shared" si="12"/>
        <v>0</v>
      </c>
      <c r="AE95" s="128">
        <f t="shared" si="13"/>
        <v>0</v>
      </c>
      <c r="AF95" s="127">
        <f t="shared" si="14"/>
        <v>0</v>
      </c>
    </row>
    <row r="96" ht="15.5" customHeight="1" spans="1:32">
      <c r="A96" s="23"/>
      <c r="B96" s="24"/>
      <c r="C96" s="24"/>
      <c r="D96" s="23"/>
      <c r="E96" s="24"/>
      <c r="F96" s="24"/>
      <c r="G96" s="23"/>
      <c r="H96" s="23"/>
      <c r="I96" s="121"/>
      <c r="J96" s="121"/>
      <c r="K96" s="26"/>
      <c r="L96" s="26"/>
      <c r="M96" s="26"/>
      <c r="N96" s="26"/>
      <c r="O96" s="26"/>
      <c r="P96" s="26"/>
      <c r="Q96" s="26"/>
      <c r="R96" s="23"/>
      <c r="S96" s="26"/>
      <c r="T96" s="26"/>
      <c r="U96" s="27"/>
      <c r="V96" s="122"/>
      <c r="W96" s="123">
        <f t="shared" si="8"/>
        <v>0</v>
      </c>
      <c r="X96" s="124" t="e">
        <f t="shared" si="9"/>
        <v>#DIV/0!</v>
      </c>
      <c r="Y96" s="125"/>
      <c r="Z96" s="31">
        <f t="shared" si="10"/>
        <v>0</v>
      </c>
      <c r="AA96" s="127"/>
      <c r="AB96" s="127"/>
      <c r="AC96" s="127">
        <f t="shared" si="11"/>
        <v>0</v>
      </c>
      <c r="AD96" s="128">
        <f t="shared" si="12"/>
        <v>0</v>
      </c>
      <c r="AE96" s="128">
        <f t="shared" si="13"/>
        <v>0</v>
      </c>
      <c r="AF96" s="127">
        <f t="shared" si="14"/>
        <v>0</v>
      </c>
    </row>
    <row r="97" ht="15.5" customHeight="1" spans="1:32">
      <c r="A97" s="23"/>
      <c r="B97" s="24"/>
      <c r="C97" s="24"/>
      <c r="D97" s="23"/>
      <c r="E97" s="24"/>
      <c r="F97" s="24"/>
      <c r="G97" s="23"/>
      <c r="H97" s="23"/>
      <c r="I97" s="121"/>
      <c r="J97" s="121"/>
      <c r="K97" s="26"/>
      <c r="L97" s="26"/>
      <c r="M97" s="26"/>
      <c r="N97" s="26"/>
      <c r="O97" s="26"/>
      <c r="P97" s="26"/>
      <c r="Q97" s="26"/>
      <c r="R97" s="23"/>
      <c r="S97" s="26"/>
      <c r="T97" s="26"/>
      <c r="U97" s="27"/>
      <c r="V97" s="122"/>
      <c r="W97" s="123">
        <f t="shared" si="8"/>
        <v>0</v>
      </c>
      <c r="X97" s="124" t="e">
        <f t="shared" si="9"/>
        <v>#DIV/0!</v>
      </c>
      <c r="Y97" s="125"/>
      <c r="Z97" s="31">
        <f t="shared" si="10"/>
        <v>0</v>
      </c>
      <c r="AA97" s="127"/>
      <c r="AB97" s="127"/>
      <c r="AC97" s="127">
        <f t="shared" si="11"/>
        <v>0</v>
      </c>
      <c r="AD97" s="128">
        <f t="shared" si="12"/>
        <v>0</v>
      </c>
      <c r="AE97" s="128">
        <f t="shared" si="13"/>
        <v>0</v>
      </c>
      <c r="AF97" s="127">
        <f t="shared" si="14"/>
        <v>0</v>
      </c>
    </row>
    <row r="98" ht="15.5" customHeight="1" spans="1:32">
      <c r="A98" s="23"/>
      <c r="B98" s="24"/>
      <c r="C98" s="24"/>
      <c r="D98" s="23"/>
      <c r="E98" s="24"/>
      <c r="F98" s="24"/>
      <c r="G98" s="23"/>
      <c r="H98" s="23"/>
      <c r="I98" s="121"/>
      <c r="J98" s="121"/>
      <c r="K98" s="26"/>
      <c r="L98" s="26"/>
      <c r="M98" s="26"/>
      <c r="N98" s="26"/>
      <c r="O98" s="26"/>
      <c r="P98" s="26"/>
      <c r="Q98" s="26"/>
      <c r="R98" s="23"/>
      <c r="S98" s="26"/>
      <c r="T98" s="26"/>
      <c r="U98" s="27"/>
      <c r="V98" s="122"/>
      <c r="W98" s="123">
        <f t="shared" si="8"/>
        <v>0</v>
      </c>
      <c r="X98" s="124" t="e">
        <f t="shared" si="9"/>
        <v>#DIV/0!</v>
      </c>
      <c r="Y98" s="125"/>
      <c r="Z98" s="31">
        <f t="shared" si="10"/>
        <v>0</v>
      </c>
      <c r="AA98" s="127"/>
      <c r="AB98" s="127"/>
      <c r="AC98" s="127">
        <f t="shared" si="11"/>
        <v>0</v>
      </c>
      <c r="AD98" s="128">
        <f t="shared" si="12"/>
        <v>0</v>
      </c>
      <c r="AE98" s="128">
        <f t="shared" si="13"/>
        <v>0</v>
      </c>
      <c r="AF98" s="127">
        <f t="shared" si="14"/>
        <v>0</v>
      </c>
    </row>
    <row r="99" ht="15.5" customHeight="1" spans="1:32">
      <c r="A99" s="23"/>
      <c r="B99" s="24"/>
      <c r="C99" s="24"/>
      <c r="D99" s="23"/>
      <c r="E99" s="24"/>
      <c r="F99" s="24"/>
      <c r="G99" s="23"/>
      <c r="H99" s="23"/>
      <c r="I99" s="121"/>
      <c r="J99" s="121"/>
      <c r="K99" s="26"/>
      <c r="L99" s="26"/>
      <c r="M99" s="26"/>
      <c r="N99" s="26"/>
      <c r="O99" s="26"/>
      <c r="P99" s="26"/>
      <c r="Q99" s="26"/>
      <c r="R99" s="23"/>
      <c r="S99" s="26"/>
      <c r="T99" s="26"/>
      <c r="U99" s="27"/>
      <c r="V99" s="122"/>
      <c r="W99" s="123">
        <f t="shared" si="8"/>
        <v>0</v>
      </c>
      <c r="X99" s="124" t="e">
        <f t="shared" si="9"/>
        <v>#DIV/0!</v>
      </c>
      <c r="Y99" s="125"/>
      <c r="Z99" s="31">
        <f t="shared" si="10"/>
        <v>0</v>
      </c>
      <c r="AA99" s="127"/>
      <c r="AB99" s="127"/>
      <c r="AC99" s="127">
        <f t="shared" si="11"/>
        <v>0</v>
      </c>
      <c r="AD99" s="128">
        <f t="shared" si="12"/>
        <v>0</v>
      </c>
      <c r="AE99" s="128">
        <f t="shared" si="13"/>
        <v>0</v>
      </c>
      <c r="AF99" s="127">
        <f t="shared" si="14"/>
        <v>0</v>
      </c>
    </row>
    <row r="100" ht="15.5" customHeight="1" spans="1:32">
      <c r="A100" s="23"/>
      <c r="B100" s="24"/>
      <c r="C100" s="24"/>
      <c r="D100" s="23"/>
      <c r="E100" s="24"/>
      <c r="F100" s="24"/>
      <c r="G100" s="23"/>
      <c r="H100" s="23"/>
      <c r="I100" s="121"/>
      <c r="J100" s="121"/>
      <c r="K100" s="26"/>
      <c r="L100" s="26"/>
      <c r="M100" s="26"/>
      <c r="N100" s="26"/>
      <c r="O100" s="26"/>
      <c r="P100" s="26"/>
      <c r="Q100" s="26"/>
      <c r="R100" s="23"/>
      <c r="S100" s="26"/>
      <c r="T100" s="26"/>
      <c r="U100" s="27"/>
      <c r="V100" s="122"/>
      <c r="W100" s="123">
        <f t="shared" si="8"/>
        <v>0</v>
      </c>
      <c r="X100" s="124" t="e">
        <f t="shared" si="9"/>
        <v>#DIV/0!</v>
      </c>
      <c r="Y100" s="125"/>
      <c r="Z100" s="31">
        <f t="shared" si="10"/>
        <v>0</v>
      </c>
      <c r="AA100" s="127"/>
      <c r="AB100" s="127"/>
      <c r="AC100" s="127">
        <f t="shared" si="11"/>
        <v>0</v>
      </c>
      <c r="AD100" s="128">
        <f t="shared" si="12"/>
        <v>0</v>
      </c>
      <c r="AE100" s="128">
        <f t="shared" si="13"/>
        <v>0</v>
      </c>
      <c r="AF100" s="127">
        <f t="shared" si="14"/>
        <v>0</v>
      </c>
    </row>
    <row r="101" ht="15.5" customHeight="1" spans="1:32">
      <c r="A101" s="23"/>
      <c r="B101" s="24"/>
      <c r="C101" s="24"/>
      <c r="D101" s="23"/>
      <c r="E101" s="24"/>
      <c r="F101" s="24"/>
      <c r="G101" s="23"/>
      <c r="H101" s="23"/>
      <c r="I101" s="121"/>
      <c r="J101" s="121"/>
      <c r="K101" s="26"/>
      <c r="L101" s="26"/>
      <c r="M101" s="26"/>
      <c r="N101" s="26"/>
      <c r="O101" s="26"/>
      <c r="P101" s="26"/>
      <c r="Q101" s="26"/>
      <c r="R101" s="23"/>
      <c r="S101" s="26"/>
      <c r="T101" s="26"/>
      <c r="U101" s="27"/>
      <c r="V101" s="122"/>
      <c r="W101" s="123">
        <f t="shared" si="8"/>
        <v>0</v>
      </c>
      <c r="X101" s="124" t="e">
        <f t="shared" si="9"/>
        <v>#DIV/0!</v>
      </c>
      <c r="Y101" s="125"/>
      <c r="Z101" s="31">
        <f t="shared" si="10"/>
        <v>0</v>
      </c>
      <c r="AA101" s="127"/>
      <c r="AB101" s="127"/>
      <c r="AC101" s="127">
        <f t="shared" si="11"/>
        <v>0</v>
      </c>
      <c r="AD101" s="128">
        <f t="shared" si="12"/>
        <v>0</v>
      </c>
      <c r="AE101" s="128">
        <f t="shared" si="13"/>
        <v>0</v>
      </c>
      <c r="AF101" s="127">
        <f t="shared" si="14"/>
        <v>0</v>
      </c>
    </row>
    <row r="102" ht="15.5" customHeight="1" spans="1:32">
      <c r="A102" s="23"/>
      <c r="B102" s="24"/>
      <c r="C102" s="24"/>
      <c r="D102" s="23"/>
      <c r="E102" s="24"/>
      <c r="F102" s="24"/>
      <c r="G102" s="23"/>
      <c r="H102" s="23"/>
      <c r="I102" s="121"/>
      <c r="J102" s="121"/>
      <c r="K102" s="26"/>
      <c r="L102" s="26"/>
      <c r="M102" s="26"/>
      <c r="N102" s="26"/>
      <c r="O102" s="26"/>
      <c r="P102" s="26"/>
      <c r="Q102" s="26"/>
      <c r="R102" s="23"/>
      <c r="S102" s="26"/>
      <c r="T102" s="26"/>
      <c r="U102" s="27"/>
      <c r="V102" s="122"/>
      <c r="W102" s="123">
        <f t="shared" si="8"/>
        <v>0</v>
      </c>
      <c r="X102" s="124" t="e">
        <f t="shared" si="9"/>
        <v>#DIV/0!</v>
      </c>
      <c r="Y102" s="125"/>
      <c r="Z102" s="31">
        <f t="shared" si="10"/>
        <v>0</v>
      </c>
      <c r="AA102" s="127"/>
      <c r="AB102" s="127"/>
      <c r="AC102" s="127">
        <f t="shared" si="11"/>
        <v>0</v>
      </c>
      <c r="AD102" s="128">
        <f t="shared" si="12"/>
        <v>0</v>
      </c>
      <c r="AE102" s="128">
        <f t="shared" si="13"/>
        <v>0</v>
      </c>
      <c r="AF102" s="127">
        <f t="shared" si="14"/>
        <v>0</v>
      </c>
    </row>
    <row r="103" ht="15.5" customHeight="1" spans="1:32">
      <c r="A103" s="23"/>
      <c r="B103" s="24"/>
      <c r="C103" s="24"/>
      <c r="D103" s="23"/>
      <c r="E103" s="24"/>
      <c r="F103" s="24"/>
      <c r="G103" s="23"/>
      <c r="H103" s="23"/>
      <c r="I103" s="121"/>
      <c r="J103" s="121"/>
      <c r="K103" s="26"/>
      <c r="L103" s="26"/>
      <c r="M103" s="26"/>
      <c r="N103" s="26"/>
      <c r="O103" s="26"/>
      <c r="P103" s="26"/>
      <c r="Q103" s="26"/>
      <c r="R103" s="23"/>
      <c r="S103" s="26"/>
      <c r="T103" s="26"/>
      <c r="U103" s="27"/>
      <c r="V103" s="122"/>
      <c r="W103" s="123">
        <f t="shared" si="8"/>
        <v>0</v>
      </c>
      <c r="X103" s="124" t="e">
        <f t="shared" si="9"/>
        <v>#DIV/0!</v>
      </c>
      <c r="Y103" s="125"/>
      <c r="Z103" s="31">
        <f t="shared" si="10"/>
        <v>0</v>
      </c>
      <c r="AA103" s="127"/>
      <c r="AB103" s="127"/>
      <c r="AC103" s="127">
        <f t="shared" si="11"/>
        <v>0</v>
      </c>
      <c r="AD103" s="128">
        <f t="shared" si="12"/>
        <v>0</v>
      </c>
      <c r="AE103" s="128">
        <f t="shared" si="13"/>
        <v>0</v>
      </c>
      <c r="AF103" s="127">
        <f t="shared" si="14"/>
        <v>0</v>
      </c>
    </row>
    <row r="104" ht="15.5" customHeight="1" spans="1:32">
      <c r="A104" s="23"/>
      <c r="B104" s="24"/>
      <c r="C104" s="24"/>
      <c r="D104" s="23"/>
      <c r="E104" s="24"/>
      <c r="F104" s="24"/>
      <c r="G104" s="23"/>
      <c r="H104" s="23"/>
      <c r="I104" s="121"/>
      <c r="J104" s="121"/>
      <c r="K104" s="26"/>
      <c r="L104" s="26"/>
      <c r="M104" s="26"/>
      <c r="N104" s="26"/>
      <c r="O104" s="26"/>
      <c r="P104" s="26"/>
      <c r="Q104" s="26"/>
      <c r="R104" s="23"/>
      <c r="S104" s="26"/>
      <c r="T104" s="26"/>
      <c r="U104" s="27"/>
      <c r="V104" s="122"/>
      <c r="W104" s="123">
        <f t="shared" si="8"/>
        <v>0</v>
      </c>
      <c r="X104" s="124" t="e">
        <f t="shared" si="9"/>
        <v>#DIV/0!</v>
      </c>
      <c r="Y104" s="125"/>
      <c r="Z104" s="31">
        <f t="shared" si="10"/>
        <v>0</v>
      </c>
      <c r="AA104" s="127"/>
      <c r="AB104" s="127"/>
      <c r="AC104" s="127">
        <f t="shared" si="11"/>
        <v>0</v>
      </c>
      <c r="AD104" s="128">
        <f t="shared" si="12"/>
        <v>0</v>
      </c>
      <c r="AE104" s="128">
        <f t="shared" si="13"/>
        <v>0</v>
      </c>
      <c r="AF104" s="127">
        <f t="shared" si="14"/>
        <v>0</v>
      </c>
    </row>
    <row r="105" ht="15.5" customHeight="1" spans="1:32">
      <c r="A105" s="23"/>
      <c r="B105" s="24"/>
      <c r="C105" s="24"/>
      <c r="D105" s="23"/>
      <c r="E105" s="24"/>
      <c r="F105" s="24"/>
      <c r="G105" s="23"/>
      <c r="H105" s="23"/>
      <c r="I105" s="121"/>
      <c r="J105" s="121"/>
      <c r="K105" s="26"/>
      <c r="L105" s="26"/>
      <c r="M105" s="26"/>
      <c r="N105" s="26"/>
      <c r="O105" s="26"/>
      <c r="P105" s="26"/>
      <c r="Q105" s="26"/>
      <c r="R105" s="23"/>
      <c r="S105" s="26"/>
      <c r="T105" s="26"/>
      <c r="U105" s="27"/>
      <c r="V105" s="122"/>
      <c r="W105" s="123">
        <f t="shared" si="8"/>
        <v>0</v>
      </c>
      <c r="X105" s="124" t="e">
        <f t="shared" si="9"/>
        <v>#DIV/0!</v>
      </c>
      <c r="Y105" s="125"/>
      <c r="Z105" s="31">
        <f t="shared" si="10"/>
        <v>0</v>
      </c>
      <c r="AA105" s="127"/>
      <c r="AB105" s="127"/>
      <c r="AC105" s="127">
        <f t="shared" si="11"/>
        <v>0</v>
      </c>
      <c r="AD105" s="128">
        <f t="shared" si="12"/>
        <v>0</v>
      </c>
      <c r="AE105" s="128">
        <f t="shared" si="13"/>
        <v>0</v>
      </c>
      <c r="AF105" s="127">
        <f t="shared" si="14"/>
        <v>0</v>
      </c>
    </row>
    <row r="106" ht="15.5" customHeight="1" spans="1:32">
      <c r="A106" s="23"/>
      <c r="B106" s="24"/>
      <c r="C106" s="24"/>
      <c r="D106" s="23"/>
      <c r="E106" s="24"/>
      <c r="F106" s="24"/>
      <c r="G106" s="23"/>
      <c r="H106" s="23"/>
      <c r="I106" s="121"/>
      <c r="J106" s="121"/>
      <c r="K106" s="26"/>
      <c r="L106" s="26"/>
      <c r="M106" s="26"/>
      <c r="N106" s="26"/>
      <c r="O106" s="26"/>
      <c r="P106" s="26"/>
      <c r="Q106" s="26"/>
      <c r="R106" s="23"/>
      <c r="S106" s="26"/>
      <c r="T106" s="26"/>
      <c r="U106" s="27"/>
      <c r="V106" s="122"/>
      <c r="W106" s="123">
        <f t="shared" si="8"/>
        <v>0</v>
      </c>
      <c r="X106" s="124" t="e">
        <f t="shared" si="9"/>
        <v>#DIV/0!</v>
      </c>
      <c r="Y106" s="125"/>
      <c r="Z106" s="31">
        <f t="shared" si="10"/>
        <v>0</v>
      </c>
      <c r="AA106" s="127"/>
      <c r="AB106" s="127"/>
      <c r="AC106" s="127">
        <f t="shared" si="11"/>
        <v>0</v>
      </c>
      <c r="AD106" s="128">
        <f t="shared" si="12"/>
        <v>0</v>
      </c>
      <c r="AE106" s="128">
        <f t="shared" si="13"/>
        <v>0</v>
      </c>
      <c r="AF106" s="127">
        <f t="shared" si="14"/>
        <v>0</v>
      </c>
    </row>
    <row r="107" ht="15.5" customHeight="1" spans="1:32">
      <c r="A107" s="23"/>
      <c r="B107" s="24"/>
      <c r="C107" s="24"/>
      <c r="D107" s="23"/>
      <c r="E107" s="24"/>
      <c r="F107" s="24"/>
      <c r="G107" s="23"/>
      <c r="H107" s="23"/>
      <c r="I107" s="121"/>
      <c r="J107" s="121"/>
      <c r="K107" s="26"/>
      <c r="L107" s="26"/>
      <c r="M107" s="26"/>
      <c r="N107" s="26"/>
      <c r="O107" s="26"/>
      <c r="P107" s="26"/>
      <c r="Q107" s="26"/>
      <c r="R107" s="23"/>
      <c r="S107" s="26"/>
      <c r="T107" s="26"/>
      <c r="U107" s="27"/>
      <c r="V107" s="122"/>
      <c r="W107" s="123">
        <f t="shared" si="8"/>
        <v>0</v>
      </c>
      <c r="X107" s="124" t="e">
        <f t="shared" si="9"/>
        <v>#DIV/0!</v>
      </c>
      <c r="Y107" s="125"/>
      <c r="Z107" s="31">
        <f t="shared" si="10"/>
        <v>0</v>
      </c>
      <c r="AA107" s="127"/>
      <c r="AB107" s="127"/>
      <c r="AC107" s="127">
        <f t="shared" si="11"/>
        <v>0</v>
      </c>
      <c r="AD107" s="128">
        <f t="shared" si="12"/>
        <v>0</v>
      </c>
      <c r="AE107" s="128">
        <f t="shared" si="13"/>
        <v>0</v>
      </c>
      <c r="AF107" s="127">
        <f t="shared" si="14"/>
        <v>0</v>
      </c>
    </row>
    <row r="108" ht="15.5" customHeight="1" spans="1:32">
      <c r="A108" s="23"/>
      <c r="B108" s="24"/>
      <c r="C108" s="24"/>
      <c r="D108" s="23"/>
      <c r="E108" s="24"/>
      <c r="F108" s="24"/>
      <c r="G108" s="23"/>
      <c r="H108" s="23"/>
      <c r="I108" s="121"/>
      <c r="J108" s="121"/>
      <c r="K108" s="26"/>
      <c r="L108" s="26"/>
      <c r="M108" s="26"/>
      <c r="N108" s="26"/>
      <c r="O108" s="26"/>
      <c r="P108" s="26"/>
      <c r="Q108" s="26"/>
      <c r="R108" s="23"/>
      <c r="S108" s="26"/>
      <c r="T108" s="26"/>
      <c r="U108" s="27"/>
      <c r="V108" s="122"/>
      <c r="W108" s="123">
        <f t="shared" si="8"/>
        <v>0</v>
      </c>
      <c r="X108" s="124" t="e">
        <f t="shared" si="9"/>
        <v>#DIV/0!</v>
      </c>
      <c r="Y108" s="125"/>
      <c r="Z108" s="31">
        <f t="shared" si="10"/>
        <v>0</v>
      </c>
      <c r="AA108" s="127"/>
      <c r="AB108" s="127"/>
      <c r="AC108" s="127">
        <f t="shared" si="11"/>
        <v>0</v>
      </c>
      <c r="AD108" s="128">
        <f t="shared" si="12"/>
        <v>0</v>
      </c>
      <c r="AE108" s="128">
        <f t="shared" si="13"/>
        <v>0</v>
      </c>
      <c r="AF108" s="127">
        <f t="shared" si="14"/>
        <v>0</v>
      </c>
    </row>
    <row r="109" ht="15.5" customHeight="1" spans="1:32">
      <c r="A109" s="23"/>
      <c r="B109" s="24"/>
      <c r="C109" s="24"/>
      <c r="D109" s="23"/>
      <c r="E109" s="24"/>
      <c r="F109" s="24"/>
      <c r="G109" s="23"/>
      <c r="H109" s="23"/>
      <c r="I109" s="121"/>
      <c r="J109" s="121"/>
      <c r="K109" s="26"/>
      <c r="L109" s="26"/>
      <c r="M109" s="26"/>
      <c r="N109" s="26"/>
      <c r="O109" s="26"/>
      <c r="P109" s="26"/>
      <c r="Q109" s="26"/>
      <c r="R109" s="23"/>
      <c r="S109" s="26"/>
      <c r="T109" s="26"/>
      <c r="U109" s="27"/>
      <c r="V109" s="122"/>
      <c r="W109" s="123">
        <f t="shared" si="8"/>
        <v>0</v>
      </c>
      <c r="X109" s="124" t="e">
        <f t="shared" si="9"/>
        <v>#DIV/0!</v>
      </c>
      <c r="Y109" s="125"/>
      <c r="Z109" s="31">
        <f t="shared" si="10"/>
        <v>0</v>
      </c>
      <c r="AA109" s="127"/>
      <c r="AB109" s="127"/>
      <c r="AC109" s="127">
        <f t="shared" si="11"/>
        <v>0</v>
      </c>
      <c r="AD109" s="128">
        <f t="shared" si="12"/>
        <v>0</v>
      </c>
      <c r="AE109" s="128">
        <f t="shared" si="13"/>
        <v>0</v>
      </c>
      <c r="AF109" s="127">
        <f t="shared" si="14"/>
        <v>0</v>
      </c>
    </row>
    <row r="110" ht="15.5" customHeight="1" spans="1:32">
      <c r="A110" s="23"/>
      <c r="B110" s="24"/>
      <c r="C110" s="24"/>
      <c r="D110" s="23"/>
      <c r="E110" s="24"/>
      <c r="F110" s="24"/>
      <c r="G110" s="23"/>
      <c r="H110" s="23"/>
      <c r="I110" s="121"/>
      <c r="J110" s="121"/>
      <c r="K110" s="26"/>
      <c r="L110" s="26"/>
      <c r="M110" s="26"/>
      <c r="N110" s="26"/>
      <c r="O110" s="26"/>
      <c r="P110" s="26"/>
      <c r="Q110" s="26"/>
      <c r="R110" s="23"/>
      <c r="S110" s="26"/>
      <c r="T110" s="26"/>
      <c r="U110" s="27"/>
      <c r="V110" s="122"/>
      <c r="W110" s="123">
        <f t="shared" si="8"/>
        <v>0</v>
      </c>
      <c r="X110" s="124" t="e">
        <f t="shared" si="9"/>
        <v>#DIV/0!</v>
      </c>
      <c r="Y110" s="125"/>
      <c r="Z110" s="31">
        <f t="shared" si="10"/>
        <v>0</v>
      </c>
      <c r="AA110" s="127"/>
      <c r="AB110" s="127"/>
      <c r="AC110" s="127">
        <f t="shared" si="11"/>
        <v>0</v>
      </c>
      <c r="AD110" s="128">
        <f t="shared" si="12"/>
        <v>0</v>
      </c>
      <c r="AE110" s="128">
        <f t="shared" si="13"/>
        <v>0</v>
      </c>
      <c r="AF110" s="127">
        <f t="shared" si="14"/>
        <v>0</v>
      </c>
    </row>
    <row r="111" ht="15.5" customHeight="1" spans="1:32">
      <c r="A111" s="23"/>
      <c r="B111" s="24"/>
      <c r="C111" s="24"/>
      <c r="D111" s="23"/>
      <c r="E111" s="24"/>
      <c r="F111" s="24"/>
      <c r="G111" s="23"/>
      <c r="H111" s="23"/>
      <c r="I111" s="121"/>
      <c r="J111" s="121"/>
      <c r="K111" s="26"/>
      <c r="L111" s="26"/>
      <c r="M111" s="26"/>
      <c r="N111" s="26"/>
      <c r="O111" s="26"/>
      <c r="P111" s="26"/>
      <c r="Q111" s="26"/>
      <c r="R111" s="23"/>
      <c r="S111" s="26"/>
      <c r="T111" s="26"/>
      <c r="U111" s="27"/>
      <c r="V111" s="122"/>
      <c r="W111" s="123">
        <f t="shared" si="8"/>
        <v>0</v>
      </c>
      <c r="X111" s="124" t="e">
        <f t="shared" si="9"/>
        <v>#DIV/0!</v>
      </c>
      <c r="Y111" s="125"/>
      <c r="Z111" s="31">
        <f t="shared" si="10"/>
        <v>0</v>
      </c>
      <c r="AA111" s="127"/>
      <c r="AB111" s="127"/>
      <c r="AC111" s="127">
        <f t="shared" si="11"/>
        <v>0</v>
      </c>
      <c r="AD111" s="128">
        <f t="shared" si="12"/>
        <v>0</v>
      </c>
      <c r="AE111" s="128">
        <f t="shared" si="13"/>
        <v>0</v>
      </c>
      <c r="AF111" s="127">
        <f t="shared" si="14"/>
        <v>0</v>
      </c>
    </row>
    <row r="112" ht="15.5" customHeight="1" spans="1:32">
      <c r="A112" s="23"/>
      <c r="B112" s="24"/>
      <c r="C112" s="24"/>
      <c r="D112" s="23"/>
      <c r="E112" s="24"/>
      <c r="F112" s="24"/>
      <c r="G112" s="23"/>
      <c r="H112" s="23"/>
      <c r="I112" s="121"/>
      <c r="J112" s="121"/>
      <c r="K112" s="26"/>
      <c r="L112" s="26"/>
      <c r="M112" s="26"/>
      <c r="N112" s="26"/>
      <c r="O112" s="26"/>
      <c r="P112" s="26"/>
      <c r="Q112" s="26"/>
      <c r="R112" s="23"/>
      <c r="S112" s="26"/>
      <c r="T112" s="26"/>
      <c r="U112" s="27"/>
      <c r="V112" s="122"/>
      <c r="W112" s="123">
        <f t="shared" si="8"/>
        <v>0</v>
      </c>
      <c r="X112" s="124" t="e">
        <f t="shared" si="9"/>
        <v>#DIV/0!</v>
      </c>
      <c r="Y112" s="125"/>
      <c r="Z112" s="31">
        <f t="shared" si="10"/>
        <v>0</v>
      </c>
      <c r="AA112" s="127"/>
      <c r="AB112" s="127"/>
      <c r="AC112" s="127">
        <f t="shared" si="11"/>
        <v>0</v>
      </c>
      <c r="AD112" s="128">
        <f t="shared" si="12"/>
        <v>0</v>
      </c>
      <c r="AE112" s="128">
        <f t="shared" si="13"/>
        <v>0</v>
      </c>
      <c r="AF112" s="127">
        <f t="shared" si="14"/>
        <v>0</v>
      </c>
    </row>
    <row r="113" ht="15.5" customHeight="1" spans="1:32">
      <c r="A113" s="23"/>
      <c r="B113" s="24"/>
      <c r="C113" s="24"/>
      <c r="D113" s="23"/>
      <c r="E113" s="24"/>
      <c r="F113" s="24"/>
      <c r="G113" s="23"/>
      <c r="H113" s="23"/>
      <c r="I113" s="121"/>
      <c r="J113" s="121"/>
      <c r="K113" s="26"/>
      <c r="L113" s="26"/>
      <c r="M113" s="26"/>
      <c r="N113" s="26"/>
      <c r="O113" s="26"/>
      <c r="P113" s="26"/>
      <c r="Q113" s="26"/>
      <c r="R113" s="23"/>
      <c r="S113" s="26"/>
      <c r="T113" s="26"/>
      <c r="U113" s="27"/>
      <c r="V113" s="122"/>
      <c r="W113" s="123">
        <f t="shared" si="8"/>
        <v>0</v>
      </c>
      <c r="X113" s="124" t="e">
        <f t="shared" si="9"/>
        <v>#DIV/0!</v>
      </c>
      <c r="Y113" s="125"/>
      <c r="Z113" s="31">
        <f t="shared" si="10"/>
        <v>0</v>
      </c>
      <c r="AA113" s="127"/>
      <c r="AB113" s="127"/>
      <c r="AC113" s="127">
        <f t="shared" si="11"/>
        <v>0</v>
      </c>
      <c r="AD113" s="128">
        <f t="shared" si="12"/>
        <v>0</v>
      </c>
      <c r="AE113" s="128">
        <f t="shared" si="13"/>
        <v>0</v>
      </c>
      <c r="AF113" s="127">
        <f t="shared" si="14"/>
        <v>0</v>
      </c>
    </row>
    <row r="114" ht="15.5" customHeight="1" spans="1:32">
      <c r="A114" s="23"/>
      <c r="B114" s="24"/>
      <c r="C114" s="24"/>
      <c r="D114" s="23"/>
      <c r="E114" s="24"/>
      <c r="F114" s="24"/>
      <c r="G114" s="23"/>
      <c r="H114" s="23"/>
      <c r="I114" s="121"/>
      <c r="J114" s="121"/>
      <c r="K114" s="26"/>
      <c r="L114" s="26"/>
      <c r="M114" s="26"/>
      <c r="N114" s="26"/>
      <c r="O114" s="26"/>
      <c r="P114" s="26"/>
      <c r="Q114" s="26"/>
      <c r="R114" s="23"/>
      <c r="S114" s="26"/>
      <c r="T114" s="26"/>
      <c r="U114" s="27"/>
      <c r="V114" s="122"/>
      <c r="W114" s="123">
        <f t="shared" si="8"/>
        <v>0</v>
      </c>
      <c r="X114" s="124" t="e">
        <f t="shared" si="9"/>
        <v>#DIV/0!</v>
      </c>
      <c r="Y114" s="125"/>
      <c r="Z114" s="31">
        <f t="shared" si="10"/>
        <v>0</v>
      </c>
      <c r="AA114" s="127"/>
      <c r="AB114" s="127"/>
      <c r="AC114" s="127">
        <f t="shared" si="11"/>
        <v>0</v>
      </c>
      <c r="AD114" s="128">
        <f t="shared" si="12"/>
        <v>0</v>
      </c>
      <c r="AE114" s="128">
        <f t="shared" si="13"/>
        <v>0</v>
      </c>
      <c r="AF114" s="127">
        <f t="shared" si="14"/>
        <v>0</v>
      </c>
    </row>
    <row r="115" ht="15.5" customHeight="1" spans="1:32">
      <c r="A115" s="23"/>
      <c r="B115" s="24"/>
      <c r="C115" s="24"/>
      <c r="D115" s="23"/>
      <c r="E115" s="24"/>
      <c r="F115" s="24"/>
      <c r="G115" s="23"/>
      <c r="H115" s="23"/>
      <c r="I115" s="121"/>
      <c r="J115" s="121"/>
      <c r="K115" s="26"/>
      <c r="L115" s="26"/>
      <c r="M115" s="26"/>
      <c r="N115" s="26"/>
      <c r="O115" s="26"/>
      <c r="P115" s="26"/>
      <c r="Q115" s="26"/>
      <c r="R115" s="23"/>
      <c r="S115" s="26"/>
      <c r="T115" s="26"/>
      <c r="U115" s="27"/>
      <c r="V115" s="122"/>
      <c r="W115" s="123">
        <f t="shared" si="8"/>
        <v>0</v>
      </c>
      <c r="X115" s="124" t="e">
        <f t="shared" si="9"/>
        <v>#DIV/0!</v>
      </c>
      <c r="Y115" s="125"/>
      <c r="Z115" s="31">
        <f t="shared" si="10"/>
        <v>0</v>
      </c>
      <c r="AA115" s="127"/>
      <c r="AB115" s="127"/>
      <c r="AC115" s="127">
        <f t="shared" si="11"/>
        <v>0</v>
      </c>
      <c r="AD115" s="128">
        <f t="shared" si="12"/>
        <v>0</v>
      </c>
      <c r="AE115" s="128">
        <f t="shared" si="13"/>
        <v>0</v>
      </c>
      <c r="AF115" s="127">
        <f t="shared" si="14"/>
        <v>0</v>
      </c>
    </row>
    <row r="116" ht="15.5" customHeight="1" spans="1:32">
      <c r="A116" s="23"/>
      <c r="B116" s="24"/>
      <c r="C116" s="24"/>
      <c r="D116" s="23"/>
      <c r="E116" s="24"/>
      <c r="F116" s="24"/>
      <c r="G116" s="23"/>
      <c r="H116" s="23"/>
      <c r="I116" s="121"/>
      <c r="J116" s="121"/>
      <c r="K116" s="26"/>
      <c r="L116" s="26"/>
      <c r="M116" s="26"/>
      <c r="N116" s="26"/>
      <c r="O116" s="26"/>
      <c r="P116" s="26"/>
      <c r="Q116" s="26"/>
      <c r="R116" s="23"/>
      <c r="S116" s="26"/>
      <c r="T116" s="26"/>
      <c r="U116" s="27"/>
      <c r="V116" s="122"/>
      <c r="W116" s="123">
        <f t="shared" si="8"/>
        <v>0</v>
      </c>
      <c r="X116" s="124" t="e">
        <f t="shared" si="9"/>
        <v>#DIV/0!</v>
      </c>
      <c r="Y116" s="125"/>
      <c r="Z116" s="31">
        <f t="shared" si="10"/>
        <v>0</v>
      </c>
      <c r="AA116" s="127"/>
      <c r="AB116" s="127"/>
      <c r="AC116" s="127">
        <f t="shared" si="11"/>
        <v>0</v>
      </c>
      <c r="AD116" s="128">
        <f t="shared" si="12"/>
        <v>0</v>
      </c>
      <c r="AE116" s="128">
        <f t="shared" si="13"/>
        <v>0</v>
      </c>
      <c r="AF116" s="127">
        <f t="shared" si="14"/>
        <v>0</v>
      </c>
    </row>
    <row r="117" ht="15.5" customHeight="1" spans="1:32">
      <c r="A117" s="23"/>
      <c r="B117" s="24"/>
      <c r="C117" s="24"/>
      <c r="D117" s="23"/>
      <c r="E117" s="24"/>
      <c r="F117" s="24"/>
      <c r="G117" s="23"/>
      <c r="H117" s="23"/>
      <c r="I117" s="121"/>
      <c r="J117" s="121"/>
      <c r="K117" s="26"/>
      <c r="L117" s="26"/>
      <c r="M117" s="26"/>
      <c r="N117" s="26"/>
      <c r="O117" s="26"/>
      <c r="P117" s="26"/>
      <c r="Q117" s="26"/>
      <c r="R117" s="23"/>
      <c r="S117" s="26"/>
      <c r="T117" s="26"/>
      <c r="U117" s="27"/>
      <c r="V117" s="122"/>
      <c r="W117" s="123">
        <f t="shared" si="8"/>
        <v>0</v>
      </c>
      <c r="X117" s="124" t="e">
        <f t="shared" si="9"/>
        <v>#DIV/0!</v>
      </c>
      <c r="Y117" s="125"/>
      <c r="Z117" s="31">
        <f t="shared" si="10"/>
        <v>0</v>
      </c>
      <c r="AA117" s="127"/>
      <c r="AB117" s="127"/>
      <c r="AC117" s="127">
        <f t="shared" si="11"/>
        <v>0</v>
      </c>
      <c r="AD117" s="128">
        <f t="shared" si="12"/>
        <v>0</v>
      </c>
      <c r="AE117" s="128">
        <f t="shared" si="13"/>
        <v>0</v>
      </c>
      <c r="AF117" s="127">
        <f t="shared" si="14"/>
        <v>0</v>
      </c>
    </row>
    <row r="118" ht="15.5" customHeight="1" spans="1:32">
      <c r="A118" s="23"/>
      <c r="B118" s="24"/>
      <c r="C118" s="24"/>
      <c r="D118" s="23"/>
      <c r="E118" s="24"/>
      <c r="F118" s="24"/>
      <c r="G118" s="23"/>
      <c r="H118" s="23"/>
      <c r="I118" s="121"/>
      <c r="J118" s="121"/>
      <c r="K118" s="26"/>
      <c r="L118" s="26"/>
      <c r="M118" s="26"/>
      <c r="N118" s="26"/>
      <c r="O118" s="26"/>
      <c r="P118" s="26"/>
      <c r="Q118" s="26"/>
      <c r="R118" s="23"/>
      <c r="S118" s="26"/>
      <c r="T118" s="26"/>
      <c r="U118" s="27"/>
      <c r="V118" s="122"/>
      <c r="W118" s="123">
        <f t="shared" si="8"/>
        <v>0</v>
      </c>
      <c r="X118" s="124" t="e">
        <f t="shared" si="9"/>
        <v>#DIV/0!</v>
      </c>
      <c r="Y118" s="125"/>
      <c r="Z118" s="31">
        <f t="shared" si="10"/>
        <v>0</v>
      </c>
      <c r="AA118" s="127"/>
      <c r="AB118" s="127"/>
      <c r="AC118" s="127">
        <f t="shared" si="11"/>
        <v>0</v>
      </c>
      <c r="AD118" s="128">
        <f t="shared" si="12"/>
        <v>0</v>
      </c>
      <c r="AE118" s="128">
        <f t="shared" si="13"/>
        <v>0</v>
      </c>
      <c r="AF118" s="127">
        <f t="shared" si="14"/>
        <v>0</v>
      </c>
    </row>
    <row r="119" ht="15.5" customHeight="1" spans="1:32">
      <c r="A119" s="23"/>
      <c r="B119" s="24"/>
      <c r="C119" s="24"/>
      <c r="D119" s="23"/>
      <c r="E119" s="24"/>
      <c r="F119" s="24"/>
      <c r="G119" s="23"/>
      <c r="H119" s="23"/>
      <c r="I119" s="121"/>
      <c r="J119" s="121"/>
      <c r="K119" s="26"/>
      <c r="L119" s="26"/>
      <c r="M119" s="26"/>
      <c r="N119" s="26"/>
      <c r="O119" s="26"/>
      <c r="P119" s="26"/>
      <c r="Q119" s="26"/>
      <c r="R119" s="23"/>
      <c r="S119" s="26"/>
      <c r="T119" s="26"/>
      <c r="U119" s="27"/>
      <c r="V119" s="122"/>
      <c r="W119" s="123">
        <f t="shared" si="8"/>
        <v>0</v>
      </c>
      <c r="X119" s="124" t="e">
        <f t="shared" si="9"/>
        <v>#DIV/0!</v>
      </c>
      <c r="Y119" s="125"/>
      <c r="Z119" s="31">
        <f t="shared" si="10"/>
        <v>0</v>
      </c>
      <c r="AA119" s="127"/>
      <c r="AB119" s="127"/>
      <c r="AC119" s="127">
        <f t="shared" si="11"/>
        <v>0</v>
      </c>
      <c r="AD119" s="128">
        <f t="shared" si="12"/>
        <v>0</v>
      </c>
      <c r="AE119" s="128">
        <f t="shared" si="13"/>
        <v>0</v>
      </c>
      <c r="AF119" s="127">
        <f t="shared" si="14"/>
        <v>0</v>
      </c>
    </row>
    <row r="120" ht="15.5" customHeight="1" spans="1:32">
      <c r="A120" s="23"/>
      <c r="B120" s="24"/>
      <c r="C120" s="24"/>
      <c r="D120" s="23"/>
      <c r="E120" s="24"/>
      <c r="F120" s="24"/>
      <c r="G120" s="23"/>
      <c r="H120" s="23"/>
      <c r="I120" s="121"/>
      <c r="J120" s="121"/>
      <c r="K120" s="26"/>
      <c r="L120" s="26"/>
      <c r="M120" s="26"/>
      <c r="N120" s="26"/>
      <c r="O120" s="26"/>
      <c r="P120" s="26"/>
      <c r="Q120" s="26"/>
      <c r="R120" s="23"/>
      <c r="S120" s="26"/>
      <c r="T120" s="26"/>
      <c r="U120" s="27"/>
      <c r="V120" s="122"/>
      <c r="W120" s="123">
        <f t="shared" si="8"/>
        <v>0</v>
      </c>
      <c r="X120" s="124" t="e">
        <f t="shared" si="9"/>
        <v>#DIV/0!</v>
      </c>
      <c r="Y120" s="125"/>
      <c r="Z120" s="31">
        <f t="shared" si="10"/>
        <v>0</v>
      </c>
      <c r="AA120" s="127"/>
      <c r="AB120" s="127"/>
      <c r="AC120" s="127">
        <f t="shared" si="11"/>
        <v>0</v>
      </c>
      <c r="AD120" s="128">
        <f t="shared" si="12"/>
        <v>0</v>
      </c>
      <c r="AE120" s="128">
        <f t="shared" si="13"/>
        <v>0</v>
      </c>
      <c r="AF120" s="127">
        <f t="shared" si="14"/>
        <v>0</v>
      </c>
    </row>
    <row r="121" ht="15.5" customHeight="1" spans="1:32">
      <c r="A121" s="23"/>
      <c r="B121" s="24"/>
      <c r="C121" s="24"/>
      <c r="D121" s="23"/>
      <c r="E121" s="24"/>
      <c r="F121" s="24"/>
      <c r="G121" s="23"/>
      <c r="H121" s="23"/>
      <c r="I121" s="121"/>
      <c r="J121" s="121"/>
      <c r="K121" s="26"/>
      <c r="L121" s="26"/>
      <c r="M121" s="26"/>
      <c r="N121" s="26"/>
      <c r="O121" s="26"/>
      <c r="P121" s="26"/>
      <c r="Q121" s="26"/>
      <c r="R121" s="23"/>
      <c r="S121" s="26"/>
      <c r="T121" s="26"/>
      <c r="U121" s="27"/>
      <c r="V121" s="122"/>
      <c r="W121" s="123">
        <f t="shared" si="8"/>
        <v>0</v>
      </c>
      <c r="X121" s="124" t="e">
        <f t="shared" si="9"/>
        <v>#DIV/0!</v>
      </c>
      <c r="Y121" s="125"/>
      <c r="Z121" s="31">
        <f t="shared" si="10"/>
        <v>0</v>
      </c>
      <c r="AA121" s="127"/>
      <c r="AB121" s="127"/>
      <c r="AC121" s="127">
        <f t="shared" si="11"/>
        <v>0</v>
      </c>
      <c r="AD121" s="128">
        <f t="shared" si="12"/>
        <v>0</v>
      </c>
      <c r="AE121" s="128">
        <f t="shared" si="13"/>
        <v>0</v>
      </c>
      <c r="AF121" s="127">
        <f t="shared" si="14"/>
        <v>0</v>
      </c>
    </row>
    <row r="122" ht="15.5" customHeight="1" spans="1:32">
      <c r="A122" s="23"/>
      <c r="B122" s="24"/>
      <c r="C122" s="24"/>
      <c r="D122" s="23"/>
      <c r="E122" s="24"/>
      <c r="F122" s="24"/>
      <c r="G122" s="23"/>
      <c r="H122" s="23"/>
      <c r="I122" s="121"/>
      <c r="J122" s="121"/>
      <c r="K122" s="26"/>
      <c r="L122" s="26"/>
      <c r="M122" s="26"/>
      <c r="N122" s="26"/>
      <c r="O122" s="26"/>
      <c r="P122" s="26"/>
      <c r="Q122" s="26"/>
      <c r="R122" s="23"/>
      <c r="S122" s="26"/>
      <c r="T122" s="26"/>
      <c r="U122" s="27"/>
      <c r="V122" s="122"/>
      <c r="W122" s="123">
        <f t="shared" si="8"/>
        <v>0</v>
      </c>
      <c r="X122" s="124" t="e">
        <f t="shared" si="9"/>
        <v>#DIV/0!</v>
      </c>
      <c r="Y122" s="125"/>
      <c r="Z122" s="31">
        <f t="shared" si="10"/>
        <v>0</v>
      </c>
      <c r="AA122" s="127"/>
      <c r="AB122" s="127"/>
      <c r="AC122" s="127">
        <f t="shared" si="11"/>
        <v>0</v>
      </c>
      <c r="AD122" s="128">
        <f t="shared" si="12"/>
        <v>0</v>
      </c>
      <c r="AE122" s="128">
        <f t="shared" si="13"/>
        <v>0</v>
      </c>
      <c r="AF122" s="127">
        <f t="shared" si="14"/>
        <v>0</v>
      </c>
    </row>
    <row r="123" ht="15.5" customHeight="1" spans="1:32">
      <c r="A123" s="23"/>
      <c r="B123" s="24"/>
      <c r="C123" s="24"/>
      <c r="D123" s="23"/>
      <c r="E123" s="24"/>
      <c r="F123" s="24"/>
      <c r="G123" s="23"/>
      <c r="H123" s="23"/>
      <c r="I123" s="121"/>
      <c r="J123" s="121"/>
      <c r="K123" s="26"/>
      <c r="L123" s="26"/>
      <c r="M123" s="26"/>
      <c r="N123" s="26"/>
      <c r="O123" s="26"/>
      <c r="P123" s="26"/>
      <c r="Q123" s="26"/>
      <c r="R123" s="23"/>
      <c r="S123" s="26"/>
      <c r="T123" s="26"/>
      <c r="U123" s="27"/>
      <c r="V123" s="122"/>
      <c r="W123" s="123">
        <f t="shared" si="8"/>
        <v>0</v>
      </c>
      <c r="X123" s="124" t="e">
        <f t="shared" si="9"/>
        <v>#DIV/0!</v>
      </c>
      <c r="Y123" s="125"/>
      <c r="Z123" s="31">
        <f t="shared" si="10"/>
        <v>0</v>
      </c>
      <c r="AA123" s="127"/>
      <c r="AB123" s="127"/>
      <c r="AC123" s="127">
        <f t="shared" si="11"/>
        <v>0</v>
      </c>
      <c r="AD123" s="128">
        <f t="shared" si="12"/>
        <v>0</v>
      </c>
      <c r="AE123" s="128">
        <f t="shared" si="13"/>
        <v>0</v>
      </c>
      <c r="AF123" s="127">
        <f t="shared" si="14"/>
        <v>0</v>
      </c>
    </row>
    <row r="124" ht="15.5" customHeight="1" spans="1:32">
      <c r="A124" s="23"/>
      <c r="B124" s="24"/>
      <c r="C124" s="24"/>
      <c r="D124" s="23"/>
      <c r="E124" s="24"/>
      <c r="F124" s="24"/>
      <c r="G124" s="23"/>
      <c r="H124" s="23"/>
      <c r="I124" s="121"/>
      <c r="J124" s="121"/>
      <c r="K124" s="26"/>
      <c r="L124" s="26"/>
      <c r="M124" s="26"/>
      <c r="N124" s="26"/>
      <c r="O124" s="26"/>
      <c r="P124" s="26"/>
      <c r="Q124" s="26"/>
      <c r="R124" s="23"/>
      <c r="S124" s="26"/>
      <c r="T124" s="26"/>
      <c r="U124" s="27"/>
      <c r="V124" s="122"/>
      <c r="W124" s="123">
        <f t="shared" si="8"/>
        <v>0</v>
      </c>
      <c r="X124" s="124" t="e">
        <f t="shared" si="9"/>
        <v>#DIV/0!</v>
      </c>
      <c r="Y124" s="125"/>
      <c r="Z124" s="31">
        <f t="shared" si="10"/>
        <v>0</v>
      </c>
      <c r="AA124" s="127"/>
      <c r="AB124" s="127"/>
      <c r="AC124" s="127">
        <f t="shared" si="11"/>
        <v>0</v>
      </c>
      <c r="AD124" s="128">
        <f t="shared" si="12"/>
        <v>0</v>
      </c>
      <c r="AE124" s="128">
        <f t="shared" si="13"/>
        <v>0</v>
      </c>
      <c r="AF124" s="127">
        <f t="shared" si="14"/>
        <v>0</v>
      </c>
    </row>
    <row r="125" ht="15.5" customHeight="1" spans="1:32">
      <c r="A125" s="23"/>
      <c r="B125" s="24"/>
      <c r="C125" s="24"/>
      <c r="D125" s="23"/>
      <c r="E125" s="24"/>
      <c r="F125" s="24"/>
      <c r="G125" s="23"/>
      <c r="H125" s="23"/>
      <c r="I125" s="121"/>
      <c r="J125" s="121"/>
      <c r="K125" s="26"/>
      <c r="L125" s="26"/>
      <c r="M125" s="26"/>
      <c r="N125" s="26"/>
      <c r="O125" s="26"/>
      <c r="P125" s="26"/>
      <c r="Q125" s="26"/>
      <c r="R125" s="23"/>
      <c r="S125" s="26"/>
      <c r="T125" s="26"/>
      <c r="U125" s="27"/>
      <c r="V125" s="122"/>
      <c r="W125" s="123">
        <f t="shared" si="8"/>
        <v>0</v>
      </c>
      <c r="X125" s="124" t="e">
        <f t="shared" si="9"/>
        <v>#DIV/0!</v>
      </c>
      <c r="Y125" s="125"/>
      <c r="Z125" s="31">
        <f t="shared" si="10"/>
        <v>0</v>
      </c>
      <c r="AA125" s="127"/>
      <c r="AB125" s="127"/>
      <c r="AC125" s="127">
        <f t="shared" si="11"/>
        <v>0</v>
      </c>
      <c r="AD125" s="128">
        <f t="shared" si="12"/>
        <v>0</v>
      </c>
      <c r="AE125" s="128">
        <f t="shared" si="13"/>
        <v>0</v>
      </c>
      <c r="AF125" s="127">
        <f t="shared" si="14"/>
        <v>0</v>
      </c>
    </row>
    <row r="126" ht="15.5" customHeight="1" spans="1:32">
      <c r="A126" s="23"/>
      <c r="B126" s="24"/>
      <c r="C126" s="24"/>
      <c r="D126" s="23"/>
      <c r="E126" s="24"/>
      <c r="F126" s="24"/>
      <c r="G126" s="23"/>
      <c r="H126" s="23"/>
      <c r="I126" s="121"/>
      <c r="J126" s="121"/>
      <c r="K126" s="26"/>
      <c r="L126" s="26"/>
      <c r="M126" s="26"/>
      <c r="N126" s="26"/>
      <c r="O126" s="26"/>
      <c r="P126" s="26"/>
      <c r="Q126" s="26"/>
      <c r="R126" s="23"/>
      <c r="S126" s="26"/>
      <c r="T126" s="26"/>
      <c r="U126" s="27"/>
      <c r="V126" s="122"/>
      <c r="W126" s="123">
        <f t="shared" si="8"/>
        <v>0</v>
      </c>
      <c r="X126" s="124" t="e">
        <f t="shared" si="9"/>
        <v>#DIV/0!</v>
      </c>
      <c r="Y126" s="125"/>
      <c r="Z126" s="31">
        <f t="shared" si="10"/>
        <v>0</v>
      </c>
      <c r="AA126" s="127"/>
      <c r="AB126" s="127"/>
      <c r="AC126" s="127">
        <f t="shared" si="11"/>
        <v>0</v>
      </c>
      <c r="AD126" s="128">
        <f t="shared" si="12"/>
        <v>0</v>
      </c>
      <c r="AE126" s="128">
        <f t="shared" si="13"/>
        <v>0</v>
      </c>
      <c r="AF126" s="127">
        <f t="shared" si="14"/>
        <v>0</v>
      </c>
    </row>
    <row r="127" ht="15.5" customHeight="1" spans="1:32">
      <c r="A127" s="23"/>
      <c r="B127" s="24"/>
      <c r="C127" s="24"/>
      <c r="D127" s="23"/>
      <c r="E127" s="24"/>
      <c r="F127" s="24"/>
      <c r="G127" s="23"/>
      <c r="H127" s="23"/>
      <c r="I127" s="121"/>
      <c r="J127" s="121"/>
      <c r="K127" s="26"/>
      <c r="L127" s="26"/>
      <c r="M127" s="26"/>
      <c r="N127" s="26"/>
      <c r="O127" s="26"/>
      <c r="P127" s="26"/>
      <c r="Q127" s="26"/>
      <c r="R127" s="23"/>
      <c r="S127" s="26"/>
      <c r="T127" s="26"/>
      <c r="U127" s="27"/>
      <c r="V127" s="122"/>
      <c r="W127" s="123">
        <f t="shared" si="8"/>
        <v>0</v>
      </c>
      <c r="X127" s="124" t="e">
        <f t="shared" si="9"/>
        <v>#DIV/0!</v>
      </c>
      <c r="Y127" s="125"/>
      <c r="Z127" s="31">
        <f t="shared" si="10"/>
        <v>0</v>
      </c>
      <c r="AA127" s="127"/>
      <c r="AB127" s="127"/>
      <c r="AC127" s="127">
        <f t="shared" si="11"/>
        <v>0</v>
      </c>
      <c r="AD127" s="128">
        <f t="shared" si="12"/>
        <v>0</v>
      </c>
      <c r="AE127" s="128">
        <f t="shared" si="13"/>
        <v>0</v>
      </c>
      <c r="AF127" s="127">
        <f t="shared" si="14"/>
        <v>0</v>
      </c>
    </row>
    <row r="128" ht="15.5" customHeight="1" spans="1:32">
      <c r="A128" s="23"/>
      <c r="B128" s="24"/>
      <c r="C128" s="24"/>
      <c r="D128" s="23"/>
      <c r="E128" s="24"/>
      <c r="F128" s="24"/>
      <c r="G128" s="23"/>
      <c r="H128" s="23"/>
      <c r="I128" s="121"/>
      <c r="J128" s="121"/>
      <c r="K128" s="26"/>
      <c r="L128" s="26"/>
      <c r="M128" s="26"/>
      <c r="N128" s="26"/>
      <c r="O128" s="26"/>
      <c r="P128" s="26"/>
      <c r="Q128" s="26"/>
      <c r="R128" s="23"/>
      <c r="S128" s="26"/>
      <c r="T128" s="26"/>
      <c r="U128" s="27"/>
      <c r="V128" s="122"/>
      <c r="W128" s="123">
        <f t="shared" si="8"/>
        <v>0</v>
      </c>
      <c r="X128" s="124" t="e">
        <f t="shared" si="9"/>
        <v>#DIV/0!</v>
      </c>
      <c r="Y128" s="125"/>
      <c r="Z128" s="31">
        <f t="shared" si="10"/>
        <v>0</v>
      </c>
      <c r="AA128" s="127"/>
      <c r="AB128" s="127"/>
      <c r="AC128" s="127">
        <f t="shared" si="11"/>
        <v>0</v>
      </c>
      <c r="AD128" s="128">
        <f t="shared" si="12"/>
        <v>0</v>
      </c>
      <c r="AE128" s="128">
        <f t="shared" si="13"/>
        <v>0</v>
      </c>
      <c r="AF128" s="127">
        <f t="shared" si="14"/>
        <v>0</v>
      </c>
    </row>
    <row r="129" ht="15.5" customHeight="1" spans="1:32">
      <c r="A129" s="23"/>
      <c r="B129" s="24"/>
      <c r="C129" s="24"/>
      <c r="D129" s="23"/>
      <c r="E129" s="24"/>
      <c r="F129" s="24"/>
      <c r="G129" s="23"/>
      <c r="H129" s="23"/>
      <c r="I129" s="121"/>
      <c r="J129" s="121"/>
      <c r="K129" s="26"/>
      <c r="L129" s="26"/>
      <c r="M129" s="26"/>
      <c r="N129" s="26"/>
      <c r="O129" s="26"/>
      <c r="P129" s="26"/>
      <c r="Q129" s="26"/>
      <c r="R129" s="23"/>
      <c r="S129" s="26"/>
      <c r="T129" s="26"/>
      <c r="U129" s="27"/>
      <c r="V129" s="122"/>
      <c r="W129" s="123">
        <f t="shared" si="8"/>
        <v>0</v>
      </c>
      <c r="X129" s="124" t="e">
        <f t="shared" si="9"/>
        <v>#DIV/0!</v>
      </c>
      <c r="Y129" s="125"/>
      <c r="Z129" s="31">
        <f t="shared" si="10"/>
        <v>0</v>
      </c>
      <c r="AA129" s="127"/>
      <c r="AB129" s="127"/>
      <c r="AC129" s="127">
        <f t="shared" si="11"/>
        <v>0</v>
      </c>
      <c r="AD129" s="128">
        <f t="shared" si="12"/>
        <v>0</v>
      </c>
      <c r="AE129" s="128">
        <f t="shared" si="13"/>
        <v>0</v>
      </c>
      <c r="AF129" s="127">
        <f t="shared" si="14"/>
        <v>0</v>
      </c>
    </row>
    <row r="130" ht="15.5" customHeight="1" spans="1:32">
      <c r="A130" s="23"/>
      <c r="B130" s="24"/>
      <c r="C130" s="24"/>
      <c r="D130" s="23"/>
      <c r="E130" s="24"/>
      <c r="F130" s="24"/>
      <c r="G130" s="23"/>
      <c r="H130" s="23"/>
      <c r="I130" s="121"/>
      <c r="J130" s="121"/>
      <c r="K130" s="26"/>
      <c r="L130" s="26"/>
      <c r="M130" s="26"/>
      <c r="N130" s="26"/>
      <c r="O130" s="26"/>
      <c r="P130" s="26"/>
      <c r="Q130" s="26"/>
      <c r="R130" s="23"/>
      <c r="S130" s="26"/>
      <c r="T130" s="26"/>
      <c r="U130" s="27"/>
      <c r="V130" s="122"/>
      <c r="W130" s="123">
        <f t="shared" si="8"/>
        <v>0</v>
      </c>
      <c r="X130" s="124" t="e">
        <f t="shared" si="9"/>
        <v>#DIV/0!</v>
      </c>
      <c r="Y130" s="125"/>
      <c r="Z130" s="31">
        <f t="shared" si="10"/>
        <v>0</v>
      </c>
      <c r="AA130" s="127"/>
      <c r="AB130" s="127"/>
      <c r="AC130" s="127">
        <f t="shared" si="11"/>
        <v>0</v>
      </c>
      <c r="AD130" s="128">
        <f t="shared" si="12"/>
        <v>0</v>
      </c>
      <c r="AE130" s="128">
        <f t="shared" si="13"/>
        <v>0</v>
      </c>
      <c r="AF130" s="127">
        <f t="shared" si="14"/>
        <v>0</v>
      </c>
    </row>
    <row r="131" ht="15.5" customHeight="1" spans="1:32">
      <c r="A131" s="23"/>
      <c r="B131" s="24"/>
      <c r="C131" s="24"/>
      <c r="D131" s="23"/>
      <c r="E131" s="24"/>
      <c r="F131" s="24"/>
      <c r="G131" s="23"/>
      <c r="H131" s="23"/>
      <c r="I131" s="121"/>
      <c r="J131" s="121"/>
      <c r="K131" s="26"/>
      <c r="L131" s="26"/>
      <c r="M131" s="26"/>
      <c r="N131" s="26"/>
      <c r="O131" s="26"/>
      <c r="P131" s="26"/>
      <c r="Q131" s="26"/>
      <c r="R131" s="23"/>
      <c r="S131" s="26"/>
      <c r="T131" s="26"/>
      <c r="U131" s="27"/>
      <c r="V131" s="122"/>
      <c r="W131" s="123">
        <f t="shared" si="8"/>
        <v>0</v>
      </c>
      <c r="X131" s="124" t="e">
        <f t="shared" si="9"/>
        <v>#DIV/0!</v>
      </c>
      <c r="Y131" s="125"/>
      <c r="Z131" s="31">
        <f t="shared" si="10"/>
        <v>0</v>
      </c>
      <c r="AA131" s="127"/>
      <c r="AB131" s="127"/>
      <c r="AC131" s="127">
        <f t="shared" si="11"/>
        <v>0</v>
      </c>
      <c r="AD131" s="128">
        <f t="shared" si="12"/>
        <v>0</v>
      </c>
      <c r="AE131" s="128">
        <f t="shared" si="13"/>
        <v>0</v>
      </c>
      <c r="AF131" s="127">
        <f t="shared" si="14"/>
        <v>0</v>
      </c>
    </row>
    <row r="132" ht="15.5" customHeight="1" spans="1:32">
      <c r="A132" s="23"/>
      <c r="B132" s="24"/>
      <c r="C132" s="24"/>
      <c r="D132" s="23"/>
      <c r="E132" s="24"/>
      <c r="F132" s="24"/>
      <c r="G132" s="23"/>
      <c r="H132" s="23"/>
      <c r="I132" s="121"/>
      <c r="J132" s="121"/>
      <c r="K132" s="26"/>
      <c r="L132" s="26"/>
      <c r="M132" s="26"/>
      <c r="N132" s="26"/>
      <c r="O132" s="26"/>
      <c r="P132" s="26"/>
      <c r="Q132" s="26"/>
      <c r="R132" s="23"/>
      <c r="S132" s="26"/>
      <c r="T132" s="26"/>
      <c r="U132" s="27"/>
      <c r="V132" s="122"/>
      <c r="W132" s="123">
        <f t="shared" si="8"/>
        <v>0</v>
      </c>
      <c r="X132" s="124" t="e">
        <f t="shared" si="9"/>
        <v>#DIV/0!</v>
      </c>
      <c r="Y132" s="125"/>
      <c r="Z132" s="31">
        <f t="shared" si="10"/>
        <v>0</v>
      </c>
      <c r="AA132" s="127"/>
      <c r="AB132" s="127"/>
      <c r="AC132" s="127">
        <f t="shared" si="11"/>
        <v>0</v>
      </c>
      <c r="AD132" s="128">
        <f t="shared" si="12"/>
        <v>0</v>
      </c>
      <c r="AE132" s="128">
        <f t="shared" si="13"/>
        <v>0</v>
      </c>
      <c r="AF132" s="127">
        <f t="shared" si="14"/>
        <v>0</v>
      </c>
    </row>
    <row r="133" ht="15.5" customHeight="1" spans="1:32">
      <c r="A133" s="23"/>
      <c r="B133" s="24"/>
      <c r="C133" s="24"/>
      <c r="D133" s="23"/>
      <c r="E133" s="24"/>
      <c r="F133" s="24"/>
      <c r="G133" s="23"/>
      <c r="H133" s="23"/>
      <c r="I133" s="121"/>
      <c r="J133" s="121"/>
      <c r="K133" s="26"/>
      <c r="L133" s="26"/>
      <c r="M133" s="26"/>
      <c r="N133" s="26"/>
      <c r="O133" s="26"/>
      <c r="P133" s="26"/>
      <c r="Q133" s="26"/>
      <c r="R133" s="23"/>
      <c r="S133" s="26"/>
      <c r="T133" s="26"/>
      <c r="U133" s="27"/>
      <c r="V133" s="122"/>
      <c r="W133" s="123">
        <f t="shared" si="8"/>
        <v>0</v>
      </c>
      <c r="X133" s="124" t="e">
        <f t="shared" si="9"/>
        <v>#DIV/0!</v>
      </c>
      <c r="Y133" s="125"/>
      <c r="Z133" s="31">
        <f t="shared" si="10"/>
        <v>0</v>
      </c>
      <c r="AA133" s="127"/>
      <c r="AB133" s="127"/>
      <c r="AC133" s="127">
        <f t="shared" si="11"/>
        <v>0</v>
      </c>
      <c r="AD133" s="128">
        <f t="shared" si="12"/>
        <v>0</v>
      </c>
      <c r="AE133" s="128">
        <f t="shared" si="13"/>
        <v>0</v>
      </c>
      <c r="AF133" s="127">
        <f t="shared" si="14"/>
        <v>0</v>
      </c>
    </row>
    <row r="134" ht="15.5" customHeight="1" spans="1:32">
      <c r="A134" s="23"/>
      <c r="B134" s="24"/>
      <c r="C134" s="24"/>
      <c r="D134" s="23"/>
      <c r="E134" s="24"/>
      <c r="F134" s="24"/>
      <c r="G134" s="23"/>
      <c r="H134" s="23"/>
      <c r="I134" s="121"/>
      <c r="J134" s="121"/>
      <c r="K134" s="26"/>
      <c r="L134" s="26"/>
      <c r="M134" s="26"/>
      <c r="N134" s="26"/>
      <c r="O134" s="26"/>
      <c r="P134" s="26"/>
      <c r="Q134" s="26"/>
      <c r="R134" s="23"/>
      <c r="S134" s="26"/>
      <c r="T134" s="26"/>
      <c r="U134" s="27"/>
      <c r="V134" s="122"/>
      <c r="W134" s="123">
        <f t="shared" si="8"/>
        <v>0</v>
      </c>
      <c r="X134" s="124" t="e">
        <f t="shared" si="9"/>
        <v>#DIV/0!</v>
      </c>
      <c r="Y134" s="125"/>
      <c r="Z134" s="31">
        <f t="shared" si="10"/>
        <v>0</v>
      </c>
      <c r="AA134" s="127"/>
      <c r="AB134" s="127"/>
      <c r="AC134" s="127">
        <f t="shared" si="11"/>
        <v>0</v>
      </c>
      <c r="AD134" s="128">
        <f t="shared" si="12"/>
        <v>0</v>
      </c>
      <c r="AE134" s="128">
        <f t="shared" si="13"/>
        <v>0</v>
      </c>
      <c r="AF134" s="127">
        <f t="shared" si="14"/>
        <v>0</v>
      </c>
    </row>
    <row r="135" ht="15.5" customHeight="1" spans="1:32">
      <c r="A135" s="23"/>
      <c r="B135" s="24"/>
      <c r="C135" s="24"/>
      <c r="D135" s="23"/>
      <c r="E135" s="24"/>
      <c r="F135" s="24"/>
      <c r="G135" s="23"/>
      <c r="H135" s="23"/>
      <c r="I135" s="121"/>
      <c r="J135" s="121"/>
      <c r="K135" s="26"/>
      <c r="L135" s="26"/>
      <c r="M135" s="26"/>
      <c r="N135" s="26"/>
      <c r="O135" s="26"/>
      <c r="P135" s="26"/>
      <c r="Q135" s="26"/>
      <c r="R135" s="23"/>
      <c r="S135" s="26"/>
      <c r="T135" s="26"/>
      <c r="U135" s="27"/>
      <c r="V135" s="122"/>
      <c r="W135" s="123">
        <f t="shared" ref="W135:W198" si="15">($V$5-J135)/365</f>
        <v>0</v>
      </c>
      <c r="X135" s="124" t="e">
        <f t="shared" ref="X135:X198" si="16">(V135-W135)/V135</f>
        <v>#DIV/0!</v>
      </c>
      <c r="Y135" s="125"/>
      <c r="Z135" s="31">
        <f t="shared" ref="Z135:Z198" si="17">Y135</f>
        <v>0</v>
      </c>
      <c r="AA135" s="127"/>
      <c r="AB135" s="127"/>
      <c r="AC135" s="127">
        <f t="shared" ref="AC135:AC198" si="18">Z135*0.13/(1+0.13)</f>
        <v>0</v>
      </c>
      <c r="AD135" s="128">
        <f t="shared" ref="AD135:AD198" si="19">Z135-AC135</f>
        <v>0</v>
      </c>
      <c r="AE135" s="128">
        <f t="shared" ref="AE135:AE198" si="20">Z135*H135</f>
        <v>0</v>
      </c>
      <c r="AF135" s="127">
        <f t="shared" ref="AF135:AF198" si="21">ROUND(AD135*H135,-2)</f>
        <v>0</v>
      </c>
    </row>
    <row r="136" ht="15.5" customHeight="1" spans="1:32">
      <c r="A136" s="23"/>
      <c r="B136" s="24"/>
      <c r="C136" s="24"/>
      <c r="D136" s="23"/>
      <c r="E136" s="24"/>
      <c r="F136" s="24"/>
      <c r="G136" s="23"/>
      <c r="H136" s="23"/>
      <c r="I136" s="121"/>
      <c r="J136" s="121"/>
      <c r="K136" s="26"/>
      <c r="L136" s="26"/>
      <c r="M136" s="26"/>
      <c r="N136" s="26"/>
      <c r="O136" s="26"/>
      <c r="P136" s="26"/>
      <c r="Q136" s="26"/>
      <c r="R136" s="23"/>
      <c r="S136" s="26"/>
      <c r="T136" s="26"/>
      <c r="U136" s="27"/>
      <c r="V136" s="122"/>
      <c r="W136" s="123">
        <f t="shared" si="15"/>
        <v>0</v>
      </c>
      <c r="X136" s="124" t="e">
        <f t="shared" si="16"/>
        <v>#DIV/0!</v>
      </c>
      <c r="Y136" s="125"/>
      <c r="Z136" s="31">
        <f t="shared" si="17"/>
        <v>0</v>
      </c>
      <c r="AA136" s="127"/>
      <c r="AB136" s="127"/>
      <c r="AC136" s="127">
        <f t="shared" si="18"/>
        <v>0</v>
      </c>
      <c r="AD136" s="128">
        <f t="shared" si="19"/>
        <v>0</v>
      </c>
      <c r="AE136" s="128">
        <f t="shared" si="20"/>
        <v>0</v>
      </c>
      <c r="AF136" s="127">
        <f t="shared" si="21"/>
        <v>0</v>
      </c>
    </row>
    <row r="137" ht="15.5" customHeight="1" spans="1:32">
      <c r="A137" s="23"/>
      <c r="B137" s="24"/>
      <c r="C137" s="24"/>
      <c r="D137" s="23"/>
      <c r="E137" s="24"/>
      <c r="F137" s="24"/>
      <c r="G137" s="23"/>
      <c r="H137" s="23"/>
      <c r="I137" s="121"/>
      <c r="J137" s="121"/>
      <c r="K137" s="26"/>
      <c r="L137" s="26"/>
      <c r="M137" s="26"/>
      <c r="N137" s="26"/>
      <c r="O137" s="26"/>
      <c r="P137" s="26"/>
      <c r="Q137" s="26"/>
      <c r="R137" s="23"/>
      <c r="S137" s="26"/>
      <c r="T137" s="26"/>
      <c r="U137" s="27"/>
      <c r="V137" s="122"/>
      <c r="W137" s="123">
        <f t="shared" si="15"/>
        <v>0</v>
      </c>
      <c r="X137" s="124" t="e">
        <f t="shared" si="16"/>
        <v>#DIV/0!</v>
      </c>
      <c r="Y137" s="125"/>
      <c r="Z137" s="31">
        <f t="shared" si="17"/>
        <v>0</v>
      </c>
      <c r="AA137" s="127"/>
      <c r="AB137" s="127"/>
      <c r="AC137" s="127">
        <f t="shared" si="18"/>
        <v>0</v>
      </c>
      <c r="AD137" s="128">
        <f t="shared" si="19"/>
        <v>0</v>
      </c>
      <c r="AE137" s="128">
        <f t="shared" si="20"/>
        <v>0</v>
      </c>
      <c r="AF137" s="127">
        <f t="shared" si="21"/>
        <v>0</v>
      </c>
    </row>
    <row r="138" ht="15.5" customHeight="1" spans="1:32">
      <c r="A138" s="23"/>
      <c r="B138" s="24"/>
      <c r="C138" s="24"/>
      <c r="D138" s="23"/>
      <c r="E138" s="24"/>
      <c r="F138" s="24"/>
      <c r="G138" s="23"/>
      <c r="H138" s="23"/>
      <c r="I138" s="121"/>
      <c r="J138" s="121"/>
      <c r="K138" s="26"/>
      <c r="L138" s="26"/>
      <c r="M138" s="26"/>
      <c r="N138" s="26"/>
      <c r="O138" s="26"/>
      <c r="P138" s="26"/>
      <c r="Q138" s="26"/>
      <c r="R138" s="23"/>
      <c r="S138" s="26"/>
      <c r="T138" s="26"/>
      <c r="U138" s="27"/>
      <c r="V138" s="122"/>
      <c r="W138" s="123">
        <f t="shared" si="15"/>
        <v>0</v>
      </c>
      <c r="X138" s="124" t="e">
        <f t="shared" si="16"/>
        <v>#DIV/0!</v>
      </c>
      <c r="Y138" s="125"/>
      <c r="Z138" s="31">
        <f t="shared" si="17"/>
        <v>0</v>
      </c>
      <c r="AA138" s="127"/>
      <c r="AB138" s="127"/>
      <c r="AC138" s="127">
        <f t="shared" si="18"/>
        <v>0</v>
      </c>
      <c r="AD138" s="128">
        <f t="shared" si="19"/>
        <v>0</v>
      </c>
      <c r="AE138" s="128">
        <f t="shared" si="20"/>
        <v>0</v>
      </c>
      <c r="AF138" s="127">
        <f t="shared" si="21"/>
        <v>0</v>
      </c>
    </row>
    <row r="139" ht="15.5" customHeight="1" spans="1:32">
      <c r="A139" s="23"/>
      <c r="B139" s="24"/>
      <c r="C139" s="24"/>
      <c r="D139" s="23"/>
      <c r="E139" s="24"/>
      <c r="F139" s="24"/>
      <c r="G139" s="23"/>
      <c r="H139" s="23"/>
      <c r="I139" s="121"/>
      <c r="J139" s="121"/>
      <c r="K139" s="26"/>
      <c r="L139" s="26"/>
      <c r="M139" s="26"/>
      <c r="N139" s="26"/>
      <c r="O139" s="26"/>
      <c r="P139" s="26"/>
      <c r="Q139" s="26"/>
      <c r="R139" s="23"/>
      <c r="S139" s="26"/>
      <c r="T139" s="26"/>
      <c r="U139" s="27"/>
      <c r="V139" s="122"/>
      <c r="W139" s="123">
        <f t="shared" si="15"/>
        <v>0</v>
      </c>
      <c r="X139" s="124" t="e">
        <f t="shared" si="16"/>
        <v>#DIV/0!</v>
      </c>
      <c r="Y139" s="125"/>
      <c r="Z139" s="31">
        <f t="shared" si="17"/>
        <v>0</v>
      </c>
      <c r="AA139" s="127"/>
      <c r="AB139" s="127"/>
      <c r="AC139" s="127">
        <f t="shared" si="18"/>
        <v>0</v>
      </c>
      <c r="AD139" s="128">
        <f t="shared" si="19"/>
        <v>0</v>
      </c>
      <c r="AE139" s="128">
        <f t="shared" si="20"/>
        <v>0</v>
      </c>
      <c r="AF139" s="127">
        <f t="shared" si="21"/>
        <v>0</v>
      </c>
    </row>
    <row r="140" ht="15.5" customHeight="1" spans="1:32">
      <c r="A140" s="23"/>
      <c r="B140" s="24"/>
      <c r="C140" s="24"/>
      <c r="D140" s="23"/>
      <c r="E140" s="24"/>
      <c r="F140" s="24"/>
      <c r="G140" s="23"/>
      <c r="H140" s="23"/>
      <c r="I140" s="121"/>
      <c r="J140" s="121"/>
      <c r="K140" s="26"/>
      <c r="L140" s="26"/>
      <c r="M140" s="26"/>
      <c r="N140" s="26"/>
      <c r="O140" s="26"/>
      <c r="P140" s="26"/>
      <c r="Q140" s="26"/>
      <c r="R140" s="23"/>
      <c r="S140" s="26"/>
      <c r="T140" s="26"/>
      <c r="U140" s="27"/>
      <c r="V140" s="122"/>
      <c r="W140" s="123">
        <f t="shared" si="15"/>
        <v>0</v>
      </c>
      <c r="X140" s="124" t="e">
        <f t="shared" si="16"/>
        <v>#DIV/0!</v>
      </c>
      <c r="Y140" s="125"/>
      <c r="Z140" s="31">
        <f t="shared" si="17"/>
        <v>0</v>
      </c>
      <c r="AA140" s="127"/>
      <c r="AB140" s="127"/>
      <c r="AC140" s="127">
        <f t="shared" si="18"/>
        <v>0</v>
      </c>
      <c r="AD140" s="128">
        <f t="shared" si="19"/>
        <v>0</v>
      </c>
      <c r="AE140" s="128">
        <f t="shared" si="20"/>
        <v>0</v>
      </c>
      <c r="AF140" s="127">
        <f t="shared" si="21"/>
        <v>0</v>
      </c>
    </row>
    <row r="141" ht="15.5" customHeight="1" spans="1:32">
      <c r="A141" s="23"/>
      <c r="B141" s="24"/>
      <c r="C141" s="24"/>
      <c r="D141" s="23"/>
      <c r="E141" s="24"/>
      <c r="F141" s="24"/>
      <c r="G141" s="23"/>
      <c r="H141" s="23"/>
      <c r="I141" s="121"/>
      <c r="J141" s="121"/>
      <c r="K141" s="26"/>
      <c r="L141" s="26"/>
      <c r="M141" s="26"/>
      <c r="N141" s="26"/>
      <c r="O141" s="26"/>
      <c r="P141" s="26"/>
      <c r="Q141" s="26"/>
      <c r="R141" s="23"/>
      <c r="S141" s="26"/>
      <c r="T141" s="26"/>
      <c r="U141" s="27"/>
      <c r="V141" s="122"/>
      <c r="W141" s="123">
        <f t="shared" si="15"/>
        <v>0</v>
      </c>
      <c r="X141" s="124" t="e">
        <f t="shared" si="16"/>
        <v>#DIV/0!</v>
      </c>
      <c r="Y141" s="125"/>
      <c r="Z141" s="31">
        <f t="shared" si="17"/>
        <v>0</v>
      </c>
      <c r="AA141" s="127"/>
      <c r="AB141" s="127"/>
      <c r="AC141" s="127">
        <f t="shared" si="18"/>
        <v>0</v>
      </c>
      <c r="AD141" s="128">
        <f t="shared" si="19"/>
        <v>0</v>
      </c>
      <c r="AE141" s="128">
        <f t="shared" si="20"/>
        <v>0</v>
      </c>
      <c r="AF141" s="127">
        <f t="shared" si="21"/>
        <v>0</v>
      </c>
    </row>
    <row r="142" ht="15.5" customHeight="1" spans="1:32">
      <c r="A142" s="23"/>
      <c r="B142" s="24"/>
      <c r="C142" s="24"/>
      <c r="D142" s="23"/>
      <c r="E142" s="24"/>
      <c r="F142" s="24"/>
      <c r="G142" s="23"/>
      <c r="H142" s="23"/>
      <c r="I142" s="121"/>
      <c r="J142" s="121"/>
      <c r="K142" s="26"/>
      <c r="L142" s="26"/>
      <c r="M142" s="26"/>
      <c r="N142" s="26"/>
      <c r="O142" s="26"/>
      <c r="P142" s="26"/>
      <c r="Q142" s="26"/>
      <c r="R142" s="23"/>
      <c r="S142" s="26"/>
      <c r="T142" s="26"/>
      <c r="U142" s="27"/>
      <c r="V142" s="122"/>
      <c r="W142" s="123">
        <f t="shared" si="15"/>
        <v>0</v>
      </c>
      <c r="X142" s="124" t="e">
        <f t="shared" si="16"/>
        <v>#DIV/0!</v>
      </c>
      <c r="Y142" s="125"/>
      <c r="Z142" s="31">
        <f t="shared" si="17"/>
        <v>0</v>
      </c>
      <c r="AA142" s="127"/>
      <c r="AB142" s="127"/>
      <c r="AC142" s="127">
        <f t="shared" si="18"/>
        <v>0</v>
      </c>
      <c r="AD142" s="128">
        <f t="shared" si="19"/>
        <v>0</v>
      </c>
      <c r="AE142" s="128">
        <f t="shared" si="20"/>
        <v>0</v>
      </c>
      <c r="AF142" s="127">
        <f t="shared" si="21"/>
        <v>0</v>
      </c>
    </row>
    <row r="143" ht="15.5" customHeight="1" spans="1:32">
      <c r="A143" s="23"/>
      <c r="B143" s="24"/>
      <c r="C143" s="24"/>
      <c r="D143" s="23"/>
      <c r="E143" s="24"/>
      <c r="F143" s="24"/>
      <c r="G143" s="23"/>
      <c r="H143" s="23"/>
      <c r="I143" s="121"/>
      <c r="J143" s="121"/>
      <c r="K143" s="26"/>
      <c r="L143" s="26"/>
      <c r="M143" s="26"/>
      <c r="N143" s="26"/>
      <c r="O143" s="26"/>
      <c r="P143" s="26"/>
      <c r="Q143" s="26"/>
      <c r="R143" s="23"/>
      <c r="S143" s="26"/>
      <c r="T143" s="26"/>
      <c r="U143" s="27"/>
      <c r="V143" s="122"/>
      <c r="W143" s="123">
        <f t="shared" si="15"/>
        <v>0</v>
      </c>
      <c r="X143" s="124" t="e">
        <f t="shared" si="16"/>
        <v>#DIV/0!</v>
      </c>
      <c r="Y143" s="125"/>
      <c r="Z143" s="31">
        <f t="shared" si="17"/>
        <v>0</v>
      </c>
      <c r="AA143" s="127"/>
      <c r="AB143" s="127"/>
      <c r="AC143" s="127">
        <f t="shared" si="18"/>
        <v>0</v>
      </c>
      <c r="AD143" s="128">
        <f t="shared" si="19"/>
        <v>0</v>
      </c>
      <c r="AE143" s="128">
        <f t="shared" si="20"/>
        <v>0</v>
      </c>
      <c r="AF143" s="127">
        <f t="shared" si="21"/>
        <v>0</v>
      </c>
    </row>
    <row r="144" ht="15.5" customHeight="1" spans="1:32">
      <c r="A144" s="23"/>
      <c r="B144" s="24"/>
      <c r="C144" s="24"/>
      <c r="D144" s="23"/>
      <c r="E144" s="24"/>
      <c r="F144" s="24"/>
      <c r="G144" s="23"/>
      <c r="H144" s="23"/>
      <c r="I144" s="121"/>
      <c r="J144" s="121"/>
      <c r="K144" s="26"/>
      <c r="L144" s="26"/>
      <c r="M144" s="26"/>
      <c r="N144" s="26"/>
      <c r="O144" s="26"/>
      <c r="P144" s="26"/>
      <c r="Q144" s="26"/>
      <c r="R144" s="23"/>
      <c r="S144" s="26"/>
      <c r="T144" s="26"/>
      <c r="U144" s="27"/>
      <c r="V144" s="122"/>
      <c r="W144" s="123">
        <f t="shared" si="15"/>
        <v>0</v>
      </c>
      <c r="X144" s="124" t="e">
        <f t="shared" si="16"/>
        <v>#DIV/0!</v>
      </c>
      <c r="Y144" s="125"/>
      <c r="Z144" s="31">
        <f t="shared" si="17"/>
        <v>0</v>
      </c>
      <c r="AA144" s="127"/>
      <c r="AB144" s="127"/>
      <c r="AC144" s="127">
        <f t="shared" si="18"/>
        <v>0</v>
      </c>
      <c r="AD144" s="128">
        <f t="shared" si="19"/>
        <v>0</v>
      </c>
      <c r="AE144" s="128">
        <f t="shared" si="20"/>
        <v>0</v>
      </c>
      <c r="AF144" s="127">
        <f t="shared" si="21"/>
        <v>0</v>
      </c>
    </row>
    <row r="145" ht="15.5" customHeight="1" spans="1:32">
      <c r="A145" s="23"/>
      <c r="B145" s="24"/>
      <c r="C145" s="24"/>
      <c r="D145" s="23"/>
      <c r="E145" s="24"/>
      <c r="F145" s="24"/>
      <c r="G145" s="23"/>
      <c r="H145" s="23"/>
      <c r="I145" s="121"/>
      <c r="J145" s="121"/>
      <c r="K145" s="26"/>
      <c r="L145" s="26"/>
      <c r="M145" s="26"/>
      <c r="N145" s="26"/>
      <c r="O145" s="26"/>
      <c r="P145" s="26"/>
      <c r="Q145" s="26"/>
      <c r="R145" s="23"/>
      <c r="S145" s="26"/>
      <c r="T145" s="26"/>
      <c r="U145" s="27"/>
      <c r="V145" s="122"/>
      <c r="W145" s="123">
        <f t="shared" si="15"/>
        <v>0</v>
      </c>
      <c r="X145" s="124" t="e">
        <f t="shared" si="16"/>
        <v>#DIV/0!</v>
      </c>
      <c r="Y145" s="125"/>
      <c r="Z145" s="31">
        <f t="shared" si="17"/>
        <v>0</v>
      </c>
      <c r="AA145" s="127"/>
      <c r="AB145" s="127"/>
      <c r="AC145" s="127">
        <f t="shared" si="18"/>
        <v>0</v>
      </c>
      <c r="AD145" s="128">
        <f t="shared" si="19"/>
        <v>0</v>
      </c>
      <c r="AE145" s="128">
        <f t="shared" si="20"/>
        <v>0</v>
      </c>
      <c r="AF145" s="127">
        <f t="shared" si="21"/>
        <v>0</v>
      </c>
    </row>
    <row r="146" ht="15.5" customHeight="1" spans="1:32">
      <c r="A146" s="23"/>
      <c r="B146" s="24"/>
      <c r="C146" s="24"/>
      <c r="D146" s="23"/>
      <c r="E146" s="24"/>
      <c r="F146" s="24"/>
      <c r="G146" s="23"/>
      <c r="H146" s="23"/>
      <c r="I146" s="121"/>
      <c r="J146" s="121"/>
      <c r="K146" s="26"/>
      <c r="L146" s="26"/>
      <c r="M146" s="26"/>
      <c r="N146" s="26"/>
      <c r="O146" s="26"/>
      <c r="P146" s="26"/>
      <c r="Q146" s="26"/>
      <c r="R146" s="23"/>
      <c r="S146" s="26"/>
      <c r="T146" s="26"/>
      <c r="U146" s="27"/>
      <c r="V146" s="122"/>
      <c r="W146" s="123">
        <f t="shared" si="15"/>
        <v>0</v>
      </c>
      <c r="X146" s="124" t="e">
        <f t="shared" si="16"/>
        <v>#DIV/0!</v>
      </c>
      <c r="Y146" s="125"/>
      <c r="Z146" s="31">
        <f t="shared" si="17"/>
        <v>0</v>
      </c>
      <c r="AA146" s="127"/>
      <c r="AB146" s="127"/>
      <c r="AC146" s="127">
        <f t="shared" si="18"/>
        <v>0</v>
      </c>
      <c r="AD146" s="128">
        <f t="shared" si="19"/>
        <v>0</v>
      </c>
      <c r="AE146" s="128">
        <f t="shared" si="20"/>
        <v>0</v>
      </c>
      <c r="AF146" s="127">
        <f t="shared" si="21"/>
        <v>0</v>
      </c>
    </row>
    <row r="147" ht="15.5" customHeight="1" spans="1:32">
      <c r="A147" s="23"/>
      <c r="B147" s="24"/>
      <c r="C147" s="24"/>
      <c r="D147" s="23"/>
      <c r="E147" s="24"/>
      <c r="F147" s="24"/>
      <c r="G147" s="23"/>
      <c r="H147" s="23"/>
      <c r="I147" s="121"/>
      <c r="J147" s="121"/>
      <c r="K147" s="26"/>
      <c r="L147" s="26"/>
      <c r="M147" s="26"/>
      <c r="N147" s="26"/>
      <c r="O147" s="26"/>
      <c r="P147" s="26"/>
      <c r="Q147" s="26"/>
      <c r="R147" s="23"/>
      <c r="S147" s="26"/>
      <c r="T147" s="26"/>
      <c r="U147" s="27"/>
      <c r="V147" s="122"/>
      <c r="W147" s="123">
        <f t="shared" si="15"/>
        <v>0</v>
      </c>
      <c r="X147" s="124" t="e">
        <f t="shared" si="16"/>
        <v>#DIV/0!</v>
      </c>
      <c r="Y147" s="125"/>
      <c r="Z147" s="31">
        <f t="shared" si="17"/>
        <v>0</v>
      </c>
      <c r="AA147" s="127"/>
      <c r="AB147" s="127"/>
      <c r="AC147" s="127">
        <f t="shared" si="18"/>
        <v>0</v>
      </c>
      <c r="AD147" s="128">
        <f t="shared" si="19"/>
        <v>0</v>
      </c>
      <c r="AE147" s="128">
        <f t="shared" si="20"/>
        <v>0</v>
      </c>
      <c r="AF147" s="127">
        <f t="shared" si="21"/>
        <v>0</v>
      </c>
    </row>
    <row r="148" ht="15.5" customHeight="1" spans="1:32">
      <c r="A148" s="23"/>
      <c r="B148" s="24"/>
      <c r="C148" s="24"/>
      <c r="D148" s="23"/>
      <c r="E148" s="24"/>
      <c r="F148" s="24"/>
      <c r="G148" s="23"/>
      <c r="H148" s="23"/>
      <c r="I148" s="121"/>
      <c r="J148" s="121"/>
      <c r="K148" s="26"/>
      <c r="L148" s="26"/>
      <c r="M148" s="26"/>
      <c r="N148" s="26"/>
      <c r="O148" s="26"/>
      <c r="P148" s="26"/>
      <c r="Q148" s="26"/>
      <c r="R148" s="23"/>
      <c r="S148" s="26"/>
      <c r="T148" s="26"/>
      <c r="U148" s="27"/>
      <c r="V148" s="122"/>
      <c r="W148" s="123">
        <f t="shared" si="15"/>
        <v>0</v>
      </c>
      <c r="X148" s="124" t="e">
        <f t="shared" si="16"/>
        <v>#DIV/0!</v>
      </c>
      <c r="Y148" s="125"/>
      <c r="Z148" s="31">
        <f t="shared" si="17"/>
        <v>0</v>
      </c>
      <c r="AA148" s="127"/>
      <c r="AB148" s="127"/>
      <c r="AC148" s="127">
        <f t="shared" si="18"/>
        <v>0</v>
      </c>
      <c r="AD148" s="128">
        <f t="shared" si="19"/>
        <v>0</v>
      </c>
      <c r="AE148" s="128">
        <f t="shared" si="20"/>
        <v>0</v>
      </c>
      <c r="AF148" s="127">
        <f t="shared" si="21"/>
        <v>0</v>
      </c>
    </row>
    <row r="149" ht="15.5" customHeight="1" spans="1:32">
      <c r="A149" s="23"/>
      <c r="B149" s="24"/>
      <c r="C149" s="24"/>
      <c r="D149" s="23"/>
      <c r="E149" s="24"/>
      <c r="F149" s="24"/>
      <c r="G149" s="23"/>
      <c r="H149" s="23"/>
      <c r="I149" s="121"/>
      <c r="J149" s="121"/>
      <c r="K149" s="26"/>
      <c r="L149" s="26"/>
      <c r="M149" s="26"/>
      <c r="N149" s="26"/>
      <c r="O149" s="26"/>
      <c r="P149" s="26"/>
      <c r="Q149" s="26"/>
      <c r="R149" s="23"/>
      <c r="S149" s="26"/>
      <c r="T149" s="26"/>
      <c r="U149" s="27"/>
      <c r="V149" s="122"/>
      <c r="W149" s="123">
        <f t="shared" si="15"/>
        <v>0</v>
      </c>
      <c r="X149" s="124" t="e">
        <f t="shared" si="16"/>
        <v>#DIV/0!</v>
      </c>
      <c r="Y149" s="125"/>
      <c r="Z149" s="31">
        <f t="shared" si="17"/>
        <v>0</v>
      </c>
      <c r="AA149" s="127"/>
      <c r="AB149" s="127"/>
      <c r="AC149" s="127">
        <f t="shared" si="18"/>
        <v>0</v>
      </c>
      <c r="AD149" s="128">
        <f t="shared" si="19"/>
        <v>0</v>
      </c>
      <c r="AE149" s="128">
        <f t="shared" si="20"/>
        <v>0</v>
      </c>
      <c r="AF149" s="127">
        <f t="shared" si="21"/>
        <v>0</v>
      </c>
    </row>
    <row r="150" ht="15.5" customHeight="1" spans="1:32">
      <c r="A150" s="23"/>
      <c r="B150" s="24"/>
      <c r="C150" s="24"/>
      <c r="D150" s="23"/>
      <c r="E150" s="24"/>
      <c r="F150" s="24"/>
      <c r="G150" s="23"/>
      <c r="H150" s="23"/>
      <c r="I150" s="121"/>
      <c r="J150" s="121"/>
      <c r="K150" s="26"/>
      <c r="L150" s="26"/>
      <c r="M150" s="26"/>
      <c r="N150" s="26"/>
      <c r="O150" s="26"/>
      <c r="P150" s="26"/>
      <c r="Q150" s="26"/>
      <c r="R150" s="23"/>
      <c r="S150" s="26"/>
      <c r="T150" s="26"/>
      <c r="U150" s="27"/>
      <c r="V150" s="122"/>
      <c r="W150" s="123">
        <f t="shared" si="15"/>
        <v>0</v>
      </c>
      <c r="X150" s="124" t="e">
        <f t="shared" si="16"/>
        <v>#DIV/0!</v>
      </c>
      <c r="Y150" s="125"/>
      <c r="Z150" s="31">
        <f t="shared" si="17"/>
        <v>0</v>
      </c>
      <c r="AA150" s="127"/>
      <c r="AB150" s="127"/>
      <c r="AC150" s="127">
        <f t="shared" si="18"/>
        <v>0</v>
      </c>
      <c r="AD150" s="128">
        <f t="shared" si="19"/>
        <v>0</v>
      </c>
      <c r="AE150" s="128">
        <f t="shared" si="20"/>
        <v>0</v>
      </c>
      <c r="AF150" s="127">
        <f t="shared" si="21"/>
        <v>0</v>
      </c>
    </row>
    <row r="151" ht="15.5" customHeight="1" spans="1:32">
      <c r="A151" s="23"/>
      <c r="B151" s="24"/>
      <c r="C151" s="24"/>
      <c r="D151" s="23"/>
      <c r="E151" s="24"/>
      <c r="F151" s="24"/>
      <c r="G151" s="23"/>
      <c r="H151" s="23"/>
      <c r="I151" s="121"/>
      <c r="J151" s="121"/>
      <c r="K151" s="26"/>
      <c r="L151" s="26"/>
      <c r="M151" s="26"/>
      <c r="N151" s="26"/>
      <c r="O151" s="26"/>
      <c r="P151" s="26"/>
      <c r="Q151" s="26"/>
      <c r="R151" s="23"/>
      <c r="S151" s="26"/>
      <c r="T151" s="26"/>
      <c r="U151" s="27"/>
      <c r="V151" s="122"/>
      <c r="W151" s="123">
        <f t="shared" si="15"/>
        <v>0</v>
      </c>
      <c r="X151" s="124" t="e">
        <f t="shared" si="16"/>
        <v>#DIV/0!</v>
      </c>
      <c r="Y151" s="125"/>
      <c r="Z151" s="31">
        <f t="shared" si="17"/>
        <v>0</v>
      </c>
      <c r="AA151" s="127"/>
      <c r="AB151" s="127"/>
      <c r="AC151" s="127">
        <f t="shared" si="18"/>
        <v>0</v>
      </c>
      <c r="AD151" s="128">
        <f t="shared" si="19"/>
        <v>0</v>
      </c>
      <c r="AE151" s="128">
        <f t="shared" si="20"/>
        <v>0</v>
      </c>
      <c r="AF151" s="127">
        <f t="shared" si="21"/>
        <v>0</v>
      </c>
    </row>
    <row r="152" ht="15.5" customHeight="1" spans="1:32">
      <c r="A152" s="23"/>
      <c r="B152" s="24"/>
      <c r="C152" s="24"/>
      <c r="D152" s="23"/>
      <c r="E152" s="24"/>
      <c r="F152" s="24"/>
      <c r="G152" s="23"/>
      <c r="H152" s="23"/>
      <c r="I152" s="121"/>
      <c r="J152" s="121"/>
      <c r="K152" s="26"/>
      <c r="L152" s="26"/>
      <c r="M152" s="26"/>
      <c r="N152" s="26"/>
      <c r="O152" s="26"/>
      <c r="P152" s="26"/>
      <c r="Q152" s="26"/>
      <c r="R152" s="23"/>
      <c r="S152" s="26"/>
      <c r="T152" s="26"/>
      <c r="U152" s="27"/>
      <c r="V152" s="122"/>
      <c r="W152" s="123">
        <f t="shared" si="15"/>
        <v>0</v>
      </c>
      <c r="X152" s="124" t="e">
        <f t="shared" si="16"/>
        <v>#DIV/0!</v>
      </c>
      <c r="Y152" s="125"/>
      <c r="Z152" s="31">
        <f t="shared" si="17"/>
        <v>0</v>
      </c>
      <c r="AA152" s="127"/>
      <c r="AB152" s="127"/>
      <c r="AC152" s="127">
        <f t="shared" si="18"/>
        <v>0</v>
      </c>
      <c r="AD152" s="128">
        <f t="shared" si="19"/>
        <v>0</v>
      </c>
      <c r="AE152" s="128">
        <f t="shared" si="20"/>
        <v>0</v>
      </c>
      <c r="AF152" s="127">
        <f t="shared" si="21"/>
        <v>0</v>
      </c>
    </row>
    <row r="153" ht="15.5" customHeight="1" spans="1:32">
      <c r="A153" s="23"/>
      <c r="B153" s="24"/>
      <c r="C153" s="24"/>
      <c r="D153" s="23"/>
      <c r="E153" s="24"/>
      <c r="F153" s="24"/>
      <c r="G153" s="23"/>
      <c r="H153" s="23"/>
      <c r="I153" s="121"/>
      <c r="J153" s="121"/>
      <c r="K153" s="26"/>
      <c r="L153" s="26"/>
      <c r="M153" s="26"/>
      <c r="N153" s="26"/>
      <c r="O153" s="26"/>
      <c r="P153" s="26"/>
      <c r="Q153" s="26"/>
      <c r="R153" s="23"/>
      <c r="S153" s="26"/>
      <c r="T153" s="26"/>
      <c r="U153" s="27"/>
      <c r="V153" s="122"/>
      <c r="W153" s="123">
        <f t="shared" si="15"/>
        <v>0</v>
      </c>
      <c r="X153" s="124" t="e">
        <f t="shared" si="16"/>
        <v>#DIV/0!</v>
      </c>
      <c r="Y153" s="125"/>
      <c r="Z153" s="31">
        <f t="shared" si="17"/>
        <v>0</v>
      </c>
      <c r="AA153" s="127"/>
      <c r="AB153" s="127"/>
      <c r="AC153" s="127">
        <f t="shared" si="18"/>
        <v>0</v>
      </c>
      <c r="AD153" s="128">
        <f t="shared" si="19"/>
        <v>0</v>
      </c>
      <c r="AE153" s="128">
        <f t="shared" si="20"/>
        <v>0</v>
      </c>
      <c r="AF153" s="127">
        <f t="shared" si="21"/>
        <v>0</v>
      </c>
    </row>
    <row r="154" ht="15.5" customHeight="1" spans="1:32">
      <c r="A154" s="23"/>
      <c r="B154" s="24"/>
      <c r="C154" s="24"/>
      <c r="D154" s="23"/>
      <c r="E154" s="24"/>
      <c r="F154" s="24"/>
      <c r="G154" s="23"/>
      <c r="H154" s="23"/>
      <c r="I154" s="121"/>
      <c r="J154" s="121"/>
      <c r="K154" s="26"/>
      <c r="L154" s="26"/>
      <c r="M154" s="26"/>
      <c r="N154" s="26"/>
      <c r="O154" s="26"/>
      <c r="P154" s="26"/>
      <c r="Q154" s="26"/>
      <c r="R154" s="23"/>
      <c r="S154" s="26"/>
      <c r="T154" s="26"/>
      <c r="U154" s="27"/>
      <c r="V154" s="122"/>
      <c r="W154" s="123">
        <f t="shared" si="15"/>
        <v>0</v>
      </c>
      <c r="X154" s="124" t="e">
        <f t="shared" si="16"/>
        <v>#DIV/0!</v>
      </c>
      <c r="Y154" s="125"/>
      <c r="Z154" s="31">
        <f t="shared" si="17"/>
        <v>0</v>
      </c>
      <c r="AA154" s="127"/>
      <c r="AB154" s="127"/>
      <c r="AC154" s="127">
        <f t="shared" si="18"/>
        <v>0</v>
      </c>
      <c r="AD154" s="128">
        <f t="shared" si="19"/>
        <v>0</v>
      </c>
      <c r="AE154" s="128">
        <f t="shared" si="20"/>
        <v>0</v>
      </c>
      <c r="AF154" s="127">
        <f t="shared" si="21"/>
        <v>0</v>
      </c>
    </row>
    <row r="155" ht="15.5" customHeight="1" spans="1:32">
      <c r="A155" s="23"/>
      <c r="B155" s="24"/>
      <c r="C155" s="24"/>
      <c r="D155" s="23"/>
      <c r="E155" s="24"/>
      <c r="F155" s="24"/>
      <c r="G155" s="23"/>
      <c r="H155" s="23"/>
      <c r="I155" s="121"/>
      <c r="J155" s="121"/>
      <c r="K155" s="26"/>
      <c r="L155" s="26"/>
      <c r="M155" s="26"/>
      <c r="N155" s="26"/>
      <c r="O155" s="26"/>
      <c r="P155" s="26"/>
      <c r="Q155" s="26"/>
      <c r="R155" s="23"/>
      <c r="S155" s="26"/>
      <c r="T155" s="26"/>
      <c r="U155" s="27"/>
      <c r="V155" s="122"/>
      <c r="W155" s="123">
        <f t="shared" si="15"/>
        <v>0</v>
      </c>
      <c r="X155" s="124" t="e">
        <f t="shared" si="16"/>
        <v>#DIV/0!</v>
      </c>
      <c r="Y155" s="125"/>
      <c r="Z155" s="31">
        <f t="shared" si="17"/>
        <v>0</v>
      </c>
      <c r="AA155" s="127"/>
      <c r="AB155" s="127"/>
      <c r="AC155" s="127">
        <f t="shared" si="18"/>
        <v>0</v>
      </c>
      <c r="AD155" s="128">
        <f t="shared" si="19"/>
        <v>0</v>
      </c>
      <c r="AE155" s="128">
        <f t="shared" si="20"/>
        <v>0</v>
      </c>
      <c r="AF155" s="127">
        <f t="shared" si="21"/>
        <v>0</v>
      </c>
    </row>
    <row r="156" ht="15.5" customHeight="1" spans="1:32">
      <c r="A156" s="23"/>
      <c r="B156" s="24"/>
      <c r="C156" s="24"/>
      <c r="D156" s="23"/>
      <c r="E156" s="24"/>
      <c r="F156" s="24"/>
      <c r="G156" s="23"/>
      <c r="H156" s="23"/>
      <c r="I156" s="121"/>
      <c r="J156" s="121"/>
      <c r="K156" s="26"/>
      <c r="L156" s="26"/>
      <c r="M156" s="26"/>
      <c r="N156" s="26"/>
      <c r="O156" s="26"/>
      <c r="P156" s="26"/>
      <c r="Q156" s="26"/>
      <c r="R156" s="23"/>
      <c r="S156" s="26"/>
      <c r="T156" s="26"/>
      <c r="U156" s="27"/>
      <c r="V156" s="122"/>
      <c r="W156" s="123">
        <f t="shared" si="15"/>
        <v>0</v>
      </c>
      <c r="X156" s="124" t="e">
        <f t="shared" si="16"/>
        <v>#DIV/0!</v>
      </c>
      <c r="Y156" s="125"/>
      <c r="Z156" s="31">
        <f t="shared" si="17"/>
        <v>0</v>
      </c>
      <c r="AA156" s="127"/>
      <c r="AB156" s="127"/>
      <c r="AC156" s="127">
        <f t="shared" si="18"/>
        <v>0</v>
      </c>
      <c r="AD156" s="128">
        <f t="shared" si="19"/>
        <v>0</v>
      </c>
      <c r="AE156" s="128">
        <f t="shared" si="20"/>
        <v>0</v>
      </c>
      <c r="AF156" s="127">
        <f t="shared" si="21"/>
        <v>0</v>
      </c>
    </row>
    <row r="157" ht="15.5" customHeight="1" spans="1:32">
      <c r="A157" s="23"/>
      <c r="B157" s="24"/>
      <c r="C157" s="24"/>
      <c r="D157" s="23"/>
      <c r="E157" s="24"/>
      <c r="F157" s="24"/>
      <c r="G157" s="23"/>
      <c r="H157" s="23"/>
      <c r="I157" s="121"/>
      <c r="J157" s="121"/>
      <c r="K157" s="26"/>
      <c r="L157" s="26"/>
      <c r="M157" s="26"/>
      <c r="N157" s="26"/>
      <c r="O157" s="26"/>
      <c r="P157" s="26"/>
      <c r="Q157" s="26"/>
      <c r="R157" s="23"/>
      <c r="S157" s="26"/>
      <c r="T157" s="26"/>
      <c r="U157" s="27"/>
      <c r="V157" s="122"/>
      <c r="W157" s="123">
        <f t="shared" si="15"/>
        <v>0</v>
      </c>
      <c r="X157" s="124" t="e">
        <f t="shared" si="16"/>
        <v>#DIV/0!</v>
      </c>
      <c r="Y157" s="125"/>
      <c r="Z157" s="31">
        <f t="shared" si="17"/>
        <v>0</v>
      </c>
      <c r="AA157" s="127"/>
      <c r="AB157" s="127"/>
      <c r="AC157" s="127">
        <f t="shared" si="18"/>
        <v>0</v>
      </c>
      <c r="AD157" s="128">
        <f t="shared" si="19"/>
        <v>0</v>
      </c>
      <c r="AE157" s="128">
        <f t="shared" si="20"/>
        <v>0</v>
      </c>
      <c r="AF157" s="127">
        <f t="shared" si="21"/>
        <v>0</v>
      </c>
    </row>
    <row r="158" ht="15.5" customHeight="1" spans="1:32">
      <c r="A158" s="23"/>
      <c r="B158" s="24"/>
      <c r="C158" s="24"/>
      <c r="D158" s="23"/>
      <c r="E158" s="24"/>
      <c r="F158" s="24"/>
      <c r="G158" s="23"/>
      <c r="H158" s="23"/>
      <c r="I158" s="121"/>
      <c r="J158" s="121"/>
      <c r="K158" s="26"/>
      <c r="L158" s="26"/>
      <c r="M158" s="26"/>
      <c r="N158" s="26"/>
      <c r="O158" s="26"/>
      <c r="P158" s="26"/>
      <c r="Q158" s="26"/>
      <c r="R158" s="23"/>
      <c r="S158" s="26"/>
      <c r="T158" s="26"/>
      <c r="U158" s="27"/>
      <c r="V158" s="122"/>
      <c r="W158" s="123">
        <f t="shared" si="15"/>
        <v>0</v>
      </c>
      <c r="X158" s="124" t="e">
        <f t="shared" si="16"/>
        <v>#DIV/0!</v>
      </c>
      <c r="Y158" s="125"/>
      <c r="Z158" s="31">
        <f t="shared" si="17"/>
        <v>0</v>
      </c>
      <c r="AA158" s="127"/>
      <c r="AB158" s="127"/>
      <c r="AC158" s="127">
        <f t="shared" si="18"/>
        <v>0</v>
      </c>
      <c r="AD158" s="128">
        <f t="shared" si="19"/>
        <v>0</v>
      </c>
      <c r="AE158" s="128">
        <f t="shared" si="20"/>
        <v>0</v>
      </c>
      <c r="AF158" s="127">
        <f t="shared" si="21"/>
        <v>0</v>
      </c>
    </row>
    <row r="159" ht="15.5" customHeight="1" spans="1:32">
      <c r="A159" s="23"/>
      <c r="B159" s="24"/>
      <c r="C159" s="24"/>
      <c r="D159" s="23"/>
      <c r="E159" s="24"/>
      <c r="F159" s="24"/>
      <c r="G159" s="23"/>
      <c r="H159" s="23"/>
      <c r="I159" s="121"/>
      <c r="J159" s="121"/>
      <c r="K159" s="26"/>
      <c r="L159" s="26"/>
      <c r="M159" s="26"/>
      <c r="N159" s="26"/>
      <c r="O159" s="26"/>
      <c r="P159" s="26"/>
      <c r="Q159" s="26"/>
      <c r="R159" s="23"/>
      <c r="S159" s="26"/>
      <c r="T159" s="26"/>
      <c r="U159" s="27"/>
      <c r="V159" s="122"/>
      <c r="W159" s="123">
        <f t="shared" si="15"/>
        <v>0</v>
      </c>
      <c r="X159" s="124" t="e">
        <f t="shared" si="16"/>
        <v>#DIV/0!</v>
      </c>
      <c r="Y159" s="125"/>
      <c r="Z159" s="31">
        <f t="shared" si="17"/>
        <v>0</v>
      </c>
      <c r="AA159" s="127"/>
      <c r="AB159" s="127"/>
      <c r="AC159" s="127">
        <f t="shared" si="18"/>
        <v>0</v>
      </c>
      <c r="AD159" s="128">
        <f t="shared" si="19"/>
        <v>0</v>
      </c>
      <c r="AE159" s="128">
        <f t="shared" si="20"/>
        <v>0</v>
      </c>
      <c r="AF159" s="127">
        <f t="shared" si="21"/>
        <v>0</v>
      </c>
    </row>
    <row r="160" ht="15.5" customHeight="1" spans="1:32">
      <c r="A160" s="23"/>
      <c r="B160" s="24"/>
      <c r="C160" s="24"/>
      <c r="D160" s="23"/>
      <c r="E160" s="24"/>
      <c r="F160" s="24"/>
      <c r="G160" s="23"/>
      <c r="H160" s="23"/>
      <c r="I160" s="121"/>
      <c r="J160" s="121"/>
      <c r="K160" s="26"/>
      <c r="L160" s="26"/>
      <c r="M160" s="26"/>
      <c r="N160" s="26"/>
      <c r="O160" s="26"/>
      <c r="P160" s="26"/>
      <c r="Q160" s="26"/>
      <c r="R160" s="23"/>
      <c r="S160" s="26"/>
      <c r="T160" s="26"/>
      <c r="U160" s="27"/>
      <c r="V160" s="122"/>
      <c r="W160" s="123">
        <f t="shared" si="15"/>
        <v>0</v>
      </c>
      <c r="X160" s="124" t="e">
        <f t="shared" si="16"/>
        <v>#DIV/0!</v>
      </c>
      <c r="Y160" s="125"/>
      <c r="Z160" s="31">
        <f t="shared" si="17"/>
        <v>0</v>
      </c>
      <c r="AA160" s="127"/>
      <c r="AB160" s="127"/>
      <c r="AC160" s="127">
        <f t="shared" si="18"/>
        <v>0</v>
      </c>
      <c r="AD160" s="128">
        <f t="shared" si="19"/>
        <v>0</v>
      </c>
      <c r="AE160" s="128">
        <f t="shared" si="20"/>
        <v>0</v>
      </c>
      <c r="AF160" s="127">
        <f t="shared" si="21"/>
        <v>0</v>
      </c>
    </row>
    <row r="161" ht="15.5" customHeight="1" spans="1:32">
      <c r="A161" s="23"/>
      <c r="B161" s="24"/>
      <c r="C161" s="24"/>
      <c r="D161" s="23"/>
      <c r="E161" s="24"/>
      <c r="F161" s="24"/>
      <c r="G161" s="23"/>
      <c r="H161" s="23"/>
      <c r="I161" s="121"/>
      <c r="J161" s="121"/>
      <c r="K161" s="26"/>
      <c r="L161" s="26"/>
      <c r="M161" s="26"/>
      <c r="N161" s="26"/>
      <c r="O161" s="26"/>
      <c r="P161" s="26"/>
      <c r="Q161" s="26"/>
      <c r="R161" s="23"/>
      <c r="S161" s="26"/>
      <c r="T161" s="26"/>
      <c r="U161" s="27"/>
      <c r="V161" s="122"/>
      <c r="W161" s="123">
        <f t="shared" si="15"/>
        <v>0</v>
      </c>
      <c r="X161" s="124" t="e">
        <f t="shared" si="16"/>
        <v>#DIV/0!</v>
      </c>
      <c r="Y161" s="125"/>
      <c r="Z161" s="31">
        <f t="shared" si="17"/>
        <v>0</v>
      </c>
      <c r="AA161" s="127"/>
      <c r="AB161" s="127"/>
      <c r="AC161" s="127">
        <f t="shared" si="18"/>
        <v>0</v>
      </c>
      <c r="AD161" s="128">
        <f t="shared" si="19"/>
        <v>0</v>
      </c>
      <c r="AE161" s="128">
        <f t="shared" si="20"/>
        <v>0</v>
      </c>
      <c r="AF161" s="127">
        <f t="shared" si="21"/>
        <v>0</v>
      </c>
    </row>
    <row r="162" ht="15.5" customHeight="1" spans="1:32">
      <c r="A162" s="23"/>
      <c r="B162" s="24"/>
      <c r="C162" s="24"/>
      <c r="D162" s="23"/>
      <c r="E162" s="24"/>
      <c r="F162" s="24"/>
      <c r="G162" s="23"/>
      <c r="H162" s="23"/>
      <c r="I162" s="121"/>
      <c r="J162" s="121"/>
      <c r="K162" s="26"/>
      <c r="L162" s="26"/>
      <c r="M162" s="26"/>
      <c r="N162" s="26"/>
      <c r="O162" s="26"/>
      <c r="P162" s="26"/>
      <c r="Q162" s="26"/>
      <c r="R162" s="23"/>
      <c r="S162" s="26"/>
      <c r="T162" s="26"/>
      <c r="U162" s="27"/>
      <c r="V162" s="122"/>
      <c r="W162" s="123">
        <f t="shared" si="15"/>
        <v>0</v>
      </c>
      <c r="X162" s="124" t="e">
        <f t="shared" si="16"/>
        <v>#DIV/0!</v>
      </c>
      <c r="Y162" s="125"/>
      <c r="Z162" s="31">
        <f t="shared" si="17"/>
        <v>0</v>
      </c>
      <c r="AA162" s="127"/>
      <c r="AB162" s="127"/>
      <c r="AC162" s="127">
        <f t="shared" si="18"/>
        <v>0</v>
      </c>
      <c r="AD162" s="128">
        <f t="shared" si="19"/>
        <v>0</v>
      </c>
      <c r="AE162" s="128">
        <f t="shared" si="20"/>
        <v>0</v>
      </c>
      <c r="AF162" s="127">
        <f t="shared" si="21"/>
        <v>0</v>
      </c>
    </row>
    <row r="163" ht="15.5" customHeight="1" spans="1:32">
      <c r="A163" s="23"/>
      <c r="B163" s="24"/>
      <c r="C163" s="24"/>
      <c r="D163" s="23"/>
      <c r="E163" s="24"/>
      <c r="F163" s="24"/>
      <c r="G163" s="23"/>
      <c r="H163" s="23"/>
      <c r="I163" s="121"/>
      <c r="J163" s="121"/>
      <c r="K163" s="26"/>
      <c r="L163" s="26"/>
      <c r="M163" s="26"/>
      <c r="N163" s="26"/>
      <c r="O163" s="26"/>
      <c r="P163" s="26"/>
      <c r="Q163" s="26"/>
      <c r="R163" s="23"/>
      <c r="S163" s="26"/>
      <c r="T163" s="26"/>
      <c r="U163" s="27"/>
      <c r="V163" s="122"/>
      <c r="W163" s="123">
        <f t="shared" si="15"/>
        <v>0</v>
      </c>
      <c r="X163" s="124" t="e">
        <f t="shared" si="16"/>
        <v>#DIV/0!</v>
      </c>
      <c r="Y163" s="125"/>
      <c r="Z163" s="31">
        <f t="shared" si="17"/>
        <v>0</v>
      </c>
      <c r="AA163" s="127"/>
      <c r="AB163" s="127"/>
      <c r="AC163" s="127">
        <f t="shared" si="18"/>
        <v>0</v>
      </c>
      <c r="AD163" s="128">
        <f t="shared" si="19"/>
        <v>0</v>
      </c>
      <c r="AE163" s="128">
        <f t="shared" si="20"/>
        <v>0</v>
      </c>
      <c r="AF163" s="127">
        <f t="shared" si="21"/>
        <v>0</v>
      </c>
    </row>
    <row r="164" ht="15.5" customHeight="1" spans="1:32">
      <c r="A164" s="23"/>
      <c r="B164" s="24"/>
      <c r="C164" s="24"/>
      <c r="D164" s="23"/>
      <c r="E164" s="24"/>
      <c r="F164" s="24"/>
      <c r="G164" s="23"/>
      <c r="H164" s="23"/>
      <c r="I164" s="121"/>
      <c r="J164" s="121"/>
      <c r="K164" s="26"/>
      <c r="L164" s="26"/>
      <c r="M164" s="26"/>
      <c r="N164" s="26"/>
      <c r="O164" s="26"/>
      <c r="P164" s="26"/>
      <c r="Q164" s="26"/>
      <c r="R164" s="23"/>
      <c r="S164" s="26"/>
      <c r="T164" s="26"/>
      <c r="U164" s="27"/>
      <c r="V164" s="122"/>
      <c r="W164" s="123">
        <f t="shared" si="15"/>
        <v>0</v>
      </c>
      <c r="X164" s="124" t="e">
        <f t="shared" si="16"/>
        <v>#DIV/0!</v>
      </c>
      <c r="Y164" s="125"/>
      <c r="Z164" s="31">
        <f t="shared" si="17"/>
        <v>0</v>
      </c>
      <c r="AA164" s="127"/>
      <c r="AB164" s="127"/>
      <c r="AC164" s="127">
        <f t="shared" si="18"/>
        <v>0</v>
      </c>
      <c r="AD164" s="128">
        <f t="shared" si="19"/>
        <v>0</v>
      </c>
      <c r="AE164" s="128">
        <f t="shared" si="20"/>
        <v>0</v>
      </c>
      <c r="AF164" s="127">
        <f t="shared" si="21"/>
        <v>0</v>
      </c>
    </row>
    <row r="165" ht="15.5" customHeight="1" spans="1:32">
      <c r="A165" s="23"/>
      <c r="B165" s="24"/>
      <c r="C165" s="24"/>
      <c r="D165" s="23"/>
      <c r="E165" s="24"/>
      <c r="F165" s="24"/>
      <c r="G165" s="23"/>
      <c r="H165" s="23"/>
      <c r="I165" s="121"/>
      <c r="J165" s="121"/>
      <c r="K165" s="26"/>
      <c r="L165" s="26"/>
      <c r="M165" s="26"/>
      <c r="N165" s="26"/>
      <c r="O165" s="26"/>
      <c r="P165" s="26"/>
      <c r="Q165" s="26"/>
      <c r="R165" s="23"/>
      <c r="S165" s="26"/>
      <c r="T165" s="26"/>
      <c r="U165" s="27"/>
      <c r="V165" s="122"/>
      <c r="W165" s="123">
        <f t="shared" si="15"/>
        <v>0</v>
      </c>
      <c r="X165" s="124" t="e">
        <f t="shared" si="16"/>
        <v>#DIV/0!</v>
      </c>
      <c r="Y165" s="125"/>
      <c r="Z165" s="31">
        <f t="shared" si="17"/>
        <v>0</v>
      </c>
      <c r="AA165" s="127"/>
      <c r="AB165" s="127"/>
      <c r="AC165" s="127">
        <f t="shared" si="18"/>
        <v>0</v>
      </c>
      <c r="AD165" s="128">
        <f t="shared" si="19"/>
        <v>0</v>
      </c>
      <c r="AE165" s="128">
        <f t="shared" si="20"/>
        <v>0</v>
      </c>
      <c r="AF165" s="127">
        <f t="shared" si="21"/>
        <v>0</v>
      </c>
    </row>
    <row r="166" ht="15.5" customHeight="1" spans="1:32">
      <c r="A166" s="23"/>
      <c r="B166" s="24"/>
      <c r="C166" s="24"/>
      <c r="D166" s="23"/>
      <c r="E166" s="24"/>
      <c r="F166" s="24"/>
      <c r="G166" s="23"/>
      <c r="H166" s="23"/>
      <c r="I166" s="121"/>
      <c r="J166" s="121"/>
      <c r="K166" s="26"/>
      <c r="L166" s="26"/>
      <c r="M166" s="26"/>
      <c r="N166" s="26"/>
      <c r="O166" s="26"/>
      <c r="P166" s="26"/>
      <c r="Q166" s="26"/>
      <c r="R166" s="23"/>
      <c r="S166" s="26"/>
      <c r="T166" s="26"/>
      <c r="U166" s="27"/>
      <c r="V166" s="122"/>
      <c r="W166" s="123">
        <f t="shared" si="15"/>
        <v>0</v>
      </c>
      <c r="X166" s="124" t="e">
        <f t="shared" si="16"/>
        <v>#DIV/0!</v>
      </c>
      <c r="Y166" s="125"/>
      <c r="Z166" s="31">
        <f t="shared" si="17"/>
        <v>0</v>
      </c>
      <c r="AA166" s="127"/>
      <c r="AB166" s="127"/>
      <c r="AC166" s="127">
        <f t="shared" si="18"/>
        <v>0</v>
      </c>
      <c r="AD166" s="128">
        <f t="shared" si="19"/>
        <v>0</v>
      </c>
      <c r="AE166" s="128">
        <f t="shared" si="20"/>
        <v>0</v>
      </c>
      <c r="AF166" s="127">
        <f t="shared" si="21"/>
        <v>0</v>
      </c>
    </row>
    <row r="167" ht="15.5" customHeight="1" spans="1:32">
      <c r="A167" s="23"/>
      <c r="B167" s="24"/>
      <c r="C167" s="24"/>
      <c r="D167" s="23"/>
      <c r="E167" s="24"/>
      <c r="F167" s="24"/>
      <c r="G167" s="23"/>
      <c r="H167" s="23"/>
      <c r="I167" s="121"/>
      <c r="J167" s="121"/>
      <c r="K167" s="26"/>
      <c r="L167" s="26"/>
      <c r="M167" s="26"/>
      <c r="N167" s="26"/>
      <c r="O167" s="26"/>
      <c r="P167" s="26"/>
      <c r="Q167" s="26"/>
      <c r="R167" s="23"/>
      <c r="S167" s="26"/>
      <c r="T167" s="26"/>
      <c r="U167" s="27"/>
      <c r="V167" s="122"/>
      <c r="W167" s="123">
        <f t="shared" si="15"/>
        <v>0</v>
      </c>
      <c r="X167" s="124" t="e">
        <f t="shared" si="16"/>
        <v>#DIV/0!</v>
      </c>
      <c r="Y167" s="125"/>
      <c r="Z167" s="31">
        <f t="shared" si="17"/>
        <v>0</v>
      </c>
      <c r="AA167" s="127"/>
      <c r="AB167" s="127"/>
      <c r="AC167" s="127">
        <f t="shared" si="18"/>
        <v>0</v>
      </c>
      <c r="AD167" s="128">
        <f t="shared" si="19"/>
        <v>0</v>
      </c>
      <c r="AE167" s="128">
        <f t="shared" si="20"/>
        <v>0</v>
      </c>
      <c r="AF167" s="127">
        <f t="shared" si="21"/>
        <v>0</v>
      </c>
    </row>
    <row r="168" ht="15.5" customHeight="1" spans="1:32">
      <c r="A168" s="23"/>
      <c r="B168" s="24"/>
      <c r="C168" s="24"/>
      <c r="D168" s="23"/>
      <c r="E168" s="24"/>
      <c r="F168" s="24"/>
      <c r="G168" s="23"/>
      <c r="H168" s="23"/>
      <c r="I168" s="121"/>
      <c r="J168" s="121"/>
      <c r="K168" s="26"/>
      <c r="L168" s="26"/>
      <c r="M168" s="26"/>
      <c r="N168" s="26"/>
      <c r="O168" s="26"/>
      <c r="P168" s="26"/>
      <c r="Q168" s="26"/>
      <c r="R168" s="23"/>
      <c r="S168" s="26"/>
      <c r="T168" s="26"/>
      <c r="U168" s="27"/>
      <c r="V168" s="122"/>
      <c r="W168" s="123">
        <f t="shared" si="15"/>
        <v>0</v>
      </c>
      <c r="X168" s="124" t="e">
        <f t="shared" si="16"/>
        <v>#DIV/0!</v>
      </c>
      <c r="Y168" s="125"/>
      <c r="Z168" s="31">
        <f t="shared" si="17"/>
        <v>0</v>
      </c>
      <c r="AA168" s="127"/>
      <c r="AB168" s="127"/>
      <c r="AC168" s="127">
        <f t="shared" si="18"/>
        <v>0</v>
      </c>
      <c r="AD168" s="128">
        <f t="shared" si="19"/>
        <v>0</v>
      </c>
      <c r="AE168" s="128">
        <f t="shared" si="20"/>
        <v>0</v>
      </c>
      <c r="AF168" s="127">
        <f t="shared" si="21"/>
        <v>0</v>
      </c>
    </row>
    <row r="169" ht="15.5" customHeight="1" spans="1:32">
      <c r="A169" s="23"/>
      <c r="B169" s="24"/>
      <c r="C169" s="24"/>
      <c r="D169" s="23"/>
      <c r="E169" s="24"/>
      <c r="F169" s="24"/>
      <c r="G169" s="23"/>
      <c r="H169" s="23"/>
      <c r="I169" s="121"/>
      <c r="J169" s="121"/>
      <c r="K169" s="26"/>
      <c r="L169" s="26"/>
      <c r="M169" s="26"/>
      <c r="N169" s="26"/>
      <c r="O169" s="26"/>
      <c r="P169" s="26"/>
      <c r="Q169" s="26"/>
      <c r="R169" s="23"/>
      <c r="S169" s="26"/>
      <c r="T169" s="26"/>
      <c r="U169" s="27"/>
      <c r="V169" s="122"/>
      <c r="W169" s="123">
        <f t="shared" si="15"/>
        <v>0</v>
      </c>
      <c r="X169" s="124" t="e">
        <f t="shared" si="16"/>
        <v>#DIV/0!</v>
      </c>
      <c r="Y169" s="125"/>
      <c r="Z169" s="31">
        <f t="shared" si="17"/>
        <v>0</v>
      </c>
      <c r="AA169" s="127"/>
      <c r="AB169" s="127"/>
      <c r="AC169" s="127">
        <f t="shared" si="18"/>
        <v>0</v>
      </c>
      <c r="AD169" s="128">
        <f t="shared" si="19"/>
        <v>0</v>
      </c>
      <c r="AE169" s="128">
        <f t="shared" si="20"/>
        <v>0</v>
      </c>
      <c r="AF169" s="127">
        <f t="shared" si="21"/>
        <v>0</v>
      </c>
    </row>
    <row r="170" ht="15.5" customHeight="1" spans="1:32">
      <c r="A170" s="23"/>
      <c r="B170" s="24"/>
      <c r="C170" s="24"/>
      <c r="D170" s="23"/>
      <c r="E170" s="24"/>
      <c r="F170" s="24"/>
      <c r="G170" s="23"/>
      <c r="H170" s="23"/>
      <c r="I170" s="121"/>
      <c r="J170" s="121"/>
      <c r="K170" s="26"/>
      <c r="L170" s="26"/>
      <c r="M170" s="26"/>
      <c r="N170" s="26"/>
      <c r="O170" s="26"/>
      <c r="P170" s="26"/>
      <c r="Q170" s="26"/>
      <c r="R170" s="23"/>
      <c r="S170" s="26"/>
      <c r="T170" s="26"/>
      <c r="U170" s="27"/>
      <c r="V170" s="122"/>
      <c r="W170" s="123">
        <f t="shared" si="15"/>
        <v>0</v>
      </c>
      <c r="X170" s="124" t="e">
        <f t="shared" si="16"/>
        <v>#DIV/0!</v>
      </c>
      <c r="Y170" s="125"/>
      <c r="Z170" s="31">
        <f t="shared" si="17"/>
        <v>0</v>
      </c>
      <c r="AA170" s="127"/>
      <c r="AB170" s="127"/>
      <c r="AC170" s="127">
        <f t="shared" si="18"/>
        <v>0</v>
      </c>
      <c r="AD170" s="128">
        <f t="shared" si="19"/>
        <v>0</v>
      </c>
      <c r="AE170" s="128">
        <f t="shared" si="20"/>
        <v>0</v>
      </c>
      <c r="AF170" s="127">
        <f t="shared" si="21"/>
        <v>0</v>
      </c>
    </row>
    <row r="171" ht="15.5" customHeight="1" spans="1:32">
      <c r="A171" s="23"/>
      <c r="B171" s="24"/>
      <c r="C171" s="24"/>
      <c r="D171" s="23"/>
      <c r="E171" s="24"/>
      <c r="F171" s="24"/>
      <c r="G171" s="23"/>
      <c r="H171" s="23"/>
      <c r="I171" s="121"/>
      <c r="J171" s="121"/>
      <c r="K171" s="26"/>
      <c r="L171" s="26"/>
      <c r="M171" s="26"/>
      <c r="N171" s="26"/>
      <c r="O171" s="26"/>
      <c r="P171" s="26"/>
      <c r="Q171" s="26"/>
      <c r="R171" s="23"/>
      <c r="S171" s="26"/>
      <c r="T171" s="26"/>
      <c r="U171" s="27"/>
      <c r="V171" s="122"/>
      <c r="W171" s="123">
        <f t="shared" si="15"/>
        <v>0</v>
      </c>
      <c r="X171" s="124" t="e">
        <f t="shared" si="16"/>
        <v>#DIV/0!</v>
      </c>
      <c r="Y171" s="125"/>
      <c r="Z171" s="31">
        <f t="shared" si="17"/>
        <v>0</v>
      </c>
      <c r="AA171" s="127"/>
      <c r="AB171" s="127"/>
      <c r="AC171" s="127">
        <f t="shared" si="18"/>
        <v>0</v>
      </c>
      <c r="AD171" s="128">
        <f t="shared" si="19"/>
        <v>0</v>
      </c>
      <c r="AE171" s="128">
        <f t="shared" si="20"/>
        <v>0</v>
      </c>
      <c r="AF171" s="127">
        <f t="shared" si="21"/>
        <v>0</v>
      </c>
    </row>
    <row r="172" ht="15.5" customHeight="1" spans="1:32">
      <c r="A172" s="23"/>
      <c r="B172" s="24"/>
      <c r="C172" s="24"/>
      <c r="D172" s="23"/>
      <c r="E172" s="24"/>
      <c r="F172" s="24"/>
      <c r="G172" s="23"/>
      <c r="H172" s="23"/>
      <c r="I172" s="121"/>
      <c r="J172" s="121"/>
      <c r="K172" s="26"/>
      <c r="L172" s="26"/>
      <c r="M172" s="26"/>
      <c r="N172" s="26"/>
      <c r="O172" s="26"/>
      <c r="P172" s="26"/>
      <c r="Q172" s="26"/>
      <c r="R172" s="23"/>
      <c r="S172" s="26"/>
      <c r="T172" s="26"/>
      <c r="U172" s="27"/>
      <c r="V172" s="122"/>
      <c r="W172" s="123">
        <f t="shared" si="15"/>
        <v>0</v>
      </c>
      <c r="X172" s="124" t="e">
        <f t="shared" si="16"/>
        <v>#DIV/0!</v>
      </c>
      <c r="Y172" s="125"/>
      <c r="Z172" s="31">
        <f t="shared" si="17"/>
        <v>0</v>
      </c>
      <c r="AA172" s="127"/>
      <c r="AB172" s="127"/>
      <c r="AC172" s="127">
        <f t="shared" si="18"/>
        <v>0</v>
      </c>
      <c r="AD172" s="128">
        <f t="shared" si="19"/>
        <v>0</v>
      </c>
      <c r="AE172" s="128">
        <f t="shared" si="20"/>
        <v>0</v>
      </c>
      <c r="AF172" s="127">
        <f t="shared" si="21"/>
        <v>0</v>
      </c>
    </row>
    <row r="173" ht="15.5" customHeight="1" spans="1:32">
      <c r="A173" s="23"/>
      <c r="B173" s="24"/>
      <c r="C173" s="24"/>
      <c r="D173" s="23"/>
      <c r="E173" s="24"/>
      <c r="F173" s="24"/>
      <c r="G173" s="23"/>
      <c r="H173" s="23"/>
      <c r="I173" s="121"/>
      <c r="J173" s="121"/>
      <c r="K173" s="26"/>
      <c r="L173" s="26"/>
      <c r="M173" s="26"/>
      <c r="N173" s="26"/>
      <c r="O173" s="26"/>
      <c r="P173" s="26"/>
      <c r="Q173" s="26"/>
      <c r="R173" s="23"/>
      <c r="S173" s="26"/>
      <c r="T173" s="26"/>
      <c r="U173" s="27"/>
      <c r="V173" s="122"/>
      <c r="W173" s="123">
        <f t="shared" si="15"/>
        <v>0</v>
      </c>
      <c r="X173" s="124" t="e">
        <f t="shared" si="16"/>
        <v>#DIV/0!</v>
      </c>
      <c r="Y173" s="125"/>
      <c r="Z173" s="31">
        <f t="shared" si="17"/>
        <v>0</v>
      </c>
      <c r="AA173" s="127"/>
      <c r="AB173" s="127"/>
      <c r="AC173" s="127">
        <f t="shared" si="18"/>
        <v>0</v>
      </c>
      <c r="AD173" s="128">
        <f t="shared" si="19"/>
        <v>0</v>
      </c>
      <c r="AE173" s="128">
        <f t="shared" si="20"/>
        <v>0</v>
      </c>
      <c r="AF173" s="127">
        <f t="shared" si="21"/>
        <v>0</v>
      </c>
    </row>
    <row r="174" ht="15.5" customHeight="1" spans="1:32">
      <c r="A174" s="23"/>
      <c r="B174" s="24"/>
      <c r="C174" s="24"/>
      <c r="D174" s="23"/>
      <c r="E174" s="24"/>
      <c r="F174" s="24"/>
      <c r="G174" s="23"/>
      <c r="H174" s="23"/>
      <c r="I174" s="121"/>
      <c r="J174" s="121"/>
      <c r="K174" s="26"/>
      <c r="L174" s="26"/>
      <c r="M174" s="26"/>
      <c r="N174" s="26"/>
      <c r="O174" s="26"/>
      <c r="P174" s="26"/>
      <c r="Q174" s="26"/>
      <c r="R174" s="23"/>
      <c r="S174" s="26"/>
      <c r="T174" s="26"/>
      <c r="U174" s="27"/>
      <c r="V174" s="122"/>
      <c r="W174" s="123">
        <f t="shared" si="15"/>
        <v>0</v>
      </c>
      <c r="X174" s="124" t="e">
        <f t="shared" si="16"/>
        <v>#DIV/0!</v>
      </c>
      <c r="Y174" s="125"/>
      <c r="Z174" s="31">
        <f t="shared" si="17"/>
        <v>0</v>
      </c>
      <c r="AA174" s="127"/>
      <c r="AB174" s="127"/>
      <c r="AC174" s="127">
        <f t="shared" si="18"/>
        <v>0</v>
      </c>
      <c r="AD174" s="128">
        <f t="shared" si="19"/>
        <v>0</v>
      </c>
      <c r="AE174" s="128">
        <f t="shared" si="20"/>
        <v>0</v>
      </c>
      <c r="AF174" s="127">
        <f t="shared" si="21"/>
        <v>0</v>
      </c>
    </row>
    <row r="175" ht="15.5" customHeight="1" spans="1:32">
      <c r="A175" s="23"/>
      <c r="B175" s="24"/>
      <c r="C175" s="24"/>
      <c r="D175" s="23"/>
      <c r="E175" s="24"/>
      <c r="F175" s="24"/>
      <c r="G175" s="23"/>
      <c r="H175" s="23"/>
      <c r="I175" s="121"/>
      <c r="J175" s="121"/>
      <c r="K175" s="26"/>
      <c r="L175" s="26"/>
      <c r="M175" s="26"/>
      <c r="N175" s="26"/>
      <c r="O175" s="26"/>
      <c r="P175" s="26"/>
      <c r="Q175" s="26"/>
      <c r="R175" s="23"/>
      <c r="S175" s="26"/>
      <c r="T175" s="26"/>
      <c r="U175" s="27"/>
      <c r="V175" s="122"/>
      <c r="W175" s="123">
        <f t="shared" si="15"/>
        <v>0</v>
      </c>
      <c r="X175" s="124" t="e">
        <f t="shared" si="16"/>
        <v>#DIV/0!</v>
      </c>
      <c r="Y175" s="125"/>
      <c r="Z175" s="31">
        <f t="shared" si="17"/>
        <v>0</v>
      </c>
      <c r="AA175" s="127"/>
      <c r="AB175" s="127"/>
      <c r="AC175" s="127">
        <f t="shared" si="18"/>
        <v>0</v>
      </c>
      <c r="AD175" s="128">
        <f t="shared" si="19"/>
        <v>0</v>
      </c>
      <c r="AE175" s="128">
        <f t="shared" si="20"/>
        <v>0</v>
      </c>
      <c r="AF175" s="127">
        <f t="shared" si="21"/>
        <v>0</v>
      </c>
    </row>
    <row r="176" ht="15.5" customHeight="1" spans="1:32">
      <c r="A176" s="23"/>
      <c r="B176" s="24"/>
      <c r="C176" s="24"/>
      <c r="D176" s="23"/>
      <c r="E176" s="24"/>
      <c r="F176" s="24"/>
      <c r="G176" s="23"/>
      <c r="H176" s="23"/>
      <c r="I176" s="121"/>
      <c r="J176" s="121"/>
      <c r="K176" s="26"/>
      <c r="L176" s="26"/>
      <c r="M176" s="26"/>
      <c r="N176" s="26"/>
      <c r="O176" s="26"/>
      <c r="P176" s="26"/>
      <c r="Q176" s="26"/>
      <c r="R176" s="23"/>
      <c r="S176" s="26"/>
      <c r="T176" s="26"/>
      <c r="U176" s="27"/>
      <c r="V176" s="122"/>
      <c r="W176" s="123">
        <f t="shared" si="15"/>
        <v>0</v>
      </c>
      <c r="X176" s="124" t="e">
        <f t="shared" si="16"/>
        <v>#DIV/0!</v>
      </c>
      <c r="Y176" s="125"/>
      <c r="Z176" s="31">
        <f t="shared" si="17"/>
        <v>0</v>
      </c>
      <c r="AA176" s="127"/>
      <c r="AB176" s="127"/>
      <c r="AC176" s="127">
        <f t="shared" si="18"/>
        <v>0</v>
      </c>
      <c r="AD176" s="128">
        <f t="shared" si="19"/>
        <v>0</v>
      </c>
      <c r="AE176" s="128">
        <f t="shared" si="20"/>
        <v>0</v>
      </c>
      <c r="AF176" s="127">
        <f t="shared" si="21"/>
        <v>0</v>
      </c>
    </row>
    <row r="177" ht="15.5" customHeight="1" spans="1:32">
      <c r="A177" s="23"/>
      <c r="B177" s="24"/>
      <c r="C177" s="24"/>
      <c r="D177" s="23"/>
      <c r="E177" s="24"/>
      <c r="F177" s="24"/>
      <c r="G177" s="23"/>
      <c r="H177" s="23"/>
      <c r="I177" s="121"/>
      <c r="J177" s="121"/>
      <c r="K177" s="26"/>
      <c r="L177" s="26"/>
      <c r="M177" s="26"/>
      <c r="N177" s="26"/>
      <c r="O177" s="26"/>
      <c r="P177" s="26"/>
      <c r="Q177" s="26"/>
      <c r="R177" s="23"/>
      <c r="S177" s="26"/>
      <c r="T177" s="26"/>
      <c r="U177" s="27"/>
      <c r="V177" s="122"/>
      <c r="W177" s="123">
        <f t="shared" si="15"/>
        <v>0</v>
      </c>
      <c r="X177" s="124" t="e">
        <f t="shared" si="16"/>
        <v>#DIV/0!</v>
      </c>
      <c r="Y177" s="125"/>
      <c r="Z177" s="31">
        <f t="shared" si="17"/>
        <v>0</v>
      </c>
      <c r="AA177" s="127"/>
      <c r="AB177" s="127"/>
      <c r="AC177" s="127">
        <f t="shared" si="18"/>
        <v>0</v>
      </c>
      <c r="AD177" s="128">
        <f t="shared" si="19"/>
        <v>0</v>
      </c>
      <c r="AE177" s="128">
        <f t="shared" si="20"/>
        <v>0</v>
      </c>
      <c r="AF177" s="127">
        <f t="shared" si="21"/>
        <v>0</v>
      </c>
    </row>
    <row r="178" ht="15.5" customHeight="1" spans="1:32">
      <c r="A178" s="23"/>
      <c r="B178" s="24"/>
      <c r="C178" s="24"/>
      <c r="D178" s="23"/>
      <c r="E178" s="24"/>
      <c r="F178" s="24"/>
      <c r="G178" s="23"/>
      <c r="H178" s="23"/>
      <c r="I178" s="121"/>
      <c r="J178" s="121"/>
      <c r="K178" s="26"/>
      <c r="L178" s="26"/>
      <c r="M178" s="26"/>
      <c r="N178" s="26"/>
      <c r="O178" s="26"/>
      <c r="P178" s="26"/>
      <c r="Q178" s="26"/>
      <c r="R178" s="23"/>
      <c r="S178" s="26"/>
      <c r="T178" s="26"/>
      <c r="U178" s="27"/>
      <c r="V178" s="122"/>
      <c r="W178" s="123">
        <f t="shared" si="15"/>
        <v>0</v>
      </c>
      <c r="X178" s="124" t="e">
        <f t="shared" si="16"/>
        <v>#DIV/0!</v>
      </c>
      <c r="Y178" s="125"/>
      <c r="Z178" s="31">
        <f t="shared" si="17"/>
        <v>0</v>
      </c>
      <c r="AA178" s="127"/>
      <c r="AB178" s="127"/>
      <c r="AC178" s="127">
        <f t="shared" si="18"/>
        <v>0</v>
      </c>
      <c r="AD178" s="128">
        <f t="shared" si="19"/>
        <v>0</v>
      </c>
      <c r="AE178" s="128">
        <f t="shared" si="20"/>
        <v>0</v>
      </c>
      <c r="AF178" s="127">
        <f t="shared" si="21"/>
        <v>0</v>
      </c>
    </row>
    <row r="179" ht="15.5" customHeight="1" spans="1:32">
      <c r="A179" s="23"/>
      <c r="B179" s="24"/>
      <c r="C179" s="24"/>
      <c r="D179" s="23"/>
      <c r="E179" s="24"/>
      <c r="F179" s="24"/>
      <c r="G179" s="23"/>
      <c r="H179" s="23"/>
      <c r="I179" s="121"/>
      <c r="J179" s="121"/>
      <c r="K179" s="26"/>
      <c r="L179" s="26"/>
      <c r="M179" s="26"/>
      <c r="N179" s="26"/>
      <c r="O179" s="26"/>
      <c r="P179" s="26"/>
      <c r="Q179" s="26"/>
      <c r="R179" s="23"/>
      <c r="S179" s="26"/>
      <c r="T179" s="26"/>
      <c r="U179" s="27"/>
      <c r="V179" s="122"/>
      <c r="W179" s="123">
        <f t="shared" si="15"/>
        <v>0</v>
      </c>
      <c r="X179" s="124" t="e">
        <f t="shared" si="16"/>
        <v>#DIV/0!</v>
      </c>
      <c r="Y179" s="125"/>
      <c r="Z179" s="31">
        <f t="shared" si="17"/>
        <v>0</v>
      </c>
      <c r="AA179" s="127"/>
      <c r="AB179" s="127"/>
      <c r="AC179" s="127">
        <f t="shared" si="18"/>
        <v>0</v>
      </c>
      <c r="AD179" s="128">
        <f t="shared" si="19"/>
        <v>0</v>
      </c>
      <c r="AE179" s="128">
        <f t="shared" si="20"/>
        <v>0</v>
      </c>
      <c r="AF179" s="127">
        <f t="shared" si="21"/>
        <v>0</v>
      </c>
    </row>
    <row r="180" ht="15.5" customHeight="1" spans="1:32">
      <c r="A180" s="23"/>
      <c r="B180" s="24"/>
      <c r="C180" s="24"/>
      <c r="D180" s="23"/>
      <c r="E180" s="24"/>
      <c r="F180" s="24"/>
      <c r="G180" s="23"/>
      <c r="H180" s="23"/>
      <c r="I180" s="121"/>
      <c r="J180" s="121"/>
      <c r="K180" s="26"/>
      <c r="L180" s="26"/>
      <c r="M180" s="26"/>
      <c r="N180" s="26"/>
      <c r="O180" s="26"/>
      <c r="P180" s="26"/>
      <c r="Q180" s="26"/>
      <c r="R180" s="23"/>
      <c r="S180" s="26"/>
      <c r="T180" s="26"/>
      <c r="U180" s="27"/>
      <c r="V180" s="122"/>
      <c r="W180" s="123">
        <f t="shared" si="15"/>
        <v>0</v>
      </c>
      <c r="X180" s="124" t="e">
        <f t="shared" si="16"/>
        <v>#DIV/0!</v>
      </c>
      <c r="Y180" s="125"/>
      <c r="Z180" s="31">
        <f t="shared" si="17"/>
        <v>0</v>
      </c>
      <c r="AA180" s="127"/>
      <c r="AB180" s="127"/>
      <c r="AC180" s="127">
        <f t="shared" si="18"/>
        <v>0</v>
      </c>
      <c r="AD180" s="128">
        <f t="shared" si="19"/>
        <v>0</v>
      </c>
      <c r="AE180" s="128">
        <f t="shared" si="20"/>
        <v>0</v>
      </c>
      <c r="AF180" s="127">
        <f t="shared" si="21"/>
        <v>0</v>
      </c>
    </row>
    <row r="181" ht="15.5" customHeight="1" spans="1:32">
      <c r="A181" s="23"/>
      <c r="B181" s="24"/>
      <c r="C181" s="24"/>
      <c r="D181" s="23"/>
      <c r="E181" s="24"/>
      <c r="F181" s="24"/>
      <c r="G181" s="23"/>
      <c r="H181" s="23"/>
      <c r="I181" s="121"/>
      <c r="J181" s="121"/>
      <c r="K181" s="26"/>
      <c r="L181" s="26"/>
      <c r="M181" s="26"/>
      <c r="N181" s="26"/>
      <c r="O181" s="26"/>
      <c r="P181" s="26"/>
      <c r="Q181" s="26"/>
      <c r="R181" s="23"/>
      <c r="S181" s="26"/>
      <c r="T181" s="26"/>
      <c r="U181" s="27"/>
      <c r="V181" s="122"/>
      <c r="W181" s="123">
        <f t="shared" si="15"/>
        <v>0</v>
      </c>
      <c r="X181" s="124" t="e">
        <f t="shared" si="16"/>
        <v>#DIV/0!</v>
      </c>
      <c r="Y181" s="125"/>
      <c r="Z181" s="31">
        <f t="shared" si="17"/>
        <v>0</v>
      </c>
      <c r="AA181" s="127"/>
      <c r="AB181" s="127"/>
      <c r="AC181" s="127">
        <f t="shared" si="18"/>
        <v>0</v>
      </c>
      <c r="AD181" s="128">
        <f t="shared" si="19"/>
        <v>0</v>
      </c>
      <c r="AE181" s="128">
        <f t="shared" si="20"/>
        <v>0</v>
      </c>
      <c r="AF181" s="127">
        <f t="shared" si="21"/>
        <v>0</v>
      </c>
    </row>
    <row r="182" ht="15.5" customHeight="1" spans="1:32">
      <c r="A182" s="23"/>
      <c r="B182" s="24"/>
      <c r="C182" s="24"/>
      <c r="D182" s="23"/>
      <c r="E182" s="24"/>
      <c r="F182" s="24"/>
      <c r="G182" s="23"/>
      <c r="H182" s="23"/>
      <c r="I182" s="121"/>
      <c r="J182" s="121"/>
      <c r="K182" s="26"/>
      <c r="L182" s="26"/>
      <c r="M182" s="26"/>
      <c r="N182" s="26"/>
      <c r="O182" s="26"/>
      <c r="P182" s="26"/>
      <c r="Q182" s="26"/>
      <c r="R182" s="23"/>
      <c r="S182" s="26"/>
      <c r="T182" s="26"/>
      <c r="U182" s="27"/>
      <c r="V182" s="122"/>
      <c r="W182" s="123">
        <f t="shared" si="15"/>
        <v>0</v>
      </c>
      <c r="X182" s="124" t="e">
        <f t="shared" si="16"/>
        <v>#DIV/0!</v>
      </c>
      <c r="Y182" s="125"/>
      <c r="Z182" s="31">
        <f t="shared" si="17"/>
        <v>0</v>
      </c>
      <c r="AA182" s="127"/>
      <c r="AB182" s="127"/>
      <c r="AC182" s="127">
        <f t="shared" si="18"/>
        <v>0</v>
      </c>
      <c r="AD182" s="128">
        <f t="shared" si="19"/>
        <v>0</v>
      </c>
      <c r="AE182" s="128">
        <f t="shared" si="20"/>
        <v>0</v>
      </c>
      <c r="AF182" s="127">
        <f t="shared" si="21"/>
        <v>0</v>
      </c>
    </row>
    <row r="183" ht="15.5" customHeight="1" spans="1:32">
      <c r="A183" s="23"/>
      <c r="B183" s="24"/>
      <c r="C183" s="24"/>
      <c r="D183" s="23"/>
      <c r="E183" s="24"/>
      <c r="F183" s="24"/>
      <c r="G183" s="23"/>
      <c r="H183" s="23"/>
      <c r="I183" s="121"/>
      <c r="J183" s="121"/>
      <c r="K183" s="26"/>
      <c r="L183" s="26"/>
      <c r="M183" s="26"/>
      <c r="N183" s="26"/>
      <c r="O183" s="26"/>
      <c r="P183" s="26"/>
      <c r="Q183" s="26"/>
      <c r="R183" s="23"/>
      <c r="S183" s="26"/>
      <c r="T183" s="26"/>
      <c r="U183" s="27"/>
      <c r="V183" s="122"/>
      <c r="W183" s="123">
        <f t="shared" si="15"/>
        <v>0</v>
      </c>
      <c r="X183" s="124" t="e">
        <f t="shared" si="16"/>
        <v>#DIV/0!</v>
      </c>
      <c r="Y183" s="125"/>
      <c r="Z183" s="31">
        <f t="shared" si="17"/>
        <v>0</v>
      </c>
      <c r="AA183" s="127"/>
      <c r="AB183" s="127"/>
      <c r="AC183" s="127">
        <f t="shared" si="18"/>
        <v>0</v>
      </c>
      <c r="AD183" s="128">
        <f t="shared" si="19"/>
        <v>0</v>
      </c>
      <c r="AE183" s="128">
        <f t="shared" si="20"/>
        <v>0</v>
      </c>
      <c r="AF183" s="127">
        <f t="shared" si="21"/>
        <v>0</v>
      </c>
    </row>
    <row r="184" ht="15.5" customHeight="1" spans="1:32">
      <c r="A184" s="23"/>
      <c r="B184" s="24"/>
      <c r="C184" s="24"/>
      <c r="D184" s="23"/>
      <c r="E184" s="24"/>
      <c r="F184" s="24"/>
      <c r="G184" s="23"/>
      <c r="H184" s="23"/>
      <c r="I184" s="121"/>
      <c r="J184" s="121"/>
      <c r="K184" s="26"/>
      <c r="L184" s="26"/>
      <c r="M184" s="26"/>
      <c r="N184" s="26"/>
      <c r="O184" s="26"/>
      <c r="P184" s="26"/>
      <c r="Q184" s="26"/>
      <c r="R184" s="23"/>
      <c r="S184" s="26"/>
      <c r="T184" s="26"/>
      <c r="U184" s="27"/>
      <c r="V184" s="122"/>
      <c r="W184" s="123">
        <f t="shared" si="15"/>
        <v>0</v>
      </c>
      <c r="X184" s="124" t="e">
        <f t="shared" si="16"/>
        <v>#DIV/0!</v>
      </c>
      <c r="Y184" s="125"/>
      <c r="Z184" s="31">
        <f t="shared" si="17"/>
        <v>0</v>
      </c>
      <c r="AA184" s="127"/>
      <c r="AB184" s="127"/>
      <c r="AC184" s="127">
        <f t="shared" si="18"/>
        <v>0</v>
      </c>
      <c r="AD184" s="128">
        <f t="shared" si="19"/>
        <v>0</v>
      </c>
      <c r="AE184" s="128">
        <f t="shared" si="20"/>
        <v>0</v>
      </c>
      <c r="AF184" s="127">
        <f t="shared" si="21"/>
        <v>0</v>
      </c>
    </row>
    <row r="185" ht="15.5" customHeight="1" spans="1:32">
      <c r="A185" s="23"/>
      <c r="B185" s="24"/>
      <c r="C185" s="24"/>
      <c r="D185" s="23"/>
      <c r="E185" s="24"/>
      <c r="F185" s="24"/>
      <c r="G185" s="23"/>
      <c r="H185" s="23"/>
      <c r="I185" s="121"/>
      <c r="J185" s="121"/>
      <c r="K185" s="26"/>
      <c r="L185" s="26"/>
      <c r="M185" s="26"/>
      <c r="N185" s="26"/>
      <c r="O185" s="26"/>
      <c r="P185" s="26"/>
      <c r="Q185" s="26"/>
      <c r="R185" s="23"/>
      <c r="S185" s="26"/>
      <c r="T185" s="26"/>
      <c r="U185" s="27"/>
      <c r="V185" s="122"/>
      <c r="W185" s="123">
        <f t="shared" si="15"/>
        <v>0</v>
      </c>
      <c r="X185" s="124" t="e">
        <f t="shared" si="16"/>
        <v>#DIV/0!</v>
      </c>
      <c r="Y185" s="125"/>
      <c r="Z185" s="31">
        <f t="shared" si="17"/>
        <v>0</v>
      </c>
      <c r="AA185" s="127"/>
      <c r="AB185" s="127"/>
      <c r="AC185" s="127">
        <f t="shared" si="18"/>
        <v>0</v>
      </c>
      <c r="AD185" s="128">
        <f t="shared" si="19"/>
        <v>0</v>
      </c>
      <c r="AE185" s="128">
        <f t="shared" si="20"/>
        <v>0</v>
      </c>
      <c r="AF185" s="127">
        <f t="shared" si="21"/>
        <v>0</v>
      </c>
    </row>
    <row r="186" ht="15.5" customHeight="1" spans="1:32">
      <c r="A186" s="23"/>
      <c r="B186" s="24"/>
      <c r="C186" s="24"/>
      <c r="D186" s="23"/>
      <c r="E186" s="24"/>
      <c r="F186" s="24"/>
      <c r="G186" s="23"/>
      <c r="H186" s="23"/>
      <c r="I186" s="121"/>
      <c r="J186" s="121"/>
      <c r="K186" s="26"/>
      <c r="L186" s="26"/>
      <c r="M186" s="26"/>
      <c r="N186" s="26"/>
      <c r="O186" s="26"/>
      <c r="P186" s="26"/>
      <c r="Q186" s="26"/>
      <c r="R186" s="23"/>
      <c r="S186" s="26"/>
      <c r="T186" s="26"/>
      <c r="U186" s="27"/>
      <c r="V186" s="122"/>
      <c r="W186" s="123">
        <f t="shared" si="15"/>
        <v>0</v>
      </c>
      <c r="X186" s="124" t="e">
        <f t="shared" si="16"/>
        <v>#DIV/0!</v>
      </c>
      <c r="Y186" s="125"/>
      <c r="Z186" s="31">
        <f t="shared" si="17"/>
        <v>0</v>
      </c>
      <c r="AA186" s="127"/>
      <c r="AB186" s="127"/>
      <c r="AC186" s="127">
        <f t="shared" si="18"/>
        <v>0</v>
      </c>
      <c r="AD186" s="128">
        <f t="shared" si="19"/>
        <v>0</v>
      </c>
      <c r="AE186" s="128">
        <f t="shared" si="20"/>
        <v>0</v>
      </c>
      <c r="AF186" s="127">
        <f t="shared" si="21"/>
        <v>0</v>
      </c>
    </row>
    <row r="187" ht="15.5" customHeight="1" spans="1:32">
      <c r="A187" s="23"/>
      <c r="B187" s="24"/>
      <c r="C187" s="24"/>
      <c r="D187" s="23"/>
      <c r="E187" s="24"/>
      <c r="F187" s="24"/>
      <c r="G187" s="23"/>
      <c r="H187" s="23"/>
      <c r="I187" s="121"/>
      <c r="J187" s="121"/>
      <c r="K187" s="26"/>
      <c r="L187" s="26"/>
      <c r="M187" s="26"/>
      <c r="N187" s="26"/>
      <c r="O187" s="26"/>
      <c r="P187" s="26"/>
      <c r="Q187" s="26"/>
      <c r="R187" s="23"/>
      <c r="S187" s="26"/>
      <c r="T187" s="26"/>
      <c r="U187" s="27"/>
      <c r="V187" s="122"/>
      <c r="W187" s="123">
        <f t="shared" si="15"/>
        <v>0</v>
      </c>
      <c r="X187" s="124" t="e">
        <f t="shared" si="16"/>
        <v>#DIV/0!</v>
      </c>
      <c r="Y187" s="125"/>
      <c r="Z187" s="31">
        <f t="shared" si="17"/>
        <v>0</v>
      </c>
      <c r="AA187" s="127"/>
      <c r="AB187" s="127"/>
      <c r="AC187" s="127">
        <f t="shared" si="18"/>
        <v>0</v>
      </c>
      <c r="AD187" s="128">
        <f t="shared" si="19"/>
        <v>0</v>
      </c>
      <c r="AE187" s="128">
        <f t="shared" si="20"/>
        <v>0</v>
      </c>
      <c r="AF187" s="127">
        <f t="shared" si="21"/>
        <v>0</v>
      </c>
    </row>
    <row r="188" ht="15.5" customHeight="1" spans="1:32">
      <c r="A188" s="23"/>
      <c r="B188" s="24"/>
      <c r="C188" s="24"/>
      <c r="D188" s="23"/>
      <c r="E188" s="24"/>
      <c r="F188" s="24"/>
      <c r="G188" s="23"/>
      <c r="H188" s="23"/>
      <c r="I188" s="121"/>
      <c r="J188" s="121"/>
      <c r="K188" s="26"/>
      <c r="L188" s="26"/>
      <c r="M188" s="26"/>
      <c r="N188" s="26"/>
      <c r="O188" s="26"/>
      <c r="P188" s="26"/>
      <c r="Q188" s="26"/>
      <c r="R188" s="23"/>
      <c r="S188" s="26"/>
      <c r="T188" s="26"/>
      <c r="U188" s="27"/>
      <c r="V188" s="122"/>
      <c r="W188" s="123">
        <f t="shared" si="15"/>
        <v>0</v>
      </c>
      <c r="X188" s="124" t="e">
        <f t="shared" si="16"/>
        <v>#DIV/0!</v>
      </c>
      <c r="Y188" s="125"/>
      <c r="Z188" s="31">
        <f t="shared" si="17"/>
        <v>0</v>
      </c>
      <c r="AA188" s="127"/>
      <c r="AB188" s="127"/>
      <c r="AC188" s="127">
        <f t="shared" si="18"/>
        <v>0</v>
      </c>
      <c r="AD188" s="128">
        <f t="shared" si="19"/>
        <v>0</v>
      </c>
      <c r="AE188" s="128">
        <f t="shared" si="20"/>
        <v>0</v>
      </c>
      <c r="AF188" s="127">
        <f t="shared" si="21"/>
        <v>0</v>
      </c>
    </row>
    <row r="189" ht="15.5" customHeight="1" spans="1:32">
      <c r="A189" s="23"/>
      <c r="B189" s="24"/>
      <c r="C189" s="24"/>
      <c r="D189" s="23"/>
      <c r="E189" s="24"/>
      <c r="F189" s="24"/>
      <c r="G189" s="23"/>
      <c r="H189" s="23"/>
      <c r="I189" s="121"/>
      <c r="J189" s="121"/>
      <c r="K189" s="26"/>
      <c r="L189" s="26"/>
      <c r="M189" s="26"/>
      <c r="N189" s="26"/>
      <c r="O189" s="26"/>
      <c r="P189" s="26"/>
      <c r="Q189" s="26"/>
      <c r="R189" s="23"/>
      <c r="S189" s="26"/>
      <c r="T189" s="26"/>
      <c r="U189" s="27"/>
      <c r="V189" s="122"/>
      <c r="W189" s="123">
        <f t="shared" si="15"/>
        <v>0</v>
      </c>
      <c r="X189" s="124" t="e">
        <f t="shared" si="16"/>
        <v>#DIV/0!</v>
      </c>
      <c r="Y189" s="125"/>
      <c r="Z189" s="31">
        <f t="shared" si="17"/>
        <v>0</v>
      </c>
      <c r="AA189" s="127"/>
      <c r="AB189" s="127"/>
      <c r="AC189" s="127">
        <f t="shared" si="18"/>
        <v>0</v>
      </c>
      <c r="AD189" s="128">
        <f t="shared" si="19"/>
        <v>0</v>
      </c>
      <c r="AE189" s="128">
        <f t="shared" si="20"/>
        <v>0</v>
      </c>
      <c r="AF189" s="127">
        <f t="shared" si="21"/>
        <v>0</v>
      </c>
    </row>
    <row r="190" ht="15.5" customHeight="1" spans="1:32">
      <c r="A190" s="23"/>
      <c r="B190" s="24"/>
      <c r="C190" s="24"/>
      <c r="D190" s="23"/>
      <c r="E190" s="24"/>
      <c r="F190" s="24"/>
      <c r="G190" s="23"/>
      <c r="H190" s="23"/>
      <c r="I190" s="121"/>
      <c r="J190" s="121"/>
      <c r="K190" s="26"/>
      <c r="L190" s="26"/>
      <c r="M190" s="26"/>
      <c r="N190" s="26"/>
      <c r="O190" s="26"/>
      <c r="P190" s="26"/>
      <c r="Q190" s="26"/>
      <c r="R190" s="23"/>
      <c r="S190" s="26"/>
      <c r="T190" s="26"/>
      <c r="U190" s="27"/>
      <c r="V190" s="122"/>
      <c r="W190" s="123">
        <f t="shared" si="15"/>
        <v>0</v>
      </c>
      <c r="X190" s="124" t="e">
        <f t="shared" si="16"/>
        <v>#DIV/0!</v>
      </c>
      <c r="Y190" s="125"/>
      <c r="Z190" s="31">
        <f t="shared" si="17"/>
        <v>0</v>
      </c>
      <c r="AA190" s="127"/>
      <c r="AB190" s="127"/>
      <c r="AC190" s="127">
        <f t="shared" si="18"/>
        <v>0</v>
      </c>
      <c r="AD190" s="128">
        <f t="shared" si="19"/>
        <v>0</v>
      </c>
      <c r="AE190" s="128">
        <f t="shared" si="20"/>
        <v>0</v>
      </c>
      <c r="AF190" s="127">
        <f t="shared" si="21"/>
        <v>0</v>
      </c>
    </row>
    <row r="191" ht="15.5" customHeight="1" spans="1:32">
      <c r="A191" s="23"/>
      <c r="B191" s="24"/>
      <c r="C191" s="24"/>
      <c r="D191" s="23"/>
      <c r="E191" s="24"/>
      <c r="F191" s="24"/>
      <c r="G191" s="23"/>
      <c r="H191" s="23"/>
      <c r="I191" s="121"/>
      <c r="J191" s="121"/>
      <c r="K191" s="26"/>
      <c r="L191" s="26"/>
      <c r="M191" s="26"/>
      <c r="N191" s="26"/>
      <c r="O191" s="26"/>
      <c r="P191" s="26"/>
      <c r="Q191" s="26"/>
      <c r="R191" s="23"/>
      <c r="S191" s="26"/>
      <c r="T191" s="26"/>
      <c r="U191" s="27"/>
      <c r="V191" s="122"/>
      <c r="W191" s="123">
        <f t="shared" si="15"/>
        <v>0</v>
      </c>
      <c r="X191" s="124" t="e">
        <f t="shared" si="16"/>
        <v>#DIV/0!</v>
      </c>
      <c r="Y191" s="125"/>
      <c r="Z191" s="31">
        <f t="shared" si="17"/>
        <v>0</v>
      </c>
      <c r="AA191" s="127"/>
      <c r="AB191" s="127"/>
      <c r="AC191" s="127">
        <f t="shared" si="18"/>
        <v>0</v>
      </c>
      <c r="AD191" s="128">
        <f t="shared" si="19"/>
        <v>0</v>
      </c>
      <c r="AE191" s="128">
        <f t="shared" si="20"/>
        <v>0</v>
      </c>
      <c r="AF191" s="127">
        <f t="shared" si="21"/>
        <v>0</v>
      </c>
    </row>
    <row r="192" ht="15.5" customHeight="1" spans="1:32">
      <c r="A192" s="23"/>
      <c r="B192" s="24"/>
      <c r="C192" s="24"/>
      <c r="D192" s="23"/>
      <c r="E192" s="24"/>
      <c r="F192" s="24"/>
      <c r="G192" s="23"/>
      <c r="H192" s="23"/>
      <c r="I192" s="121"/>
      <c r="J192" s="121"/>
      <c r="K192" s="26"/>
      <c r="L192" s="26"/>
      <c r="M192" s="26"/>
      <c r="N192" s="26"/>
      <c r="O192" s="26"/>
      <c r="P192" s="26"/>
      <c r="Q192" s="26"/>
      <c r="R192" s="23"/>
      <c r="S192" s="26"/>
      <c r="T192" s="26"/>
      <c r="U192" s="27"/>
      <c r="V192" s="122"/>
      <c r="W192" s="123">
        <f t="shared" si="15"/>
        <v>0</v>
      </c>
      <c r="X192" s="124" t="e">
        <f t="shared" si="16"/>
        <v>#DIV/0!</v>
      </c>
      <c r="Y192" s="125"/>
      <c r="Z192" s="31">
        <f t="shared" si="17"/>
        <v>0</v>
      </c>
      <c r="AA192" s="127"/>
      <c r="AB192" s="127"/>
      <c r="AC192" s="127">
        <f t="shared" si="18"/>
        <v>0</v>
      </c>
      <c r="AD192" s="128">
        <f t="shared" si="19"/>
        <v>0</v>
      </c>
      <c r="AE192" s="128">
        <f t="shared" si="20"/>
        <v>0</v>
      </c>
      <c r="AF192" s="127">
        <f t="shared" si="21"/>
        <v>0</v>
      </c>
    </row>
    <row r="193" ht="15.5" customHeight="1" spans="1:32">
      <c r="A193" s="23"/>
      <c r="B193" s="24"/>
      <c r="C193" s="24"/>
      <c r="D193" s="23"/>
      <c r="E193" s="24"/>
      <c r="F193" s="24"/>
      <c r="G193" s="23"/>
      <c r="H193" s="23"/>
      <c r="I193" s="121"/>
      <c r="J193" s="121"/>
      <c r="K193" s="26"/>
      <c r="L193" s="26"/>
      <c r="M193" s="26"/>
      <c r="N193" s="26"/>
      <c r="O193" s="26"/>
      <c r="P193" s="26"/>
      <c r="Q193" s="26"/>
      <c r="R193" s="23"/>
      <c r="S193" s="26"/>
      <c r="T193" s="26"/>
      <c r="U193" s="27"/>
      <c r="V193" s="122"/>
      <c r="W193" s="123">
        <f t="shared" si="15"/>
        <v>0</v>
      </c>
      <c r="X193" s="124" t="e">
        <f t="shared" si="16"/>
        <v>#DIV/0!</v>
      </c>
      <c r="Y193" s="125"/>
      <c r="Z193" s="31">
        <f t="shared" si="17"/>
        <v>0</v>
      </c>
      <c r="AA193" s="127"/>
      <c r="AB193" s="127"/>
      <c r="AC193" s="127">
        <f t="shared" si="18"/>
        <v>0</v>
      </c>
      <c r="AD193" s="128">
        <f t="shared" si="19"/>
        <v>0</v>
      </c>
      <c r="AE193" s="128">
        <f t="shared" si="20"/>
        <v>0</v>
      </c>
      <c r="AF193" s="127">
        <f t="shared" si="21"/>
        <v>0</v>
      </c>
    </row>
    <row r="194" ht="15.5" customHeight="1" spans="1:32">
      <c r="A194" s="23"/>
      <c r="B194" s="24"/>
      <c r="C194" s="24"/>
      <c r="D194" s="23"/>
      <c r="E194" s="24"/>
      <c r="F194" s="24"/>
      <c r="G194" s="23"/>
      <c r="H194" s="23"/>
      <c r="I194" s="121"/>
      <c r="J194" s="121"/>
      <c r="K194" s="26"/>
      <c r="L194" s="26"/>
      <c r="M194" s="26"/>
      <c r="N194" s="26"/>
      <c r="O194" s="26"/>
      <c r="P194" s="26"/>
      <c r="Q194" s="26"/>
      <c r="R194" s="23"/>
      <c r="S194" s="26"/>
      <c r="T194" s="26"/>
      <c r="U194" s="27"/>
      <c r="V194" s="122"/>
      <c r="W194" s="123">
        <f t="shared" si="15"/>
        <v>0</v>
      </c>
      <c r="X194" s="124" t="e">
        <f t="shared" si="16"/>
        <v>#DIV/0!</v>
      </c>
      <c r="Y194" s="125"/>
      <c r="Z194" s="31">
        <f t="shared" si="17"/>
        <v>0</v>
      </c>
      <c r="AA194" s="127"/>
      <c r="AB194" s="127"/>
      <c r="AC194" s="127">
        <f t="shared" si="18"/>
        <v>0</v>
      </c>
      <c r="AD194" s="128">
        <f t="shared" si="19"/>
        <v>0</v>
      </c>
      <c r="AE194" s="128">
        <f t="shared" si="20"/>
        <v>0</v>
      </c>
      <c r="AF194" s="127">
        <f t="shared" si="21"/>
        <v>0</v>
      </c>
    </row>
    <row r="195" ht="15.5" customHeight="1" spans="1:32">
      <c r="A195" s="23"/>
      <c r="B195" s="24"/>
      <c r="C195" s="24"/>
      <c r="D195" s="23"/>
      <c r="E195" s="24"/>
      <c r="F195" s="24"/>
      <c r="G195" s="23"/>
      <c r="H195" s="23"/>
      <c r="I195" s="121"/>
      <c r="J195" s="121"/>
      <c r="K195" s="26"/>
      <c r="L195" s="26"/>
      <c r="M195" s="26"/>
      <c r="N195" s="26"/>
      <c r="O195" s="26"/>
      <c r="P195" s="26"/>
      <c r="Q195" s="26"/>
      <c r="R195" s="23"/>
      <c r="S195" s="26"/>
      <c r="T195" s="26"/>
      <c r="U195" s="27"/>
      <c r="V195" s="122"/>
      <c r="W195" s="123">
        <f t="shared" si="15"/>
        <v>0</v>
      </c>
      <c r="X195" s="124" t="e">
        <f t="shared" si="16"/>
        <v>#DIV/0!</v>
      </c>
      <c r="Y195" s="125"/>
      <c r="Z195" s="31">
        <f t="shared" si="17"/>
        <v>0</v>
      </c>
      <c r="AA195" s="127"/>
      <c r="AB195" s="127"/>
      <c r="AC195" s="127">
        <f t="shared" si="18"/>
        <v>0</v>
      </c>
      <c r="AD195" s="128">
        <f t="shared" si="19"/>
        <v>0</v>
      </c>
      <c r="AE195" s="128">
        <f t="shared" si="20"/>
        <v>0</v>
      </c>
      <c r="AF195" s="127">
        <f t="shared" si="21"/>
        <v>0</v>
      </c>
    </row>
    <row r="196" ht="15.5" customHeight="1" spans="1:32">
      <c r="A196" s="23"/>
      <c r="B196" s="24"/>
      <c r="C196" s="24"/>
      <c r="D196" s="23"/>
      <c r="E196" s="24"/>
      <c r="F196" s="24"/>
      <c r="G196" s="23"/>
      <c r="H196" s="23"/>
      <c r="I196" s="121"/>
      <c r="J196" s="121"/>
      <c r="K196" s="26"/>
      <c r="L196" s="26"/>
      <c r="M196" s="26"/>
      <c r="N196" s="26"/>
      <c r="O196" s="26"/>
      <c r="P196" s="26"/>
      <c r="Q196" s="26"/>
      <c r="R196" s="23"/>
      <c r="S196" s="26"/>
      <c r="T196" s="26"/>
      <c r="U196" s="27"/>
      <c r="V196" s="122"/>
      <c r="W196" s="123">
        <f t="shared" si="15"/>
        <v>0</v>
      </c>
      <c r="X196" s="124" t="e">
        <f t="shared" si="16"/>
        <v>#DIV/0!</v>
      </c>
      <c r="Y196" s="125"/>
      <c r="Z196" s="31">
        <f t="shared" si="17"/>
        <v>0</v>
      </c>
      <c r="AA196" s="127"/>
      <c r="AB196" s="127"/>
      <c r="AC196" s="127">
        <f t="shared" si="18"/>
        <v>0</v>
      </c>
      <c r="AD196" s="128">
        <f t="shared" si="19"/>
        <v>0</v>
      </c>
      <c r="AE196" s="128">
        <f t="shared" si="20"/>
        <v>0</v>
      </c>
      <c r="AF196" s="127">
        <f t="shared" si="21"/>
        <v>0</v>
      </c>
    </row>
    <row r="197" ht="15.5" customHeight="1" spans="1:32">
      <c r="A197" s="23"/>
      <c r="B197" s="24"/>
      <c r="C197" s="24"/>
      <c r="D197" s="23"/>
      <c r="E197" s="24"/>
      <c r="F197" s="24"/>
      <c r="G197" s="23"/>
      <c r="H197" s="23"/>
      <c r="I197" s="121"/>
      <c r="J197" s="121"/>
      <c r="K197" s="26"/>
      <c r="L197" s="26"/>
      <c r="M197" s="26"/>
      <c r="N197" s="26"/>
      <c r="O197" s="26"/>
      <c r="P197" s="26"/>
      <c r="Q197" s="26"/>
      <c r="R197" s="23"/>
      <c r="S197" s="26"/>
      <c r="T197" s="26"/>
      <c r="U197" s="27"/>
      <c r="V197" s="122"/>
      <c r="W197" s="123">
        <f t="shared" si="15"/>
        <v>0</v>
      </c>
      <c r="X197" s="124" t="e">
        <f t="shared" si="16"/>
        <v>#DIV/0!</v>
      </c>
      <c r="Y197" s="125"/>
      <c r="Z197" s="31">
        <f t="shared" si="17"/>
        <v>0</v>
      </c>
      <c r="AA197" s="127"/>
      <c r="AB197" s="127"/>
      <c r="AC197" s="127">
        <f t="shared" si="18"/>
        <v>0</v>
      </c>
      <c r="AD197" s="128">
        <f t="shared" si="19"/>
        <v>0</v>
      </c>
      <c r="AE197" s="128">
        <f t="shared" si="20"/>
        <v>0</v>
      </c>
      <c r="AF197" s="127">
        <f t="shared" si="21"/>
        <v>0</v>
      </c>
    </row>
    <row r="198" ht="15.5" customHeight="1" spans="1:32">
      <c r="A198" s="23"/>
      <c r="B198" s="24"/>
      <c r="C198" s="24"/>
      <c r="D198" s="23"/>
      <c r="E198" s="24"/>
      <c r="F198" s="24"/>
      <c r="G198" s="23"/>
      <c r="H198" s="23"/>
      <c r="I198" s="121"/>
      <c r="J198" s="121"/>
      <c r="K198" s="26"/>
      <c r="L198" s="26"/>
      <c r="M198" s="26"/>
      <c r="N198" s="26"/>
      <c r="O198" s="26"/>
      <c r="P198" s="26"/>
      <c r="Q198" s="26"/>
      <c r="R198" s="23"/>
      <c r="S198" s="26"/>
      <c r="T198" s="26"/>
      <c r="U198" s="27"/>
      <c r="V198" s="122"/>
      <c r="W198" s="123">
        <f t="shared" si="15"/>
        <v>0</v>
      </c>
      <c r="X198" s="124" t="e">
        <f t="shared" si="16"/>
        <v>#DIV/0!</v>
      </c>
      <c r="Y198" s="125"/>
      <c r="Z198" s="31">
        <f t="shared" si="17"/>
        <v>0</v>
      </c>
      <c r="AA198" s="127"/>
      <c r="AB198" s="127"/>
      <c r="AC198" s="127">
        <f t="shared" si="18"/>
        <v>0</v>
      </c>
      <c r="AD198" s="128">
        <f t="shared" si="19"/>
        <v>0</v>
      </c>
      <c r="AE198" s="128">
        <f t="shared" si="20"/>
        <v>0</v>
      </c>
      <c r="AF198" s="127">
        <f t="shared" si="21"/>
        <v>0</v>
      </c>
    </row>
    <row r="199" ht="15.5" customHeight="1" spans="1:32">
      <c r="A199" s="23"/>
      <c r="B199" s="24"/>
      <c r="C199" s="24"/>
      <c r="D199" s="23"/>
      <c r="E199" s="24"/>
      <c r="F199" s="24"/>
      <c r="G199" s="23"/>
      <c r="H199" s="23"/>
      <c r="I199" s="121"/>
      <c r="J199" s="121"/>
      <c r="K199" s="26"/>
      <c r="L199" s="26"/>
      <c r="M199" s="26"/>
      <c r="N199" s="26"/>
      <c r="O199" s="26"/>
      <c r="P199" s="26"/>
      <c r="Q199" s="26"/>
      <c r="R199" s="23"/>
      <c r="S199" s="26"/>
      <c r="T199" s="26"/>
      <c r="U199" s="27"/>
      <c r="V199" s="122"/>
      <c r="W199" s="123">
        <f t="shared" ref="W199:W232" si="22">($V$5-J199)/365</f>
        <v>0</v>
      </c>
      <c r="X199" s="124" t="e">
        <f t="shared" ref="X199:X232" si="23">(V199-W199)/V199</f>
        <v>#DIV/0!</v>
      </c>
      <c r="Y199" s="125"/>
      <c r="Z199" s="31">
        <f t="shared" ref="Z199:Z232" si="24">Y199</f>
        <v>0</v>
      </c>
      <c r="AA199" s="127"/>
      <c r="AB199" s="127"/>
      <c r="AC199" s="127">
        <f t="shared" ref="AC199:AC232" si="25">Z199*0.13/(1+0.13)</f>
        <v>0</v>
      </c>
      <c r="AD199" s="128">
        <f t="shared" ref="AD199:AD232" si="26">Z199-AC199</f>
        <v>0</v>
      </c>
      <c r="AE199" s="128">
        <f t="shared" ref="AE199:AE232" si="27">Z199*H199</f>
        <v>0</v>
      </c>
      <c r="AF199" s="127">
        <f t="shared" ref="AF199:AF232" si="28">ROUND(AD199*H199,-2)</f>
        <v>0</v>
      </c>
    </row>
    <row r="200" ht="15.5" customHeight="1" spans="1:32">
      <c r="A200" s="23"/>
      <c r="B200" s="24"/>
      <c r="C200" s="24"/>
      <c r="D200" s="23"/>
      <c r="E200" s="24"/>
      <c r="F200" s="24"/>
      <c r="G200" s="23"/>
      <c r="H200" s="23"/>
      <c r="I200" s="121"/>
      <c r="J200" s="121"/>
      <c r="K200" s="26"/>
      <c r="L200" s="26"/>
      <c r="M200" s="26"/>
      <c r="N200" s="26"/>
      <c r="O200" s="26"/>
      <c r="P200" s="26"/>
      <c r="Q200" s="26"/>
      <c r="R200" s="23"/>
      <c r="S200" s="26"/>
      <c r="T200" s="26"/>
      <c r="U200" s="27"/>
      <c r="V200" s="122"/>
      <c r="W200" s="123">
        <f t="shared" si="22"/>
        <v>0</v>
      </c>
      <c r="X200" s="124" t="e">
        <f t="shared" si="23"/>
        <v>#DIV/0!</v>
      </c>
      <c r="Y200" s="125"/>
      <c r="Z200" s="31">
        <f t="shared" si="24"/>
        <v>0</v>
      </c>
      <c r="AA200" s="127"/>
      <c r="AB200" s="127"/>
      <c r="AC200" s="127">
        <f t="shared" si="25"/>
        <v>0</v>
      </c>
      <c r="AD200" s="128">
        <f t="shared" si="26"/>
        <v>0</v>
      </c>
      <c r="AE200" s="128">
        <f t="shared" si="27"/>
        <v>0</v>
      </c>
      <c r="AF200" s="127">
        <f t="shared" si="28"/>
        <v>0</v>
      </c>
    </row>
    <row r="201" ht="15.5" customHeight="1" spans="1:32">
      <c r="A201" s="23"/>
      <c r="B201" s="24"/>
      <c r="C201" s="24"/>
      <c r="D201" s="23"/>
      <c r="E201" s="24"/>
      <c r="F201" s="24"/>
      <c r="G201" s="23"/>
      <c r="H201" s="23"/>
      <c r="I201" s="121"/>
      <c r="J201" s="121"/>
      <c r="K201" s="26"/>
      <c r="L201" s="26"/>
      <c r="M201" s="26"/>
      <c r="N201" s="26"/>
      <c r="O201" s="26"/>
      <c r="P201" s="26"/>
      <c r="Q201" s="26"/>
      <c r="R201" s="23"/>
      <c r="S201" s="26"/>
      <c r="T201" s="26"/>
      <c r="U201" s="27"/>
      <c r="V201" s="122"/>
      <c r="W201" s="123">
        <f t="shared" si="22"/>
        <v>0</v>
      </c>
      <c r="X201" s="124" t="e">
        <f t="shared" si="23"/>
        <v>#DIV/0!</v>
      </c>
      <c r="Y201" s="125"/>
      <c r="Z201" s="31">
        <f t="shared" si="24"/>
        <v>0</v>
      </c>
      <c r="AA201" s="127"/>
      <c r="AB201" s="127"/>
      <c r="AC201" s="127">
        <f t="shared" si="25"/>
        <v>0</v>
      </c>
      <c r="AD201" s="128">
        <f t="shared" si="26"/>
        <v>0</v>
      </c>
      <c r="AE201" s="128">
        <f t="shared" si="27"/>
        <v>0</v>
      </c>
      <c r="AF201" s="127">
        <f t="shared" si="28"/>
        <v>0</v>
      </c>
    </row>
    <row r="202" ht="15.5" customHeight="1" spans="1:32">
      <c r="A202" s="23"/>
      <c r="B202" s="24"/>
      <c r="C202" s="24"/>
      <c r="D202" s="23"/>
      <c r="E202" s="24"/>
      <c r="F202" s="24"/>
      <c r="G202" s="23"/>
      <c r="H202" s="23"/>
      <c r="I202" s="121"/>
      <c r="J202" s="121"/>
      <c r="K202" s="26"/>
      <c r="L202" s="26"/>
      <c r="M202" s="26"/>
      <c r="N202" s="26"/>
      <c r="O202" s="26"/>
      <c r="P202" s="26"/>
      <c r="Q202" s="26"/>
      <c r="R202" s="23"/>
      <c r="S202" s="26"/>
      <c r="T202" s="26"/>
      <c r="U202" s="27"/>
      <c r="V202" s="122"/>
      <c r="W202" s="123">
        <f t="shared" si="22"/>
        <v>0</v>
      </c>
      <c r="X202" s="124" t="e">
        <f t="shared" si="23"/>
        <v>#DIV/0!</v>
      </c>
      <c r="Y202" s="125"/>
      <c r="Z202" s="31">
        <f t="shared" si="24"/>
        <v>0</v>
      </c>
      <c r="AA202" s="127"/>
      <c r="AB202" s="127"/>
      <c r="AC202" s="127">
        <f t="shared" si="25"/>
        <v>0</v>
      </c>
      <c r="AD202" s="128">
        <f t="shared" si="26"/>
        <v>0</v>
      </c>
      <c r="AE202" s="128">
        <f t="shared" si="27"/>
        <v>0</v>
      </c>
      <c r="AF202" s="127">
        <f t="shared" si="28"/>
        <v>0</v>
      </c>
    </row>
    <row r="203" ht="15.5" customHeight="1" spans="1:32">
      <c r="A203" s="23"/>
      <c r="B203" s="24"/>
      <c r="C203" s="24"/>
      <c r="D203" s="23"/>
      <c r="E203" s="24"/>
      <c r="F203" s="24"/>
      <c r="G203" s="23"/>
      <c r="H203" s="23"/>
      <c r="I203" s="121"/>
      <c r="J203" s="121"/>
      <c r="K203" s="26"/>
      <c r="L203" s="26"/>
      <c r="M203" s="26"/>
      <c r="N203" s="26"/>
      <c r="O203" s="26"/>
      <c r="P203" s="26"/>
      <c r="Q203" s="26"/>
      <c r="R203" s="23"/>
      <c r="S203" s="26"/>
      <c r="T203" s="26"/>
      <c r="U203" s="27"/>
      <c r="V203" s="122"/>
      <c r="W203" s="123">
        <f t="shared" si="22"/>
        <v>0</v>
      </c>
      <c r="X203" s="124" t="e">
        <f t="shared" si="23"/>
        <v>#DIV/0!</v>
      </c>
      <c r="Y203" s="125"/>
      <c r="Z203" s="31">
        <f t="shared" si="24"/>
        <v>0</v>
      </c>
      <c r="AA203" s="127"/>
      <c r="AB203" s="127"/>
      <c r="AC203" s="127">
        <f t="shared" si="25"/>
        <v>0</v>
      </c>
      <c r="AD203" s="128">
        <f t="shared" si="26"/>
        <v>0</v>
      </c>
      <c r="AE203" s="128">
        <f t="shared" si="27"/>
        <v>0</v>
      </c>
      <c r="AF203" s="127">
        <f t="shared" si="28"/>
        <v>0</v>
      </c>
    </row>
    <row r="204" ht="15.5" customHeight="1" spans="1:32">
      <c r="A204" s="23"/>
      <c r="B204" s="24"/>
      <c r="C204" s="24"/>
      <c r="D204" s="23"/>
      <c r="E204" s="24"/>
      <c r="F204" s="24"/>
      <c r="G204" s="23"/>
      <c r="H204" s="23"/>
      <c r="I204" s="121"/>
      <c r="J204" s="121"/>
      <c r="K204" s="26"/>
      <c r="L204" s="26"/>
      <c r="M204" s="26"/>
      <c r="N204" s="26"/>
      <c r="O204" s="26"/>
      <c r="P204" s="26"/>
      <c r="Q204" s="26"/>
      <c r="R204" s="23"/>
      <c r="S204" s="26"/>
      <c r="T204" s="26"/>
      <c r="U204" s="27"/>
      <c r="V204" s="122"/>
      <c r="W204" s="123">
        <f t="shared" si="22"/>
        <v>0</v>
      </c>
      <c r="X204" s="124" t="e">
        <f t="shared" si="23"/>
        <v>#DIV/0!</v>
      </c>
      <c r="Y204" s="125"/>
      <c r="Z204" s="31">
        <f t="shared" si="24"/>
        <v>0</v>
      </c>
      <c r="AA204" s="127"/>
      <c r="AB204" s="127"/>
      <c r="AC204" s="127">
        <f t="shared" si="25"/>
        <v>0</v>
      </c>
      <c r="AD204" s="128">
        <f t="shared" si="26"/>
        <v>0</v>
      </c>
      <c r="AE204" s="128">
        <f t="shared" si="27"/>
        <v>0</v>
      </c>
      <c r="AF204" s="127">
        <f t="shared" si="28"/>
        <v>0</v>
      </c>
    </row>
    <row r="205" ht="15.5" customHeight="1" spans="1:32">
      <c r="A205" s="23"/>
      <c r="B205" s="24"/>
      <c r="C205" s="24"/>
      <c r="D205" s="23"/>
      <c r="E205" s="24"/>
      <c r="F205" s="24"/>
      <c r="G205" s="23"/>
      <c r="H205" s="23"/>
      <c r="I205" s="121"/>
      <c r="J205" s="121"/>
      <c r="K205" s="26"/>
      <c r="L205" s="26"/>
      <c r="M205" s="26"/>
      <c r="N205" s="26"/>
      <c r="O205" s="26"/>
      <c r="P205" s="26"/>
      <c r="Q205" s="26"/>
      <c r="R205" s="23"/>
      <c r="S205" s="26"/>
      <c r="T205" s="26"/>
      <c r="U205" s="27"/>
      <c r="V205" s="122"/>
      <c r="W205" s="123">
        <f t="shared" si="22"/>
        <v>0</v>
      </c>
      <c r="X205" s="124" t="e">
        <f t="shared" si="23"/>
        <v>#DIV/0!</v>
      </c>
      <c r="Y205" s="125"/>
      <c r="Z205" s="31">
        <f t="shared" si="24"/>
        <v>0</v>
      </c>
      <c r="AA205" s="127"/>
      <c r="AB205" s="127"/>
      <c r="AC205" s="127">
        <f t="shared" si="25"/>
        <v>0</v>
      </c>
      <c r="AD205" s="128">
        <f t="shared" si="26"/>
        <v>0</v>
      </c>
      <c r="AE205" s="128">
        <f t="shared" si="27"/>
        <v>0</v>
      </c>
      <c r="AF205" s="127">
        <f t="shared" si="28"/>
        <v>0</v>
      </c>
    </row>
    <row r="206" ht="15.5" customHeight="1" spans="1:32">
      <c r="A206" s="23"/>
      <c r="B206" s="24"/>
      <c r="C206" s="24"/>
      <c r="D206" s="23"/>
      <c r="E206" s="24"/>
      <c r="F206" s="24"/>
      <c r="G206" s="23"/>
      <c r="H206" s="23"/>
      <c r="I206" s="121"/>
      <c r="J206" s="121"/>
      <c r="K206" s="26"/>
      <c r="L206" s="26"/>
      <c r="M206" s="26"/>
      <c r="N206" s="26"/>
      <c r="O206" s="26"/>
      <c r="P206" s="26"/>
      <c r="Q206" s="26"/>
      <c r="R206" s="23"/>
      <c r="S206" s="26"/>
      <c r="T206" s="26"/>
      <c r="U206" s="27"/>
      <c r="V206" s="122"/>
      <c r="W206" s="123">
        <f t="shared" si="22"/>
        <v>0</v>
      </c>
      <c r="X206" s="124" t="e">
        <f t="shared" si="23"/>
        <v>#DIV/0!</v>
      </c>
      <c r="Y206" s="125"/>
      <c r="Z206" s="31">
        <f t="shared" si="24"/>
        <v>0</v>
      </c>
      <c r="AA206" s="127"/>
      <c r="AB206" s="127"/>
      <c r="AC206" s="127">
        <f t="shared" si="25"/>
        <v>0</v>
      </c>
      <c r="AD206" s="128">
        <f t="shared" si="26"/>
        <v>0</v>
      </c>
      <c r="AE206" s="128">
        <f t="shared" si="27"/>
        <v>0</v>
      </c>
      <c r="AF206" s="127">
        <f t="shared" si="28"/>
        <v>0</v>
      </c>
    </row>
    <row r="207" ht="15.5" customHeight="1" spans="1:32">
      <c r="A207" s="23"/>
      <c r="B207" s="24"/>
      <c r="C207" s="24"/>
      <c r="D207" s="23"/>
      <c r="E207" s="24"/>
      <c r="F207" s="24"/>
      <c r="G207" s="23"/>
      <c r="H207" s="23"/>
      <c r="I207" s="121"/>
      <c r="J207" s="121"/>
      <c r="K207" s="26"/>
      <c r="L207" s="26"/>
      <c r="M207" s="26"/>
      <c r="N207" s="26"/>
      <c r="O207" s="26"/>
      <c r="P207" s="26"/>
      <c r="Q207" s="26"/>
      <c r="R207" s="23"/>
      <c r="S207" s="26"/>
      <c r="T207" s="26"/>
      <c r="U207" s="27"/>
      <c r="V207" s="122"/>
      <c r="W207" s="123">
        <f t="shared" si="22"/>
        <v>0</v>
      </c>
      <c r="X207" s="124" t="e">
        <f t="shared" si="23"/>
        <v>#DIV/0!</v>
      </c>
      <c r="Y207" s="125"/>
      <c r="Z207" s="31">
        <f t="shared" si="24"/>
        <v>0</v>
      </c>
      <c r="AA207" s="127"/>
      <c r="AB207" s="127"/>
      <c r="AC207" s="127">
        <f t="shared" si="25"/>
        <v>0</v>
      </c>
      <c r="AD207" s="128">
        <f t="shared" si="26"/>
        <v>0</v>
      </c>
      <c r="AE207" s="128">
        <f t="shared" si="27"/>
        <v>0</v>
      </c>
      <c r="AF207" s="127">
        <f t="shared" si="28"/>
        <v>0</v>
      </c>
    </row>
    <row r="208" ht="15.5" customHeight="1" spans="1:32">
      <c r="A208" s="23"/>
      <c r="B208" s="24"/>
      <c r="C208" s="24"/>
      <c r="D208" s="23"/>
      <c r="E208" s="24"/>
      <c r="F208" s="24"/>
      <c r="G208" s="23"/>
      <c r="H208" s="23"/>
      <c r="I208" s="121"/>
      <c r="J208" s="121"/>
      <c r="K208" s="26"/>
      <c r="L208" s="26"/>
      <c r="M208" s="26"/>
      <c r="N208" s="26"/>
      <c r="O208" s="26"/>
      <c r="P208" s="26"/>
      <c r="Q208" s="26"/>
      <c r="R208" s="23"/>
      <c r="S208" s="26"/>
      <c r="T208" s="26"/>
      <c r="U208" s="27"/>
      <c r="V208" s="122"/>
      <c r="W208" s="123">
        <f t="shared" si="22"/>
        <v>0</v>
      </c>
      <c r="X208" s="124" t="e">
        <f t="shared" si="23"/>
        <v>#DIV/0!</v>
      </c>
      <c r="Y208" s="125"/>
      <c r="Z208" s="31">
        <f t="shared" si="24"/>
        <v>0</v>
      </c>
      <c r="AA208" s="127"/>
      <c r="AB208" s="127"/>
      <c r="AC208" s="127">
        <f t="shared" si="25"/>
        <v>0</v>
      </c>
      <c r="AD208" s="128">
        <f t="shared" si="26"/>
        <v>0</v>
      </c>
      <c r="AE208" s="128">
        <f t="shared" si="27"/>
        <v>0</v>
      </c>
      <c r="AF208" s="127">
        <f t="shared" si="28"/>
        <v>0</v>
      </c>
    </row>
    <row r="209" ht="15.5" customHeight="1" spans="1:32">
      <c r="A209" s="23"/>
      <c r="B209" s="24"/>
      <c r="C209" s="24"/>
      <c r="D209" s="23"/>
      <c r="E209" s="24"/>
      <c r="F209" s="24"/>
      <c r="G209" s="23"/>
      <c r="H209" s="23"/>
      <c r="I209" s="121"/>
      <c r="J209" s="121"/>
      <c r="K209" s="26"/>
      <c r="L209" s="26"/>
      <c r="M209" s="26"/>
      <c r="N209" s="26"/>
      <c r="O209" s="26"/>
      <c r="P209" s="26"/>
      <c r="Q209" s="26"/>
      <c r="R209" s="23"/>
      <c r="S209" s="26"/>
      <c r="T209" s="26"/>
      <c r="U209" s="27"/>
      <c r="V209" s="122"/>
      <c r="W209" s="123">
        <f t="shared" si="22"/>
        <v>0</v>
      </c>
      <c r="X209" s="124" t="e">
        <f t="shared" si="23"/>
        <v>#DIV/0!</v>
      </c>
      <c r="Y209" s="125"/>
      <c r="Z209" s="31">
        <f t="shared" si="24"/>
        <v>0</v>
      </c>
      <c r="AA209" s="127"/>
      <c r="AB209" s="127"/>
      <c r="AC209" s="127">
        <f t="shared" si="25"/>
        <v>0</v>
      </c>
      <c r="AD209" s="128">
        <f t="shared" si="26"/>
        <v>0</v>
      </c>
      <c r="AE209" s="128">
        <f t="shared" si="27"/>
        <v>0</v>
      </c>
      <c r="AF209" s="127">
        <f t="shared" si="28"/>
        <v>0</v>
      </c>
    </row>
    <row r="210" ht="15.5" customHeight="1" spans="1:32">
      <c r="A210" s="23"/>
      <c r="B210" s="24"/>
      <c r="C210" s="24"/>
      <c r="D210" s="23"/>
      <c r="E210" s="24"/>
      <c r="F210" s="24"/>
      <c r="G210" s="23"/>
      <c r="H210" s="23"/>
      <c r="I210" s="121"/>
      <c r="J210" s="121"/>
      <c r="K210" s="26"/>
      <c r="L210" s="26"/>
      <c r="M210" s="26"/>
      <c r="N210" s="26"/>
      <c r="O210" s="26"/>
      <c r="P210" s="26"/>
      <c r="Q210" s="26"/>
      <c r="R210" s="23"/>
      <c r="S210" s="26"/>
      <c r="T210" s="26"/>
      <c r="U210" s="27"/>
      <c r="V210" s="122"/>
      <c r="W210" s="123">
        <f t="shared" si="22"/>
        <v>0</v>
      </c>
      <c r="X210" s="124" t="e">
        <f t="shared" si="23"/>
        <v>#DIV/0!</v>
      </c>
      <c r="Y210" s="125"/>
      <c r="Z210" s="31">
        <f t="shared" si="24"/>
        <v>0</v>
      </c>
      <c r="AA210" s="127"/>
      <c r="AB210" s="127"/>
      <c r="AC210" s="127">
        <f t="shared" si="25"/>
        <v>0</v>
      </c>
      <c r="AD210" s="128">
        <f t="shared" si="26"/>
        <v>0</v>
      </c>
      <c r="AE210" s="128">
        <f t="shared" si="27"/>
        <v>0</v>
      </c>
      <c r="AF210" s="127">
        <f t="shared" si="28"/>
        <v>0</v>
      </c>
    </row>
    <row r="211" ht="15.5" customHeight="1" spans="1:32">
      <c r="A211" s="23"/>
      <c r="B211" s="24"/>
      <c r="C211" s="24"/>
      <c r="D211" s="23"/>
      <c r="E211" s="24"/>
      <c r="F211" s="24"/>
      <c r="G211" s="23"/>
      <c r="H211" s="23"/>
      <c r="I211" s="121"/>
      <c r="J211" s="121"/>
      <c r="K211" s="26"/>
      <c r="L211" s="26"/>
      <c r="M211" s="26"/>
      <c r="N211" s="26"/>
      <c r="O211" s="26"/>
      <c r="P211" s="26"/>
      <c r="Q211" s="26"/>
      <c r="R211" s="23"/>
      <c r="S211" s="26"/>
      <c r="T211" s="26"/>
      <c r="U211" s="27"/>
      <c r="V211" s="122"/>
      <c r="W211" s="123">
        <f t="shared" si="22"/>
        <v>0</v>
      </c>
      <c r="X211" s="124" t="e">
        <f t="shared" si="23"/>
        <v>#DIV/0!</v>
      </c>
      <c r="Y211" s="125"/>
      <c r="Z211" s="31">
        <f t="shared" si="24"/>
        <v>0</v>
      </c>
      <c r="AA211" s="127"/>
      <c r="AB211" s="127"/>
      <c r="AC211" s="127">
        <f t="shared" si="25"/>
        <v>0</v>
      </c>
      <c r="AD211" s="128">
        <f t="shared" si="26"/>
        <v>0</v>
      </c>
      <c r="AE211" s="128">
        <f t="shared" si="27"/>
        <v>0</v>
      </c>
      <c r="AF211" s="127">
        <f t="shared" si="28"/>
        <v>0</v>
      </c>
    </row>
    <row r="212" ht="15.5" customHeight="1" spans="1:32">
      <c r="A212" s="23"/>
      <c r="B212" s="24"/>
      <c r="C212" s="24"/>
      <c r="D212" s="23"/>
      <c r="E212" s="24"/>
      <c r="F212" s="24"/>
      <c r="G212" s="23"/>
      <c r="H212" s="23"/>
      <c r="I212" s="121"/>
      <c r="J212" s="121"/>
      <c r="K212" s="26"/>
      <c r="L212" s="26"/>
      <c r="M212" s="26"/>
      <c r="N212" s="26"/>
      <c r="O212" s="26"/>
      <c r="P212" s="26"/>
      <c r="Q212" s="26"/>
      <c r="R212" s="23"/>
      <c r="S212" s="26"/>
      <c r="T212" s="26"/>
      <c r="U212" s="27"/>
      <c r="V212" s="122"/>
      <c r="W212" s="123">
        <f t="shared" si="22"/>
        <v>0</v>
      </c>
      <c r="X212" s="124" t="e">
        <f t="shared" si="23"/>
        <v>#DIV/0!</v>
      </c>
      <c r="Y212" s="125"/>
      <c r="Z212" s="31">
        <f t="shared" si="24"/>
        <v>0</v>
      </c>
      <c r="AA212" s="127"/>
      <c r="AB212" s="127"/>
      <c r="AC212" s="127">
        <f t="shared" si="25"/>
        <v>0</v>
      </c>
      <c r="AD212" s="128">
        <f t="shared" si="26"/>
        <v>0</v>
      </c>
      <c r="AE212" s="128">
        <f t="shared" si="27"/>
        <v>0</v>
      </c>
      <c r="AF212" s="127">
        <f t="shared" si="28"/>
        <v>0</v>
      </c>
    </row>
    <row r="213" ht="15.5" customHeight="1" spans="1:32">
      <c r="A213" s="23"/>
      <c r="B213" s="24"/>
      <c r="C213" s="24"/>
      <c r="D213" s="23"/>
      <c r="E213" s="24"/>
      <c r="F213" s="24"/>
      <c r="G213" s="23"/>
      <c r="H213" s="23"/>
      <c r="I213" s="121"/>
      <c r="J213" s="121"/>
      <c r="K213" s="26"/>
      <c r="L213" s="26"/>
      <c r="M213" s="26"/>
      <c r="N213" s="26"/>
      <c r="O213" s="26"/>
      <c r="P213" s="26"/>
      <c r="Q213" s="26"/>
      <c r="R213" s="23"/>
      <c r="S213" s="26"/>
      <c r="T213" s="26"/>
      <c r="U213" s="27"/>
      <c r="V213" s="122"/>
      <c r="W213" s="123">
        <f t="shared" si="22"/>
        <v>0</v>
      </c>
      <c r="X213" s="124" t="e">
        <f t="shared" si="23"/>
        <v>#DIV/0!</v>
      </c>
      <c r="Y213" s="125"/>
      <c r="Z213" s="31">
        <f t="shared" si="24"/>
        <v>0</v>
      </c>
      <c r="AA213" s="127"/>
      <c r="AB213" s="127"/>
      <c r="AC213" s="127">
        <f t="shared" si="25"/>
        <v>0</v>
      </c>
      <c r="AD213" s="128">
        <f t="shared" si="26"/>
        <v>0</v>
      </c>
      <c r="AE213" s="128">
        <f t="shared" si="27"/>
        <v>0</v>
      </c>
      <c r="AF213" s="127">
        <f t="shared" si="28"/>
        <v>0</v>
      </c>
    </row>
    <row r="214" ht="15.5" customHeight="1" spans="1:32">
      <c r="A214" s="23"/>
      <c r="B214" s="24"/>
      <c r="C214" s="24"/>
      <c r="D214" s="23"/>
      <c r="E214" s="24"/>
      <c r="F214" s="24"/>
      <c r="G214" s="23"/>
      <c r="H214" s="23"/>
      <c r="I214" s="121"/>
      <c r="J214" s="121"/>
      <c r="K214" s="26"/>
      <c r="L214" s="26"/>
      <c r="M214" s="26"/>
      <c r="N214" s="26"/>
      <c r="O214" s="26"/>
      <c r="P214" s="26"/>
      <c r="Q214" s="26"/>
      <c r="R214" s="23"/>
      <c r="S214" s="26"/>
      <c r="T214" s="26"/>
      <c r="U214" s="27"/>
      <c r="V214" s="122"/>
      <c r="W214" s="123">
        <f t="shared" si="22"/>
        <v>0</v>
      </c>
      <c r="X214" s="124" t="e">
        <f t="shared" si="23"/>
        <v>#DIV/0!</v>
      </c>
      <c r="Y214" s="125"/>
      <c r="Z214" s="31">
        <f t="shared" si="24"/>
        <v>0</v>
      </c>
      <c r="AA214" s="127"/>
      <c r="AB214" s="127"/>
      <c r="AC214" s="127">
        <f t="shared" si="25"/>
        <v>0</v>
      </c>
      <c r="AD214" s="128">
        <f t="shared" si="26"/>
        <v>0</v>
      </c>
      <c r="AE214" s="128">
        <f t="shared" si="27"/>
        <v>0</v>
      </c>
      <c r="AF214" s="127">
        <f t="shared" si="28"/>
        <v>0</v>
      </c>
    </row>
    <row r="215" ht="15.5" customHeight="1" spans="1:32">
      <c r="A215" s="23"/>
      <c r="B215" s="24"/>
      <c r="C215" s="24"/>
      <c r="D215" s="23"/>
      <c r="E215" s="24"/>
      <c r="F215" s="24"/>
      <c r="G215" s="23"/>
      <c r="H215" s="23"/>
      <c r="I215" s="121"/>
      <c r="J215" s="121"/>
      <c r="K215" s="26"/>
      <c r="L215" s="26"/>
      <c r="M215" s="26"/>
      <c r="N215" s="26"/>
      <c r="O215" s="26"/>
      <c r="P215" s="26"/>
      <c r="Q215" s="26"/>
      <c r="R215" s="23"/>
      <c r="S215" s="26"/>
      <c r="T215" s="26"/>
      <c r="U215" s="27"/>
      <c r="V215" s="122"/>
      <c r="W215" s="123">
        <f t="shared" si="22"/>
        <v>0</v>
      </c>
      <c r="X215" s="124" t="e">
        <f t="shared" si="23"/>
        <v>#DIV/0!</v>
      </c>
      <c r="Y215" s="125"/>
      <c r="Z215" s="31">
        <f t="shared" si="24"/>
        <v>0</v>
      </c>
      <c r="AA215" s="127"/>
      <c r="AB215" s="127"/>
      <c r="AC215" s="127">
        <f t="shared" si="25"/>
        <v>0</v>
      </c>
      <c r="AD215" s="128">
        <f t="shared" si="26"/>
        <v>0</v>
      </c>
      <c r="AE215" s="128">
        <f t="shared" si="27"/>
        <v>0</v>
      </c>
      <c r="AF215" s="127">
        <f t="shared" si="28"/>
        <v>0</v>
      </c>
    </row>
    <row r="216" ht="15.5" customHeight="1" spans="1:32">
      <c r="A216" s="23"/>
      <c r="B216" s="24"/>
      <c r="C216" s="24"/>
      <c r="D216" s="23"/>
      <c r="E216" s="24"/>
      <c r="F216" s="24"/>
      <c r="G216" s="23"/>
      <c r="H216" s="23"/>
      <c r="I216" s="121"/>
      <c r="J216" s="121"/>
      <c r="K216" s="26"/>
      <c r="L216" s="26"/>
      <c r="M216" s="26"/>
      <c r="N216" s="26"/>
      <c r="O216" s="26"/>
      <c r="P216" s="26"/>
      <c r="Q216" s="26"/>
      <c r="R216" s="23"/>
      <c r="S216" s="26"/>
      <c r="T216" s="26"/>
      <c r="U216" s="27"/>
      <c r="V216" s="122"/>
      <c r="W216" s="123">
        <f t="shared" si="22"/>
        <v>0</v>
      </c>
      <c r="X216" s="124" t="e">
        <f t="shared" si="23"/>
        <v>#DIV/0!</v>
      </c>
      <c r="Y216" s="125"/>
      <c r="Z216" s="31">
        <f t="shared" si="24"/>
        <v>0</v>
      </c>
      <c r="AA216" s="127"/>
      <c r="AB216" s="127"/>
      <c r="AC216" s="127">
        <f t="shared" si="25"/>
        <v>0</v>
      </c>
      <c r="AD216" s="128">
        <f t="shared" si="26"/>
        <v>0</v>
      </c>
      <c r="AE216" s="128">
        <f t="shared" si="27"/>
        <v>0</v>
      </c>
      <c r="AF216" s="127">
        <f t="shared" si="28"/>
        <v>0</v>
      </c>
    </row>
    <row r="217" ht="15.5" customHeight="1" spans="1:32">
      <c r="A217" s="23"/>
      <c r="B217" s="24"/>
      <c r="C217" s="24"/>
      <c r="D217" s="23"/>
      <c r="E217" s="24"/>
      <c r="F217" s="24"/>
      <c r="G217" s="23"/>
      <c r="H217" s="23"/>
      <c r="I217" s="121"/>
      <c r="J217" s="121"/>
      <c r="K217" s="26"/>
      <c r="L217" s="26"/>
      <c r="M217" s="26"/>
      <c r="N217" s="26"/>
      <c r="O217" s="26"/>
      <c r="P217" s="26"/>
      <c r="Q217" s="26"/>
      <c r="R217" s="23"/>
      <c r="S217" s="26"/>
      <c r="T217" s="26"/>
      <c r="U217" s="27"/>
      <c r="V217" s="122"/>
      <c r="W217" s="123">
        <f t="shared" si="22"/>
        <v>0</v>
      </c>
      <c r="X217" s="124" t="e">
        <f t="shared" si="23"/>
        <v>#DIV/0!</v>
      </c>
      <c r="Y217" s="125"/>
      <c r="Z217" s="31">
        <f t="shared" si="24"/>
        <v>0</v>
      </c>
      <c r="AA217" s="127"/>
      <c r="AB217" s="127"/>
      <c r="AC217" s="127">
        <f t="shared" si="25"/>
        <v>0</v>
      </c>
      <c r="AD217" s="128">
        <f t="shared" si="26"/>
        <v>0</v>
      </c>
      <c r="AE217" s="128">
        <f t="shared" si="27"/>
        <v>0</v>
      </c>
      <c r="AF217" s="127">
        <f t="shared" si="28"/>
        <v>0</v>
      </c>
    </row>
    <row r="218" ht="15.5" customHeight="1" spans="1:32">
      <c r="A218" s="23"/>
      <c r="B218" s="24"/>
      <c r="C218" s="24"/>
      <c r="D218" s="23"/>
      <c r="E218" s="24"/>
      <c r="F218" s="24"/>
      <c r="G218" s="23"/>
      <c r="H218" s="23"/>
      <c r="I218" s="121"/>
      <c r="J218" s="121"/>
      <c r="K218" s="26"/>
      <c r="L218" s="26"/>
      <c r="M218" s="26"/>
      <c r="N218" s="26"/>
      <c r="O218" s="26"/>
      <c r="P218" s="26"/>
      <c r="Q218" s="26"/>
      <c r="R218" s="23"/>
      <c r="S218" s="26"/>
      <c r="T218" s="26"/>
      <c r="U218" s="27"/>
      <c r="V218" s="122"/>
      <c r="W218" s="123">
        <f t="shared" si="22"/>
        <v>0</v>
      </c>
      <c r="X218" s="124" t="e">
        <f t="shared" si="23"/>
        <v>#DIV/0!</v>
      </c>
      <c r="Y218" s="125"/>
      <c r="Z218" s="31">
        <f t="shared" si="24"/>
        <v>0</v>
      </c>
      <c r="AA218" s="127"/>
      <c r="AB218" s="127"/>
      <c r="AC218" s="127">
        <f t="shared" si="25"/>
        <v>0</v>
      </c>
      <c r="AD218" s="128">
        <f t="shared" si="26"/>
        <v>0</v>
      </c>
      <c r="AE218" s="128">
        <f t="shared" si="27"/>
        <v>0</v>
      </c>
      <c r="AF218" s="127">
        <f t="shared" si="28"/>
        <v>0</v>
      </c>
    </row>
    <row r="219" ht="15.5" customHeight="1" spans="1:32">
      <c r="A219" s="23"/>
      <c r="B219" s="24"/>
      <c r="C219" s="24"/>
      <c r="D219" s="23"/>
      <c r="E219" s="24"/>
      <c r="F219" s="24"/>
      <c r="G219" s="23"/>
      <c r="H219" s="23"/>
      <c r="I219" s="121"/>
      <c r="J219" s="121"/>
      <c r="K219" s="26"/>
      <c r="L219" s="26"/>
      <c r="M219" s="26"/>
      <c r="N219" s="26"/>
      <c r="O219" s="26"/>
      <c r="P219" s="26"/>
      <c r="Q219" s="26"/>
      <c r="R219" s="23"/>
      <c r="S219" s="26"/>
      <c r="T219" s="26"/>
      <c r="U219" s="27"/>
      <c r="V219" s="122"/>
      <c r="W219" s="123">
        <f t="shared" si="22"/>
        <v>0</v>
      </c>
      <c r="X219" s="124" t="e">
        <f t="shared" si="23"/>
        <v>#DIV/0!</v>
      </c>
      <c r="Y219" s="125"/>
      <c r="Z219" s="31">
        <f t="shared" si="24"/>
        <v>0</v>
      </c>
      <c r="AA219" s="127"/>
      <c r="AB219" s="127"/>
      <c r="AC219" s="127">
        <f t="shared" si="25"/>
        <v>0</v>
      </c>
      <c r="AD219" s="128">
        <f t="shared" si="26"/>
        <v>0</v>
      </c>
      <c r="AE219" s="128">
        <f t="shared" si="27"/>
        <v>0</v>
      </c>
      <c r="AF219" s="127">
        <f t="shared" si="28"/>
        <v>0</v>
      </c>
    </row>
    <row r="220" ht="15.5" customHeight="1" spans="1:32">
      <c r="A220" s="23"/>
      <c r="B220" s="24"/>
      <c r="C220" s="24"/>
      <c r="D220" s="23"/>
      <c r="E220" s="24"/>
      <c r="F220" s="24"/>
      <c r="G220" s="23"/>
      <c r="H220" s="23"/>
      <c r="I220" s="121"/>
      <c r="J220" s="121"/>
      <c r="K220" s="26"/>
      <c r="L220" s="26"/>
      <c r="M220" s="26"/>
      <c r="N220" s="26"/>
      <c r="O220" s="26"/>
      <c r="P220" s="26"/>
      <c r="Q220" s="26"/>
      <c r="R220" s="23"/>
      <c r="S220" s="26"/>
      <c r="T220" s="26"/>
      <c r="U220" s="27"/>
      <c r="V220" s="122"/>
      <c r="W220" s="123">
        <f t="shared" si="22"/>
        <v>0</v>
      </c>
      <c r="X220" s="124" t="e">
        <f t="shared" si="23"/>
        <v>#DIV/0!</v>
      </c>
      <c r="Y220" s="125"/>
      <c r="Z220" s="31">
        <f t="shared" si="24"/>
        <v>0</v>
      </c>
      <c r="AA220" s="127"/>
      <c r="AB220" s="127"/>
      <c r="AC220" s="127">
        <f t="shared" si="25"/>
        <v>0</v>
      </c>
      <c r="AD220" s="128">
        <f t="shared" si="26"/>
        <v>0</v>
      </c>
      <c r="AE220" s="128">
        <f t="shared" si="27"/>
        <v>0</v>
      </c>
      <c r="AF220" s="127">
        <f t="shared" si="28"/>
        <v>0</v>
      </c>
    </row>
    <row r="221" ht="15.5" customHeight="1" spans="1:32">
      <c r="A221" s="23"/>
      <c r="B221" s="24"/>
      <c r="C221" s="24"/>
      <c r="D221" s="23"/>
      <c r="E221" s="24"/>
      <c r="F221" s="24"/>
      <c r="G221" s="23"/>
      <c r="H221" s="23"/>
      <c r="I221" s="121"/>
      <c r="J221" s="121"/>
      <c r="K221" s="26"/>
      <c r="L221" s="26"/>
      <c r="M221" s="26"/>
      <c r="N221" s="26"/>
      <c r="O221" s="26"/>
      <c r="P221" s="26"/>
      <c r="Q221" s="26"/>
      <c r="R221" s="23"/>
      <c r="S221" s="26"/>
      <c r="T221" s="26"/>
      <c r="U221" s="27"/>
      <c r="V221" s="122"/>
      <c r="W221" s="123">
        <f t="shared" si="22"/>
        <v>0</v>
      </c>
      <c r="X221" s="124" t="e">
        <f t="shared" si="23"/>
        <v>#DIV/0!</v>
      </c>
      <c r="Y221" s="125"/>
      <c r="Z221" s="31">
        <f t="shared" si="24"/>
        <v>0</v>
      </c>
      <c r="AA221" s="127"/>
      <c r="AB221" s="127"/>
      <c r="AC221" s="127">
        <f t="shared" si="25"/>
        <v>0</v>
      </c>
      <c r="AD221" s="128">
        <f t="shared" si="26"/>
        <v>0</v>
      </c>
      <c r="AE221" s="128">
        <f t="shared" si="27"/>
        <v>0</v>
      </c>
      <c r="AF221" s="127">
        <f t="shared" si="28"/>
        <v>0</v>
      </c>
    </row>
    <row r="222" ht="15.5" customHeight="1" spans="1:32">
      <c r="A222" s="23"/>
      <c r="B222" s="24"/>
      <c r="C222" s="24"/>
      <c r="D222" s="23"/>
      <c r="E222" s="24"/>
      <c r="F222" s="24"/>
      <c r="G222" s="23"/>
      <c r="H222" s="23"/>
      <c r="I222" s="121"/>
      <c r="J222" s="121"/>
      <c r="K222" s="26"/>
      <c r="L222" s="26"/>
      <c r="M222" s="26"/>
      <c r="N222" s="26"/>
      <c r="O222" s="26"/>
      <c r="P222" s="26"/>
      <c r="Q222" s="26"/>
      <c r="R222" s="23"/>
      <c r="S222" s="26"/>
      <c r="T222" s="26"/>
      <c r="U222" s="27"/>
      <c r="V222" s="122"/>
      <c r="W222" s="123">
        <f t="shared" si="22"/>
        <v>0</v>
      </c>
      <c r="X222" s="124" t="e">
        <f t="shared" si="23"/>
        <v>#DIV/0!</v>
      </c>
      <c r="Y222" s="125"/>
      <c r="Z222" s="31">
        <f t="shared" si="24"/>
        <v>0</v>
      </c>
      <c r="AA222" s="127"/>
      <c r="AB222" s="127"/>
      <c r="AC222" s="127">
        <f t="shared" si="25"/>
        <v>0</v>
      </c>
      <c r="AD222" s="128">
        <f t="shared" si="26"/>
        <v>0</v>
      </c>
      <c r="AE222" s="128">
        <f t="shared" si="27"/>
        <v>0</v>
      </c>
      <c r="AF222" s="127">
        <f t="shared" si="28"/>
        <v>0</v>
      </c>
    </row>
    <row r="223" ht="15.5" customHeight="1" spans="1:32">
      <c r="A223" s="23"/>
      <c r="B223" s="24"/>
      <c r="C223" s="24"/>
      <c r="D223" s="23"/>
      <c r="E223" s="24"/>
      <c r="F223" s="24"/>
      <c r="G223" s="23"/>
      <c r="H223" s="23"/>
      <c r="I223" s="121"/>
      <c r="J223" s="121"/>
      <c r="K223" s="26"/>
      <c r="L223" s="26"/>
      <c r="M223" s="26"/>
      <c r="N223" s="26"/>
      <c r="O223" s="26"/>
      <c r="P223" s="26"/>
      <c r="Q223" s="26"/>
      <c r="R223" s="23"/>
      <c r="S223" s="26"/>
      <c r="T223" s="26"/>
      <c r="U223" s="27"/>
      <c r="V223" s="122"/>
      <c r="W223" s="123">
        <f t="shared" si="22"/>
        <v>0</v>
      </c>
      <c r="X223" s="124" t="e">
        <f t="shared" si="23"/>
        <v>#DIV/0!</v>
      </c>
      <c r="Y223" s="125"/>
      <c r="Z223" s="31">
        <f t="shared" si="24"/>
        <v>0</v>
      </c>
      <c r="AA223" s="127"/>
      <c r="AB223" s="127"/>
      <c r="AC223" s="127">
        <f t="shared" si="25"/>
        <v>0</v>
      </c>
      <c r="AD223" s="128">
        <f t="shared" si="26"/>
        <v>0</v>
      </c>
      <c r="AE223" s="128">
        <f t="shared" si="27"/>
        <v>0</v>
      </c>
      <c r="AF223" s="127">
        <f t="shared" si="28"/>
        <v>0</v>
      </c>
    </row>
    <row r="224" ht="15.5" customHeight="1" spans="1:32">
      <c r="A224" s="23"/>
      <c r="B224" s="24"/>
      <c r="C224" s="24"/>
      <c r="D224" s="23"/>
      <c r="E224" s="24"/>
      <c r="F224" s="24"/>
      <c r="G224" s="23"/>
      <c r="H224" s="23"/>
      <c r="I224" s="121"/>
      <c r="J224" s="121"/>
      <c r="K224" s="26"/>
      <c r="L224" s="26"/>
      <c r="M224" s="26"/>
      <c r="N224" s="26"/>
      <c r="O224" s="26"/>
      <c r="P224" s="26"/>
      <c r="Q224" s="26"/>
      <c r="R224" s="23"/>
      <c r="S224" s="26"/>
      <c r="T224" s="26"/>
      <c r="U224" s="27"/>
      <c r="V224" s="122"/>
      <c r="W224" s="123">
        <f t="shared" si="22"/>
        <v>0</v>
      </c>
      <c r="X224" s="124" t="e">
        <f t="shared" si="23"/>
        <v>#DIV/0!</v>
      </c>
      <c r="Y224" s="125"/>
      <c r="Z224" s="31">
        <f t="shared" si="24"/>
        <v>0</v>
      </c>
      <c r="AA224" s="127"/>
      <c r="AB224" s="127"/>
      <c r="AC224" s="127">
        <f t="shared" si="25"/>
        <v>0</v>
      </c>
      <c r="AD224" s="128">
        <f t="shared" si="26"/>
        <v>0</v>
      </c>
      <c r="AE224" s="128">
        <f t="shared" si="27"/>
        <v>0</v>
      </c>
      <c r="AF224" s="127">
        <f t="shared" si="28"/>
        <v>0</v>
      </c>
    </row>
    <row r="225" ht="15.5" customHeight="1" spans="1:32">
      <c r="A225" s="23"/>
      <c r="B225" s="24"/>
      <c r="C225" s="24"/>
      <c r="D225" s="23"/>
      <c r="E225" s="24"/>
      <c r="F225" s="24"/>
      <c r="G225" s="23"/>
      <c r="H225" s="23"/>
      <c r="I225" s="121"/>
      <c r="J225" s="121"/>
      <c r="K225" s="26"/>
      <c r="L225" s="26"/>
      <c r="M225" s="26"/>
      <c r="N225" s="26"/>
      <c r="O225" s="26"/>
      <c r="P225" s="26"/>
      <c r="Q225" s="26"/>
      <c r="R225" s="23"/>
      <c r="S225" s="26"/>
      <c r="T225" s="26"/>
      <c r="U225" s="27"/>
      <c r="V225" s="122"/>
      <c r="W225" s="123">
        <f t="shared" si="22"/>
        <v>0</v>
      </c>
      <c r="X225" s="124" t="e">
        <f t="shared" si="23"/>
        <v>#DIV/0!</v>
      </c>
      <c r="Y225" s="125"/>
      <c r="Z225" s="31">
        <f t="shared" si="24"/>
        <v>0</v>
      </c>
      <c r="AA225" s="127"/>
      <c r="AB225" s="127"/>
      <c r="AC225" s="127">
        <f t="shared" si="25"/>
        <v>0</v>
      </c>
      <c r="AD225" s="128">
        <f t="shared" si="26"/>
        <v>0</v>
      </c>
      <c r="AE225" s="128">
        <f t="shared" si="27"/>
        <v>0</v>
      </c>
      <c r="AF225" s="127">
        <f t="shared" si="28"/>
        <v>0</v>
      </c>
    </row>
    <row r="226" ht="15.5" customHeight="1" spans="1:32">
      <c r="A226" s="23"/>
      <c r="B226" s="24"/>
      <c r="C226" s="24"/>
      <c r="D226" s="23"/>
      <c r="E226" s="24"/>
      <c r="F226" s="24"/>
      <c r="G226" s="23"/>
      <c r="H226" s="23"/>
      <c r="I226" s="121"/>
      <c r="J226" s="121"/>
      <c r="K226" s="26"/>
      <c r="L226" s="26"/>
      <c r="M226" s="26"/>
      <c r="N226" s="26"/>
      <c r="O226" s="26"/>
      <c r="P226" s="26"/>
      <c r="Q226" s="26"/>
      <c r="R226" s="23"/>
      <c r="S226" s="26"/>
      <c r="T226" s="26"/>
      <c r="U226" s="27"/>
      <c r="V226" s="122"/>
      <c r="W226" s="123">
        <f t="shared" si="22"/>
        <v>0</v>
      </c>
      <c r="X226" s="124" t="e">
        <f t="shared" si="23"/>
        <v>#DIV/0!</v>
      </c>
      <c r="Y226" s="125"/>
      <c r="Z226" s="31">
        <f t="shared" si="24"/>
        <v>0</v>
      </c>
      <c r="AA226" s="127"/>
      <c r="AB226" s="127"/>
      <c r="AC226" s="127">
        <f t="shared" si="25"/>
        <v>0</v>
      </c>
      <c r="AD226" s="128">
        <f t="shared" si="26"/>
        <v>0</v>
      </c>
      <c r="AE226" s="128">
        <f t="shared" si="27"/>
        <v>0</v>
      </c>
      <c r="AF226" s="127">
        <f t="shared" si="28"/>
        <v>0</v>
      </c>
    </row>
    <row r="227" ht="15.5" customHeight="1" spans="1:32">
      <c r="A227" s="23"/>
      <c r="B227" s="24"/>
      <c r="C227" s="24"/>
      <c r="D227" s="23"/>
      <c r="E227" s="24"/>
      <c r="F227" s="24"/>
      <c r="G227" s="23"/>
      <c r="H227" s="23"/>
      <c r="I227" s="121"/>
      <c r="J227" s="121"/>
      <c r="K227" s="26"/>
      <c r="L227" s="26"/>
      <c r="M227" s="26"/>
      <c r="N227" s="26"/>
      <c r="O227" s="26"/>
      <c r="P227" s="26"/>
      <c r="Q227" s="26"/>
      <c r="R227" s="23"/>
      <c r="S227" s="26"/>
      <c r="T227" s="26"/>
      <c r="U227" s="27"/>
      <c r="V227" s="122"/>
      <c r="W227" s="123">
        <f t="shared" si="22"/>
        <v>0</v>
      </c>
      <c r="X227" s="124" t="e">
        <f t="shared" si="23"/>
        <v>#DIV/0!</v>
      </c>
      <c r="Y227" s="125"/>
      <c r="Z227" s="31">
        <f t="shared" si="24"/>
        <v>0</v>
      </c>
      <c r="AA227" s="127"/>
      <c r="AB227" s="127"/>
      <c r="AC227" s="127">
        <f t="shared" si="25"/>
        <v>0</v>
      </c>
      <c r="AD227" s="128">
        <f t="shared" si="26"/>
        <v>0</v>
      </c>
      <c r="AE227" s="128">
        <f t="shared" si="27"/>
        <v>0</v>
      </c>
      <c r="AF227" s="127">
        <f t="shared" si="28"/>
        <v>0</v>
      </c>
    </row>
    <row r="228" ht="15.5" customHeight="1" spans="1:32">
      <c r="A228" s="23"/>
      <c r="B228" s="24"/>
      <c r="C228" s="24"/>
      <c r="D228" s="23"/>
      <c r="E228" s="24"/>
      <c r="F228" s="24"/>
      <c r="G228" s="23"/>
      <c r="H228" s="23"/>
      <c r="I228" s="121"/>
      <c r="J228" s="121"/>
      <c r="K228" s="26"/>
      <c r="L228" s="26"/>
      <c r="M228" s="26"/>
      <c r="N228" s="26"/>
      <c r="O228" s="26"/>
      <c r="P228" s="26"/>
      <c r="Q228" s="26"/>
      <c r="R228" s="23"/>
      <c r="S228" s="26"/>
      <c r="T228" s="26"/>
      <c r="U228" s="27"/>
      <c r="V228" s="122"/>
      <c r="W228" s="123">
        <f t="shared" si="22"/>
        <v>0</v>
      </c>
      <c r="X228" s="124" t="e">
        <f t="shared" si="23"/>
        <v>#DIV/0!</v>
      </c>
      <c r="Y228" s="125"/>
      <c r="Z228" s="31">
        <f t="shared" si="24"/>
        <v>0</v>
      </c>
      <c r="AA228" s="127"/>
      <c r="AB228" s="127"/>
      <c r="AC228" s="127">
        <f t="shared" si="25"/>
        <v>0</v>
      </c>
      <c r="AD228" s="128">
        <f t="shared" si="26"/>
        <v>0</v>
      </c>
      <c r="AE228" s="128">
        <f t="shared" si="27"/>
        <v>0</v>
      </c>
      <c r="AF228" s="127">
        <f t="shared" si="28"/>
        <v>0</v>
      </c>
    </row>
    <row r="229" ht="15.5" customHeight="1" spans="1:32">
      <c r="A229" s="23"/>
      <c r="B229" s="24"/>
      <c r="C229" s="67"/>
      <c r="D229" s="23"/>
      <c r="E229" s="24"/>
      <c r="F229" s="24"/>
      <c r="G229" s="23"/>
      <c r="H229" s="23"/>
      <c r="I229" s="121"/>
      <c r="J229" s="121"/>
      <c r="K229" s="26"/>
      <c r="L229" s="26"/>
      <c r="M229" s="26"/>
      <c r="N229" s="26"/>
      <c r="O229" s="26"/>
      <c r="P229" s="26"/>
      <c r="Q229" s="26"/>
      <c r="R229" s="23"/>
      <c r="S229" s="26"/>
      <c r="T229" s="26"/>
      <c r="U229" s="27"/>
      <c r="V229" s="122"/>
      <c r="W229" s="123">
        <f t="shared" si="22"/>
        <v>0</v>
      </c>
      <c r="X229" s="124" t="e">
        <f t="shared" si="23"/>
        <v>#DIV/0!</v>
      </c>
      <c r="Y229" s="125"/>
      <c r="Z229" s="31">
        <f t="shared" si="24"/>
        <v>0</v>
      </c>
      <c r="AA229" s="127"/>
      <c r="AB229" s="127"/>
      <c r="AC229" s="127">
        <f t="shared" si="25"/>
        <v>0</v>
      </c>
      <c r="AD229" s="128">
        <f t="shared" si="26"/>
        <v>0</v>
      </c>
      <c r="AE229" s="128">
        <f t="shared" si="27"/>
        <v>0</v>
      </c>
      <c r="AF229" s="127">
        <f t="shared" si="28"/>
        <v>0</v>
      </c>
    </row>
    <row r="230" ht="15.5" customHeight="1" spans="1:32">
      <c r="A230" s="23"/>
      <c r="B230" s="24"/>
      <c r="C230" s="24"/>
      <c r="D230" s="23"/>
      <c r="E230" s="24"/>
      <c r="F230" s="24"/>
      <c r="G230" s="23"/>
      <c r="H230" s="23"/>
      <c r="I230" s="121"/>
      <c r="J230" s="121"/>
      <c r="K230" s="26"/>
      <c r="L230" s="26"/>
      <c r="M230" s="26"/>
      <c r="N230" s="26"/>
      <c r="O230" s="26"/>
      <c r="P230" s="26"/>
      <c r="Q230" s="26"/>
      <c r="R230" s="23"/>
      <c r="S230" s="26"/>
      <c r="T230" s="26"/>
      <c r="U230" s="27"/>
      <c r="V230" s="122"/>
      <c r="W230" s="123">
        <f t="shared" si="22"/>
        <v>0</v>
      </c>
      <c r="X230" s="124" t="e">
        <f t="shared" si="23"/>
        <v>#DIV/0!</v>
      </c>
      <c r="Y230" s="125"/>
      <c r="Z230" s="31">
        <f t="shared" si="24"/>
        <v>0</v>
      </c>
      <c r="AA230" s="127"/>
      <c r="AB230" s="127"/>
      <c r="AC230" s="127">
        <f t="shared" si="25"/>
        <v>0</v>
      </c>
      <c r="AD230" s="128">
        <f t="shared" si="26"/>
        <v>0</v>
      </c>
      <c r="AE230" s="128">
        <f t="shared" si="27"/>
        <v>0</v>
      </c>
      <c r="AF230" s="127">
        <f t="shared" si="28"/>
        <v>0</v>
      </c>
    </row>
    <row r="231" ht="15.5" customHeight="1" spans="1:32">
      <c r="A231" s="23"/>
      <c r="B231" s="24"/>
      <c r="C231" s="24"/>
      <c r="D231" s="23"/>
      <c r="E231" s="24"/>
      <c r="F231" s="24"/>
      <c r="G231" s="23"/>
      <c r="H231" s="23"/>
      <c r="I231" s="121"/>
      <c r="J231" s="121"/>
      <c r="K231" s="26"/>
      <c r="L231" s="26"/>
      <c r="M231" s="26"/>
      <c r="N231" s="26"/>
      <c r="O231" s="26"/>
      <c r="P231" s="26"/>
      <c r="Q231" s="26"/>
      <c r="R231" s="23"/>
      <c r="S231" s="26"/>
      <c r="T231" s="26"/>
      <c r="U231" s="27"/>
      <c r="V231" s="122"/>
      <c r="W231" s="123">
        <f t="shared" si="22"/>
        <v>0</v>
      </c>
      <c r="X231" s="124" t="e">
        <f t="shared" si="23"/>
        <v>#DIV/0!</v>
      </c>
      <c r="Y231" s="125"/>
      <c r="Z231" s="31">
        <f t="shared" si="24"/>
        <v>0</v>
      </c>
      <c r="AA231" s="127"/>
      <c r="AB231" s="127"/>
      <c r="AC231" s="127">
        <f t="shared" si="25"/>
        <v>0</v>
      </c>
      <c r="AD231" s="128">
        <f t="shared" si="26"/>
        <v>0</v>
      </c>
      <c r="AE231" s="128">
        <f t="shared" si="27"/>
        <v>0</v>
      </c>
      <c r="AF231" s="127">
        <f t="shared" si="28"/>
        <v>0</v>
      </c>
    </row>
    <row r="232" ht="15.5" customHeight="1" spans="1:32">
      <c r="A232" s="23"/>
      <c r="B232" s="24"/>
      <c r="C232" s="67"/>
      <c r="D232" s="23"/>
      <c r="E232" s="24"/>
      <c r="F232" s="24"/>
      <c r="G232" s="23"/>
      <c r="H232" s="23"/>
      <c r="I232" s="121"/>
      <c r="J232" s="121"/>
      <c r="K232" s="26"/>
      <c r="L232" s="26"/>
      <c r="M232" s="26"/>
      <c r="N232" s="26"/>
      <c r="O232" s="26"/>
      <c r="P232" s="26"/>
      <c r="Q232" s="26"/>
      <c r="R232" s="23"/>
      <c r="S232" s="26"/>
      <c r="T232" s="26"/>
      <c r="U232" s="27"/>
      <c r="V232" s="122"/>
      <c r="W232" s="123">
        <f t="shared" si="22"/>
        <v>0</v>
      </c>
      <c r="X232" s="124" t="e">
        <f t="shared" si="23"/>
        <v>#DIV/0!</v>
      </c>
      <c r="Y232" s="125"/>
      <c r="Z232" s="31">
        <f t="shared" si="24"/>
        <v>0</v>
      </c>
      <c r="AA232" s="127"/>
      <c r="AB232" s="127"/>
      <c r="AC232" s="127">
        <f t="shared" si="25"/>
        <v>0</v>
      </c>
      <c r="AD232" s="128">
        <f t="shared" si="26"/>
        <v>0</v>
      </c>
      <c r="AE232" s="128">
        <f t="shared" si="27"/>
        <v>0</v>
      </c>
      <c r="AF232" s="127">
        <f t="shared" si="28"/>
        <v>0</v>
      </c>
    </row>
    <row r="233" ht="15.5" customHeight="1" spans="1:32">
      <c r="A233" s="23"/>
      <c r="B233" s="24"/>
      <c r="C233" s="24"/>
      <c r="D233" s="23"/>
      <c r="E233" s="103"/>
      <c r="F233" s="27"/>
      <c r="G233" s="23"/>
      <c r="H233" s="23"/>
      <c r="I233" s="121"/>
      <c r="J233" s="121"/>
      <c r="K233" s="26"/>
      <c r="L233" s="26"/>
      <c r="M233" s="26"/>
      <c r="N233" s="26"/>
      <c r="O233" s="26"/>
      <c r="P233" s="26"/>
      <c r="Q233" s="26"/>
      <c r="R233" s="23"/>
      <c r="S233" s="26"/>
      <c r="T233" s="26"/>
      <c r="U233" s="27"/>
    </row>
    <row r="234" ht="15.5" customHeight="1" spans="1:32">
      <c r="A234" s="23" t="s">
        <v>319</v>
      </c>
      <c r="B234" s="32"/>
      <c r="C234" s="28"/>
      <c r="D234" s="23"/>
      <c r="E234" s="104"/>
      <c r="F234" s="23"/>
      <c r="G234" s="23"/>
      <c r="H234" s="23"/>
      <c r="I234" s="25"/>
      <c r="J234" s="25"/>
      <c r="K234" s="26">
        <f>SUM(K7:K233)</f>
        <v>0</v>
      </c>
      <c r="L234" s="26">
        <f>SUM(L7:L233)</f>
        <v>0</v>
      </c>
      <c r="M234" s="26"/>
      <c r="N234" s="26"/>
      <c r="O234" s="26">
        <f>SUM(O7:O233)</f>
        <v>0</v>
      </c>
      <c r="P234" s="26">
        <f>SUM(P7:P233)</f>
        <v>0</v>
      </c>
      <c r="Q234" s="26">
        <f>SUM(Q7:Q233)</f>
        <v>0</v>
      </c>
      <c r="R234" s="23"/>
      <c r="S234" s="26">
        <f>SUM(S7:S233)</f>
        <v>0</v>
      </c>
      <c r="T234" s="26" t="str">
        <f>IF(P234=0,"",(S234-P234)/P234*100)</f>
        <v/>
      </c>
      <c r="U234" s="27"/>
    </row>
    <row r="235" ht="15.5" customHeight="1" spans="1:32">
      <c r="A235" s="29" t="str">
        <f>封面!D11&amp;封面!G11</f>
        <v>被评估单位填表人：</v>
      </c>
      <c r="O235" s="29" t="str">
        <f>"评估人员："&amp;封面!G26</f>
        <v>评估人员：</v>
      </c>
    </row>
    <row r="236" ht="15.5" customHeight="1" spans="1:32">
      <c r="A236" s="29" t="str">
        <f>CONCATENATE(封面!D13,封面!F13,封面!G13,封面!H13,封面!I13,封面!J13,封面!K13)</f>
        <v>填表日期：年月日</v>
      </c>
    </row>
  </sheetData>
  <mergeCells count="26">
    <mergeCell ref="A2:U2"/>
    <mergeCell ref="A3:U3"/>
    <mergeCell ref="K5:L5"/>
    <mergeCell ref="M5:N5"/>
    <mergeCell ref="O5:P5"/>
    <mergeCell ref="Q5:S5"/>
    <mergeCell ref="A234:C234"/>
    <mergeCell ref="A5:A6"/>
    <mergeCell ref="B5:B6"/>
    <mergeCell ref="C5:C6"/>
    <mergeCell ref="D5:D6"/>
    <mergeCell ref="F5:F6"/>
    <mergeCell ref="G5:G6"/>
    <mergeCell ref="H5:H6"/>
    <mergeCell ref="I5:I6"/>
    <mergeCell ref="J5:J6"/>
    <mergeCell ref="T5:T6"/>
    <mergeCell ref="U5:U6"/>
    <mergeCell ref="W5:W6"/>
    <mergeCell ref="X5:X6"/>
    <mergeCell ref="Y5:Y6"/>
    <mergeCell ref="Z5:Z6"/>
    <mergeCell ref="AC5:AC6"/>
    <mergeCell ref="AD5:AD6"/>
    <mergeCell ref="AE5:AE6"/>
    <mergeCell ref="AF5:AF6"/>
  </mergeCells>
  <hyperlinks>
    <hyperlink ref="A1" location="索引目录!E38" display="返回索引页"/>
    <hyperlink ref="B1" location="固定资产汇总!B12" display="返回"/>
    <hyperlink ref="AG7" r:id="rId3" display="https://b2b.baidu.com/land?url=https%3A%2F%2Fwww.912688.com%2Fsupply%2F339710698.html%3Fbdb2b8a2d%3D2439046228181354518&amp;query=%E5%9B%9B%E6%9F%B1%E8%A3%81%E5%88%87%E6%9C%BAXclp3&amp;category=%E6%9C%BA%E6%A2%B0%E5%B7%A5%E4%B8%9A%3B%E7%9A%AE%E9%9D%A9%E5%8A%A0%E5%B7%A5%E8%AE%BE%E5%A4%87%3B%E8%A3%81%E6%96%AD%E6%9C%BA" tooltip="https://b2b.baidu.com/land?url=https%3A%2F%2Fwww.912688.com%2Fsupply%2F339710698.html%3Fbdb2b8a2d%3D2439046228181354518&amp;query=%E5%9B%9B%E6%9F%B1%E8%A3%81%E5%88%87%E6%9C%BAXclp3&amp;category=%E6%9C%BA%E6%A2%B0%E5%B7%A5%E4%B8%9A%3B%E7%9A%AE%E9%9D%A9%E5%8A%A0%E5"/>
    <hyperlink ref="AG8" r:id="rId4" display="https://b2b.baidu.com/land?url=https%3A%2F%2Fwww.china.cn%2Frongjieji%2F3740659375.html%3Fbdb2b8a2d%3D2438987942149274047&amp;query=高周波油压机8kw&amp;category=机械工业%3B电子产品制造设备%3B熔接机"/>
    <hyperlink ref="AG9" r:id="rId5" display="https://b2b.baidu.com/land?url=https%3A%2F%2Fwww.912688.com%2Fsupply%2F104657120.html%3Fbdb2b8a2d%3D2438915230767428949&amp;query=%E7%94%B5%E8%84%91%E8%8A%B1%E6%A0%B7%E6%9C%BA&amp;category=%E6%9C%BA%E6%A2%B0%E5%B7%A5%E4%B8%9A%3B%E6%9C%8D%E8%A3%85%E6%9C%BA%E6%A2%B0%E8%AE%BE%E5%A4%87%3B%E7%BC%9D%E4%B8%AD%E8%AE%BE%E5%A4%87" tooltip="https://b2b.baidu.com/land?url=https%3A%2F%2Fwww.912688.com%2Fsupply%2F104657120.html%3Fbdb2b8a2d%3D2438915230767428949&amp;query=%E7%94%B5%E8%84%91%E8%8A%B1%E6%A0%B7%E6%9C%BA&amp;category=%E6%9C%BA%E6%A2%B0%E5%B7%A5%E4%B8%9A%3B%E6%9C%8D%E8%A3%85%E6%9C%BA%E6%A2%B"/>
    <hyperlink ref="AG10" r:id="rId6" display="https://detail.1688.com/offer/609784199942.html?spm=a261b.2187593.1998088710.31.6dd25256uj9vDD"/>
    <hyperlink ref="AG11" r:id="rId7" display="https://detail.1688.com/offer/533989812836.html?spm=a261b.2187593.1998088710.1.7fed147csppu9q&amp;tracelog=p4p&amp;clickid=e1b987a899564175a53991eb3d153598&amp;sessionid=c37e2129882030ed537098fd0c9482d8"/>
  </hyperlinks>
  <printOptions horizontalCentered="1"/>
  <pageMargins left="0.354330708661417" right="0.354330708661417" top="0.78740157480315" bottom="0.78740157480315" header="1.03" footer="0.511811023622047"/>
  <pageSetup paperSize="9" scale="99" fitToHeight="0" orientation="landscape"/>
  <headerFooter alignWithMargins="0">
    <oddHeader>&amp;R&amp;"宋体,常规"共&amp;"Times New Roman,常规"&amp;N&amp;"宋体,常规"页第&amp;"Times New Roman,常规"&amp;P&amp;"宋体,常规"4-6-4
页</oddHeader>
  </headerFooter>
  <legacyDrawing r:id="rId2"/>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2"/>
  <dimension ref="A1:AI29"/>
  <sheetViews>
    <sheetView view="pageBreakPreview" zoomScaleNormal="100" workbookViewId="0">
      <selection activeCell="G451" sqref="G451"/>
    </sheetView>
  </sheetViews>
  <sheetFormatPr defaultColWidth="9" defaultRowHeight="15.75" customHeight="1"/>
  <cols>
    <col min="1" max="1" width="4.25" style="13" customWidth="1"/>
    <col min="2" max="2" width="8" style="13" customWidth="1"/>
    <col min="3" max="3" width="14.8333333333333" style="13" customWidth="1"/>
    <col min="4" max="4" width="8" style="13" hidden="1" customWidth="1" outlineLevel="1"/>
    <col min="5" max="5" width="7.33333333333333" style="13" customWidth="1" collapsed="1"/>
    <col min="6" max="7" width="4.33333333333333" style="13" customWidth="1"/>
    <col min="8" max="8" width="7.83333333333333" style="13" customWidth="1"/>
    <col min="9" max="9" width="8.25" style="13" customWidth="1"/>
    <col min="10" max="10" width="7.58333333333333" style="13" customWidth="1"/>
    <col min="11" max="14" width="11" style="13" hidden="1" customWidth="1" outlineLevel="1"/>
    <col min="15" max="15" width="8.5" style="13" customWidth="1" collapsed="1"/>
    <col min="16" max="16" width="9.16666666666667" style="13" customWidth="1"/>
    <col min="17" max="17" width="9.08333333333333" style="13" customWidth="1"/>
    <col min="18" max="18" width="7.33333333333333" style="13" customWidth="1"/>
    <col min="19" max="19" width="8.5" style="13" customWidth="1"/>
    <col min="20" max="20" width="6.83333333333333" style="13" customWidth="1"/>
    <col min="21" max="21" width="5.5" style="13" customWidth="1"/>
    <col min="22" max="22" width="13.0833333333333" style="13" hidden="1" customWidth="1" outlineLevel="1"/>
    <col min="23" max="23" width="9.91666666666667" style="13" customWidth="1" collapsed="1"/>
    <col min="24" max="26" width="9" style="13" customWidth="1"/>
    <col min="27" max="27" width="9.83333333333333" style="13" customWidth="1"/>
    <col min="28" max="28" width="9.41666666666667" style="13" customWidth="1"/>
    <col min="29" max="29" width="9.83333333333333" style="13" customWidth="1"/>
    <col min="30" max="30" width="16.9166666666667" style="13" customWidth="1"/>
    <col min="31" max="16384" width="9" style="13" customWidth="1"/>
  </cols>
  <sheetData>
    <row r="1" ht="15.5" customHeight="1" spans="1:35">
      <c r="A1" s="51" t="s">
        <v>111</v>
      </c>
      <c r="B1" s="52" t="s">
        <v>210</v>
      </c>
      <c r="C1" s="16"/>
      <c r="D1" s="16"/>
      <c r="E1" s="16"/>
      <c r="F1" s="16"/>
      <c r="G1" s="16"/>
      <c r="H1" s="16"/>
      <c r="I1" s="16"/>
      <c r="J1" s="16"/>
      <c r="K1" s="16"/>
      <c r="L1" s="16"/>
      <c r="M1" s="16"/>
      <c r="N1" s="16"/>
      <c r="O1" s="16"/>
      <c r="P1" s="16"/>
      <c r="Q1" s="16"/>
      <c r="R1" s="16"/>
      <c r="S1" s="16"/>
      <c r="T1" s="16"/>
      <c r="U1" s="16"/>
    </row>
    <row r="2" s="11" customFormat="1" ht="30" customHeight="1" spans="1:35">
      <c r="A2" s="53" t="s">
        <v>574</v>
      </c>
    </row>
    <row r="3" ht="14.15" customHeight="1" spans="1:35">
      <c r="A3" s="18" t="str">
        <f>CONCATENATE(封面!D9,封面!F9,封面!G9,封面!H9,封面!I9,封面!J9,封面!K9)</f>
        <v>评估基准日：年月日</v>
      </c>
    </row>
    <row r="4" ht="15.5" customHeight="1" spans="1:35">
      <c r="A4" s="19" t="str">
        <f>封面!D7&amp;封面!F7</f>
        <v>被评估单位：</v>
      </c>
      <c r="U4" s="54" t="s">
        <v>139</v>
      </c>
      <c r="V4" s="135"/>
    </row>
    <row r="5" s="12" customFormat="1" ht="13" customHeight="1" spans="1:35">
      <c r="A5" s="23" t="s">
        <v>141</v>
      </c>
      <c r="B5" s="23" t="s">
        <v>575</v>
      </c>
      <c r="C5" s="55" t="s">
        <v>576</v>
      </c>
      <c r="D5" s="136" t="s">
        <v>499</v>
      </c>
      <c r="E5" s="55" t="s">
        <v>556</v>
      </c>
      <c r="F5" s="55" t="s">
        <v>367</v>
      </c>
      <c r="G5" s="55" t="s">
        <v>368</v>
      </c>
      <c r="H5" s="55" t="s">
        <v>557</v>
      </c>
      <c r="I5" s="55" t="s">
        <v>399</v>
      </c>
      <c r="J5" s="55" t="s">
        <v>577</v>
      </c>
      <c r="K5" s="102" t="s">
        <v>175</v>
      </c>
      <c r="L5" s="28"/>
      <c r="M5" s="102" t="s">
        <v>281</v>
      </c>
      <c r="N5" s="28"/>
      <c r="O5" s="23" t="s">
        <v>176</v>
      </c>
      <c r="P5" s="28"/>
      <c r="Q5" s="23" t="s">
        <v>177</v>
      </c>
      <c r="R5" s="32"/>
      <c r="S5" s="28"/>
      <c r="T5" s="55" t="s">
        <v>215</v>
      </c>
      <c r="U5" s="55" t="s">
        <v>144</v>
      </c>
      <c r="W5" s="137" t="s">
        <v>578</v>
      </c>
      <c r="X5" s="137" t="s">
        <v>579</v>
      </c>
      <c r="Y5" s="137" t="s">
        <v>580</v>
      </c>
      <c r="Z5" s="137" t="s">
        <v>581</v>
      </c>
      <c r="AA5" s="137" t="s">
        <v>582</v>
      </c>
      <c r="AB5" s="137" t="s">
        <v>583</v>
      </c>
      <c r="AC5" s="137" t="s">
        <v>562</v>
      </c>
      <c r="AD5" s="137" t="s">
        <v>584</v>
      </c>
      <c r="AE5" s="137" t="s">
        <v>585</v>
      </c>
      <c r="AF5" s="137" t="s">
        <v>586</v>
      </c>
      <c r="AG5" s="137" t="s">
        <v>587</v>
      </c>
    </row>
    <row r="6" s="12" customFormat="1" ht="13" customHeight="1" spans="1:35">
      <c r="A6" s="36"/>
      <c r="B6" s="36"/>
      <c r="C6" s="36"/>
      <c r="D6" s="36"/>
      <c r="E6" s="36"/>
      <c r="F6" s="36"/>
      <c r="G6" s="36"/>
      <c r="H6" s="36"/>
      <c r="I6" s="36"/>
      <c r="J6" s="36"/>
      <c r="K6" s="23" t="s">
        <v>465</v>
      </c>
      <c r="L6" s="23" t="s">
        <v>466</v>
      </c>
      <c r="M6" s="23" t="s">
        <v>465</v>
      </c>
      <c r="N6" s="23" t="s">
        <v>466</v>
      </c>
      <c r="O6" s="23" t="s">
        <v>465</v>
      </c>
      <c r="P6" s="23" t="s">
        <v>466</v>
      </c>
      <c r="Q6" s="23" t="s">
        <v>465</v>
      </c>
      <c r="R6" s="23" t="s">
        <v>401</v>
      </c>
      <c r="S6" s="23" t="s">
        <v>466</v>
      </c>
      <c r="T6" s="36"/>
      <c r="U6" s="36"/>
      <c r="W6" s="36"/>
      <c r="X6" s="36"/>
      <c r="Y6" s="36"/>
      <c r="Z6" s="36"/>
      <c r="AA6" s="36"/>
      <c r="AB6" s="36"/>
      <c r="AC6" s="36"/>
      <c r="AD6" s="36"/>
      <c r="AE6" s="36"/>
      <c r="AF6" s="36"/>
      <c r="AG6" s="36"/>
    </row>
    <row r="7" ht="15.5" customHeight="1" spans="1:35">
      <c r="A7" s="63">
        <v>1</v>
      </c>
      <c r="B7" s="63"/>
      <c r="C7" s="56"/>
      <c r="D7" s="138"/>
      <c r="E7" s="56"/>
      <c r="F7" s="23"/>
      <c r="G7" s="23"/>
      <c r="H7" s="25"/>
      <c r="I7" s="25"/>
      <c r="J7" s="38"/>
      <c r="K7" s="26"/>
      <c r="L7" s="26"/>
      <c r="M7" s="26"/>
      <c r="N7" s="26"/>
      <c r="O7" s="26"/>
      <c r="P7" s="26"/>
      <c r="Q7" s="26"/>
      <c r="R7" s="23"/>
      <c r="S7" s="26">
        <f>ROUND(Q7*R7/100,-2)</f>
        <v>0</v>
      </c>
      <c r="T7" s="26" t="str">
        <f t="shared" ref="T7:T25" si="0">IF(P7=0,"",(S7-P7)/P7*100)</f>
        <v/>
      </c>
      <c r="U7" s="27"/>
      <c r="W7" s="139"/>
      <c r="X7" s="139">
        <f>J7</f>
        <v>0</v>
      </c>
      <c r="Y7" s="140" t="e">
        <f>(W7-X7)/W7</f>
        <v>#DIV/0!</v>
      </c>
      <c r="Z7" s="140" t="e">
        <f>Y7-0.1</f>
        <v>#DIV/0!</v>
      </c>
      <c r="AA7" s="124" t="e">
        <f>(Y7*0.6+Z7*0.4)</f>
        <v>#DIV/0!</v>
      </c>
      <c r="AB7" s="141"/>
      <c r="AC7" s="141">
        <f>AB7*0.13/(1+0.13)</f>
        <v>0</v>
      </c>
      <c r="AD7" s="139">
        <f>AB7/1.13</f>
        <v>0</v>
      </c>
      <c r="AE7" s="139">
        <f>AD7*10%</f>
        <v>0</v>
      </c>
      <c r="AF7" s="139"/>
      <c r="AG7" s="139">
        <f>ROUND(AD7+AE7+AF7,-2)</f>
        <v>0</v>
      </c>
      <c r="AH7" s="130" t="s">
        <v>588</v>
      </c>
      <c r="AI7" s="130"/>
    </row>
    <row r="8" ht="15.5" customHeight="1" spans="1:35">
      <c r="A8" s="63"/>
      <c r="B8" s="63"/>
      <c r="C8" s="56"/>
      <c r="D8" s="138"/>
      <c r="E8" s="56"/>
      <c r="F8" s="23"/>
      <c r="G8" s="23"/>
      <c r="H8" s="25"/>
      <c r="I8" s="25"/>
      <c r="J8" s="38"/>
      <c r="K8" s="26"/>
      <c r="L8" s="26"/>
      <c r="M8" s="26"/>
      <c r="N8" s="26"/>
      <c r="O8" s="26"/>
      <c r="P8" s="26"/>
      <c r="Q8" s="26"/>
      <c r="R8" s="23"/>
      <c r="S8" s="26"/>
      <c r="T8" s="26" t="str">
        <f t="shared" si="0"/>
        <v/>
      </c>
      <c r="U8" s="27"/>
      <c r="V8" s="139"/>
      <c r="W8" s="139"/>
      <c r="X8" s="140"/>
      <c r="Y8" s="140"/>
      <c r="Z8" s="124"/>
      <c r="AA8" s="141"/>
      <c r="AB8" s="141"/>
      <c r="AC8" s="139"/>
      <c r="AD8" s="139"/>
      <c r="AE8" s="139"/>
      <c r="AF8" s="139"/>
      <c r="AG8" s="142"/>
      <c r="AH8" s="131"/>
      <c r="AI8" s="130"/>
    </row>
    <row r="9" ht="15.5" customHeight="1" spans="1:35">
      <c r="A9" s="63"/>
      <c r="B9" s="63"/>
      <c r="C9" s="56"/>
      <c r="D9" s="138"/>
      <c r="E9" s="56"/>
      <c r="F9" s="23"/>
      <c r="G9" s="23"/>
      <c r="H9" s="25"/>
      <c r="I9" s="25"/>
      <c r="J9" s="38"/>
      <c r="K9" s="26"/>
      <c r="L9" s="26"/>
      <c r="M9" s="26"/>
      <c r="N9" s="26"/>
      <c r="O9" s="26"/>
      <c r="P9" s="26"/>
      <c r="Q9" s="26"/>
      <c r="R9" s="23"/>
      <c r="S9" s="26"/>
      <c r="T9" s="26" t="str">
        <f t="shared" si="0"/>
        <v/>
      </c>
      <c r="U9" s="27"/>
      <c r="V9" s="139"/>
      <c r="W9" s="139"/>
      <c r="X9" s="140"/>
      <c r="Y9" s="140"/>
      <c r="Z9" s="124"/>
      <c r="AA9" s="141"/>
      <c r="AB9" s="141"/>
      <c r="AC9" s="139"/>
      <c r="AD9" s="139"/>
      <c r="AE9" s="139"/>
      <c r="AF9" s="139"/>
      <c r="AG9" s="142"/>
      <c r="AH9" s="131"/>
      <c r="AI9" s="131"/>
    </row>
    <row r="10" ht="15.5" customHeight="1" spans="1:35">
      <c r="A10" s="63"/>
      <c r="B10" s="63"/>
      <c r="C10" s="56"/>
      <c r="D10" s="138"/>
      <c r="E10" s="56"/>
      <c r="F10" s="23"/>
      <c r="G10" s="23"/>
      <c r="H10" s="25"/>
      <c r="I10" s="25"/>
      <c r="J10" s="38"/>
      <c r="K10" s="26"/>
      <c r="L10" s="26"/>
      <c r="M10" s="26"/>
      <c r="N10" s="26"/>
      <c r="O10" s="26"/>
      <c r="P10" s="26"/>
      <c r="Q10" s="26"/>
      <c r="R10" s="23"/>
      <c r="S10" s="26"/>
      <c r="T10" s="26" t="str">
        <f t="shared" si="0"/>
        <v/>
      </c>
      <c r="U10" s="27"/>
      <c r="V10" s="139"/>
      <c r="W10" s="139"/>
      <c r="X10" s="140"/>
      <c r="Y10" s="140"/>
      <c r="Z10" s="124"/>
      <c r="AA10" s="141"/>
      <c r="AB10" s="141"/>
      <c r="AC10" s="139"/>
      <c r="AD10" s="139"/>
      <c r="AE10" s="139"/>
      <c r="AF10" s="139"/>
      <c r="AG10" s="142"/>
      <c r="AH10" s="131"/>
      <c r="AI10" s="130"/>
    </row>
    <row r="11" ht="15.5" customHeight="1" spans="1:35">
      <c r="A11" s="63"/>
      <c r="B11" s="63"/>
      <c r="C11" s="56"/>
      <c r="D11" s="138"/>
      <c r="E11" s="56"/>
      <c r="F11" s="23"/>
      <c r="G11" s="23"/>
      <c r="H11" s="25"/>
      <c r="I11" s="25"/>
      <c r="J11" s="38"/>
      <c r="K11" s="26"/>
      <c r="L11" s="26"/>
      <c r="M11" s="26"/>
      <c r="N11" s="26"/>
      <c r="O11" s="26"/>
      <c r="P11" s="26"/>
      <c r="Q11" s="26"/>
      <c r="R11" s="23"/>
      <c r="S11" s="26"/>
      <c r="T11" s="26" t="str">
        <f t="shared" si="0"/>
        <v/>
      </c>
      <c r="U11" s="27"/>
      <c r="V11" s="139"/>
      <c r="W11" s="139"/>
      <c r="X11" s="140"/>
      <c r="Y11" s="140"/>
      <c r="Z11" s="124"/>
      <c r="AA11" s="141"/>
      <c r="AB11" s="141"/>
      <c r="AC11" s="139"/>
      <c r="AD11" s="139"/>
      <c r="AE11" s="139"/>
      <c r="AF11" s="139"/>
      <c r="AG11" s="142"/>
      <c r="AH11" s="131"/>
      <c r="AI11" s="131"/>
    </row>
    <row r="12" ht="15.5" customHeight="1" spans="1:35">
      <c r="A12" s="63"/>
      <c r="B12" s="63"/>
      <c r="C12" s="56"/>
      <c r="D12" s="138"/>
      <c r="E12" s="56"/>
      <c r="F12" s="23"/>
      <c r="G12" s="23"/>
      <c r="H12" s="25"/>
      <c r="I12" s="25"/>
      <c r="J12" s="38"/>
      <c r="K12" s="26"/>
      <c r="L12" s="26"/>
      <c r="M12" s="26"/>
      <c r="N12" s="26"/>
      <c r="O12" s="26"/>
      <c r="P12" s="26"/>
      <c r="Q12" s="26"/>
      <c r="R12" s="23"/>
      <c r="S12" s="26"/>
      <c r="T12" s="26" t="str">
        <f t="shared" si="0"/>
        <v/>
      </c>
      <c r="U12" s="27"/>
      <c r="V12" s="139"/>
      <c r="W12" s="139"/>
      <c r="X12" s="140"/>
      <c r="Y12" s="140"/>
      <c r="Z12" s="124"/>
      <c r="AA12" s="141"/>
      <c r="AB12" s="141"/>
      <c r="AC12" s="139"/>
      <c r="AD12" s="139"/>
      <c r="AE12" s="139"/>
      <c r="AF12" s="139"/>
      <c r="AG12" s="142"/>
      <c r="AH12" s="131"/>
      <c r="AI12" s="130"/>
    </row>
    <row r="13" ht="15.5" customHeight="1" spans="1:35">
      <c r="A13" s="63"/>
      <c r="B13" s="63"/>
      <c r="C13" s="56"/>
      <c r="D13" s="138"/>
      <c r="E13" s="56"/>
      <c r="F13" s="23"/>
      <c r="G13" s="23"/>
      <c r="H13" s="25"/>
      <c r="I13" s="25"/>
      <c r="J13" s="38"/>
      <c r="K13" s="26"/>
      <c r="L13" s="26"/>
      <c r="M13" s="26"/>
      <c r="N13" s="26"/>
      <c r="O13" s="26"/>
      <c r="P13" s="26"/>
      <c r="Q13" s="26"/>
      <c r="R13" s="23"/>
      <c r="S13" s="26"/>
      <c r="T13" s="26" t="str">
        <f t="shared" si="0"/>
        <v/>
      </c>
      <c r="U13" s="27"/>
      <c r="V13" s="139"/>
      <c r="W13" s="139"/>
      <c r="X13" s="140"/>
      <c r="Y13" s="140"/>
      <c r="Z13" s="124"/>
      <c r="AA13" s="141"/>
      <c r="AB13" s="141"/>
      <c r="AC13" s="139"/>
      <c r="AD13" s="139"/>
      <c r="AE13" s="139"/>
      <c r="AF13" s="139"/>
      <c r="AG13" s="142"/>
    </row>
    <row r="14" ht="15.5" customHeight="1" spans="1:35">
      <c r="A14" s="63"/>
      <c r="B14" s="63"/>
      <c r="C14" s="56"/>
      <c r="D14" s="138"/>
      <c r="E14" s="56"/>
      <c r="F14" s="23"/>
      <c r="G14" s="23"/>
      <c r="H14" s="25"/>
      <c r="I14" s="25"/>
      <c r="J14" s="38"/>
      <c r="K14" s="26"/>
      <c r="L14" s="26"/>
      <c r="M14" s="26"/>
      <c r="N14" s="26"/>
      <c r="O14" s="26"/>
      <c r="P14" s="26"/>
      <c r="Q14" s="26"/>
      <c r="R14" s="23"/>
      <c r="S14" s="26"/>
      <c r="T14" s="26" t="str">
        <f t="shared" si="0"/>
        <v/>
      </c>
      <c r="U14" s="27"/>
      <c r="V14" s="139"/>
      <c r="W14" s="139"/>
      <c r="X14" s="140"/>
      <c r="Y14" s="140"/>
      <c r="Z14" s="124"/>
      <c r="AA14" s="141"/>
      <c r="AB14" s="141"/>
      <c r="AC14" s="139"/>
      <c r="AD14" s="139"/>
      <c r="AE14" s="139"/>
      <c r="AF14" s="139"/>
      <c r="AG14" s="142"/>
      <c r="AH14" s="131"/>
    </row>
    <row r="15" ht="15.5" customHeight="1" spans="1:35">
      <c r="A15" s="63"/>
      <c r="B15" s="63"/>
      <c r="C15" s="56"/>
      <c r="D15" s="138"/>
      <c r="E15" s="56"/>
      <c r="F15" s="23"/>
      <c r="G15" s="23"/>
      <c r="H15" s="25"/>
      <c r="I15" s="25"/>
      <c r="J15" s="38"/>
      <c r="K15" s="26"/>
      <c r="L15" s="26"/>
      <c r="M15" s="26"/>
      <c r="N15" s="26"/>
      <c r="O15" s="26"/>
      <c r="P15" s="26"/>
      <c r="Q15" s="26"/>
      <c r="R15" s="23"/>
      <c r="S15" s="26"/>
      <c r="T15" s="26" t="str">
        <f t="shared" si="0"/>
        <v/>
      </c>
      <c r="U15" s="27"/>
      <c r="V15" s="139"/>
      <c r="W15" s="139"/>
      <c r="X15" s="140"/>
      <c r="Y15" s="140"/>
      <c r="Z15" s="124"/>
      <c r="AA15" s="141"/>
      <c r="AB15" s="141"/>
      <c r="AC15" s="139"/>
      <c r="AD15" s="139"/>
      <c r="AE15" s="139"/>
      <c r="AF15" s="139"/>
      <c r="AG15" s="142"/>
      <c r="AH15" s="131"/>
    </row>
    <row r="16" ht="15.5" customHeight="1" spans="1:35">
      <c r="A16" s="63"/>
      <c r="B16" s="63"/>
      <c r="C16" s="56"/>
      <c r="D16" s="138"/>
      <c r="E16" s="56"/>
      <c r="F16" s="23"/>
      <c r="G16" s="23"/>
      <c r="H16" s="25"/>
      <c r="I16" s="25"/>
      <c r="J16" s="38"/>
      <c r="K16" s="26"/>
      <c r="L16" s="26"/>
      <c r="M16" s="26"/>
      <c r="N16" s="26"/>
      <c r="O16" s="26"/>
      <c r="P16" s="26"/>
      <c r="Q16" s="26"/>
      <c r="R16" s="23"/>
      <c r="S16" s="26"/>
      <c r="T16" s="26" t="str">
        <f t="shared" si="0"/>
        <v/>
      </c>
      <c r="U16" s="27"/>
      <c r="V16" s="139"/>
      <c r="W16" s="139"/>
      <c r="X16" s="140"/>
      <c r="Y16" s="140"/>
      <c r="Z16" s="124"/>
      <c r="AA16" s="141"/>
      <c r="AB16" s="141"/>
      <c r="AC16" s="139"/>
      <c r="AD16" s="139"/>
      <c r="AE16" s="139"/>
      <c r="AF16" s="139"/>
      <c r="AG16" s="142"/>
      <c r="AH16" s="131"/>
    </row>
    <row r="17" ht="15.5" customHeight="1" spans="1:34">
      <c r="A17" s="63"/>
      <c r="B17" s="63"/>
      <c r="C17" s="56"/>
      <c r="D17" s="138"/>
      <c r="E17" s="56"/>
      <c r="F17" s="23"/>
      <c r="G17" s="23"/>
      <c r="H17" s="25"/>
      <c r="I17" s="25"/>
      <c r="J17" s="38"/>
      <c r="K17" s="26"/>
      <c r="L17" s="26"/>
      <c r="M17" s="26"/>
      <c r="N17" s="26"/>
      <c r="O17" s="26"/>
      <c r="P17" s="26"/>
      <c r="Q17" s="26"/>
      <c r="R17" s="23"/>
      <c r="S17" s="26"/>
      <c r="T17" s="26" t="str">
        <f t="shared" si="0"/>
        <v/>
      </c>
      <c r="U17" s="27"/>
      <c r="V17" s="139"/>
      <c r="W17" s="139"/>
      <c r="X17" s="140"/>
      <c r="Y17" s="140"/>
      <c r="Z17" s="124"/>
      <c r="AA17" s="141"/>
      <c r="AB17" s="141"/>
      <c r="AC17" s="139"/>
      <c r="AD17" s="139"/>
      <c r="AE17" s="139"/>
      <c r="AF17" s="139"/>
      <c r="AG17" s="142"/>
      <c r="AH17" s="131"/>
    </row>
    <row r="18" ht="15.5" customHeight="1" spans="1:34">
      <c r="A18" s="63"/>
      <c r="B18" s="63"/>
      <c r="C18" s="56"/>
      <c r="D18" s="138"/>
      <c r="E18" s="56"/>
      <c r="F18" s="23"/>
      <c r="G18" s="23"/>
      <c r="H18" s="25"/>
      <c r="I18" s="25"/>
      <c r="J18" s="38"/>
      <c r="K18" s="26"/>
      <c r="L18" s="26"/>
      <c r="M18" s="26"/>
      <c r="N18" s="26"/>
      <c r="O18" s="26"/>
      <c r="P18" s="26"/>
      <c r="Q18" s="26"/>
      <c r="R18" s="23"/>
      <c r="S18" s="26"/>
      <c r="T18" s="26" t="str">
        <f t="shared" si="0"/>
        <v/>
      </c>
      <c r="U18" s="27"/>
      <c r="V18" s="139"/>
      <c r="W18" s="139"/>
      <c r="X18" s="140"/>
      <c r="Y18" s="140"/>
      <c r="Z18" s="124"/>
      <c r="AA18" s="141"/>
      <c r="AB18" s="141"/>
      <c r="AC18" s="139"/>
      <c r="AD18" s="139"/>
      <c r="AE18" s="139"/>
      <c r="AF18" s="139"/>
      <c r="AG18" s="142"/>
      <c r="AH18" s="131"/>
    </row>
    <row r="19" ht="15.5" customHeight="1" spans="1:34">
      <c r="A19" s="63"/>
      <c r="B19" s="63"/>
      <c r="C19" s="56"/>
      <c r="D19" s="138"/>
      <c r="E19" s="56"/>
      <c r="F19" s="23"/>
      <c r="G19" s="23"/>
      <c r="H19" s="25"/>
      <c r="I19" s="25"/>
      <c r="J19" s="38"/>
      <c r="K19" s="26"/>
      <c r="L19" s="26"/>
      <c r="M19" s="26"/>
      <c r="N19" s="26"/>
      <c r="O19" s="26"/>
      <c r="P19" s="26"/>
      <c r="Q19" s="26"/>
      <c r="R19" s="23"/>
      <c r="S19" s="26"/>
      <c r="T19" s="26" t="str">
        <f t="shared" si="0"/>
        <v/>
      </c>
      <c r="U19" s="27"/>
      <c r="V19" s="139"/>
      <c r="W19" s="139"/>
      <c r="X19" s="140"/>
      <c r="Y19" s="140"/>
      <c r="Z19" s="124"/>
      <c r="AA19" s="141"/>
      <c r="AB19" s="141"/>
      <c r="AC19" s="139"/>
      <c r="AD19" s="139"/>
      <c r="AE19" s="139"/>
      <c r="AF19" s="139"/>
      <c r="AG19" s="142"/>
      <c r="AH19" s="131"/>
    </row>
    <row r="20" ht="15.5" customHeight="1" spans="1:34">
      <c r="A20" s="63"/>
      <c r="B20" s="63"/>
      <c r="C20" s="56"/>
      <c r="D20" s="138"/>
      <c r="E20" s="56"/>
      <c r="F20" s="23"/>
      <c r="G20" s="23"/>
      <c r="H20" s="25"/>
      <c r="I20" s="25"/>
      <c r="J20" s="38"/>
      <c r="K20" s="26"/>
      <c r="L20" s="26"/>
      <c r="M20" s="26"/>
      <c r="N20" s="26"/>
      <c r="O20" s="26"/>
      <c r="P20" s="26"/>
      <c r="Q20" s="26"/>
      <c r="R20" s="23"/>
      <c r="S20" s="26"/>
      <c r="T20" s="26" t="str">
        <f t="shared" si="0"/>
        <v/>
      </c>
      <c r="U20" s="27"/>
      <c r="V20" s="139"/>
      <c r="W20" s="139"/>
      <c r="X20" s="140"/>
      <c r="Y20" s="140"/>
      <c r="Z20" s="124"/>
      <c r="AA20" s="141"/>
      <c r="AB20" s="141"/>
      <c r="AC20" s="139"/>
      <c r="AD20" s="139"/>
      <c r="AE20" s="139"/>
      <c r="AF20" s="139"/>
      <c r="AG20" s="142"/>
      <c r="AH20" s="131"/>
    </row>
    <row r="21" ht="15.5" customHeight="1" spans="1:34">
      <c r="A21" s="63"/>
      <c r="B21" s="63"/>
      <c r="C21" s="56"/>
      <c r="D21" s="138"/>
      <c r="E21" s="56"/>
      <c r="F21" s="23"/>
      <c r="G21" s="23"/>
      <c r="H21" s="25"/>
      <c r="I21" s="25"/>
      <c r="J21" s="38"/>
      <c r="K21" s="26"/>
      <c r="L21" s="26"/>
      <c r="M21" s="26"/>
      <c r="N21" s="26"/>
      <c r="O21" s="26"/>
      <c r="P21" s="26"/>
      <c r="Q21" s="26"/>
      <c r="R21" s="23"/>
      <c r="S21" s="26"/>
      <c r="T21" s="26" t="str">
        <f t="shared" si="0"/>
        <v/>
      </c>
      <c r="U21" s="27"/>
      <c r="V21" s="139"/>
      <c r="W21" s="139"/>
      <c r="X21" s="140"/>
      <c r="Y21" s="140"/>
      <c r="Z21" s="124"/>
      <c r="AA21" s="141"/>
      <c r="AB21" s="141"/>
      <c r="AC21" s="139"/>
      <c r="AD21" s="139"/>
      <c r="AE21" s="139"/>
      <c r="AF21" s="139"/>
      <c r="AG21" s="142"/>
      <c r="AH21" s="130"/>
    </row>
    <row r="22" ht="15.5" customHeight="1" spans="1:34">
      <c r="A22" s="63"/>
      <c r="B22" s="63"/>
      <c r="C22" s="56"/>
      <c r="D22" s="138"/>
      <c r="E22" s="56"/>
      <c r="F22" s="23"/>
      <c r="G22" s="23"/>
      <c r="H22" s="25"/>
      <c r="I22" s="25"/>
      <c r="J22" s="38"/>
      <c r="K22" s="26"/>
      <c r="L22" s="26"/>
      <c r="M22" s="26"/>
      <c r="N22" s="26"/>
      <c r="O22" s="26"/>
      <c r="P22" s="26"/>
      <c r="Q22" s="26"/>
      <c r="R22" s="23"/>
      <c r="S22" s="26"/>
      <c r="T22" s="26" t="str">
        <f t="shared" si="0"/>
        <v/>
      </c>
      <c r="U22" s="27"/>
      <c r="V22" s="12"/>
      <c r="W22" s="143"/>
      <c r="X22" s="143"/>
      <c r="Y22" s="12"/>
      <c r="Z22" s="124"/>
      <c r="AA22" s="141"/>
      <c r="AB22" s="141"/>
      <c r="AC22" s="139"/>
      <c r="AD22" s="139"/>
      <c r="AE22" s="139"/>
      <c r="AF22" s="139"/>
      <c r="AG22" s="142"/>
    </row>
    <row r="23" ht="15.5" customHeight="1" spans="1:34">
      <c r="A23" s="63"/>
      <c r="B23" s="63"/>
      <c r="C23" s="56"/>
      <c r="D23" s="138"/>
      <c r="E23" s="56"/>
      <c r="F23" s="23"/>
      <c r="G23" s="23"/>
      <c r="H23" s="25"/>
      <c r="I23" s="25"/>
      <c r="J23" s="38"/>
      <c r="K23" s="26"/>
      <c r="L23" s="26"/>
      <c r="M23" s="26"/>
      <c r="N23" s="26"/>
      <c r="O23" s="26"/>
      <c r="P23" s="26"/>
      <c r="Q23" s="26"/>
      <c r="R23" s="23"/>
      <c r="S23" s="26"/>
      <c r="T23" s="26" t="str">
        <f t="shared" si="0"/>
        <v/>
      </c>
      <c r="U23" s="27"/>
      <c r="V23" s="12"/>
      <c r="W23" s="143"/>
      <c r="X23" s="143"/>
      <c r="Y23" s="12"/>
      <c r="Z23" s="124"/>
      <c r="AA23" s="141"/>
      <c r="AB23" s="141"/>
      <c r="AC23" s="139"/>
      <c r="AD23" s="139"/>
      <c r="AE23" s="139"/>
      <c r="AF23" s="139"/>
      <c r="AG23" s="142"/>
    </row>
    <row r="24" ht="15.5" customHeight="1" spans="1:34">
      <c r="A24" s="63"/>
      <c r="B24" s="63"/>
      <c r="C24" s="56"/>
      <c r="D24" s="138"/>
      <c r="E24" s="56"/>
      <c r="F24" s="23"/>
      <c r="G24" s="23"/>
      <c r="H24" s="25"/>
      <c r="I24" s="25"/>
      <c r="J24" s="38"/>
      <c r="K24" s="26"/>
      <c r="L24" s="26"/>
      <c r="M24" s="26"/>
      <c r="N24" s="26"/>
      <c r="O24" s="26"/>
      <c r="P24" s="26"/>
      <c r="Q24" s="26"/>
      <c r="R24" s="23"/>
      <c r="S24" s="26"/>
      <c r="T24" s="26" t="str">
        <f t="shared" si="0"/>
        <v/>
      </c>
      <c r="U24" s="27"/>
      <c r="V24" s="12"/>
      <c r="W24" s="143"/>
      <c r="X24" s="143"/>
      <c r="Y24" s="12"/>
      <c r="Z24" s="124"/>
      <c r="AA24" s="141"/>
      <c r="AB24" s="141"/>
      <c r="AC24" s="139"/>
      <c r="AD24" s="139"/>
      <c r="AE24" s="139"/>
      <c r="AF24" s="139"/>
      <c r="AG24" s="142"/>
    </row>
    <row r="25" ht="15.5" customHeight="1" spans="1:34">
      <c r="A25" s="23"/>
      <c r="B25" s="23"/>
      <c r="C25" s="24"/>
      <c r="D25" s="103"/>
      <c r="E25" s="24"/>
      <c r="F25" s="23"/>
      <c r="G25" s="23"/>
      <c r="H25" s="25"/>
      <c r="I25" s="25"/>
      <c r="J25" s="38"/>
      <c r="K25" s="26"/>
      <c r="L25" s="26"/>
      <c r="M25" s="26"/>
      <c r="N25" s="26"/>
      <c r="O25" s="26"/>
      <c r="P25" s="26"/>
      <c r="Q25" s="26"/>
      <c r="R25" s="23"/>
      <c r="S25" s="26"/>
      <c r="T25" s="26" t="str">
        <f t="shared" si="0"/>
        <v/>
      </c>
      <c r="U25" s="27"/>
      <c r="V25" s="12"/>
      <c r="W25" s="143"/>
      <c r="X25" s="143"/>
      <c r="Y25" s="12"/>
      <c r="Z25" s="124"/>
      <c r="AA25" s="141"/>
      <c r="AB25" s="141"/>
      <c r="AC25" s="139"/>
      <c r="AD25" s="139"/>
      <c r="AE25" s="139"/>
      <c r="AF25" s="139"/>
      <c r="AG25" s="142"/>
    </row>
    <row r="26" ht="15.5" customHeight="1" spans="1:34">
      <c r="A26" s="23"/>
      <c r="B26" s="23"/>
      <c r="C26" s="24"/>
      <c r="D26" s="103"/>
      <c r="E26" s="24"/>
      <c r="F26" s="23"/>
      <c r="G26" s="23"/>
      <c r="H26" s="25"/>
      <c r="I26" s="25"/>
      <c r="J26" s="38"/>
      <c r="K26" s="26"/>
      <c r="L26" s="26"/>
      <c r="M26" s="26"/>
      <c r="N26" s="26"/>
      <c r="O26" s="26"/>
      <c r="P26" s="26"/>
      <c r="Q26" s="26"/>
      <c r="R26" s="23"/>
      <c r="S26" s="26"/>
      <c r="T26" s="26"/>
      <c r="U26" s="27"/>
      <c r="V26" s="12"/>
      <c r="W26" s="143"/>
      <c r="X26" s="143"/>
      <c r="Y26" s="12"/>
      <c r="Z26" s="124"/>
      <c r="AA26" s="141"/>
      <c r="AB26" s="141"/>
      <c r="AC26" s="139"/>
      <c r="AD26" s="139"/>
      <c r="AE26" s="139"/>
      <c r="AF26" s="139"/>
      <c r="AG26" s="142"/>
    </row>
    <row r="27" ht="15.5" customHeight="1" spans="1:34">
      <c r="A27" s="23" t="s">
        <v>319</v>
      </c>
      <c r="B27" s="32"/>
      <c r="C27" s="28"/>
      <c r="D27" s="103"/>
      <c r="E27" s="24"/>
      <c r="F27" s="23"/>
      <c r="G27" s="23"/>
      <c r="H27" s="25"/>
      <c r="I27" s="25"/>
      <c r="J27" s="23"/>
      <c r="K27" s="26">
        <f>SUM(K7:K26)</f>
        <v>0</v>
      </c>
      <c r="L27" s="26">
        <f>SUM(L7:L26)</f>
        <v>0</v>
      </c>
      <c r="M27" s="26"/>
      <c r="N27" s="26"/>
      <c r="O27" s="26">
        <f>SUM(O7:O26)</f>
        <v>0</v>
      </c>
      <c r="P27" s="26">
        <f>SUM(P7:P26)</f>
        <v>0</v>
      </c>
      <c r="Q27" s="26">
        <f>SUM(Q7:Q26)</f>
        <v>0</v>
      </c>
      <c r="R27" s="23"/>
      <c r="S27" s="26">
        <f>SUM(S7:S26)</f>
        <v>0</v>
      </c>
      <c r="T27" s="26" t="str">
        <f>IF(P27=0,"",(S27-P27)/P27*100)</f>
        <v/>
      </c>
      <c r="U27" s="27"/>
      <c r="V27" s="12"/>
      <c r="W27" s="143"/>
      <c r="X27" s="143"/>
      <c r="Y27" s="12"/>
      <c r="Z27" s="124"/>
      <c r="AA27" s="141"/>
      <c r="AB27" s="141"/>
      <c r="AC27" s="139"/>
      <c r="AD27" s="139"/>
      <c r="AE27" s="139"/>
      <c r="AF27" s="139"/>
      <c r="AG27" s="142"/>
    </row>
    <row r="28" ht="15.5" customHeight="1" spans="1:34">
      <c r="A28" s="29" t="str">
        <f>封面!D11&amp;封面!G11</f>
        <v>被评估单位填表人：</v>
      </c>
      <c r="O28" s="29" t="str">
        <f>"评估人员："&amp;封面!G26</f>
        <v>评估人员：</v>
      </c>
    </row>
    <row r="29" ht="15.5" customHeight="1" spans="1:34">
      <c r="A29" s="29" t="str">
        <f>CONCATENATE(封面!D13,封面!F13,封面!G13,封面!H13,封面!I13,封面!J13,封面!K13)</f>
        <v>填表日期：年月日</v>
      </c>
    </row>
  </sheetData>
  <mergeCells count="30">
    <mergeCell ref="A2:U2"/>
    <mergeCell ref="A3:U3"/>
    <mergeCell ref="K5:L5"/>
    <mergeCell ref="M5:N5"/>
    <mergeCell ref="O5:P5"/>
    <mergeCell ref="Q5:S5"/>
    <mergeCell ref="A27:C27"/>
    <mergeCell ref="A5:A6"/>
    <mergeCell ref="B5:B6"/>
    <mergeCell ref="C5:C6"/>
    <mergeCell ref="D5:D6"/>
    <mergeCell ref="E5:E6"/>
    <mergeCell ref="F5:F6"/>
    <mergeCell ref="G5:G6"/>
    <mergeCell ref="H5:H6"/>
    <mergeCell ref="I5:I6"/>
    <mergeCell ref="J5:J6"/>
    <mergeCell ref="T5:T6"/>
    <mergeCell ref="U5:U6"/>
    <mergeCell ref="W5:W6"/>
    <mergeCell ref="X5:X6"/>
    <mergeCell ref="Y5:Y6"/>
    <mergeCell ref="Z5:Z6"/>
    <mergeCell ref="AA5:AA6"/>
    <mergeCell ref="AB5:AB6"/>
    <mergeCell ref="AC5:AC6"/>
    <mergeCell ref="AD5:AD6"/>
    <mergeCell ref="AE5:AE6"/>
    <mergeCell ref="AF5:AF6"/>
    <mergeCell ref="AG5:AG6"/>
  </mergeCells>
  <hyperlinks>
    <hyperlink ref="A1" location="索引目录!E39" display="返回索引页"/>
    <hyperlink ref="B1" location="固定资产汇总!B13" display="返回"/>
    <hyperlink ref="AH7" r:id="rId3" location="pos=5#page=1#rtype=10#isrecom=0#filter=63a448a0_0a0_0a0_0#module=10#refreshid=0#recomid=0#queryid=1587813166$11$e48f2cbd-d2f9-467b-865a-471a44289f31$25729#cartype=10" display="https://www.che168.com/dealer/255777/36677775.html?pvareaid=100519&amp;userpid=0&amp;usercid=0#pos=5#page=1#rtype=10#isrecom=0#filter=63a448a0_0a0_0a0_0#module=10#refreshid=0#recomid=0#queryid=1587813166$11$e48f2cbd-d2f9-467b-865a-471a44289f31$25729#cartype=10"/>
  </hyperlinks>
  <printOptions horizontalCentered="1"/>
  <pageMargins left="0.354330708661417" right="0.354330708661417" top="0.78740157480315" bottom="0.78740157480315" header="1.03" footer="0.511811023622047"/>
  <pageSetup paperSize="9" fitToHeight="0" orientation="landscape"/>
  <headerFooter alignWithMargins="0">
    <oddHeader>&amp;R&amp;"宋体,常规"共&amp;"Times New Roman,常规"&amp;N&amp;"宋体,常规"页第&amp;"Times New Roman,常规"&amp;P&amp;"宋体,常规"4-6-5
页</oddHeader>
  </headerFooter>
  <legacyDrawing r:id="rId2"/>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3">
    <pageSetUpPr fitToPage="1"/>
  </sheetPr>
  <dimension ref="A1:AJ451"/>
  <sheetViews>
    <sheetView view="pageBreakPreview" zoomScale="70" zoomScaleNormal="100" topLeftCell="A378" workbookViewId="0">
      <selection activeCell="A234" sqref="$A234:$XFD234"/>
    </sheetView>
  </sheetViews>
  <sheetFormatPr defaultColWidth="9" defaultRowHeight="15.75" customHeight="1"/>
  <cols>
    <col min="1" max="1" width="6.08333333333333" style="13" customWidth="1"/>
    <col min="2" max="2" width="11.5833333333333" style="13" customWidth="1"/>
    <col min="3" max="3" width="14.925" style="13" customWidth="1"/>
    <col min="4" max="4" width="12.5" style="13" customWidth="1"/>
    <col min="5" max="5" width="13.5" style="13" customWidth="1"/>
    <col min="6" max="6" width="8" style="13" hidden="1" customWidth="1" outlineLevel="1"/>
    <col min="7" max="7" width="19.125" style="13" customWidth="1" collapsed="1"/>
    <col min="8" max="9" width="4.08333333333333" style="13" customWidth="1"/>
    <col min="10" max="11" width="9.75" style="13" customWidth="1"/>
    <col min="12" max="15" width="11" style="13" hidden="1" customWidth="1" outlineLevel="1"/>
    <col min="16" max="16" width="11" style="13" customWidth="1" collapsed="1"/>
    <col min="17" max="18" width="11" style="13" customWidth="1"/>
    <col min="19" max="19" width="7" style="13" customWidth="1"/>
    <col min="20" max="20" width="11" style="13" customWidth="1"/>
    <col min="21" max="21" width="7.83333333333333" style="13" customWidth="1"/>
    <col min="22" max="22" width="6" style="13" customWidth="1"/>
    <col min="23" max="23" width="11.5" style="13" customWidth="1"/>
    <col min="24" max="24" width="9.58333333333333" style="13" customWidth="1"/>
    <col min="25" max="28" width="9" style="13" customWidth="1"/>
    <col min="29" max="29" width="10.4166666666667" style="13" customWidth="1"/>
    <col min="30" max="16384" width="9" style="13" customWidth="1"/>
  </cols>
  <sheetData>
    <row r="1" ht="15.5" customHeight="1" spans="1:36">
      <c r="A1" s="14" t="s">
        <v>111</v>
      </c>
      <c r="B1" s="15" t="s">
        <v>210</v>
      </c>
      <c r="C1" s="15"/>
      <c r="D1" s="16"/>
      <c r="E1" s="16"/>
      <c r="F1" s="16"/>
      <c r="G1" s="16"/>
      <c r="H1" s="16"/>
      <c r="I1" s="16"/>
      <c r="J1" s="16"/>
      <c r="K1" s="16"/>
      <c r="L1" s="16"/>
      <c r="M1" s="16"/>
      <c r="N1" s="16"/>
      <c r="O1" s="16"/>
      <c r="P1" s="16"/>
      <c r="Q1" s="16"/>
      <c r="R1" s="16"/>
      <c r="S1" s="16"/>
      <c r="T1" s="16"/>
      <c r="U1" s="16"/>
      <c r="V1" s="16"/>
    </row>
    <row r="2" s="11" customFormat="1" ht="30" customHeight="1" spans="1:36">
      <c r="A2" s="17" t="s">
        <v>589</v>
      </c>
    </row>
    <row r="3" ht="14.15" customHeight="1" spans="1:36">
      <c r="A3" s="18" t="str">
        <f>CONCATENATE(封面!D9,封面!F9,封面!G9,封面!H9,封面!I9,封面!J9,封面!K9)</f>
        <v>评估基准日：年月日</v>
      </c>
    </row>
    <row r="4" spans="1:36">
      <c r="A4" s="19" t="str">
        <f>封面!D7&amp;封面!F7</f>
        <v>被评估单位：</v>
      </c>
      <c r="V4" s="20" t="s">
        <v>139</v>
      </c>
      <c r="W4" s="110"/>
    </row>
    <row r="5" s="12" customFormat="1" ht="13" customHeight="1" spans="1:36">
      <c r="A5" s="21" t="s">
        <v>141</v>
      </c>
      <c r="B5" s="22" t="s">
        <v>590</v>
      </c>
      <c r="C5" s="22"/>
      <c r="D5" s="22" t="s">
        <v>554</v>
      </c>
      <c r="E5" s="22" t="s">
        <v>555</v>
      </c>
      <c r="F5" s="100" t="s">
        <v>499</v>
      </c>
      <c r="G5" s="22" t="s">
        <v>556</v>
      </c>
      <c r="H5" s="22" t="s">
        <v>367</v>
      </c>
      <c r="I5" s="22" t="s">
        <v>368</v>
      </c>
      <c r="J5" s="22" t="s">
        <v>557</v>
      </c>
      <c r="K5" s="22" t="s">
        <v>399</v>
      </c>
      <c r="L5" s="101" t="s">
        <v>175</v>
      </c>
      <c r="M5" s="28"/>
      <c r="N5" s="102" t="s">
        <v>281</v>
      </c>
      <c r="O5" s="28"/>
      <c r="P5" s="21" t="s">
        <v>176</v>
      </c>
      <c r="Q5" s="28"/>
      <c r="R5" s="21" t="s">
        <v>177</v>
      </c>
      <c r="S5" s="32"/>
      <c r="T5" s="28"/>
      <c r="U5" s="22" t="s">
        <v>215</v>
      </c>
      <c r="V5" s="22" t="s">
        <v>144</v>
      </c>
      <c r="W5" s="111"/>
      <c r="X5" s="112" t="s">
        <v>558</v>
      </c>
      <c r="Y5" s="113" t="s">
        <v>559</v>
      </c>
      <c r="Z5" s="114" t="s">
        <v>591</v>
      </c>
      <c r="AA5" s="114" t="s">
        <v>592</v>
      </c>
      <c r="AB5" s="115" t="s">
        <v>560</v>
      </c>
      <c r="AC5" s="116" t="s">
        <v>561</v>
      </c>
      <c r="AD5" s="117"/>
      <c r="AE5" s="117"/>
      <c r="AF5" s="118" t="s">
        <v>562</v>
      </c>
      <c r="AG5" s="118" t="s">
        <v>563</v>
      </c>
      <c r="AH5" s="118" t="s">
        <v>564</v>
      </c>
      <c r="AI5" s="119" t="s">
        <v>565</v>
      </c>
    </row>
    <row r="6" s="12" customFormat="1" ht="13" customHeight="1" spans="1:36">
      <c r="A6" s="36"/>
      <c r="B6" s="36"/>
      <c r="C6" s="36"/>
      <c r="D6" s="36"/>
      <c r="E6" s="36"/>
      <c r="F6" s="36"/>
      <c r="G6" s="36"/>
      <c r="H6" s="36"/>
      <c r="I6" s="36"/>
      <c r="J6" s="36"/>
      <c r="K6" s="36"/>
      <c r="L6" s="21" t="s">
        <v>465</v>
      </c>
      <c r="M6" s="21" t="s">
        <v>466</v>
      </c>
      <c r="N6" s="21" t="s">
        <v>465</v>
      </c>
      <c r="O6" s="21" t="s">
        <v>466</v>
      </c>
      <c r="P6" s="21" t="s">
        <v>465</v>
      </c>
      <c r="Q6" s="21" t="s">
        <v>466</v>
      </c>
      <c r="R6" s="21" t="s">
        <v>465</v>
      </c>
      <c r="S6" s="21" t="s">
        <v>401</v>
      </c>
      <c r="T6" s="21" t="s">
        <v>466</v>
      </c>
      <c r="U6" s="36"/>
      <c r="V6" s="36"/>
      <c r="W6" s="120" t="s">
        <v>566</v>
      </c>
      <c r="X6" s="36"/>
      <c r="Y6" s="36"/>
      <c r="Z6" s="36"/>
      <c r="AA6" s="36"/>
      <c r="AB6" s="36"/>
      <c r="AC6" s="36"/>
      <c r="AD6" s="117" t="s">
        <v>567</v>
      </c>
      <c r="AE6" s="117" t="s">
        <v>568</v>
      </c>
      <c r="AF6" s="36"/>
      <c r="AG6" s="36"/>
      <c r="AH6" s="36"/>
      <c r="AI6" s="36"/>
    </row>
    <row r="7" ht="15.5" customHeight="1" spans="1:36">
      <c r="A7" s="63"/>
      <c r="B7" s="56"/>
      <c r="C7" s="56"/>
      <c r="D7" s="59"/>
      <c r="E7" s="63"/>
      <c r="F7" s="56"/>
      <c r="G7" s="58"/>
      <c r="H7" s="21"/>
      <c r="I7" s="23"/>
      <c r="J7" s="121"/>
      <c r="K7" s="121"/>
      <c r="L7" s="26"/>
      <c r="M7" s="26"/>
      <c r="N7" s="26"/>
      <c r="O7" s="26"/>
      <c r="P7" s="26"/>
      <c r="Q7" s="26"/>
      <c r="R7" s="26"/>
      <c r="S7" s="23"/>
      <c r="T7" s="26"/>
      <c r="U7" s="26" t="str">
        <f t="shared" ref="U7:U70" si="0">IF(Q7=0,"",(T7-Q7)/Q7*100)</f>
        <v/>
      </c>
      <c r="V7" s="27"/>
      <c r="W7" s="122"/>
      <c r="X7" s="123">
        <f t="shared" ref="X7:X70" si="1">($W$5-K7)/365</f>
        <v>0</v>
      </c>
      <c r="Y7" s="124" t="e">
        <f t="shared" ref="Y7:Y70" si="2">(W7-X7)/W7</f>
        <v>#DIV/0!</v>
      </c>
      <c r="Z7" s="124"/>
      <c r="AA7" s="124" t="e">
        <f t="shared" ref="AA7:AA70" si="3">Y7/2+Z7/2</f>
        <v>#DIV/0!</v>
      </c>
      <c r="AB7" s="125" t="e">
        <f t="shared" ref="AB7:AB70" si="4">P7/I7</f>
        <v>#DIV/0!</v>
      </c>
      <c r="AC7" s="31" t="e">
        <f t="shared" ref="AC7:AC70" si="5">AB7*AD7</f>
        <v>#DIV/0!</v>
      </c>
      <c r="AD7" s="126"/>
      <c r="AE7" s="127"/>
      <c r="AF7" s="127" t="e">
        <f t="shared" ref="AF7:AF70" si="6">AC7*0.13/(1+0.13)</f>
        <v>#DIV/0!</v>
      </c>
      <c r="AG7" s="128" t="e">
        <f t="shared" ref="AG7:AG70" si="7">AC7-AF7</f>
        <v>#DIV/0!</v>
      </c>
      <c r="AH7" s="128" t="e">
        <f t="shared" ref="AH7:AH70" si="8">AC7*I7</f>
        <v>#DIV/0!</v>
      </c>
      <c r="AI7" s="127" t="e">
        <f t="shared" ref="AI7:AI70" si="9">ROUND(AG7*I7,-1)</f>
        <v>#DIV/0!</v>
      </c>
      <c r="AJ7" s="129"/>
    </row>
    <row r="8" ht="15.5" customHeight="1" spans="1:36">
      <c r="A8" s="63"/>
      <c r="B8" s="56"/>
      <c r="C8" s="56"/>
      <c r="D8" s="56"/>
      <c r="E8" s="63"/>
      <c r="F8" s="56"/>
      <c r="G8" s="58"/>
      <c r="H8" s="21"/>
      <c r="I8" s="23"/>
      <c r="J8" s="121"/>
      <c r="K8" s="121"/>
      <c r="L8" s="26"/>
      <c r="M8" s="26"/>
      <c r="N8" s="26"/>
      <c r="O8" s="26"/>
      <c r="P8" s="26"/>
      <c r="Q8" s="26"/>
      <c r="R8" s="26"/>
      <c r="S8" s="23"/>
      <c r="T8" s="26"/>
      <c r="U8" s="26" t="str">
        <f t="shared" si="0"/>
        <v/>
      </c>
      <c r="V8" s="27"/>
      <c r="W8" s="122"/>
      <c r="X8" s="123">
        <f t="shared" si="1"/>
        <v>0</v>
      </c>
      <c r="Y8" s="124" t="e">
        <f t="shared" si="2"/>
        <v>#DIV/0!</v>
      </c>
      <c r="Z8" s="124"/>
      <c r="AA8" s="124" t="e">
        <f t="shared" si="3"/>
        <v>#DIV/0!</v>
      </c>
      <c r="AB8" s="125" t="e">
        <f t="shared" si="4"/>
        <v>#DIV/0!</v>
      </c>
      <c r="AC8" s="31" t="e">
        <f t="shared" si="5"/>
        <v>#DIV/0!</v>
      </c>
      <c r="AD8" s="126"/>
      <c r="AE8" s="127"/>
      <c r="AF8" s="127" t="e">
        <f t="shared" si="6"/>
        <v>#DIV/0!</v>
      </c>
      <c r="AG8" s="128" t="e">
        <f t="shared" si="7"/>
        <v>#DIV/0!</v>
      </c>
      <c r="AH8" s="128" t="e">
        <f t="shared" si="8"/>
        <v>#DIV/0!</v>
      </c>
      <c r="AI8" s="127" t="e">
        <f t="shared" si="9"/>
        <v>#DIV/0!</v>
      </c>
      <c r="AJ8" s="129"/>
    </row>
    <row r="9" ht="15.5" customHeight="1" spans="1:36">
      <c r="A9" s="63"/>
      <c r="B9" s="56"/>
      <c r="C9" s="56"/>
      <c r="D9" s="56"/>
      <c r="E9" s="63"/>
      <c r="F9" s="56"/>
      <c r="G9" s="58"/>
      <c r="H9" s="21"/>
      <c r="I9" s="23"/>
      <c r="J9" s="121"/>
      <c r="K9" s="121"/>
      <c r="L9" s="26"/>
      <c r="M9" s="26"/>
      <c r="N9" s="26"/>
      <c r="O9" s="26"/>
      <c r="P9" s="26"/>
      <c r="Q9" s="26"/>
      <c r="R9" s="26"/>
      <c r="S9" s="23"/>
      <c r="T9" s="26"/>
      <c r="U9" s="26" t="str">
        <f t="shared" si="0"/>
        <v/>
      </c>
      <c r="V9" s="27"/>
      <c r="W9" s="122"/>
      <c r="X9" s="123">
        <f t="shared" si="1"/>
        <v>0</v>
      </c>
      <c r="Y9" s="124" t="e">
        <f t="shared" si="2"/>
        <v>#DIV/0!</v>
      </c>
      <c r="Z9" s="124"/>
      <c r="AA9" s="124" t="e">
        <f t="shared" si="3"/>
        <v>#DIV/0!</v>
      </c>
      <c r="AB9" s="125" t="e">
        <f t="shared" si="4"/>
        <v>#DIV/0!</v>
      </c>
      <c r="AC9" s="31" t="e">
        <f t="shared" si="5"/>
        <v>#DIV/0!</v>
      </c>
      <c r="AD9" s="126"/>
      <c r="AE9" s="127"/>
      <c r="AF9" s="127" t="e">
        <f t="shared" si="6"/>
        <v>#DIV/0!</v>
      </c>
      <c r="AG9" s="128" t="e">
        <f t="shared" si="7"/>
        <v>#DIV/0!</v>
      </c>
      <c r="AH9" s="128" t="e">
        <f t="shared" si="8"/>
        <v>#DIV/0!</v>
      </c>
      <c r="AI9" s="127" t="e">
        <f t="shared" si="9"/>
        <v>#DIV/0!</v>
      </c>
      <c r="AJ9" s="130"/>
    </row>
    <row r="10" ht="15.5" customHeight="1" spans="1:36">
      <c r="A10" s="63"/>
      <c r="B10" s="56"/>
      <c r="C10" s="56"/>
      <c r="D10" s="58"/>
      <c r="E10" s="58"/>
      <c r="F10" s="56"/>
      <c r="G10" s="58"/>
      <c r="H10" s="21"/>
      <c r="I10" s="23"/>
      <c r="J10" s="121"/>
      <c r="K10" s="121"/>
      <c r="L10" s="26"/>
      <c r="M10" s="26"/>
      <c r="N10" s="26"/>
      <c r="O10" s="26"/>
      <c r="P10" s="26"/>
      <c r="Q10" s="26"/>
      <c r="R10" s="26"/>
      <c r="S10" s="23"/>
      <c r="T10" s="26"/>
      <c r="U10" s="26" t="str">
        <f t="shared" si="0"/>
        <v/>
      </c>
      <c r="V10" s="27"/>
      <c r="W10" s="122"/>
      <c r="X10" s="123">
        <f t="shared" si="1"/>
        <v>0</v>
      </c>
      <c r="Y10" s="124" t="e">
        <f t="shared" si="2"/>
        <v>#DIV/0!</v>
      </c>
      <c r="Z10" s="124"/>
      <c r="AA10" s="124" t="e">
        <f t="shared" si="3"/>
        <v>#DIV/0!</v>
      </c>
      <c r="AB10" s="125" t="e">
        <f t="shared" si="4"/>
        <v>#DIV/0!</v>
      </c>
      <c r="AC10" s="31" t="e">
        <f t="shared" si="5"/>
        <v>#DIV/0!</v>
      </c>
      <c r="AD10" s="126"/>
      <c r="AE10" s="127"/>
      <c r="AF10" s="127" t="e">
        <f t="shared" si="6"/>
        <v>#DIV/0!</v>
      </c>
      <c r="AG10" s="128" t="e">
        <f t="shared" si="7"/>
        <v>#DIV/0!</v>
      </c>
      <c r="AH10" s="128" t="e">
        <f t="shared" si="8"/>
        <v>#DIV/0!</v>
      </c>
      <c r="AI10" s="127" t="e">
        <f t="shared" si="9"/>
        <v>#DIV/0!</v>
      </c>
      <c r="AJ10" s="131"/>
    </row>
    <row r="11" ht="15.5" customHeight="1" spans="1:36">
      <c r="A11" s="63"/>
      <c r="B11" s="56"/>
      <c r="C11" s="56"/>
      <c r="D11" s="56"/>
      <c r="E11" s="63"/>
      <c r="F11" s="56"/>
      <c r="G11" s="58"/>
      <c r="H11" s="21"/>
      <c r="I11" s="23"/>
      <c r="J11" s="121"/>
      <c r="K11" s="121"/>
      <c r="L11" s="26"/>
      <c r="M11" s="26"/>
      <c r="N11" s="26"/>
      <c r="O11" s="26"/>
      <c r="P11" s="26"/>
      <c r="Q11" s="26"/>
      <c r="R11" s="26"/>
      <c r="S11" s="23"/>
      <c r="T11" s="26"/>
      <c r="U11" s="26" t="str">
        <f t="shared" si="0"/>
        <v/>
      </c>
      <c r="V11" s="27"/>
      <c r="W11" s="122"/>
      <c r="X11" s="123">
        <f t="shared" si="1"/>
        <v>0</v>
      </c>
      <c r="Y11" s="124" t="e">
        <f t="shared" si="2"/>
        <v>#DIV/0!</v>
      </c>
      <c r="Z11" s="124"/>
      <c r="AA11" s="124" t="e">
        <f t="shared" si="3"/>
        <v>#DIV/0!</v>
      </c>
      <c r="AB11" s="125" t="e">
        <f t="shared" si="4"/>
        <v>#DIV/0!</v>
      </c>
      <c r="AC11" s="31" t="e">
        <f t="shared" si="5"/>
        <v>#DIV/0!</v>
      </c>
      <c r="AD11" s="126"/>
      <c r="AE11" s="127"/>
      <c r="AF11" s="127" t="e">
        <f t="shared" si="6"/>
        <v>#DIV/0!</v>
      </c>
      <c r="AG11" s="128" t="e">
        <f t="shared" si="7"/>
        <v>#DIV/0!</v>
      </c>
      <c r="AH11" s="128" t="e">
        <f t="shared" si="8"/>
        <v>#DIV/0!</v>
      </c>
      <c r="AI11" s="127" t="e">
        <f t="shared" si="9"/>
        <v>#DIV/0!</v>
      </c>
      <c r="AJ11" s="129"/>
    </row>
    <row r="12" ht="16" customHeight="1" spans="1:36">
      <c r="A12" s="63"/>
      <c r="B12" s="56"/>
      <c r="C12" s="56"/>
      <c r="D12" s="56"/>
      <c r="E12" s="63"/>
      <c r="F12" s="24"/>
      <c r="G12" s="58"/>
      <c r="H12" s="21"/>
      <c r="I12" s="23"/>
      <c r="J12" s="121"/>
      <c r="K12" s="121"/>
      <c r="L12" s="26"/>
      <c r="M12" s="26"/>
      <c r="N12" s="26"/>
      <c r="O12" s="26"/>
      <c r="P12" s="26"/>
      <c r="Q12" s="26"/>
      <c r="R12" s="26"/>
      <c r="S12" s="23"/>
      <c r="T12" s="26"/>
      <c r="U12" s="26" t="str">
        <f t="shared" si="0"/>
        <v/>
      </c>
      <c r="V12" s="27"/>
      <c r="W12" s="122"/>
      <c r="X12" s="123">
        <f t="shared" si="1"/>
        <v>0</v>
      </c>
      <c r="Y12" s="124" t="e">
        <f t="shared" si="2"/>
        <v>#DIV/0!</v>
      </c>
      <c r="Z12" s="124"/>
      <c r="AA12" s="124" t="e">
        <f t="shared" si="3"/>
        <v>#DIV/0!</v>
      </c>
      <c r="AB12" s="125" t="e">
        <f t="shared" si="4"/>
        <v>#DIV/0!</v>
      </c>
      <c r="AC12" s="31" t="e">
        <f t="shared" si="5"/>
        <v>#DIV/0!</v>
      </c>
      <c r="AD12" s="126"/>
      <c r="AE12" s="127"/>
      <c r="AF12" s="127" t="e">
        <f t="shared" si="6"/>
        <v>#DIV/0!</v>
      </c>
      <c r="AG12" s="128" t="e">
        <f t="shared" si="7"/>
        <v>#DIV/0!</v>
      </c>
      <c r="AH12" s="128" t="e">
        <f t="shared" si="8"/>
        <v>#DIV/0!</v>
      </c>
      <c r="AI12" s="127" t="e">
        <f t="shared" si="9"/>
        <v>#DIV/0!</v>
      </c>
    </row>
    <row r="13" ht="15.5" customHeight="1" spans="1:36">
      <c r="A13" s="63"/>
      <c r="B13" s="56"/>
      <c r="C13" s="56"/>
      <c r="D13" s="56"/>
      <c r="E13" s="63"/>
      <c r="F13" s="24"/>
      <c r="G13" s="58"/>
      <c r="H13" s="21"/>
      <c r="I13" s="23"/>
      <c r="J13" s="121"/>
      <c r="K13" s="121"/>
      <c r="L13" s="26"/>
      <c r="M13" s="26"/>
      <c r="N13" s="26"/>
      <c r="O13" s="26"/>
      <c r="P13" s="26"/>
      <c r="Q13" s="26"/>
      <c r="R13" s="26"/>
      <c r="S13" s="23"/>
      <c r="T13" s="26"/>
      <c r="U13" s="26" t="str">
        <f t="shared" si="0"/>
        <v/>
      </c>
      <c r="V13" s="27"/>
      <c r="W13" s="122"/>
      <c r="X13" s="123">
        <f t="shared" si="1"/>
        <v>0</v>
      </c>
      <c r="Y13" s="124" t="e">
        <f t="shared" si="2"/>
        <v>#DIV/0!</v>
      </c>
      <c r="Z13" s="124"/>
      <c r="AA13" s="124" t="e">
        <f t="shared" si="3"/>
        <v>#DIV/0!</v>
      </c>
      <c r="AB13" s="125" t="e">
        <f t="shared" si="4"/>
        <v>#DIV/0!</v>
      </c>
      <c r="AC13" s="31" t="e">
        <f t="shared" si="5"/>
        <v>#DIV/0!</v>
      </c>
      <c r="AD13" s="126"/>
      <c r="AE13" s="127"/>
      <c r="AF13" s="127" t="e">
        <f t="shared" si="6"/>
        <v>#DIV/0!</v>
      </c>
      <c r="AG13" s="128" t="e">
        <f t="shared" si="7"/>
        <v>#DIV/0!</v>
      </c>
      <c r="AH13" s="128" t="e">
        <f t="shared" si="8"/>
        <v>#DIV/0!</v>
      </c>
      <c r="AI13" s="127" t="e">
        <f t="shared" si="9"/>
        <v>#DIV/0!</v>
      </c>
    </row>
    <row r="14" ht="15.5" customHeight="1" spans="1:36">
      <c r="A14" s="63"/>
      <c r="B14" s="56"/>
      <c r="C14" s="56"/>
      <c r="D14" s="56"/>
      <c r="E14" s="63"/>
      <c r="F14" s="24"/>
      <c r="G14" s="58"/>
      <c r="H14" s="21"/>
      <c r="I14" s="23"/>
      <c r="J14" s="121"/>
      <c r="K14" s="121"/>
      <c r="L14" s="26"/>
      <c r="M14" s="26"/>
      <c r="N14" s="26"/>
      <c r="O14" s="26"/>
      <c r="P14" s="26"/>
      <c r="Q14" s="26"/>
      <c r="R14" s="26"/>
      <c r="S14" s="23"/>
      <c r="T14" s="26"/>
      <c r="U14" s="26" t="str">
        <f t="shared" si="0"/>
        <v/>
      </c>
      <c r="V14" s="27"/>
      <c r="W14" s="122"/>
      <c r="X14" s="123">
        <f t="shared" si="1"/>
        <v>0</v>
      </c>
      <c r="Y14" s="124" t="e">
        <f t="shared" si="2"/>
        <v>#DIV/0!</v>
      </c>
      <c r="Z14" s="124"/>
      <c r="AA14" s="124" t="e">
        <f t="shared" si="3"/>
        <v>#DIV/0!</v>
      </c>
      <c r="AB14" s="125" t="e">
        <f t="shared" si="4"/>
        <v>#DIV/0!</v>
      </c>
      <c r="AC14" s="31" t="e">
        <f t="shared" si="5"/>
        <v>#DIV/0!</v>
      </c>
      <c r="AD14" s="126"/>
      <c r="AE14" s="127"/>
      <c r="AF14" s="127" t="e">
        <f t="shared" si="6"/>
        <v>#DIV/0!</v>
      </c>
      <c r="AG14" s="128" t="e">
        <f t="shared" si="7"/>
        <v>#DIV/0!</v>
      </c>
      <c r="AH14" s="128" t="e">
        <f t="shared" si="8"/>
        <v>#DIV/0!</v>
      </c>
      <c r="AI14" s="127" t="e">
        <f t="shared" si="9"/>
        <v>#DIV/0!</v>
      </c>
    </row>
    <row r="15" ht="15.5" customHeight="1" spans="1:36">
      <c r="A15" s="63"/>
      <c r="B15" s="56"/>
      <c r="C15" s="56"/>
      <c r="D15" s="56"/>
      <c r="E15" s="63"/>
      <c r="F15" s="24"/>
      <c r="G15" s="58"/>
      <c r="H15" s="21"/>
      <c r="I15" s="23"/>
      <c r="J15" s="121"/>
      <c r="K15" s="121"/>
      <c r="L15" s="26"/>
      <c r="M15" s="26"/>
      <c r="N15" s="26"/>
      <c r="O15" s="26"/>
      <c r="P15" s="26"/>
      <c r="Q15" s="26"/>
      <c r="R15" s="26"/>
      <c r="S15" s="23"/>
      <c r="T15" s="26"/>
      <c r="U15" s="26" t="str">
        <f t="shared" si="0"/>
        <v/>
      </c>
      <c r="V15" s="27"/>
      <c r="W15" s="122"/>
      <c r="X15" s="123">
        <f t="shared" si="1"/>
        <v>0</v>
      </c>
      <c r="Y15" s="124" t="e">
        <f t="shared" si="2"/>
        <v>#DIV/0!</v>
      </c>
      <c r="Z15" s="124"/>
      <c r="AA15" s="124" t="e">
        <f t="shared" si="3"/>
        <v>#DIV/0!</v>
      </c>
      <c r="AB15" s="125" t="e">
        <f t="shared" si="4"/>
        <v>#DIV/0!</v>
      </c>
      <c r="AC15" s="31" t="e">
        <f t="shared" si="5"/>
        <v>#DIV/0!</v>
      </c>
      <c r="AD15" s="126"/>
      <c r="AE15" s="127"/>
      <c r="AF15" s="127" t="e">
        <f t="shared" si="6"/>
        <v>#DIV/0!</v>
      </c>
      <c r="AG15" s="128" t="e">
        <f t="shared" si="7"/>
        <v>#DIV/0!</v>
      </c>
      <c r="AH15" s="128" t="e">
        <f t="shared" si="8"/>
        <v>#DIV/0!</v>
      </c>
      <c r="AI15" s="127" t="e">
        <f t="shared" si="9"/>
        <v>#DIV/0!</v>
      </c>
    </row>
    <row r="16" ht="15.5" customHeight="1" spans="1:36">
      <c r="A16" s="63"/>
      <c r="B16" s="56"/>
      <c r="C16" s="56"/>
      <c r="D16" s="56"/>
      <c r="E16" s="63"/>
      <c r="F16" s="24"/>
      <c r="G16" s="58"/>
      <c r="H16" s="21"/>
      <c r="I16" s="23"/>
      <c r="J16" s="121"/>
      <c r="K16" s="121"/>
      <c r="L16" s="26"/>
      <c r="M16" s="26"/>
      <c r="N16" s="26"/>
      <c r="O16" s="26"/>
      <c r="P16" s="26"/>
      <c r="Q16" s="26"/>
      <c r="R16" s="26"/>
      <c r="S16" s="23"/>
      <c r="T16" s="26"/>
      <c r="U16" s="26" t="str">
        <f t="shared" si="0"/>
        <v/>
      </c>
      <c r="V16" s="27"/>
      <c r="W16" s="122"/>
      <c r="X16" s="123">
        <f t="shared" si="1"/>
        <v>0</v>
      </c>
      <c r="Y16" s="124" t="e">
        <f t="shared" si="2"/>
        <v>#DIV/0!</v>
      </c>
      <c r="Z16" s="124"/>
      <c r="AA16" s="124" t="e">
        <f t="shared" si="3"/>
        <v>#DIV/0!</v>
      </c>
      <c r="AB16" s="125" t="e">
        <f t="shared" si="4"/>
        <v>#DIV/0!</v>
      </c>
      <c r="AC16" s="31" t="e">
        <f t="shared" si="5"/>
        <v>#DIV/0!</v>
      </c>
      <c r="AD16" s="126"/>
      <c r="AE16" s="127"/>
      <c r="AF16" s="127" t="e">
        <f t="shared" si="6"/>
        <v>#DIV/0!</v>
      </c>
      <c r="AG16" s="128" t="e">
        <f t="shared" si="7"/>
        <v>#DIV/0!</v>
      </c>
      <c r="AH16" s="128" t="e">
        <f t="shared" si="8"/>
        <v>#DIV/0!</v>
      </c>
      <c r="AI16" s="127" t="e">
        <f t="shared" si="9"/>
        <v>#DIV/0!</v>
      </c>
    </row>
    <row r="17" ht="15.5" customHeight="1" spans="1:36">
      <c r="A17" s="63"/>
      <c r="B17" s="56"/>
      <c r="C17" s="56"/>
      <c r="D17" s="59"/>
      <c r="E17" s="63"/>
      <c r="F17" s="24"/>
      <c r="G17" s="58"/>
      <c r="H17" s="21"/>
      <c r="I17" s="23"/>
      <c r="J17" s="121"/>
      <c r="K17" s="121"/>
      <c r="L17" s="26"/>
      <c r="M17" s="26"/>
      <c r="N17" s="26"/>
      <c r="O17" s="26"/>
      <c r="P17" s="26"/>
      <c r="Q17" s="26"/>
      <c r="R17" s="26"/>
      <c r="S17" s="23"/>
      <c r="T17" s="26"/>
      <c r="U17" s="26" t="str">
        <f t="shared" si="0"/>
        <v/>
      </c>
      <c r="V17" s="27"/>
      <c r="W17" s="122"/>
      <c r="X17" s="123">
        <f t="shared" si="1"/>
        <v>0</v>
      </c>
      <c r="Y17" s="124" t="e">
        <f t="shared" si="2"/>
        <v>#DIV/0!</v>
      </c>
      <c r="Z17" s="124"/>
      <c r="AA17" s="124" t="e">
        <f t="shared" si="3"/>
        <v>#DIV/0!</v>
      </c>
      <c r="AB17" s="125" t="e">
        <f t="shared" si="4"/>
        <v>#DIV/0!</v>
      </c>
      <c r="AC17" s="31" t="e">
        <f t="shared" si="5"/>
        <v>#DIV/0!</v>
      </c>
      <c r="AD17" s="126"/>
      <c r="AE17" s="127"/>
      <c r="AF17" s="127" t="e">
        <f t="shared" si="6"/>
        <v>#DIV/0!</v>
      </c>
      <c r="AG17" s="128" t="e">
        <f t="shared" si="7"/>
        <v>#DIV/0!</v>
      </c>
      <c r="AH17" s="128" t="e">
        <f t="shared" si="8"/>
        <v>#DIV/0!</v>
      </c>
      <c r="AI17" s="127" t="e">
        <f t="shared" si="9"/>
        <v>#DIV/0!</v>
      </c>
    </row>
    <row r="18" ht="15.5" customHeight="1" spans="1:36">
      <c r="A18" s="63"/>
      <c r="B18" s="56"/>
      <c r="C18" s="56"/>
      <c r="D18" s="56"/>
      <c r="E18" s="63"/>
      <c r="F18" s="24"/>
      <c r="G18" s="58"/>
      <c r="H18" s="21"/>
      <c r="I18" s="23"/>
      <c r="J18" s="121"/>
      <c r="K18" s="121"/>
      <c r="L18" s="26"/>
      <c r="M18" s="26"/>
      <c r="N18" s="26"/>
      <c r="O18" s="26"/>
      <c r="P18" s="26"/>
      <c r="Q18" s="26"/>
      <c r="R18" s="26"/>
      <c r="S18" s="23"/>
      <c r="T18" s="26"/>
      <c r="U18" s="26" t="str">
        <f t="shared" si="0"/>
        <v/>
      </c>
      <c r="V18" s="27"/>
      <c r="W18" s="122"/>
      <c r="X18" s="123">
        <f t="shared" si="1"/>
        <v>0</v>
      </c>
      <c r="Y18" s="124" t="e">
        <f t="shared" si="2"/>
        <v>#DIV/0!</v>
      </c>
      <c r="Z18" s="124"/>
      <c r="AA18" s="124" t="e">
        <f t="shared" si="3"/>
        <v>#DIV/0!</v>
      </c>
      <c r="AB18" s="125" t="e">
        <f t="shared" si="4"/>
        <v>#DIV/0!</v>
      </c>
      <c r="AC18" s="31" t="e">
        <f t="shared" si="5"/>
        <v>#DIV/0!</v>
      </c>
      <c r="AD18" s="126"/>
      <c r="AE18" s="127"/>
      <c r="AF18" s="127" t="e">
        <f t="shared" si="6"/>
        <v>#DIV/0!</v>
      </c>
      <c r="AG18" s="128" t="e">
        <f t="shared" si="7"/>
        <v>#DIV/0!</v>
      </c>
      <c r="AH18" s="128" t="e">
        <f t="shared" si="8"/>
        <v>#DIV/0!</v>
      </c>
      <c r="AI18" s="127" t="e">
        <f t="shared" si="9"/>
        <v>#DIV/0!</v>
      </c>
    </row>
    <row r="19" ht="15.5" customHeight="1" spans="1:36">
      <c r="A19" s="63"/>
      <c r="B19" s="56"/>
      <c r="C19" s="56"/>
      <c r="D19" s="56"/>
      <c r="E19" s="63"/>
      <c r="F19" s="24"/>
      <c r="G19" s="58"/>
      <c r="H19" s="21"/>
      <c r="I19" s="23"/>
      <c r="J19" s="121"/>
      <c r="K19" s="121"/>
      <c r="L19" s="26"/>
      <c r="M19" s="26"/>
      <c r="N19" s="26"/>
      <c r="O19" s="26"/>
      <c r="P19" s="26"/>
      <c r="Q19" s="26"/>
      <c r="R19" s="26"/>
      <c r="S19" s="23"/>
      <c r="T19" s="26"/>
      <c r="U19" s="26" t="str">
        <f t="shared" si="0"/>
        <v/>
      </c>
      <c r="V19" s="27"/>
      <c r="W19" s="122"/>
      <c r="X19" s="123">
        <f t="shared" si="1"/>
        <v>0</v>
      </c>
      <c r="Y19" s="124" t="e">
        <f t="shared" si="2"/>
        <v>#DIV/0!</v>
      </c>
      <c r="Z19" s="124"/>
      <c r="AA19" s="124" t="e">
        <f t="shared" si="3"/>
        <v>#DIV/0!</v>
      </c>
      <c r="AB19" s="125" t="e">
        <f t="shared" si="4"/>
        <v>#DIV/0!</v>
      </c>
      <c r="AC19" s="31" t="e">
        <f t="shared" si="5"/>
        <v>#DIV/0!</v>
      </c>
      <c r="AD19" s="126"/>
      <c r="AE19" s="127"/>
      <c r="AF19" s="127" t="e">
        <f t="shared" si="6"/>
        <v>#DIV/0!</v>
      </c>
      <c r="AG19" s="128" t="e">
        <f t="shared" si="7"/>
        <v>#DIV/0!</v>
      </c>
      <c r="AH19" s="128" t="e">
        <f t="shared" si="8"/>
        <v>#DIV/0!</v>
      </c>
      <c r="AI19" s="127" t="e">
        <f t="shared" si="9"/>
        <v>#DIV/0!</v>
      </c>
    </row>
    <row r="20" ht="15.5" customHeight="1" spans="1:36">
      <c r="A20" s="63"/>
      <c r="B20" s="56"/>
      <c r="C20" s="56"/>
      <c r="D20" s="56"/>
      <c r="E20" s="63"/>
      <c r="F20" s="24"/>
      <c r="G20" s="58"/>
      <c r="H20" s="21"/>
      <c r="I20" s="23"/>
      <c r="J20" s="121"/>
      <c r="K20" s="121"/>
      <c r="L20" s="26"/>
      <c r="M20" s="26"/>
      <c r="N20" s="26"/>
      <c r="O20" s="26"/>
      <c r="P20" s="26"/>
      <c r="Q20" s="26"/>
      <c r="R20" s="26"/>
      <c r="S20" s="23"/>
      <c r="T20" s="26"/>
      <c r="U20" s="26" t="str">
        <f t="shared" si="0"/>
        <v/>
      </c>
      <c r="V20" s="27"/>
      <c r="W20" s="122"/>
      <c r="X20" s="123">
        <f t="shared" si="1"/>
        <v>0</v>
      </c>
      <c r="Y20" s="124" t="e">
        <f t="shared" si="2"/>
        <v>#DIV/0!</v>
      </c>
      <c r="Z20" s="124"/>
      <c r="AA20" s="124" t="e">
        <f t="shared" si="3"/>
        <v>#DIV/0!</v>
      </c>
      <c r="AB20" s="125" t="e">
        <f t="shared" si="4"/>
        <v>#DIV/0!</v>
      </c>
      <c r="AC20" s="31" t="e">
        <f t="shared" si="5"/>
        <v>#DIV/0!</v>
      </c>
      <c r="AD20" s="126"/>
      <c r="AE20" s="127"/>
      <c r="AF20" s="127" t="e">
        <f t="shared" si="6"/>
        <v>#DIV/0!</v>
      </c>
      <c r="AG20" s="128" t="e">
        <f t="shared" si="7"/>
        <v>#DIV/0!</v>
      </c>
      <c r="AH20" s="128" t="e">
        <f t="shared" si="8"/>
        <v>#DIV/0!</v>
      </c>
      <c r="AI20" s="127" t="e">
        <f t="shared" si="9"/>
        <v>#DIV/0!</v>
      </c>
    </row>
    <row r="21" ht="15.5" customHeight="1" spans="1:36">
      <c r="A21" s="63"/>
      <c r="B21" s="56"/>
      <c r="C21" s="56"/>
      <c r="D21" s="56"/>
      <c r="E21" s="63"/>
      <c r="F21" s="24"/>
      <c r="G21" s="58"/>
      <c r="H21" s="21"/>
      <c r="I21" s="23"/>
      <c r="J21" s="121"/>
      <c r="K21" s="121"/>
      <c r="L21" s="26"/>
      <c r="M21" s="26"/>
      <c r="N21" s="26"/>
      <c r="O21" s="26"/>
      <c r="P21" s="26"/>
      <c r="Q21" s="26"/>
      <c r="R21" s="26"/>
      <c r="S21" s="23"/>
      <c r="T21" s="26"/>
      <c r="U21" s="26" t="str">
        <f t="shared" si="0"/>
        <v/>
      </c>
      <c r="V21" s="27"/>
      <c r="W21" s="122"/>
      <c r="X21" s="123">
        <f t="shared" si="1"/>
        <v>0</v>
      </c>
      <c r="Y21" s="124" t="e">
        <f t="shared" si="2"/>
        <v>#DIV/0!</v>
      </c>
      <c r="Z21" s="124"/>
      <c r="AA21" s="124" t="e">
        <f t="shared" si="3"/>
        <v>#DIV/0!</v>
      </c>
      <c r="AB21" s="125" t="e">
        <f t="shared" si="4"/>
        <v>#DIV/0!</v>
      </c>
      <c r="AC21" s="31" t="e">
        <f t="shared" si="5"/>
        <v>#DIV/0!</v>
      </c>
      <c r="AD21" s="126"/>
      <c r="AE21" s="127"/>
      <c r="AF21" s="127" t="e">
        <f t="shared" si="6"/>
        <v>#DIV/0!</v>
      </c>
      <c r="AG21" s="128" t="e">
        <f t="shared" si="7"/>
        <v>#DIV/0!</v>
      </c>
      <c r="AH21" s="128" t="e">
        <f t="shared" si="8"/>
        <v>#DIV/0!</v>
      </c>
      <c r="AI21" s="127" t="e">
        <f t="shared" si="9"/>
        <v>#DIV/0!</v>
      </c>
    </row>
    <row r="22" ht="15.5" customHeight="1" spans="1:36">
      <c r="A22" s="63"/>
      <c r="B22" s="56"/>
      <c r="C22" s="56"/>
      <c r="D22" s="56"/>
      <c r="E22" s="63"/>
      <c r="F22" s="24"/>
      <c r="G22" s="58"/>
      <c r="H22" s="21"/>
      <c r="I22" s="23"/>
      <c r="J22" s="121"/>
      <c r="K22" s="121"/>
      <c r="L22" s="26"/>
      <c r="M22" s="26"/>
      <c r="N22" s="26"/>
      <c r="O22" s="26"/>
      <c r="P22" s="26"/>
      <c r="Q22" s="26"/>
      <c r="R22" s="26"/>
      <c r="S22" s="23"/>
      <c r="T22" s="26"/>
      <c r="U22" s="26" t="str">
        <f t="shared" si="0"/>
        <v/>
      </c>
      <c r="V22" s="27"/>
      <c r="W22" s="122"/>
      <c r="X22" s="123">
        <f t="shared" si="1"/>
        <v>0</v>
      </c>
      <c r="Y22" s="124" t="e">
        <f t="shared" si="2"/>
        <v>#DIV/0!</v>
      </c>
      <c r="Z22" s="124"/>
      <c r="AA22" s="124" t="e">
        <f t="shared" si="3"/>
        <v>#DIV/0!</v>
      </c>
      <c r="AB22" s="125" t="e">
        <f t="shared" si="4"/>
        <v>#DIV/0!</v>
      </c>
      <c r="AC22" s="31" t="e">
        <f t="shared" si="5"/>
        <v>#DIV/0!</v>
      </c>
      <c r="AD22" s="126"/>
      <c r="AE22" s="127"/>
      <c r="AF22" s="127" t="e">
        <f t="shared" si="6"/>
        <v>#DIV/0!</v>
      </c>
      <c r="AG22" s="128" t="e">
        <f t="shared" si="7"/>
        <v>#DIV/0!</v>
      </c>
      <c r="AH22" s="128" t="e">
        <f t="shared" si="8"/>
        <v>#DIV/0!</v>
      </c>
      <c r="AI22" s="127" t="e">
        <f t="shared" si="9"/>
        <v>#DIV/0!</v>
      </c>
    </row>
    <row r="23" ht="15.5" customHeight="1" spans="1:36">
      <c r="A23" s="63"/>
      <c r="B23" s="56"/>
      <c r="C23" s="56"/>
      <c r="D23" s="56"/>
      <c r="E23" s="63"/>
      <c r="F23" s="24"/>
      <c r="G23" s="63"/>
      <c r="H23" s="21"/>
      <c r="I23" s="23"/>
      <c r="J23" s="121"/>
      <c r="K23" s="121"/>
      <c r="L23" s="26"/>
      <c r="M23" s="26"/>
      <c r="N23" s="26"/>
      <c r="O23" s="26"/>
      <c r="P23" s="26"/>
      <c r="Q23" s="26"/>
      <c r="R23" s="26"/>
      <c r="S23" s="23"/>
      <c r="T23" s="26"/>
      <c r="U23" s="26" t="str">
        <f t="shared" si="0"/>
        <v/>
      </c>
      <c r="V23" s="27"/>
      <c r="W23" s="122"/>
      <c r="X23" s="123">
        <f t="shared" si="1"/>
        <v>0</v>
      </c>
      <c r="Y23" s="124" t="e">
        <f t="shared" si="2"/>
        <v>#DIV/0!</v>
      </c>
      <c r="Z23" s="124"/>
      <c r="AA23" s="124" t="e">
        <f t="shared" si="3"/>
        <v>#DIV/0!</v>
      </c>
      <c r="AB23" s="125" t="e">
        <f t="shared" si="4"/>
        <v>#DIV/0!</v>
      </c>
      <c r="AC23" s="31" t="e">
        <f t="shared" si="5"/>
        <v>#DIV/0!</v>
      </c>
      <c r="AD23" s="126"/>
      <c r="AE23" s="127"/>
      <c r="AF23" s="127" t="e">
        <f t="shared" si="6"/>
        <v>#DIV/0!</v>
      </c>
      <c r="AG23" s="128" t="e">
        <f t="shared" si="7"/>
        <v>#DIV/0!</v>
      </c>
      <c r="AH23" s="128" t="e">
        <f t="shared" si="8"/>
        <v>#DIV/0!</v>
      </c>
      <c r="AI23" s="127" t="e">
        <f t="shared" si="9"/>
        <v>#DIV/0!</v>
      </c>
    </row>
    <row r="24" ht="15.5" customHeight="1" spans="1:36">
      <c r="A24" s="63"/>
      <c r="B24" s="56"/>
      <c r="C24" s="56"/>
      <c r="D24" s="56"/>
      <c r="E24" s="63"/>
      <c r="F24" s="24"/>
      <c r="G24" s="58"/>
      <c r="H24" s="21"/>
      <c r="I24" s="23"/>
      <c r="J24" s="121"/>
      <c r="K24" s="121"/>
      <c r="L24" s="26"/>
      <c r="M24" s="26"/>
      <c r="N24" s="26"/>
      <c r="O24" s="26"/>
      <c r="P24" s="26"/>
      <c r="Q24" s="26"/>
      <c r="R24" s="26"/>
      <c r="S24" s="23"/>
      <c r="T24" s="26"/>
      <c r="U24" s="26" t="str">
        <f t="shared" si="0"/>
        <v/>
      </c>
      <c r="V24" s="27"/>
      <c r="W24" s="122"/>
      <c r="X24" s="123">
        <f t="shared" si="1"/>
        <v>0</v>
      </c>
      <c r="Y24" s="124" t="e">
        <f t="shared" si="2"/>
        <v>#DIV/0!</v>
      </c>
      <c r="Z24" s="124"/>
      <c r="AA24" s="124" t="e">
        <f t="shared" si="3"/>
        <v>#DIV/0!</v>
      </c>
      <c r="AB24" s="125" t="e">
        <f t="shared" si="4"/>
        <v>#DIV/0!</v>
      </c>
      <c r="AC24" s="31" t="e">
        <f t="shared" si="5"/>
        <v>#DIV/0!</v>
      </c>
      <c r="AD24" s="126"/>
      <c r="AE24" s="127"/>
      <c r="AF24" s="127" t="e">
        <f t="shared" si="6"/>
        <v>#DIV/0!</v>
      </c>
      <c r="AG24" s="128" t="e">
        <f t="shared" si="7"/>
        <v>#DIV/0!</v>
      </c>
      <c r="AH24" s="128" t="e">
        <f t="shared" si="8"/>
        <v>#DIV/0!</v>
      </c>
      <c r="AI24" s="127" t="e">
        <f t="shared" si="9"/>
        <v>#DIV/0!</v>
      </c>
      <c r="AJ24" s="132"/>
    </row>
    <row r="25" ht="15.5" customHeight="1" spans="1:36">
      <c r="A25" s="63"/>
      <c r="B25" s="56"/>
      <c r="C25" s="56"/>
      <c r="D25" s="56"/>
      <c r="E25" s="63"/>
      <c r="F25" s="24"/>
      <c r="G25" s="63"/>
      <c r="H25" s="21"/>
      <c r="I25" s="23"/>
      <c r="J25" s="121"/>
      <c r="K25" s="121"/>
      <c r="L25" s="26"/>
      <c r="M25" s="26"/>
      <c r="N25" s="26"/>
      <c r="O25" s="26"/>
      <c r="P25" s="26"/>
      <c r="Q25" s="26"/>
      <c r="R25" s="26"/>
      <c r="S25" s="23"/>
      <c r="T25" s="26"/>
      <c r="U25" s="26" t="str">
        <f t="shared" si="0"/>
        <v/>
      </c>
      <c r="V25" s="27"/>
      <c r="W25" s="122"/>
      <c r="X25" s="123">
        <f t="shared" si="1"/>
        <v>0</v>
      </c>
      <c r="Y25" s="124" t="e">
        <f t="shared" si="2"/>
        <v>#DIV/0!</v>
      </c>
      <c r="Z25" s="124"/>
      <c r="AA25" s="124" t="e">
        <f t="shared" si="3"/>
        <v>#DIV/0!</v>
      </c>
      <c r="AB25" s="125" t="e">
        <f t="shared" si="4"/>
        <v>#DIV/0!</v>
      </c>
      <c r="AC25" s="31" t="e">
        <f t="shared" si="5"/>
        <v>#DIV/0!</v>
      </c>
      <c r="AD25" s="126"/>
      <c r="AE25" s="127"/>
      <c r="AF25" s="127" t="e">
        <f t="shared" si="6"/>
        <v>#DIV/0!</v>
      </c>
      <c r="AG25" s="128" t="e">
        <f t="shared" si="7"/>
        <v>#DIV/0!</v>
      </c>
      <c r="AH25" s="128" t="e">
        <f t="shared" si="8"/>
        <v>#DIV/0!</v>
      </c>
      <c r="AI25" s="127" t="e">
        <f t="shared" si="9"/>
        <v>#DIV/0!</v>
      </c>
      <c r="AJ25" s="129"/>
    </row>
    <row r="26" ht="15.5" customHeight="1" spans="1:36">
      <c r="A26" s="63"/>
      <c r="B26" s="56"/>
      <c r="C26" s="56"/>
      <c r="D26" s="56"/>
      <c r="E26" s="63"/>
      <c r="F26" s="24"/>
      <c r="G26" s="58"/>
      <c r="H26" s="21"/>
      <c r="I26" s="23"/>
      <c r="J26" s="121"/>
      <c r="K26" s="121"/>
      <c r="L26" s="26"/>
      <c r="M26" s="26"/>
      <c r="N26" s="26"/>
      <c r="O26" s="26"/>
      <c r="P26" s="26"/>
      <c r="Q26" s="26"/>
      <c r="R26" s="26"/>
      <c r="S26" s="23"/>
      <c r="T26" s="26"/>
      <c r="U26" s="26" t="str">
        <f t="shared" si="0"/>
        <v/>
      </c>
      <c r="V26" s="27"/>
      <c r="W26" s="122"/>
      <c r="X26" s="123">
        <f t="shared" si="1"/>
        <v>0</v>
      </c>
      <c r="Y26" s="124" t="e">
        <f t="shared" si="2"/>
        <v>#DIV/0!</v>
      </c>
      <c r="Z26" s="124"/>
      <c r="AA26" s="124" t="e">
        <f t="shared" si="3"/>
        <v>#DIV/0!</v>
      </c>
      <c r="AB26" s="125" t="e">
        <f t="shared" si="4"/>
        <v>#DIV/0!</v>
      </c>
      <c r="AC26" s="31" t="e">
        <f t="shared" si="5"/>
        <v>#DIV/0!</v>
      </c>
      <c r="AD26" s="126"/>
      <c r="AE26" s="127"/>
      <c r="AF26" s="127" t="e">
        <f t="shared" si="6"/>
        <v>#DIV/0!</v>
      </c>
      <c r="AG26" s="128" t="e">
        <f t="shared" si="7"/>
        <v>#DIV/0!</v>
      </c>
      <c r="AH26" s="128" t="e">
        <f t="shared" si="8"/>
        <v>#DIV/0!</v>
      </c>
      <c r="AI26" s="127" t="e">
        <f t="shared" si="9"/>
        <v>#DIV/0!</v>
      </c>
      <c r="AJ26" s="129"/>
    </row>
    <row r="27" ht="15.5" customHeight="1" spans="1:36">
      <c r="A27" s="63"/>
      <c r="B27" s="56"/>
      <c r="C27" s="56"/>
      <c r="D27" s="56"/>
      <c r="E27" s="63"/>
      <c r="F27" s="24"/>
      <c r="G27" s="58"/>
      <c r="H27" s="21"/>
      <c r="I27" s="23"/>
      <c r="J27" s="121"/>
      <c r="K27" s="121"/>
      <c r="L27" s="26"/>
      <c r="M27" s="26"/>
      <c r="N27" s="26"/>
      <c r="O27" s="26"/>
      <c r="P27" s="26"/>
      <c r="Q27" s="26"/>
      <c r="R27" s="26"/>
      <c r="S27" s="23"/>
      <c r="T27" s="26"/>
      <c r="U27" s="26" t="str">
        <f t="shared" si="0"/>
        <v/>
      </c>
      <c r="V27" s="27"/>
      <c r="W27" s="122"/>
      <c r="X27" s="123">
        <f t="shared" si="1"/>
        <v>0</v>
      </c>
      <c r="Y27" s="124" t="e">
        <f t="shared" si="2"/>
        <v>#DIV/0!</v>
      </c>
      <c r="Z27" s="124"/>
      <c r="AA27" s="124" t="e">
        <f t="shared" si="3"/>
        <v>#DIV/0!</v>
      </c>
      <c r="AB27" s="125" t="e">
        <f t="shared" si="4"/>
        <v>#DIV/0!</v>
      </c>
      <c r="AC27" s="31" t="e">
        <f t="shared" si="5"/>
        <v>#DIV/0!</v>
      </c>
      <c r="AD27" s="126"/>
      <c r="AE27" s="127"/>
      <c r="AF27" s="127" t="e">
        <f t="shared" si="6"/>
        <v>#DIV/0!</v>
      </c>
      <c r="AG27" s="128" t="e">
        <f t="shared" si="7"/>
        <v>#DIV/0!</v>
      </c>
      <c r="AH27" s="128" t="e">
        <f t="shared" si="8"/>
        <v>#DIV/0!</v>
      </c>
      <c r="AI27" s="127" t="e">
        <f t="shared" si="9"/>
        <v>#DIV/0!</v>
      </c>
    </row>
    <row r="28" ht="15.5" customHeight="1" spans="1:36">
      <c r="A28" s="63"/>
      <c r="B28" s="56"/>
      <c r="C28" s="56"/>
      <c r="D28" s="56"/>
      <c r="E28" s="63"/>
      <c r="F28" s="24"/>
      <c r="G28" s="63"/>
      <c r="H28" s="21"/>
      <c r="I28" s="23"/>
      <c r="J28" s="121"/>
      <c r="K28" s="121"/>
      <c r="L28" s="26"/>
      <c r="M28" s="26"/>
      <c r="N28" s="26"/>
      <c r="O28" s="26"/>
      <c r="P28" s="26"/>
      <c r="Q28" s="26"/>
      <c r="R28" s="26"/>
      <c r="S28" s="23"/>
      <c r="T28" s="26"/>
      <c r="U28" s="26" t="str">
        <f t="shared" si="0"/>
        <v/>
      </c>
      <c r="V28" s="27"/>
      <c r="W28" s="122"/>
      <c r="X28" s="123">
        <f t="shared" si="1"/>
        <v>0</v>
      </c>
      <c r="Y28" s="124" t="e">
        <f t="shared" si="2"/>
        <v>#DIV/0!</v>
      </c>
      <c r="Z28" s="124"/>
      <c r="AA28" s="124" t="e">
        <f t="shared" si="3"/>
        <v>#DIV/0!</v>
      </c>
      <c r="AB28" s="125" t="e">
        <f t="shared" si="4"/>
        <v>#DIV/0!</v>
      </c>
      <c r="AC28" s="31" t="e">
        <f t="shared" si="5"/>
        <v>#DIV/0!</v>
      </c>
      <c r="AD28" s="126"/>
      <c r="AE28" s="127"/>
      <c r="AF28" s="127" t="e">
        <f t="shared" si="6"/>
        <v>#DIV/0!</v>
      </c>
      <c r="AG28" s="128" t="e">
        <f t="shared" si="7"/>
        <v>#DIV/0!</v>
      </c>
      <c r="AH28" s="128" t="e">
        <f t="shared" si="8"/>
        <v>#DIV/0!</v>
      </c>
      <c r="AI28" s="127" t="e">
        <f t="shared" si="9"/>
        <v>#DIV/0!</v>
      </c>
      <c r="AJ28" s="129"/>
    </row>
    <row r="29" ht="15.5" customHeight="1" spans="1:36">
      <c r="A29" s="63"/>
      <c r="B29" s="56"/>
      <c r="C29" s="56"/>
      <c r="D29" s="56"/>
      <c r="E29" s="63"/>
      <c r="F29" s="24"/>
      <c r="G29" s="63"/>
      <c r="H29" s="21"/>
      <c r="I29" s="23"/>
      <c r="J29" s="121"/>
      <c r="K29" s="121"/>
      <c r="L29" s="26"/>
      <c r="M29" s="26"/>
      <c r="N29" s="26"/>
      <c r="O29" s="26"/>
      <c r="P29" s="26"/>
      <c r="Q29" s="26"/>
      <c r="R29" s="26"/>
      <c r="S29" s="23"/>
      <c r="T29" s="26"/>
      <c r="U29" s="26" t="str">
        <f t="shared" si="0"/>
        <v/>
      </c>
      <c r="V29" s="27"/>
      <c r="W29" s="122"/>
      <c r="X29" s="123">
        <f t="shared" si="1"/>
        <v>0</v>
      </c>
      <c r="Y29" s="124" t="e">
        <f t="shared" si="2"/>
        <v>#DIV/0!</v>
      </c>
      <c r="Z29" s="124"/>
      <c r="AA29" s="124" t="e">
        <f t="shared" si="3"/>
        <v>#DIV/0!</v>
      </c>
      <c r="AB29" s="125" t="e">
        <f t="shared" si="4"/>
        <v>#DIV/0!</v>
      </c>
      <c r="AC29" s="31" t="e">
        <f t="shared" si="5"/>
        <v>#DIV/0!</v>
      </c>
      <c r="AD29" s="126"/>
      <c r="AE29" s="127"/>
      <c r="AF29" s="127" t="e">
        <f t="shared" si="6"/>
        <v>#DIV/0!</v>
      </c>
      <c r="AG29" s="128" t="e">
        <f t="shared" si="7"/>
        <v>#DIV/0!</v>
      </c>
      <c r="AH29" s="128" t="e">
        <f t="shared" si="8"/>
        <v>#DIV/0!</v>
      </c>
      <c r="AI29" s="127" t="e">
        <f t="shared" si="9"/>
        <v>#DIV/0!</v>
      </c>
    </row>
    <row r="30" ht="15.5" customHeight="1" spans="1:36">
      <c r="A30" s="63"/>
      <c r="B30" s="56"/>
      <c r="C30" s="56"/>
      <c r="D30" s="59"/>
      <c r="E30" s="63"/>
      <c r="F30" s="24"/>
      <c r="G30" s="63"/>
      <c r="H30" s="21"/>
      <c r="I30" s="23"/>
      <c r="J30" s="121"/>
      <c r="K30" s="121"/>
      <c r="L30" s="26"/>
      <c r="M30" s="26"/>
      <c r="N30" s="26"/>
      <c r="O30" s="26"/>
      <c r="P30" s="26"/>
      <c r="Q30" s="26"/>
      <c r="R30" s="26"/>
      <c r="S30" s="23"/>
      <c r="T30" s="26"/>
      <c r="U30" s="26" t="str">
        <f t="shared" si="0"/>
        <v/>
      </c>
      <c r="V30" s="27"/>
      <c r="W30" s="122"/>
      <c r="X30" s="123">
        <f t="shared" si="1"/>
        <v>0</v>
      </c>
      <c r="Y30" s="124" t="e">
        <f t="shared" si="2"/>
        <v>#DIV/0!</v>
      </c>
      <c r="Z30" s="124"/>
      <c r="AA30" s="124" t="e">
        <f t="shared" si="3"/>
        <v>#DIV/0!</v>
      </c>
      <c r="AB30" s="125" t="e">
        <f t="shared" si="4"/>
        <v>#DIV/0!</v>
      </c>
      <c r="AC30" s="31" t="e">
        <f t="shared" si="5"/>
        <v>#DIV/0!</v>
      </c>
      <c r="AD30" s="126"/>
      <c r="AE30" s="127"/>
      <c r="AF30" s="127" t="e">
        <f t="shared" si="6"/>
        <v>#DIV/0!</v>
      </c>
      <c r="AG30" s="128" t="e">
        <f t="shared" si="7"/>
        <v>#DIV/0!</v>
      </c>
      <c r="AH30" s="128" t="e">
        <f t="shared" si="8"/>
        <v>#DIV/0!</v>
      </c>
      <c r="AI30" s="127" t="e">
        <f t="shared" si="9"/>
        <v>#DIV/0!</v>
      </c>
    </row>
    <row r="31" ht="15.5" customHeight="1" spans="1:36">
      <c r="A31" s="63"/>
      <c r="B31" s="56"/>
      <c r="C31" s="56"/>
      <c r="D31" s="59"/>
      <c r="E31" s="63"/>
      <c r="F31" s="24"/>
      <c r="G31" s="63"/>
      <c r="H31" s="21"/>
      <c r="I31" s="23"/>
      <c r="J31" s="121"/>
      <c r="K31" s="121"/>
      <c r="L31" s="26"/>
      <c r="M31" s="26"/>
      <c r="N31" s="26"/>
      <c r="O31" s="26"/>
      <c r="P31" s="26"/>
      <c r="Q31" s="26"/>
      <c r="R31" s="26"/>
      <c r="S31" s="23"/>
      <c r="T31" s="26"/>
      <c r="U31" s="26" t="str">
        <f t="shared" si="0"/>
        <v/>
      </c>
      <c r="V31" s="27"/>
      <c r="W31" s="122"/>
      <c r="X31" s="123">
        <f t="shared" si="1"/>
        <v>0</v>
      </c>
      <c r="Y31" s="124" t="e">
        <f t="shared" si="2"/>
        <v>#DIV/0!</v>
      </c>
      <c r="Z31" s="124"/>
      <c r="AA31" s="124" t="e">
        <f t="shared" si="3"/>
        <v>#DIV/0!</v>
      </c>
      <c r="AB31" s="125" t="e">
        <f t="shared" si="4"/>
        <v>#DIV/0!</v>
      </c>
      <c r="AC31" s="31" t="e">
        <f t="shared" si="5"/>
        <v>#DIV/0!</v>
      </c>
      <c r="AD31" s="126"/>
      <c r="AE31" s="127"/>
      <c r="AF31" s="127" t="e">
        <f t="shared" si="6"/>
        <v>#DIV/0!</v>
      </c>
      <c r="AG31" s="128" t="e">
        <f t="shared" si="7"/>
        <v>#DIV/0!</v>
      </c>
      <c r="AH31" s="128" t="e">
        <f t="shared" si="8"/>
        <v>#DIV/0!</v>
      </c>
      <c r="AI31" s="127" t="e">
        <f t="shared" si="9"/>
        <v>#DIV/0!</v>
      </c>
    </row>
    <row r="32" ht="15.5" customHeight="1" spans="1:36">
      <c r="A32" s="63"/>
      <c r="B32" s="56"/>
      <c r="C32" s="56"/>
      <c r="D32" s="59"/>
      <c r="E32" s="63"/>
      <c r="F32" s="24"/>
      <c r="G32" s="63"/>
      <c r="H32" s="21"/>
      <c r="I32" s="23"/>
      <c r="J32" s="121"/>
      <c r="K32" s="121"/>
      <c r="L32" s="26"/>
      <c r="M32" s="26"/>
      <c r="N32" s="26"/>
      <c r="O32" s="26"/>
      <c r="P32" s="26"/>
      <c r="Q32" s="26"/>
      <c r="R32" s="26"/>
      <c r="S32" s="23"/>
      <c r="T32" s="26"/>
      <c r="U32" s="26" t="str">
        <f t="shared" si="0"/>
        <v/>
      </c>
      <c r="V32" s="27"/>
      <c r="W32" s="122"/>
      <c r="X32" s="123">
        <f t="shared" si="1"/>
        <v>0</v>
      </c>
      <c r="Y32" s="124" t="e">
        <f t="shared" si="2"/>
        <v>#DIV/0!</v>
      </c>
      <c r="Z32" s="124"/>
      <c r="AA32" s="124" t="e">
        <f t="shared" si="3"/>
        <v>#DIV/0!</v>
      </c>
      <c r="AB32" s="125" t="e">
        <f t="shared" si="4"/>
        <v>#DIV/0!</v>
      </c>
      <c r="AC32" s="31" t="e">
        <f t="shared" si="5"/>
        <v>#DIV/0!</v>
      </c>
      <c r="AD32" s="126"/>
      <c r="AE32" s="127"/>
      <c r="AF32" s="127" t="e">
        <f t="shared" si="6"/>
        <v>#DIV/0!</v>
      </c>
      <c r="AG32" s="128" t="e">
        <f t="shared" si="7"/>
        <v>#DIV/0!</v>
      </c>
      <c r="AH32" s="128" t="e">
        <f t="shared" si="8"/>
        <v>#DIV/0!</v>
      </c>
      <c r="AI32" s="127" t="e">
        <f t="shared" si="9"/>
        <v>#DIV/0!</v>
      </c>
    </row>
    <row r="33" ht="15.5" customHeight="1" spans="1:35">
      <c r="A33" s="63"/>
      <c r="B33" s="56"/>
      <c r="C33" s="56"/>
      <c r="D33" s="59"/>
      <c r="E33" s="63"/>
      <c r="F33" s="24"/>
      <c r="G33" s="63"/>
      <c r="H33" s="21"/>
      <c r="I33" s="23"/>
      <c r="J33" s="121"/>
      <c r="K33" s="121"/>
      <c r="L33" s="26"/>
      <c r="M33" s="26"/>
      <c r="N33" s="26"/>
      <c r="O33" s="26"/>
      <c r="P33" s="26"/>
      <c r="Q33" s="26"/>
      <c r="R33" s="26"/>
      <c r="S33" s="23"/>
      <c r="T33" s="26"/>
      <c r="U33" s="26" t="str">
        <f t="shared" si="0"/>
        <v/>
      </c>
      <c r="V33" s="27"/>
      <c r="W33" s="122"/>
      <c r="X33" s="123">
        <f t="shared" si="1"/>
        <v>0</v>
      </c>
      <c r="Y33" s="124" t="e">
        <f t="shared" si="2"/>
        <v>#DIV/0!</v>
      </c>
      <c r="Z33" s="124"/>
      <c r="AA33" s="124" t="e">
        <f t="shared" si="3"/>
        <v>#DIV/0!</v>
      </c>
      <c r="AB33" s="125" t="e">
        <f t="shared" si="4"/>
        <v>#DIV/0!</v>
      </c>
      <c r="AC33" s="31" t="e">
        <f t="shared" si="5"/>
        <v>#DIV/0!</v>
      </c>
      <c r="AD33" s="126"/>
      <c r="AE33" s="127"/>
      <c r="AF33" s="127" t="e">
        <f t="shared" si="6"/>
        <v>#DIV/0!</v>
      </c>
      <c r="AG33" s="128" t="e">
        <f t="shared" si="7"/>
        <v>#DIV/0!</v>
      </c>
      <c r="AH33" s="128" t="e">
        <f t="shared" si="8"/>
        <v>#DIV/0!</v>
      </c>
      <c r="AI33" s="127" t="e">
        <f t="shared" si="9"/>
        <v>#DIV/0!</v>
      </c>
    </row>
    <row r="34" ht="15.5" customHeight="1" spans="1:35">
      <c r="A34" s="63"/>
      <c r="B34" s="56"/>
      <c r="C34" s="56"/>
      <c r="D34" s="59"/>
      <c r="E34" s="63"/>
      <c r="F34" s="24"/>
      <c r="G34" s="63"/>
      <c r="H34" s="21"/>
      <c r="I34" s="23"/>
      <c r="J34" s="121"/>
      <c r="K34" s="121"/>
      <c r="L34" s="26"/>
      <c r="M34" s="26"/>
      <c r="N34" s="26"/>
      <c r="O34" s="26"/>
      <c r="P34" s="26"/>
      <c r="Q34" s="26"/>
      <c r="R34" s="26"/>
      <c r="S34" s="23"/>
      <c r="T34" s="26"/>
      <c r="U34" s="26" t="str">
        <f t="shared" si="0"/>
        <v/>
      </c>
      <c r="V34" s="27"/>
      <c r="W34" s="122"/>
      <c r="X34" s="123">
        <f t="shared" si="1"/>
        <v>0</v>
      </c>
      <c r="Y34" s="124" t="e">
        <f t="shared" si="2"/>
        <v>#DIV/0!</v>
      </c>
      <c r="Z34" s="124"/>
      <c r="AA34" s="124" t="e">
        <f t="shared" si="3"/>
        <v>#DIV/0!</v>
      </c>
      <c r="AB34" s="125" t="e">
        <f t="shared" si="4"/>
        <v>#DIV/0!</v>
      </c>
      <c r="AC34" s="31" t="e">
        <f t="shared" si="5"/>
        <v>#DIV/0!</v>
      </c>
      <c r="AD34" s="126"/>
      <c r="AE34" s="127"/>
      <c r="AF34" s="127" t="e">
        <f t="shared" si="6"/>
        <v>#DIV/0!</v>
      </c>
      <c r="AG34" s="128" t="e">
        <f t="shared" si="7"/>
        <v>#DIV/0!</v>
      </c>
      <c r="AH34" s="128" t="e">
        <f t="shared" si="8"/>
        <v>#DIV/0!</v>
      </c>
      <c r="AI34" s="127" t="e">
        <f t="shared" si="9"/>
        <v>#DIV/0!</v>
      </c>
    </row>
    <row r="35" ht="15.5" customHeight="1" spans="1:35">
      <c r="A35" s="63"/>
      <c r="B35" s="56"/>
      <c r="C35" s="56"/>
      <c r="D35" s="59"/>
      <c r="E35" s="63"/>
      <c r="F35" s="24"/>
      <c r="G35" s="63"/>
      <c r="H35" s="21"/>
      <c r="I35" s="23"/>
      <c r="J35" s="121"/>
      <c r="K35" s="121"/>
      <c r="L35" s="26"/>
      <c r="M35" s="26"/>
      <c r="N35" s="26"/>
      <c r="O35" s="26"/>
      <c r="P35" s="26"/>
      <c r="Q35" s="26"/>
      <c r="R35" s="26"/>
      <c r="S35" s="23"/>
      <c r="T35" s="26"/>
      <c r="U35" s="26" t="str">
        <f t="shared" si="0"/>
        <v/>
      </c>
      <c r="V35" s="27"/>
      <c r="W35" s="122"/>
      <c r="X35" s="123">
        <f t="shared" si="1"/>
        <v>0</v>
      </c>
      <c r="Y35" s="124" t="e">
        <f t="shared" si="2"/>
        <v>#DIV/0!</v>
      </c>
      <c r="Z35" s="124"/>
      <c r="AA35" s="124" t="e">
        <f t="shared" si="3"/>
        <v>#DIV/0!</v>
      </c>
      <c r="AB35" s="125" t="e">
        <f t="shared" si="4"/>
        <v>#DIV/0!</v>
      </c>
      <c r="AC35" s="31" t="e">
        <f t="shared" si="5"/>
        <v>#DIV/0!</v>
      </c>
      <c r="AD35" s="126"/>
      <c r="AE35" s="127"/>
      <c r="AF35" s="127" t="e">
        <f t="shared" si="6"/>
        <v>#DIV/0!</v>
      </c>
      <c r="AG35" s="128" t="e">
        <f t="shared" si="7"/>
        <v>#DIV/0!</v>
      </c>
      <c r="AH35" s="128" t="e">
        <f t="shared" si="8"/>
        <v>#DIV/0!</v>
      </c>
      <c r="AI35" s="127" t="e">
        <f t="shared" si="9"/>
        <v>#DIV/0!</v>
      </c>
    </row>
    <row r="36" ht="15.5" customHeight="1" spans="1:35">
      <c r="A36" s="63"/>
      <c r="B36" s="56"/>
      <c r="C36" s="56"/>
      <c r="D36" s="59"/>
      <c r="E36" s="63"/>
      <c r="F36" s="24"/>
      <c r="G36" s="63"/>
      <c r="H36" s="21"/>
      <c r="I36" s="23"/>
      <c r="J36" s="121"/>
      <c r="K36" s="121"/>
      <c r="L36" s="26"/>
      <c r="M36" s="26"/>
      <c r="N36" s="26"/>
      <c r="O36" s="26"/>
      <c r="P36" s="26"/>
      <c r="Q36" s="26"/>
      <c r="R36" s="26"/>
      <c r="S36" s="23"/>
      <c r="T36" s="26"/>
      <c r="U36" s="26" t="str">
        <f t="shared" si="0"/>
        <v/>
      </c>
      <c r="V36" s="27"/>
      <c r="W36" s="122"/>
      <c r="X36" s="123">
        <f t="shared" si="1"/>
        <v>0</v>
      </c>
      <c r="Y36" s="124" t="e">
        <f t="shared" si="2"/>
        <v>#DIV/0!</v>
      </c>
      <c r="Z36" s="124"/>
      <c r="AA36" s="124" t="e">
        <f t="shared" si="3"/>
        <v>#DIV/0!</v>
      </c>
      <c r="AB36" s="125" t="e">
        <f t="shared" si="4"/>
        <v>#DIV/0!</v>
      </c>
      <c r="AC36" s="31" t="e">
        <f t="shared" si="5"/>
        <v>#DIV/0!</v>
      </c>
      <c r="AD36" s="126"/>
      <c r="AE36" s="127"/>
      <c r="AF36" s="127" t="e">
        <f t="shared" si="6"/>
        <v>#DIV/0!</v>
      </c>
      <c r="AG36" s="128" t="e">
        <f t="shared" si="7"/>
        <v>#DIV/0!</v>
      </c>
      <c r="AH36" s="128" t="e">
        <f t="shared" si="8"/>
        <v>#DIV/0!</v>
      </c>
      <c r="AI36" s="127" t="e">
        <f t="shared" si="9"/>
        <v>#DIV/0!</v>
      </c>
    </row>
    <row r="37" ht="15.5" customHeight="1" spans="1:35">
      <c r="A37" s="63"/>
      <c r="B37" s="56"/>
      <c r="C37" s="56"/>
      <c r="D37" s="59"/>
      <c r="E37" s="63"/>
      <c r="F37" s="24"/>
      <c r="G37" s="63"/>
      <c r="H37" s="21"/>
      <c r="I37" s="23"/>
      <c r="J37" s="121"/>
      <c r="K37" s="121"/>
      <c r="L37" s="26"/>
      <c r="M37" s="26"/>
      <c r="N37" s="26"/>
      <c r="O37" s="26"/>
      <c r="P37" s="26"/>
      <c r="Q37" s="26"/>
      <c r="R37" s="26"/>
      <c r="S37" s="23"/>
      <c r="T37" s="26"/>
      <c r="U37" s="26" t="str">
        <f t="shared" si="0"/>
        <v/>
      </c>
      <c r="V37" s="27"/>
      <c r="W37" s="122"/>
      <c r="X37" s="123">
        <f t="shared" si="1"/>
        <v>0</v>
      </c>
      <c r="Y37" s="124" t="e">
        <f t="shared" si="2"/>
        <v>#DIV/0!</v>
      </c>
      <c r="Z37" s="124"/>
      <c r="AA37" s="124" t="e">
        <f t="shared" si="3"/>
        <v>#DIV/0!</v>
      </c>
      <c r="AB37" s="125" t="e">
        <f t="shared" si="4"/>
        <v>#DIV/0!</v>
      </c>
      <c r="AC37" s="31" t="e">
        <f t="shared" si="5"/>
        <v>#DIV/0!</v>
      </c>
      <c r="AD37" s="126"/>
      <c r="AE37" s="127"/>
      <c r="AF37" s="127" t="e">
        <f t="shared" si="6"/>
        <v>#DIV/0!</v>
      </c>
      <c r="AG37" s="128" t="e">
        <f t="shared" si="7"/>
        <v>#DIV/0!</v>
      </c>
      <c r="AH37" s="128" t="e">
        <f t="shared" si="8"/>
        <v>#DIV/0!</v>
      </c>
      <c r="AI37" s="127" t="e">
        <f t="shared" si="9"/>
        <v>#DIV/0!</v>
      </c>
    </row>
    <row r="38" ht="15.5" customHeight="1" spans="1:35">
      <c r="A38" s="63"/>
      <c r="B38" s="56"/>
      <c r="C38" s="56"/>
      <c r="D38" s="59"/>
      <c r="E38" s="63"/>
      <c r="F38" s="24"/>
      <c r="G38" s="63"/>
      <c r="H38" s="21"/>
      <c r="I38" s="23"/>
      <c r="J38" s="121"/>
      <c r="K38" s="121"/>
      <c r="L38" s="26"/>
      <c r="M38" s="26"/>
      <c r="N38" s="26"/>
      <c r="O38" s="26"/>
      <c r="P38" s="26"/>
      <c r="Q38" s="26"/>
      <c r="R38" s="26"/>
      <c r="S38" s="23"/>
      <c r="T38" s="26"/>
      <c r="U38" s="26" t="str">
        <f t="shared" si="0"/>
        <v/>
      </c>
      <c r="V38" s="27"/>
      <c r="W38" s="122"/>
      <c r="X38" s="123">
        <f t="shared" si="1"/>
        <v>0</v>
      </c>
      <c r="Y38" s="124" t="e">
        <f t="shared" si="2"/>
        <v>#DIV/0!</v>
      </c>
      <c r="Z38" s="124"/>
      <c r="AA38" s="124" t="e">
        <f t="shared" si="3"/>
        <v>#DIV/0!</v>
      </c>
      <c r="AB38" s="125" t="e">
        <f t="shared" si="4"/>
        <v>#DIV/0!</v>
      </c>
      <c r="AC38" s="31" t="e">
        <f t="shared" si="5"/>
        <v>#DIV/0!</v>
      </c>
      <c r="AD38" s="126"/>
      <c r="AE38" s="127"/>
      <c r="AF38" s="127" t="e">
        <f t="shared" si="6"/>
        <v>#DIV/0!</v>
      </c>
      <c r="AG38" s="128" t="e">
        <f t="shared" si="7"/>
        <v>#DIV/0!</v>
      </c>
      <c r="AH38" s="128" t="e">
        <f t="shared" si="8"/>
        <v>#DIV/0!</v>
      </c>
      <c r="AI38" s="127" t="e">
        <f t="shared" si="9"/>
        <v>#DIV/0!</v>
      </c>
    </row>
    <row r="39" ht="15.5" customHeight="1" spans="1:35">
      <c r="A39" s="63"/>
      <c r="B39" s="56"/>
      <c r="C39" s="56"/>
      <c r="D39" s="59"/>
      <c r="E39" s="63"/>
      <c r="F39" s="24"/>
      <c r="G39" s="63"/>
      <c r="H39" s="21"/>
      <c r="I39" s="23"/>
      <c r="J39" s="121"/>
      <c r="K39" s="121"/>
      <c r="L39" s="26"/>
      <c r="M39" s="26"/>
      <c r="N39" s="26"/>
      <c r="O39" s="26"/>
      <c r="P39" s="26"/>
      <c r="Q39" s="26"/>
      <c r="R39" s="26"/>
      <c r="S39" s="23"/>
      <c r="T39" s="26"/>
      <c r="U39" s="26" t="str">
        <f t="shared" si="0"/>
        <v/>
      </c>
      <c r="V39" s="27"/>
      <c r="W39" s="122"/>
      <c r="X39" s="123">
        <f t="shared" si="1"/>
        <v>0</v>
      </c>
      <c r="Y39" s="124" t="e">
        <f t="shared" si="2"/>
        <v>#DIV/0!</v>
      </c>
      <c r="Z39" s="124"/>
      <c r="AA39" s="124" t="e">
        <f t="shared" si="3"/>
        <v>#DIV/0!</v>
      </c>
      <c r="AB39" s="125" t="e">
        <f t="shared" si="4"/>
        <v>#DIV/0!</v>
      </c>
      <c r="AC39" s="31" t="e">
        <f t="shared" si="5"/>
        <v>#DIV/0!</v>
      </c>
      <c r="AD39" s="126"/>
      <c r="AE39" s="127"/>
      <c r="AF39" s="127" t="e">
        <f t="shared" si="6"/>
        <v>#DIV/0!</v>
      </c>
      <c r="AG39" s="128" t="e">
        <f t="shared" si="7"/>
        <v>#DIV/0!</v>
      </c>
      <c r="AH39" s="128" t="e">
        <f t="shared" si="8"/>
        <v>#DIV/0!</v>
      </c>
      <c r="AI39" s="127" t="e">
        <f t="shared" si="9"/>
        <v>#DIV/0!</v>
      </c>
    </row>
    <row r="40" ht="15.5" customHeight="1" spans="1:35">
      <c r="A40" s="63"/>
      <c r="B40" s="56"/>
      <c r="C40" s="56"/>
      <c r="D40" s="59"/>
      <c r="E40" s="63"/>
      <c r="F40" s="24"/>
      <c r="G40" s="63"/>
      <c r="H40" s="21"/>
      <c r="I40" s="23"/>
      <c r="J40" s="121"/>
      <c r="K40" s="121"/>
      <c r="L40" s="26"/>
      <c r="M40" s="26"/>
      <c r="N40" s="26"/>
      <c r="O40" s="26"/>
      <c r="P40" s="26"/>
      <c r="Q40" s="26"/>
      <c r="R40" s="26"/>
      <c r="S40" s="23"/>
      <c r="T40" s="26"/>
      <c r="U40" s="26" t="str">
        <f t="shared" si="0"/>
        <v/>
      </c>
      <c r="V40" s="27"/>
      <c r="W40" s="122"/>
      <c r="X40" s="123">
        <f t="shared" si="1"/>
        <v>0</v>
      </c>
      <c r="Y40" s="124" t="e">
        <f t="shared" si="2"/>
        <v>#DIV/0!</v>
      </c>
      <c r="Z40" s="124"/>
      <c r="AA40" s="124" t="e">
        <f t="shared" si="3"/>
        <v>#DIV/0!</v>
      </c>
      <c r="AB40" s="125" t="e">
        <f t="shared" si="4"/>
        <v>#DIV/0!</v>
      </c>
      <c r="AC40" s="31" t="e">
        <f t="shared" si="5"/>
        <v>#DIV/0!</v>
      </c>
      <c r="AD40" s="126"/>
      <c r="AE40" s="127"/>
      <c r="AF40" s="127" t="e">
        <f t="shared" si="6"/>
        <v>#DIV/0!</v>
      </c>
      <c r="AG40" s="128" t="e">
        <f t="shared" si="7"/>
        <v>#DIV/0!</v>
      </c>
      <c r="AH40" s="128" t="e">
        <f t="shared" si="8"/>
        <v>#DIV/0!</v>
      </c>
      <c r="AI40" s="127" t="e">
        <f t="shared" si="9"/>
        <v>#DIV/0!</v>
      </c>
    </row>
    <row r="41" ht="15.5" customHeight="1" spans="1:35">
      <c r="A41" s="63"/>
      <c r="B41" s="56"/>
      <c r="C41" s="56"/>
      <c r="D41" s="59"/>
      <c r="E41" s="63"/>
      <c r="F41" s="24"/>
      <c r="G41" s="63"/>
      <c r="H41" s="21"/>
      <c r="I41" s="23"/>
      <c r="J41" s="121"/>
      <c r="K41" s="121"/>
      <c r="L41" s="26"/>
      <c r="M41" s="26"/>
      <c r="N41" s="26"/>
      <c r="O41" s="26"/>
      <c r="P41" s="26"/>
      <c r="Q41" s="26"/>
      <c r="R41" s="26"/>
      <c r="S41" s="23"/>
      <c r="T41" s="26"/>
      <c r="U41" s="26" t="str">
        <f t="shared" si="0"/>
        <v/>
      </c>
      <c r="V41" s="27"/>
      <c r="W41" s="122"/>
      <c r="X41" s="123">
        <f t="shared" si="1"/>
        <v>0</v>
      </c>
      <c r="Y41" s="124" t="e">
        <f t="shared" si="2"/>
        <v>#DIV/0!</v>
      </c>
      <c r="Z41" s="124"/>
      <c r="AA41" s="124" t="e">
        <f t="shared" si="3"/>
        <v>#DIV/0!</v>
      </c>
      <c r="AB41" s="125" t="e">
        <f t="shared" si="4"/>
        <v>#DIV/0!</v>
      </c>
      <c r="AC41" s="31" t="e">
        <f t="shared" si="5"/>
        <v>#DIV/0!</v>
      </c>
      <c r="AD41" s="126"/>
      <c r="AE41" s="127"/>
      <c r="AF41" s="127" t="e">
        <f t="shared" si="6"/>
        <v>#DIV/0!</v>
      </c>
      <c r="AG41" s="128" t="e">
        <f t="shared" si="7"/>
        <v>#DIV/0!</v>
      </c>
      <c r="AH41" s="128" t="e">
        <f t="shared" si="8"/>
        <v>#DIV/0!</v>
      </c>
      <c r="AI41" s="127" t="e">
        <f t="shared" si="9"/>
        <v>#DIV/0!</v>
      </c>
    </row>
    <row r="42" ht="15.5" customHeight="1" spans="1:35">
      <c r="A42" s="63"/>
      <c r="B42" s="56"/>
      <c r="C42" s="56"/>
      <c r="D42" s="59"/>
      <c r="E42" s="63"/>
      <c r="F42" s="24"/>
      <c r="G42" s="63"/>
      <c r="H42" s="21"/>
      <c r="I42" s="23"/>
      <c r="J42" s="121"/>
      <c r="K42" s="121"/>
      <c r="L42" s="26"/>
      <c r="M42" s="26"/>
      <c r="N42" s="26"/>
      <c r="O42" s="26"/>
      <c r="P42" s="26"/>
      <c r="Q42" s="26"/>
      <c r="R42" s="26"/>
      <c r="S42" s="23"/>
      <c r="T42" s="26"/>
      <c r="U42" s="26" t="str">
        <f t="shared" si="0"/>
        <v/>
      </c>
      <c r="V42" s="27"/>
      <c r="W42" s="122"/>
      <c r="X42" s="123">
        <f t="shared" si="1"/>
        <v>0</v>
      </c>
      <c r="Y42" s="124" t="e">
        <f t="shared" si="2"/>
        <v>#DIV/0!</v>
      </c>
      <c r="Z42" s="124"/>
      <c r="AA42" s="124" t="e">
        <f t="shared" si="3"/>
        <v>#DIV/0!</v>
      </c>
      <c r="AB42" s="125" t="e">
        <f t="shared" si="4"/>
        <v>#DIV/0!</v>
      </c>
      <c r="AC42" s="31" t="e">
        <f t="shared" si="5"/>
        <v>#DIV/0!</v>
      </c>
      <c r="AD42" s="126"/>
      <c r="AE42" s="127"/>
      <c r="AF42" s="127" t="e">
        <f t="shared" si="6"/>
        <v>#DIV/0!</v>
      </c>
      <c r="AG42" s="128" t="e">
        <f t="shared" si="7"/>
        <v>#DIV/0!</v>
      </c>
      <c r="AH42" s="128" t="e">
        <f t="shared" si="8"/>
        <v>#DIV/0!</v>
      </c>
      <c r="AI42" s="127" t="e">
        <f t="shared" si="9"/>
        <v>#DIV/0!</v>
      </c>
    </row>
    <row r="43" ht="15.5" customHeight="1" spans="1:35">
      <c r="A43" s="63"/>
      <c r="B43" s="56"/>
      <c r="C43" s="56"/>
      <c r="D43" s="59"/>
      <c r="E43" s="63"/>
      <c r="F43" s="24"/>
      <c r="G43" s="63"/>
      <c r="H43" s="21"/>
      <c r="I43" s="23"/>
      <c r="J43" s="121"/>
      <c r="K43" s="121"/>
      <c r="L43" s="26"/>
      <c r="M43" s="26"/>
      <c r="N43" s="26"/>
      <c r="O43" s="26"/>
      <c r="P43" s="26"/>
      <c r="Q43" s="26"/>
      <c r="R43" s="26"/>
      <c r="S43" s="23"/>
      <c r="T43" s="26"/>
      <c r="U43" s="26" t="str">
        <f t="shared" si="0"/>
        <v/>
      </c>
      <c r="V43" s="27"/>
      <c r="W43" s="122"/>
      <c r="X43" s="123">
        <f t="shared" si="1"/>
        <v>0</v>
      </c>
      <c r="Y43" s="124" t="e">
        <f t="shared" si="2"/>
        <v>#DIV/0!</v>
      </c>
      <c r="Z43" s="124"/>
      <c r="AA43" s="124" t="e">
        <f t="shared" si="3"/>
        <v>#DIV/0!</v>
      </c>
      <c r="AB43" s="125" t="e">
        <f t="shared" si="4"/>
        <v>#DIV/0!</v>
      </c>
      <c r="AC43" s="31" t="e">
        <f t="shared" si="5"/>
        <v>#DIV/0!</v>
      </c>
      <c r="AD43" s="126"/>
      <c r="AE43" s="127"/>
      <c r="AF43" s="127" t="e">
        <f t="shared" si="6"/>
        <v>#DIV/0!</v>
      </c>
      <c r="AG43" s="128" t="e">
        <f t="shared" si="7"/>
        <v>#DIV/0!</v>
      </c>
      <c r="AH43" s="128" t="e">
        <f t="shared" si="8"/>
        <v>#DIV/0!</v>
      </c>
      <c r="AI43" s="127" t="e">
        <f t="shared" si="9"/>
        <v>#DIV/0!</v>
      </c>
    </row>
    <row r="44" ht="15.5" customHeight="1" spans="1:35">
      <c r="A44" s="63"/>
      <c r="B44" s="56"/>
      <c r="C44" s="56"/>
      <c r="D44" s="59"/>
      <c r="E44" s="63"/>
      <c r="F44" s="24"/>
      <c r="G44" s="63"/>
      <c r="H44" s="21"/>
      <c r="I44" s="23"/>
      <c r="J44" s="121"/>
      <c r="K44" s="121"/>
      <c r="L44" s="26"/>
      <c r="M44" s="26"/>
      <c r="N44" s="26"/>
      <c r="O44" s="26"/>
      <c r="P44" s="26"/>
      <c r="Q44" s="26"/>
      <c r="R44" s="26"/>
      <c r="S44" s="23"/>
      <c r="T44" s="26"/>
      <c r="U44" s="26" t="str">
        <f t="shared" si="0"/>
        <v/>
      </c>
      <c r="V44" s="27"/>
      <c r="W44" s="122"/>
      <c r="X44" s="123">
        <f t="shared" si="1"/>
        <v>0</v>
      </c>
      <c r="Y44" s="124" t="e">
        <f t="shared" si="2"/>
        <v>#DIV/0!</v>
      </c>
      <c r="Z44" s="124"/>
      <c r="AA44" s="124" t="e">
        <f t="shared" si="3"/>
        <v>#DIV/0!</v>
      </c>
      <c r="AB44" s="125" t="e">
        <f t="shared" si="4"/>
        <v>#DIV/0!</v>
      </c>
      <c r="AC44" s="31" t="e">
        <f t="shared" si="5"/>
        <v>#DIV/0!</v>
      </c>
      <c r="AD44" s="126"/>
      <c r="AE44" s="127"/>
      <c r="AF44" s="127" t="e">
        <f t="shared" si="6"/>
        <v>#DIV/0!</v>
      </c>
      <c r="AG44" s="128" t="e">
        <f t="shared" si="7"/>
        <v>#DIV/0!</v>
      </c>
      <c r="AH44" s="128" t="e">
        <f t="shared" si="8"/>
        <v>#DIV/0!</v>
      </c>
      <c r="AI44" s="127" t="e">
        <f t="shared" si="9"/>
        <v>#DIV/0!</v>
      </c>
    </row>
    <row r="45" ht="15.5" customHeight="1" spans="1:35">
      <c r="A45" s="63"/>
      <c r="B45" s="56"/>
      <c r="C45" s="56"/>
      <c r="D45" s="59"/>
      <c r="E45" s="63"/>
      <c r="F45" s="24"/>
      <c r="G45" s="63"/>
      <c r="H45" s="21"/>
      <c r="I45" s="23"/>
      <c r="J45" s="121"/>
      <c r="K45" s="121"/>
      <c r="L45" s="26"/>
      <c r="M45" s="26"/>
      <c r="N45" s="26"/>
      <c r="O45" s="26"/>
      <c r="P45" s="26"/>
      <c r="Q45" s="26"/>
      <c r="R45" s="26"/>
      <c r="S45" s="23"/>
      <c r="T45" s="26"/>
      <c r="U45" s="26" t="str">
        <f t="shared" si="0"/>
        <v/>
      </c>
      <c r="V45" s="27"/>
      <c r="W45" s="122"/>
      <c r="X45" s="123">
        <f t="shared" si="1"/>
        <v>0</v>
      </c>
      <c r="Y45" s="124" t="e">
        <f t="shared" si="2"/>
        <v>#DIV/0!</v>
      </c>
      <c r="Z45" s="124"/>
      <c r="AA45" s="124" t="e">
        <f t="shared" si="3"/>
        <v>#DIV/0!</v>
      </c>
      <c r="AB45" s="125" t="e">
        <f t="shared" si="4"/>
        <v>#DIV/0!</v>
      </c>
      <c r="AC45" s="31" t="e">
        <f t="shared" si="5"/>
        <v>#DIV/0!</v>
      </c>
      <c r="AD45" s="126"/>
      <c r="AE45" s="127"/>
      <c r="AF45" s="127" t="e">
        <f t="shared" si="6"/>
        <v>#DIV/0!</v>
      </c>
      <c r="AG45" s="128" t="e">
        <f t="shared" si="7"/>
        <v>#DIV/0!</v>
      </c>
      <c r="AH45" s="128" t="e">
        <f t="shared" si="8"/>
        <v>#DIV/0!</v>
      </c>
      <c r="AI45" s="127" t="e">
        <f t="shared" si="9"/>
        <v>#DIV/0!</v>
      </c>
    </row>
    <row r="46" ht="15.5" customHeight="1" spans="1:35">
      <c r="A46" s="63"/>
      <c r="B46" s="56"/>
      <c r="C46" s="56"/>
      <c r="D46" s="59"/>
      <c r="E46" s="63"/>
      <c r="F46" s="24"/>
      <c r="G46" s="63"/>
      <c r="H46" s="21"/>
      <c r="I46" s="23"/>
      <c r="J46" s="121"/>
      <c r="K46" s="121"/>
      <c r="L46" s="26"/>
      <c r="M46" s="26"/>
      <c r="N46" s="26"/>
      <c r="O46" s="26"/>
      <c r="P46" s="26"/>
      <c r="Q46" s="26"/>
      <c r="R46" s="26"/>
      <c r="S46" s="23"/>
      <c r="T46" s="26"/>
      <c r="U46" s="26" t="str">
        <f t="shared" si="0"/>
        <v/>
      </c>
      <c r="V46" s="27"/>
      <c r="W46" s="122"/>
      <c r="X46" s="123">
        <f t="shared" si="1"/>
        <v>0</v>
      </c>
      <c r="Y46" s="124" t="e">
        <f t="shared" si="2"/>
        <v>#DIV/0!</v>
      </c>
      <c r="Z46" s="124"/>
      <c r="AA46" s="124" t="e">
        <f t="shared" si="3"/>
        <v>#DIV/0!</v>
      </c>
      <c r="AB46" s="125" t="e">
        <f t="shared" si="4"/>
        <v>#DIV/0!</v>
      </c>
      <c r="AC46" s="31" t="e">
        <f t="shared" si="5"/>
        <v>#DIV/0!</v>
      </c>
      <c r="AD46" s="126"/>
      <c r="AE46" s="127"/>
      <c r="AF46" s="127" t="e">
        <f t="shared" si="6"/>
        <v>#DIV/0!</v>
      </c>
      <c r="AG46" s="128" t="e">
        <f t="shared" si="7"/>
        <v>#DIV/0!</v>
      </c>
      <c r="AH46" s="128" t="e">
        <f t="shared" si="8"/>
        <v>#DIV/0!</v>
      </c>
      <c r="AI46" s="127" t="e">
        <f t="shared" si="9"/>
        <v>#DIV/0!</v>
      </c>
    </row>
    <row r="47" ht="15.5" customHeight="1" spans="1:35">
      <c r="A47" s="63"/>
      <c r="B47" s="56"/>
      <c r="C47" s="56"/>
      <c r="D47" s="59"/>
      <c r="E47" s="63"/>
      <c r="F47" s="24"/>
      <c r="G47" s="63"/>
      <c r="H47" s="21"/>
      <c r="I47" s="23"/>
      <c r="J47" s="121"/>
      <c r="K47" s="121"/>
      <c r="L47" s="26"/>
      <c r="M47" s="26"/>
      <c r="N47" s="26"/>
      <c r="O47" s="26"/>
      <c r="P47" s="26"/>
      <c r="Q47" s="26"/>
      <c r="R47" s="26"/>
      <c r="S47" s="23"/>
      <c r="T47" s="26"/>
      <c r="U47" s="26" t="str">
        <f t="shared" si="0"/>
        <v/>
      </c>
      <c r="V47" s="27"/>
      <c r="W47" s="122"/>
      <c r="X47" s="123">
        <f t="shared" si="1"/>
        <v>0</v>
      </c>
      <c r="Y47" s="124" t="e">
        <f t="shared" si="2"/>
        <v>#DIV/0!</v>
      </c>
      <c r="Z47" s="124"/>
      <c r="AA47" s="124" t="e">
        <f t="shared" si="3"/>
        <v>#DIV/0!</v>
      </c>
      <c r="AB47" s="125" t="e">
        <f t="shared" si="4"/>
        <v>#DIV/0!</v>
      </c>
      <c r="AC47" s="31" t="e">
        <f t="shared" si="5"/>
        <v>#DIV/0!</v>
      </c>
      <c r="AD47" s="126"/>
      <c r="AE47" s="127"/>
      <c r="AF47" s="127" t="e">
        <f t="shared" si="6"/>
        <v>#DIV/0!</v>
      </c>
      <c r="AG47" s="128" t="e">
        <f t="shared" si="7"/>
        <v>#DIV/0!</v>
      </c>
      <c r="AH47" s="128" t="e">
        <f t="shared" si="8"/>
        <v>#DIV/0!</v>
      </c>
      <c r="AI47" s="127" t="e">
        <f t="shared" si="9"/>
        <v>#DIV/0!</v>
      </c>
    </row>
    <row r="48" ht="15.5" customHeight="1" spans="1:35">
      <c r="A48" s="63"/>
      <c r="B48" s="56"/>
      <c r="C48" s="56"/>
      <c r="D48" s="59"/>
      <c r="E48" s="63"/>
      <c r="F48" s="24"/>
      <c r="G48" s="63"/>
      <c r="H48" s="21"/>
      <c r="I48" s="23"/>
      <c r="J48" s="121"/>
      <c r="K48" s="121"/>
      <c r="L48" s="26"/>
      <c r="M48" s="26"/>
      <c r="N48" s="26"/>
      <c r="O48" s="26"/>
      <c r="P48" s="26"/>
      <c r="Q48" s="26"/>
      <c r="R48" s="26"/>
      <c r="S48" s="23"/>
      <c r="T48" s="26"/>
      <c r="U48" s="26" t="str">
        <f t="shared" si="0"/>
        <v/>
      </c>
      <c r="V48" s="27"/>
      <c r="W48" s="122"/>
      <c r="X48" s="123">
        <f t="shared" si="1"/>
        <v>0</v>
      </c>
      <c r="Y48" s="124" t="e">
        <f t="shared" si="2"/>
        <v>#DIV/0!</v>
      </c>
      <c r="Z48" s="124"/>
      <c r="AA48" s="124" t="e">
        <f t="shared" si="3"/>
        <v>#DIV/0!</v>
      </c>
      <c r="AB48" s="125" t="e">
        <f t="shared" si="4"/>
        <v>#DIV/0!</v>
      </c>
      <c r="AC48" s="31" t="e">
        <f t="shared" si="5"/>
        <v>#DIV/0!</v>
      </c>
      <c r="AD48" s="126"/>
      <c r="AE48" s="127"/>
      <c r="AF48" s="127" t="e">
        <f t="shared" si="6"/>
        <v>#DIV/0!</v>
      </c>
      <c r="AG48" s="128" t="e">
        <f t="shared" si="7"/>
        <v>#DIV/0!</v>
      </c>
      <c r="AH48" s="128" t="e">
        <f t="shared" si="8"/>
        <v>#DIV/0!</v>
      </c>
      <c r="AI48" s="127" t="e">
        <f t="shared" si="9"/>
        <v>#DIV/0!</v>
      </c>
    </row>
    <row r="49" ht="15.5" customHeight="1" spans="1:35">
      <c r="A49" s="63"/>
      <c r="B49" s="56"/>
      <c r="C49" s="56"/>
      <c r="D49" s="59"/>
      <c r="E49" s="63"/>
      <c r="F49" s="24"/>
      <c r="G49" s="63"/>
      <c r="H49" s="21"/>
      <c r="I49" s="23"/>
      <c r="J49" s="121"/>
      <c r="K49" s="121"/>
      <c r="L49" s="26"/>
      <c r="M49" s="26"/>
      <c r="N49" s="26"/>
      <c r="O49" s="26"/>
      <c r="P49" s="26"/>
      <c r="Q49" s="26"/>
      <c r="R49" s="26"/>
      <c r="S49" s="23"/>
      <c r="T49" s="26"/>
      <c r="U49" s="26" t="str">
        <f t="shared" si="0"/>
        <v/>
      </c>
      <c r="V49" s="27"/>
      <c r="W49" s="122"/>
      <c r="X49" s="123">
        <f t="shared" si="1"/>
        <v>0</v>
      </c>
      <c r="Y49" s="124" t="e">
        <f t="shared" si="2"/>
        <v>#DIV/0!</v>
      </c>
      <c r="Z49" s="124"/>
      <c r="AA49" s="124" t="e">
        <f t="shared" si="3"/>
        <v>#DIV/0!</v>
      </c>
      <c r="AB49" s="125" t="e">
        <f t="shared" si="4"/>
        <v>#DIV/0!</v>
      </c>
      <c r="AC49" s="31" t="e">
        <f t="shared" si="5"/>
        <v>#DIV/0!</v>
      </c>
      <c r="AD49" s="126"/>
      <c r="AE49" s="127"/>
      <c r="AF49" s="127" t="e">
        <f t="shared" si="6"/>
        <v>#DIV/0!</v>
      </c>
      <c r="AG49" s="128" t="e">
        <f t="shared" si="7"/>
        <v>#DIV/0!</v>
      </c>
      <c r="AH49" s="128" t="e">
        <f t="shared" si="8"/>
        <v>#DIV/0!</v>
      </c>
      <c r="AI49" s="127" t="e">
        <f t="shared" si="9"/>
        <v>#DIV/0!</v>
      </c>
    </row>
    <row r="50" ht="15.5" customHeight="1" spans="1:35">
      <c r="A50" s="63"/>
      <c r="B50" s="56"/>
      <c r="C50" s="56"/>
      <c r="D50" s="59"/>
      <c r="E50" s="63"/>
      <c r="F50" s="24"/>
      <c r="G50" s="63"/>
      <c r="H50" s="21"/>
      <c r="I50" s="23"/>
      <c r="J50" s="121"/>
      <c r="K50" s="121"/>
      <c r="L50" s="26"/>
      <c r="M50" s="26"/>
      <c r="N50" s="26"/>
      <c r="O50" s="26"/>
      <c r="P50" s="26"/>
      <c r="Q50" s="26"/>
      <c r="R50" s="26"/>
      <c r="S50" s="23"/>
      <c r="T50" s="26"/>
      <c r="U50" s="26" t="str">
        <f t="shared" si="0"/>
        <v/>
      </c>
      <c r="V50" s="27"/>
      <c r="W50" s="122"/>
      <c r="X50" s="123">
        <f t="shared" si="1"/>
        <v>0</v>
      </c>
      <c r="Y50" s="124" t="e">
        <f t="shared" si="2"/>
        <v>#DIV/0!</v>
      </c>
      <c r="Z50" s="124"/>
      <c r="AA50" s="124" t="e">
        <f t="shared" si="3"/>
        <v>#DIV/0!</v>
      </c>
      <c r="AB50" s="125" t="e">
        <f t="shared" si="4"/>
        <v>#DIV/0!</v>
      </c>
      <c r="AC50" s="31" t="e">
        <f t="shared" si="5"/>
        <v>#DIV/0!</v>
      </c>
      <c r="AD50" s="126"/>
      <c r="AE50" s="127"/>
      <c r="AF50" s="127" t="e">
        <f t="shared" si="6"/>
        <v>#DIV/0!</v>
      </c>
      <c r="AG50" s="128" t="e">
        <f t="shared" si="7"/>
        <v>#DIV/0!</v>
      </c>
      <c r="AH50" s="128" t="e">
        <f t="shared" si="8"/>
        <v>#DIV/0!</v>
      </c>
      <c r="AI50" s="127" t="e">
        <f t="shared" si="9"/>
        <v>#DIV/0!</v>
      </c>
    </row>
    <row r="51" ht="15.5" customHeight="1" spans="1:35">
      <c r="A51" s="63"/>
      <c r="B51" s="56"/>
      <c r="C51" s="56"/>
      <c r="D51" s="59"/>
      <c r="E51" s="63"/>
      <c r="F51" s="24"/>
      <c r="G51" s="63"/>
      <c r="H51" s="21"/>
      <c r="I51" s="23"/>
      <c r="J51" s="121"/>
      <c r="K51" s="121"/>
      <c r="L51" s="26"/>
      <c r="M51" s="26"/>
      <c r="N51" s="26"/>
      <c r="O51" s="26"/>
      <c r="P51" s="26"/>
      <c r="Q51" s="26"/>
      <c r="R51" s="26"/>
      <c r="S51" s="23"/>
      <c r="T51" s="26"/>
      <c r="U51" s="26" t="str">
        <f t="shared" si="0"/>
        <v/>
      </c>
      <c r="V51" s="27"/>
      <c r="W51" s="122"/>
      <c r="X51" s="123">
        <f t="shared" si="1"/>
        <v>0</v>
      </c>
      <c r="Y51" s="124" t="e">
        <f t="shared" si="2"/>
        <v>#DIV/0!</v>
      </c>
      <c r="Z51" s="124"/>
      <c r="AA51" s="124" t="e">
        <f t="shared" si="3"/>
        <v>#DIV/0!</v>
      </c>
      <c r="AB51" s="125" t="e">
        <f t="shared" si="4"/>
        <v>#DIV/0!</v>
      </c>
      <c r="AC51" s="31" t="e">
        <f t="shared" si="5"/>
        <v>#DIV/0!</v>
      </c>
      <c r="AD51" s="126"/>
      <c r="AE51" s="127"/>
      <c r="AF51" s="127" t="e">
        <f t="shared" si="6"/>
        <v>#DIV/0!</v>
      </c>
      <c r="AG51" s="128" t="e">
        <f t="shared" si="7"/>
        <v>#DIV/0!</v>
      </c>
      <c r="AH51" s="128" t="e">
        <f t="shared" si="8"/>
        <v>#DIV/0!</v>
      </c>
      <c r="AI51" s="127" t="e">
        <f t="shared" si="9"/>
        <v>#DIV/0!</v>
      </c>
    </row>
    <row r="52" ht="15.5" customHeight="1" spans="1:35">
      <c r="A52" s="63"/>
      <c r="B52" s="56"/>
      <c r="C52" s="56"/>
      <c r="D52" s="59"/>
      <c r="E52" s="63"/>
      <c r="F52" s="24"/>
      <c r="G52" s="63"/>
      <c r="H52" s="21"/>
      <c r="I52" s="23"/>
      <c r="J52" s="121"/>
      <c r="K52" s="121"/>
      <c r="L52" s="26"/>
      <c r="M52" s="26"/>
      <c r="N52" s="26"/>
      <c r="O52" s="26"/>
      <c r="P52" s="26"/>
      <c r="Q52" s="26"/>
      <c r="R52" s="26"/>
      <c r="S52" s="23"/>
      <c r="T52" s="26"/>
      <c r="U52" s="26" t="str">
        <f t="shared" si="0"/>
        <v/>
      </c>
      <c r="V52" s="27"/>
      <c r="W52" s="122"/>
      <c r="X52" s="123">
        <f t="shared" si="1"/>
        <v>0</v>
      </c>
      <c r="Y52" s="124" t="e">
        <f t="shared" si="2"/>
        <v>#DIV/0!</v>
      </c>
      <c r="Z52" s="124"/>
      <c r="AA52" s="124" t="e">
        <f t="shared" si="3"/>
        <v>#DIV/0!</v>
      </c>
      <c r="AB52" s="125" t="e">
        <f t="shared" si="4"/>
        <v>#DIV/0!</v>
      </c>
      <c r="AC52" s="31" t="e">
        <f t="shared" si="5"/>
        <v>#DIV/0!</v>
      </c>
      <c r="AD52" s="126"/>
      <c r="AE52" s="127"/>
      <c r="AF52" s="127" t="e">
        <f t="shared" si="6"/>
        <v>#DIV/0!</v>
      </c>
      <c r="AG52" s="128" t="e">
        <f t="shared" si="7"/>
        <v>#DIV/0!</v>
      </c>
      <c r="AH52" s="128" t="e">
        <f t="shared" si="8"/>
        <v>#DIV/0!</v>
      </c>
      <c r="AI52" s="127" t="e">
        <f t="shared" si="9"/>
        <v>#DIV/0!</v>
      </c>
    </row>
    <row r="53" ht="15.5" customHeight="1" spans="1:35">
      <c r="A53" s="63"/>
      <c r="B53" s="56"/>
      <c r="C53" s="56"/>
      <c r="D53" s="59"/>
      <c r="E53" s="63"/>
      <c r="F53" s="24"/>
      <c r="G53" s="63"/>
      <c r="H53" s="21"/>
      <c r="I53" s="23"/>
      <c r="J53" s="121"/>
      <c r="K53" s="121"/>
      <c r="L53" s="26"/>
      <c r="M53" s="26"/>
      <c r="N53" s="26"/>
      <c r="O53" s="26"/>
      <c r="P53" s="26"/>
      <c r="Q53" s="26"/>
      <c r="R53" s="26"/>
      <c r="S53" s="23"/>
      <c r="T53" s="26"/>
      <c r="U53" s="26" t="str">
        <f t="shared" si="0"/>
        <v/>
      </c>
      <c r="V53" s="27"/>
      <c r="W53" s="122"/>
      <c r="X53" s="123">
        <f t="shared" si="1"/>
        <v>0</v>
      </c>
      <c r="Y53" s="124" t="e">
        <f t="shared" si="2"/>
        <v>#DIV/0!</v>
      </c>
      <c r="Z53" s="124"/>
      <c r="AA53" s="124" t="e">
        <f t="shared" si="3"/>
        <v>#DIV/0!</v>
      </c>
      <c r="AB53" s="125" t="e">
        <f t="shared" si="4"/>
        <v>#DIV/0!</v>
      </c>
      <c r="AC53" s="31" t="e">
        <f t="shared" si="5"/>
        <v>#DIV/0!</v>
      </c>
      <c r="AD53" s="126"/>
      <c r="AE53" s="127"/>
      <c r="AF53" s="127" t="e">
        <f t="shared" si="6"/>
        <v>#DIV/0!</v>
      </c>
      <c r="AG53" s="128" t="e">
        <f t="shared" si="7"/>
        <v>#DIV/0!</v>
      </c>
      <c r="AH53" s="128" t="e">
        <f t="shared" si="8"/>
        <v>#DIV/0!</v>
      </c>
      <c r="AI53" s="127" t="e">
        <f t="shared" si="9"/>
        <v>#DIV/0!</v>
      </c>
    </row>
    <row r="54" ht="15.5" customHeight="1" spans="1:35">
      <c r="A54" s="63"/>
      <c r="B54" s="56"/>
      <c r="C54" s="56"/>
      <c r="D54" s="59"/>
      <c r="E54" s="63"/>
      <c r="F54" s="24"/>
      <c r="G54" s="63"/>
      <c r="H54" s="21"/>
      <c r="I54" s="23"/>
      <c r="J54" s="121"/>
      <c r="K54" s="121"/>
      <c r="L54" s="26"/>
      <c r="M54" s="26"/>
      <c r="N54" s="26"/>
      <c r="O54" s="26"/>
      <c r="P54" s="26"/>
      <c r="Q54" s="26"/>
      <c r="R54" s="26"/>
      <c r="S54" s="23"/>
      <c r="T54" s="26"/>
      <c r="U54" s="26" t="str">
        <f t="shared" si="0"/>
        <v/>
      </c>
      <c r="V54" s="27"/>
      <c r="W54" s="122"/>
      <c r="X54" s="123">
        <f t="shared" si="1"/>
        <v>0</v>
      </c>
      <c r="Y54" s="124" t="e">
        <f t="shared" si="2"/>
        <v>#DIV/0!</v>
      </c>
      <c r="Z54" s="124"/>
      <c r="AA54" s="124" t="e">
        <f t="shared" si="3"/>
        <v>#DIV/0!</v>
      </c>
      <c r="AB54" s="125" t="e">
        <f t="shared" si="4"/>
        <v>#DIV/0!</v>
      </c>
      <c r="AC54" s="31" t="e">
        <f t="shared" si="5"/>
        <v>#DIV/0!</v>
      </c>
      <c r="AD54" s="126"/>
      <c r="AE54" s="127"/>
      <c r="AF54" s="127" t="e">
        <f t="shared" si="6"/>
        <v>#DIV/0!</v>
      </c>
      <c r="AG54" s="128" t="e">
        <f t="shared" si="7"/>
        <v>#DIV/0!</v>
      </c>
      <c r="AH54" s="128" t="e">
        <f t="shared" si="8"/>
        <v>#DIV/0!</v>
      </c>
      <c r="AI54" s="127" t="e">
        <f t="shared" si="9"/>
        <v>#DIV/0!</v>
      </c>
    </row>
    <row r="55" ht="15.5" customHeight="1" spans="1:35">
      <c r="A55" s="63"/>
      <c r="B55" s="56"/>
      <c r="C55" s="56"/>
      <c r="D55" s="59"/>
      <c r="E55" s="63"/>
      <c r="F55" s="24"/>
      <c r="G55" s="63"/>
      <c r="H55" s="21"/>
      <c r="I55" s="23"/>
      <c r="J55" s="121"/>
      <c r="K55" s="121"/>
      <c r="L55" s="26"/>
      <c r="M55" s="26"/>
      <c r="N55" s="26"/>
      <c r="O55" s="26"/>
      <c r="P55" s="26"/>
      <c r="Q55" s="26"/>
      <c r="R55" s="26"/>
      <c r="S55" s="23"/>
      <c r="T55" s="26"/>
      <c r="U55" s="26" t="str">
        <f t="shared" si="0"/>
        <v/>
      </c>
      <c r="V55" s="27"/>
      <c r="W55" s="122"/>
      <c r="X55" s="123">
        <f t="shared" si="1"/>
        <v>0</v>
      </c>
      <c r="Y55" s="124" t="e">
        <f t="shared" si="2"/>
        <v>#DIV/0!</v>
      </c>
      <c r="Z55" s="124"/>
      <c r="AA55" s="124" t="e">
        <f t="shared" si="3"/>
        <v>#DIV/0!</v>
      </c>
      <c r="AB55" s="125" t="e">
        <f t="shared" si="4"/>
        <v>#DIV/0!</v>
      </c>
      <c r="AC55" s="31" t="e">
        <f t="shared" si="5"/>
        <v>#DIV/0!</v>
      </c>
      <c r="AD55" s="126"/>
      <c r="AE55" s="127"/>
      <c r="AF55" s="127" t="e">
        <f t="shared" si="6"/>
        <v>#DIV/0!</v>
      </c>
      <c r="AG55" s="128" t="e">
        <f t="shared" si="7"/>
        <v>#DIV/0!</v>
      </c>
      <c r="AH55" s="128" t="e">
        <f t="shared" si="8"/>
        <v>#DIV/0!</v>
      </c>
      <c r="AI55" s="127" t="e">
        <f t="shared" si="9"/>
        <v>#DIV/0!</v>
      </c>
    </row>
    <row r="56" ht="15.5" customHeight="1" spans="1:35">
      <c r="A56" s="63"/>
      <c r="B56" s="56"/>
      <c r="C56" s="56"/>
      <c r="D56" s="59"/>
      <c r="E56" s="63"/>
      <c r="F56" s="24"/>
      <c r="G56" s="63"/>
      <c r="H56" s="21"/>
      <c r="I56" s="23"/>
      <c r="J56" s="121"/>
      <c r="K56" s="121"/>
      <c r="L56" s="26"/>
      <c r="M56" s="26"/>
      <c r="N56" s="26"/>
      <c r="O56" s="26"/>
      <c r="P56" s="26"/>
      <c r="Q56" s="26"/>
      <c r="R56" s="26"/>
      <c r="S56" s="23"/>
      <c r="T56" s="26"/>
      <c r="U56" s="26" t="str">
        <f t="shared" si="0"/>
        <v/>
      </c>
      <c r="V56" s="27"/>
      <c r="W56" s="122"/>
      <c r="X56" s="123">
        <f t="shared" si="1"/>
        <v>0</v>
      </c>
      <c r="Y56" s="124" t="e">
        <f t="shared" si="2"/>
        <v>#DIV/0!</v>
      </c>
      <c r="Z56" s="124"/>
      <c r="AA56" s="124" t="e">
        <f t="shared" si="3"/>
        <v>#DIV/0!</v>
      </c>
      <c r="AB56" s="125" t="e">
        <f t="shared" si="4"/>
        <v>#DIV/0!</v>
      </c>
      <c r="AC56" s="31" t="e">
        <f t="shared" si="5"/>
        <v>#DIV/0!</v>
      </c>
      <c r="AD56" s="126"/>
      <c r="AE56" s="127"/>
      <c r="AF56" s="127" t="e">
        <f t="shared" si="6"/>
        <v>#DIV/0!</v>
      </c>
      <c r="AG56" s="128" t="e">
        <f t="shared" si="7"/>
        <v>#DIV/0!</v>
      </c>
      <c r="AH56" s="128" t="e">
        <f t="shared" si="8"/>
        <v>#DIV/0!</v>
      </c>
      <c r="AI56" s="127" t="e">
        <f t="shared" si="9"/>
        <v>#DIV/0!</v>
      </c>
    </row>
    <row r="57" ht="15.5" customHeight="1" spans="1:35">
      <c r="A57" s="63"/>
      <c r="B57" s="56"/>
      <c r="C57" s="56"/>
      <c r="D57" s="59"/>
      <c r="E57" s="63"/>
      <c r="F57" s="24"/>
      <c r="G57" s="63"/>
      <c r="H57" s="21"/>
      <c r="I57" s="23"/>
      <c r="J57" s="121"/>
      <c r="K57" s="121"/>
      <c r="L57" s="26"/>
      <c r="M57" s="26"/>
      <c r="N57" s="26"/>
      <c r="O57" s="26"/>
      <c r="P57" s="26"/>
      <c r="Q57" s="26"/>
      <c r="R57" s="26"/>
      <c r="S57" s="23"/>
      <c r="T57" s="26"/>
      <c r="U57" s="26" t="str">
        <f t="shared" si="0"/>
        <v/>
      </c>
      <c r="V57" s="27"/>
      <c r="W57" s="122"/>
      <c r="X57" s="123">
        <f t="shared" si="1"/>
        <v>0</v>
      </c>
      <c r="Y57" s="124" t="e">
        <f t="shared" si="2"/>
        <v>#DIV/0!</v>
      </c>
      <c r="Z57" s="124"/>
      <c r="AA57" s="124" t="e">
        <f t="shared" si="3"/>
        <v>#DIV/0!</v>
      </c>
      <c r="AB57" s="125" t="e">
        <f t="shared" si="4"/>
        <v>#DIV/0!</v>
      </c>
      <c r="AC57" s="31" t="e">
        <f t="shared" si="5"/>
        <v>#DIV/0!</v>
      </c>
      <c r="AD57" s="126"/>
      <c r="AE57" s="127"/>
      <c r="AF57" s="127" t="e">
        <f t="shared" si="6"/>
        <v>#DIV/0!</v>
      </c>
      <c r="AG57" s="128" t="e">
        <f t="shared" si="7"/>
        <v>#DIV/0!</v>
      </c>
      <c r="AH57" s="128" t="e">
        <f t="shared" si="8"/>
        <v>#DIV/0!</v>
      </c>
      <c r="AI57" s="127" t="e">
        <f t="shared" si="9"/>
        <v>#DIV/0!</v>
      </c>
    </row>
    <row r="58" ht="15.5" customHeight="1" spans="1:35">
      <c r="A58" s="63"/>
      <c r="B58" s="56"/>
      <c r="C58" s="56"/>
      <c r="D58" s="59"/>
      <c r="E58" s="63"/>
      <c r="F58" s="24"/>
      <c r="G58" s="63"/>
      <c r="H58" s="21"/>
      <c r="I58" s="23"/>
      <c r="J58" s="121"/>
      <c r="K58" s="121"/>
      <c r="L58" s="26"/>
      <c r="M58" s="26"/>
      <c r="N58" s="26"/>
      <c r="O58" s="26"/>
      <c r="P58" s="26"/>
      <c r="Q58" s="26"/>
      <c r="R58" s="26"/>
      <c r="S58" s="23"/>
      <c r="T58" s="26"/>
      <c r="U58" s="26" t="str">
        <f t="shared" si="0"/>
        <v/>
      </c>
      <c r="V58" s="27"/>
      <c r="W58" s="122"/>
      <c r="X58" s="123">
        <f t="shared" si="1"/>
        <v>0</v>
      </c>
      <c r="Y58" s="124" t="e">
        <f t="shared" si="2"/>
        <v>#DIV/0!</v>
      </c>
      <c r="Z58" s="124"/>
      <c r="AA58" s="124" t="e">
        <f t="shared" si="3"/>
        <v>#DIV/0!</v>
      </c>
      <c r="AB58" s="125" t="e">
        <f t="shared" si="4"/>
        <v>#DIV/0!</v>
      </c>
      <c r="AC58" s="31" t="e">
        <f t="shared" si="5"/>
        <v>#DIV/0!</v>
      </c>
      <c r="AD58" s="126"/>
      <c r="AE58" s="127"/>
      <c r="AF58" s="127" t="e">
        <f t="shared" si="6"/>
        <v>#DIV/0!</v>
      </c>
      <c r="AG58" s="128" t="e">
        <f t="shared" si="7"/>
        <v>#DIV/0!</v>
      </c>
      <c r="AH58" s="128" t="e">
        <f t="shared" si="8"/>
        <v>#DIV/0!</v>
      </c>
      <c r="AI58" s="127" t="e">
        <f t="shared" si="9"/>
        <v>#DIV/0!</v>
      </c>
    </row>
    <row r="59" ht="15.5" customHeight="1" spans="1:35">
      <c r="A59" s="63"/>
      <c r="B59" s="56"/>
      <c r="C59" s="56"/>
      <c r="D59" s="59"/>
      <c r="E59" s="63"/>
      <c r="F59" s="24"/>
      <c r="G59" s="63"/>
      <c r="H59" s="21"/>
      <c r="I59" s="23"/>
      <c r="J59" s="121"/>
      <c r="K59" s="121"/>
      <c r="L59" s="26"/>
      <c r="M59" s="26"/>
      <c r="N59" s="26"/>
      <c r="O59" s="26"/>
      <c r="P59" s="26"/>
      <c r="Q59" s="26"/>
      <c r="R59" s="26"/>
      <c r="S59" s="23"/>
      <c r="T59" s="26"/>
      <c r="U59" s="26" t="str">
        <f t="shared" si="0"/>
        <v/>
      </c>
      <c r="V59" s="27"/>
      <c r="W59" s="122"/>
      <c r="X59" s="123">
        <f t="shared" si="1"/>
        <v>0</v>
      </c>
      <c r="Y59" s="124" t="e">
        <f t="shared" si="2"/>
        <v>#DIV/0!</v>
      </c>
      <c r="Z59" s="124"/>
      <c r="AA59" s="124" t="e">
        <f t="shared" si="3"/>
        <v>#DIV/0!</v>
      </c>
      <c r="AB59" s="125" t="e">
        <f t="shared" si="4"/>
        <v>#DIV/0!</v>
      </c>
      <c r="AC59" s="31" t="e">
        <f t="shared" si="5"/>
        <v>#DIV/0!</v>
      </c>
      <c r="AD59" s="126"/>
      <c r="AE59" s="127"/>
      <c r="AF59" s="127" t="e">
        <f t="shared" si="6"/>
        <v>#DIV/0!</v>
      </c>
      <c r="AG59" s="128" t="e">
        <f t="shared" si="7"/>
        <v>#DIV/0!</v>
      </c>
      <c r="AH59" s="128" t="e">
        <f t="shared" si="8"/>
        <v>#DIV/0!</v>
      </c>
      <c r="AI59" s="127" t="e">
        <f t="shared" si="9"/>
        <v>#DIV/0!</v>
      </c>
    </row>
    <row r="60" ht="15.5" customHeight="1" spans="1:35">
      <c r="A60" s="63"/>
      <c r="B60" s="56"/>
      <c r="C60" s="56"/>
      <c r="D60" s="59"/>
      <c r="E60" s="63"/>
      <c r="F60" s="24"/>
      <c r="G60" s="63"/>
      <c r="H60" s="21"/>
      <c r="I60" s="23"/>
      <c r="J60" s="121"/>
      <c r="K60" s="121"/>
      <c r="L60" s="26"/>
      <c r="M60" s="26"/>
      <c r="N60" s="26"/>
      <c r="O60" s="26"/>
      <c r="P60" s="26"/>
      <c r="Q60" s="26"/>
      <c r="R60" s="26"/>
      <c r="S60" s="23"/>
      <c r="T60" s="26"/>
      <c r="U60" s="26" t="str">
        <f t="shared" si="0"/>
        <v/>
      </c>
      <c r="V60" s="27"/>
      <c r="W60" s="122"/>
      <c r="X60" s="123">
        <f t="shared" si="1"/>
        <v>0</v>
      </c>
      <c r="Y60" s="124" t="e">
        <f t="shared" si="2"/>
        <v>#DIV/0!</v>
      </c>
      <c r="Z60" s="124"/>
      <c r="AA60" s="124" t="e">
        <f t="shared" si="3"/>
        <v>#DIV/0!</v>
      </c>
      <c r="AB60" s="125" t="e">
        <f t="shared" si="4"/>
        <v>#DIV/0!</v>
      </c>
      <c r="AC60" s="31" t="e">
        <f t="shared" si="5"/>
        <v>#DIV/0!</v>
      </c>
      <c r="AD60" s="126"/>
      <c r="AE60" s="127"/>
      <c r="AF60" s="127" t="e">
        <f t="shared" si="6"/>
        <v>#DIV/0!</v>
      </c>
      <c r="AG60" s="128" t="e">
        <f t="shared" si="7"/>
        <v>#DIV/0!</v>
      </c>
      <c r="AH60" s="128" t="e">
        <f t="shared" si="8"/>
        <v>#DIV/0!</v>
      </c>
      <c r="AI60" s="127" t="e">
        <f t="shared" si="9"/>
        <v>#DIV/0!</v>
      </c>
    </row>
    <row r="61" ht="15.5" customHeight="1" spans="1:35">
      <c r="A61" s="63"/>
      <c r="B61" s="56"/>
      <c r="C61" s="56"/>
      <c r="D61" s="59"/>
      <c r="E61" s="63"/>
      <c r="F61" s="24"/>
      <c r="G61" s="63"/>
      <c r="H61" s="21"/>
      <c r="I61" s="23"/>
      <c r="J61" s="121"/>
      <c r="K61" s="121"/>
      <c r="L61" s="26"/>
      <c r="M61" s="26"/>
      <c r="N61" s="26"/>
      <c r="O61" s="26"/>
      <c r="P61" s="26"/>
      <c r="Q61" s="26"/>
      <c r="R61" s="26"/>
      <c r="S61" s="23"/>
      <c r="T61" s="26"/>
      <c r="U61" s="26" t="str">
        <f t="shared" si="0"/>
        <v/>
      </c>
      <c r="V61" s="27"/>
      <c r="W61" s="122"/>
      <c r="X61" s="123">
        <f t="shared" si="1"/>
        <v>0</v>
      </c>
      <c r="Y61" s="124" t="e">
        <f t="shared" si="2"/>
        <v>#DIV/0!</v>
      </c>
      <c r="Z61" s="124"/>
      <c r="AA61" s="124" t="e">
        <f t="shared" si="3"/>
        <v>#DIV/0!</v>
      </c>
      <c r="AB61" s="125" t="e">
        <f t="shared" si="4"/>
        <v>#DIV/0!</v>
      </c>
      <c r="AC61" s="31" t="e">
        <f t="shared" si="5"/>
        <v>#DIV/0!</v>
      </c>
      <c r="AD61" s="126"/>
      <c r="AE61" s="127"/>
      <c r="AF61" s="127" t="e">
        <f t="shared" si="6"/>
        <v>#DIV/0!</v>
      </c>
      <c r="AG61" s="128" t="e">
        <f t="shared" si="7"/>
        <v>#DIV/0!</v>
      </c>
      <c r="AH61" s="128" t="e">
        <f t="shared" si="8"/>
        <v>#DIV/0!</v>
      </c>
      <c r="AI61" s="127" t="e">
        <f t="shared" si="9"/>
        <v>#DIV/0!</v>
      </c>
    </row>
    <row r="62" ht="15.5" customHeight="1" spans="1:35">
      <c r="A62" s="63"/>
      <c r="B62" s="56"/>
      <c r="C62" s="56"/>
      <c r="D62" s="59"/>
      <c r="E62" s="63"/>
      <c r="F62" s="24"/>
      <c r="G62" s="63"/>
      <c r="H62" s="21"/>
      <c r="I62" s="23"/>
      <c r="J62" s="121"/>
      <c r="K62" s="121"/>
      <c r="L62" s="26"/>
      <c r="M62" s="26"/>
      <c r="N62" s="26"/>
      <c r="O62" s="26"/>
      <c r="P62" s="26"/>
      <c r="Q62" s="26"/>
      <c r="R62" s="26"/>
      <c r="S62" s="23"/>
      <c r="T62" s="26"/>
      <c r="U62" s="26" t="str">
        <f t="shared" si="0"/>
        <v/>
      </c>
      <c r="V62" s="27"/>
      <c r="W62" s="122"/>
      <c r="X62" s="123">
        <f t="shared" si="1"/>
        <v>0</v>
      </c>
      <c r="Y62" s="124" t="e">
        <f t="shared" si="2"/>
        <v>#DIV/0!</v>
      </c>
      <c r="Z62" s="124"/>
      <c r="AA62" s="124" t="e">
        <f t="shared" si="3"/>
        <v>#DIV/0!</v>
      </c>
      <c r="AB62" s="125" t="e">
        <f t="shared" si="4"/>
        <v>#DIV/0!</v>
      </c>
      <c r="AC62" s="31" t="e">
        <f t="shared" si="5"/>
        <v>#DIV/0!</v>
      </c>
      <c r="AD62" s="126"/>
      <c r="AE62" s="127"/>
      <c r="AF62" s="127" t="e">
        <f t="shared" si="6"/>
        <v>#DIV/0!</v>
      </c>
      <c r="AG62" s="128" t="e">
        <f t="shared" si="7"/>
        <v>#DIV/0!</v>
      </c>
      <c r="AH62" s="128" t="e">
        <f t="shared" si="8"/>
        <v>#DIV/0!</v>
      </c>
      <c r="AI62" s="127" t="e">
        <f t="shared" si="9"/>
        <v>#DIV/0!</v>
      </c>
    </row>
    <row r="63" ht="15.5" customHeight="1" spans="1:35">
      <c r="A63" s="63"/>
      <c r="B63" s="56"/>
      <c r="C63" s="56"/>
      <c r="D63" s="59"/>
      <c r="E63" s="63"/>
      <c r="F63" s="24"/>
      <c r="G63" s="63"/>
      <c r="H63" s="21"/>
      <c r="I63" s="23"/>
      <c r="J63" s="121"/>
      <c r="K63" s="121"/>
      <c r="L63" s="26"/>
      <c r="M63" s="26"/>
      <c r="N63" s="26"/>
      <c r="O63" s="26"/>
      <c r="P63" s="26"/>
      <c r="Q63" s="26"/>
      <c r="R63" s="26"/>
      <c r="S63" s="23"/>
      <c r="T63" s="26"/>
      <c r="U63" s="26" t="str">
        <f t="shared" si="0"/>
        <v/>
      </c>
      <c r="V63" s="27"/>
      <c r="W63" s="122"/>
      <c r="X63" s="123">
        <f t="shared" si="1"/>
        <v>0</v>
      </c>
      <c r="Y63" s="124" t="e">
        <f t="shared" si="2"/>
        <v>#DIV/0!</v>
      </c>
      <c r="Z63" s="124"/>
      <c r="AA63" s="124" t="e">
        <f t="shared" si="3"/>
        <v>#DIV/0!</v>
      </c>
      <c r="AB63" s="125" t="e">
        <f t="shared" si="4"/>
        <v>#DIV/0!</v>
      </c>
      <c r="AC63" s="31" t="e">
        <f t="shared" si="5"/>
        <v>#DIV/0!</v>
      </c>
      <c r="AD63" s="126"/>
      <c r="AE63" s="127"/>
      <c r="AF63" s="127" t="e">
        <f t="shared" si="6"/>
        <v>#DIV/0!</v>
      </c>
      <c r="AG63" s="128" t="e">
        <f t="shared" si="7"/>
        <v>#DIV/0!</v>
      </c>
      <c r="AH63" s="128" t="e">
        <f t="shared" si="8"/>
        <v>#DIV/0!</v>
      </c>
      <c r="AI63" s="127" t="e">
        <f t="shared" si="9"/>
        <v>#DIV/0!</v>
      </c>
    </row>
    <row r="64" ht="15.5" customHeight="1" spans="1:35">
      <c r="A64" s="63"/>
      <c r="B64" s="56"/>
      <c r="C64" s="56"/>
      <c r="D64" s="59"/>
      <c r="E64" s="63"/>
      <c r="F64" s="24"/>
      <c r="G64" s="63"/>
      <c r="H64" s="21"/>
      <c r="I64" s="23"/>
      <c r="J64" s="121"/>
      <c r="K64" s="121"/>
      <c r="L64" s="26"/>
      <c r="M64" s="26"/>
      <c r="N64" s="26"/>
      <c r="O64" s="26"/>
      <c r="P64" s="26"/>
      <c r="Q64" s="26"/>
      <c r="R64" s="26"/>
      <c r="S64" s="23"/>
      <c r="T64" s="26"/>
      <c r="U64" s="26" t="str">
        <f t="shared" si="0"/>
        <v/>
      </c>
      <c r="V64" s="27"/>
      <c r="W64" s="122"/>
      <c r="X64" s="123">
        <f t="shared" si="1"/>
        <v>0</v>
      </c>
      <c r="Y64" s="124" t="e">
        <f t="shared" si="2"/>
        <v>#DIV/0!</v>
      </c>
      <c r="Z64" s="124"/>
      <c r="AA64" s="124" t="e">
        <f t="shared" si="3"/>
        <v>#DIV/0!</v>
      </c>
      <c r="AB64" s="125" t="e">
        <f t="shared" si="4"/>
        <v>#DIV/0!</v>
      </c>
      <c r="AC64" s="31" t="e">
        <f t="shared" si="5"/>
        <v>#DIV/0!</v>
      </c>
      <c r="AD64" s="126"/>
      <c r="AE64" s="127"/>
      <c r="AF64" s="127" t="e">
        <f t="shared" si="6"/>
        <v>#DIV/0!</v>
      </c>
      <c r="AG64" s="128" t="e">
        <f t="shared" si="7"/>
        <v>#DIV/0!</v>
      </c>
      <c r="AH64" s="128" t="e">
        <f t="shared" si="8"/>
        <v>#DIV/0!</v>
      </c>
      <c r="AI64" s="127" t="e">
        <f t="shared" si="9"/>
        <v>#DIV/0!</v>
      </c>
    </row>
    <row r="65" ht="15.5" customHeight="1" spans="1:35">
      <c r="A65" s="63"/>
      <c r="B65" s="56"/>
      <c r="C65" s="56"/>
      <c r="D65" s="59"/>
      <c r="E65" s="63"/>
      <c r="F65" s="24"/>
      <c r="G65" s="63"/>
      <c r="H65" s="21"/>
      <c r="I65" s="23"/>
      <c r="J65" s="121"/>
      <c r="K65" s="121"/>
      <c r="L65" s="26"/>
      <c r="M65" s="26"/>
      <c r="N65" s="26"/>
      <c r="O65" s="26"/>
      <c r="P65" s="26"/>
      <c r="Q65" s="26"/>
      <c r="R65" s="26"/>
      <c r="S65" s="23"/>
      <c r="T65" s="26"/>
      <c r="U65" s="26" t="str">
        <f t="shared" si="0"/>
        <v/>
      </c>
      <c r="V65" s="27"/>
      <c r="W65" s="122"/>
      <c r="X65" s="123">
        <f t="shared" si="1"/>
        <v>0</v>
      </c>
      <c r="Y65" s="124" t="e">
        <f t="shared" si="2"/>
        <v>#DIV/0!</v>
      </c>
      <c r="Z65" s="124"/>
      <c r="AA65" s="124" t="e">
        <f t="shared" si="3"/>
        <v>#DIV/0!</v>
      </c>
      <c r="AB65" s="125" t="e">
        <f t="shared" si="4"/>
        <v>#DIV/0!</v>
      </c>
      <c r="AC65" s="31" t="e">
        <f t="shared" si="5"/>
        <v>#DIV/0!</v>
      </c>
      <c r="AD65" s="126"/>
      <c r="AE65" s="127"/>
      <c r="AF65" s="127" t="e">
        <f t="shared" si="6"/>
        <v>#DIV/0!</v>
      </c>
      <c r="AG65" s="128" t="e">
        <f t="shared" si="7"/>
        <v>#DIV/0!</v>
      </c>
      <c r="AH65" s="128" t="e">
        <f t="shared" si="8"/>
        <v>#DIV/0!</v>
      </c>
      <c r="AI65" s="127" t="e">
        <f t="shared" si="9"/>
        <v>#DIV/0!</v>
      </c>
    </row>
    <row r="66" ht="15.5" customHeight="1" spans="1:35">
      <c r="A66" s="63"/>
      <c r="B66" s="56"/>
      <c r="C66" s="56"/>
      <c r="D66" s="59"/>
      <c r="E66" s="63"/>
      <c r="F66" s="24"/>
      <c r="G66" s="63"/>
      <c r="H66" s="21"/>
      <c r="I66" s="23"/>
      <c r="J66" s="121"/>
      <c r="K66" s="121"/>
      <c r="L66" s="26"/>
      <c r="M66" s="26"/>
      <c r="N66" s="26"/>
      <c r="O66" s="26"/>
      <c r="P66" s="26"/>
      <c r="Q66" s="26"/>
      <c r="R66" s="26"/>
      <c r="S66" s="23"/>
      <c r="T66" s="26"/>
      <c r="U66" s="26" t="str">
        <f t="shared" si="0"/>
        <v/>
      </c>
      <c r="V66" s="27"/>
      <c r="W66" s="122"/>
      <c r="X66" s="123">
        <f t="shared" si="1"/>
        <v>0</v>
      </c>
      <c r="Y66" s="124" t="e">
        <f t="shared" si="2"/>
        <v>#DIV/0!</v>
      </c>
      <c r="Z66" s="124"/>
      <c r="AA66" s="124" t="e">
        <f t="shared" si="3"/>
        <v>#DIV/0!</v>
      </c>
      <c r="AB66" s="125" t="e">
        <f t="shared" si="4"/>
        <v>#DIV/0!</v>
      </c>
      <c r="AC66" s="31" t="e">
        <f t="shared" si="5"/>
        <v>#DIV/0!</v>
      </c>
      <c r="AD66" s="126"/>
      <c r="AE66" s="127"/>
      <c r="AF66" s="127" t="e">
        <f t="shared" si="6"/>
        <v>#DIV/0!</v>
      </c>
      <c r="AG66" s="128" t="e">
        <f t="shared" si="7"/>
        <v>#DIV/0!</v>
      </c>
      <c r="AH66" s="128" t="e">
        <f t="shared" si="8"/>
        <v>#DIV/0!</v>
      </c>
      <c r="AI66" s="127" t="e">
        <f t="shared" si="9"/>
        <v>#DIV/0!</v>
      </c>
    </row>
    <row r="67" ht="15.5" customHeight="1" spans="1:35">
      <c r="A67" s="63"/>
      <c r="B67" s="56"/>
      <c r="C67" s="56"/>
      <c r="D67" s="59"/>
      <c r="E67" s="63"/>
      <c r="F67" s="24"/>
      <c r="G67" s="63"/>
      <c r="H67" s="21"/>
      <c r="I67" s="23"/>
      <c r="J67" s="121"/>
      <c r="K67" s="121"/>
      <c r="L67" s="26"/>
      <c r="M67" s="26"/>
      <c r="N67" s="26"/>
      <c r="O67" s="26"/>
      <c r="P67" s="26"/>
      <c r="Q67" s="26"/>
      <c r="R67" s="26"/>
      <c r="S67" s="23"/>
      <c r="T67" s="26"/>
      <c r="U67" s="26" t="str">
        <f t="shared" si="0"/>
        <v/>
      </c>
      <c r="V67" s="27"/>
      <c r="W67" s="122"/>
      <c r="X67" s="123">
        <f t="shared" si="1"/>
        <v>0</v>
      </c>
      <c r="Y67" s="124" t="e">
        <f t="shared" si="2"/>
        <v>#DIV/0!</v>
      </c>
      <c r="Z67" s="124"/>
      <c r="AA67" s="124" t="e">
        <f t="shared" si="3"/>
        <v>#DIV/0!</v>
      </c>
      <c r="AB67" s="125" t="e">
        <f t="shared" si="4"/>
        <v>#DIV/0!</v>
      </c>
      <c r="AC67" s="31" t="e">
        <f t="shared" si="5"/>
        <v>#DIV/0!</v>
      </c>
      <c r="AD67" s="126"/>
      <c r="AE67" s="127"/>
      <c r="AF67" s="127" t="e">
        <f t="shared" si="6"/>
        <v>#DIV/0!</v>
      </c>
      <c r="AG67" s="128" t="e">
        <f t="shared" si="7"/>
        <v>#DIV/0!</v>
      </c>
      <c r="AH67" s="128" t="e">
        <f t="shared" si="8"/>
        <v>#DIV/0!</v>
      </c>
      <c r="AI67" s="127" t="e">
        <f t="shared" si="9"/>
        <v>#DIV/0!</v>
      </c>
    </row>
    <row r="68" ht="15.5" customHeight="1" spans="1:35">
      <c r="A68" s="63"/>
      <c r="B68" s="56"/>
      <c r="C68" s="56"/>
      <c r="D68" s="59"/>
      <c r="E68" s="63"/>
      <c r="F68" s="24"/>
      <c r="G68" s="63"/>
      <c r="H68" s="21"/>
      <c r="I68" s="23"/>
      <c r="J68" s="121"/>
      <c r="K68" s="121"/>
      <c r="L68" s="26"/>
      <c r="M68" s="26"/>
      <c r="N68" s="26"/>
      <c r="O68" s="26"/>
      <c r="P68" s="26"/>
      <c r="Q68" s="26"/>
      <c r="R68" s="26"/>
      <c r="S68" s="23"/>
      <c r="T68" s="26"/>
      <c r="U68" s="26" t="str">
        <f t="shared" si="0"/>
        <v/>
      </c>
      <c r="V68" s="27"/>
      <c r="W68" s="122"/>
      <c r="X68" s="123">
        <f t="shared" si="1"/>
        <v>0</v>
      </c>
      <c r="Y68" s="124" t="e">
        <f t="shared" si="2"/>
        <v>#DIV/0!</v>
      </c>
      <c r="Z68" s="124"/>
      <c r="AA68" s="124" t="e">
        <f t="shared" si="3"/>
        <v>#DIV/0!</v>
      </c>
      <c r="AB68" s="125" t="e">
        <f t="shared" si="4"/>
        <v>#DIV/0!</v>
      </c>
      <c r="AC68" s="31" t="e">
        <f t="shared" si="5"/>
        <v>#DIV/0!</v>
      </c>
      <c r="AD68" s="126"/>
      <c r="AE68" s="127"/>
      <c r="AF68" s="127" t="e">
        <f t="shared" si="6"/>
        <v>#DIV/0!</v>
      </c>
      <c r="AG68" s="128" t="e">
        <f t="shared" si="7"/>
        <v>#DIV/0!</v>
      </c>
      <c r="AH68" s="128" t="e">
        <f t="shared" si="8"/>
        <v>#DIV/0!</v>
      </c>
      <c r="AI68" s="127" t="e">
        <f t="shared" si="9"/>
        <v>#DIV/0!</v>
      </c>
    </row>
    <row r="69" ht="15.5" customHeight="1" spans="1:35">
      <c r="A69" s="63"/>
      <c r="B69" s="56"/>
      <c r="C69" s="56"/>
      <c r="D69" s="59"/>
      <c r="E69" s="63"/>
      <c r="F69" s="24"/>
      <c r="G69" s="63"/>
      <c r="H69" s="21"/>
      <c r="I69" s="23"/>
      <c r="J69" s="121"/>
      <c r="K69" s="121"/>
      <c r="L69" s="26"/>
      <c r="M69" s="26"/>
      <c r="N69" s="26"/>
      <c r="O69" s="26"/>
      <c r="P69" s="26"/>
      <c r="Q69" s="26"/>
      <c r="R69" s="26"/>
      <c r="S69" s="23"/>
      <c r="T69" s="26"/>
      <c r="U69" s="26" t="str">
        <f t="shared" si="0"/>
        <v/>
      </c>
      <c r="V69" s="27"/>
      <c r="W69" s="122"/>
      <c r="X69" s="123">
        <f t="shared" si="1"/>
        <v>0</v>
      </c>
      <c r="Y69" s="124" t="e">
        <f t="shared" si="2"/>
        <v>#DIV/0!</v>
      </c>
      <c r="Z69" s="124"/>
      <c r="AA69" s="124" t="e">
        <f t="shared" si="3"/>
        <v>#DIV/0!</v>
      </c>
      <c r="AB69" s="125" t="e">
        <f t="shared" si="4"/>
        <v>#DIV/0!</v>
      </c>
      <c r="AC69" s="31" t="e">
        <f t="shared" si="5"/>
        <v>#DIV/0!</v>
      </c>
      <c r="AD69" s="126"/>
      <c r="AE69" s="127"/>
      <c r="AF69" s="127" t="e">
        <f t="shared" si="6"/>
        <v>#DIV/0!</v>
      </c>
      <c r="AG69" s="128" t="e">
        <f t="shared" si="7"/>
        <v>#DIV/0!</v>
      </c>
      <c r="AH69" s="128" t="e">
        <f t="shared" si="8"/>
        <v>#DIV/0!</v>
      </c>
      <c r="AI69" s="127" t="e">
        <f t="shared" si="9"/>
        <v>#DIV/0!</v>
      </c>
    </row>
    <row r="70" ht="15.5" customHeight="1" spans="1:35">
      <c r="A70" s="63"/>
      <c r="B70" s="56"/>
      <c r="C70" s="56"/>
      <c r="D70" s="59"/>
      <c r="E70" s="63"/>
      <c r="F70" s="24"/>
      <c r="G70" s="63"/>
      <c r="H70" s="21"/>
      <c r="I70" s="23"/>
      <c r="J70" s="121"/>
      <c r="K70" s="121"/>
      <c r="L70" s="26"/>
      <c r="M70" s="26"/>
      <c r="N70" s="26"/>
      <c r="O70" s="26"/>
      <c r="P70" s="26"/>
      <c r="Q70" s="26"/>
      <c r="R70" s="26"/>
      <c r="S70" s="23"/>
      <c r="T70" s="26"/>
      <c r="U70" s="26" t="str">
        <f t="shared" si="0"/>
        <v/>
      </c>
      <c r="V70" s="27"/>
      <c r="W70" s="122"/>
      <c r="X70" s="123">
        <f t="shared" si="1"/>
        <v>0</v>
      </c>
      <c r="Y70" s="124" t="e">
        <f t="shared" si="2"/>
        <v>#DIV/0!</v>
      </c>
      <c r="Z70" s="124"/>
      <c r="AA70" s="124" t="e">
        <f t="shared" si="3"/>
        <v>#DIV/0!</v>
      </c>
      <c r="AB70" s="125" t="e">
        <f t="shared" si="4"/>
        <v>#DIV/0!</v>
      </c>
      <c r="AC70" s="31" t="e">
        <f t="shared" si="5"/>
        <v>#DIV/0!</v>
      </c>
      <c r="AD70" s="126"/>
      <c r="AE70" s="127"/>
      <c r="AF70" s="127" t="e">
        <f t="shared" si="6"/>
        <v>#DIV/0!</v>
      </c>
      <c r="AG70" s="128" t="e">
        <f t="shared" si="7"/>
        <v>#DIV/0!</v>
      </c>
      <c r="AH70" s="128" t="e">
        <f t="shared" si="8"/>
        <v>#DIV/0!</v>
      </c>
      <c r="AI70" s="127" t="e">
        <f t="shared" si="9"/>
        <v>#DIV/0!</v>
      </c>
    </row>
    <row r="71" ht="15.5" customHeight="1" spans="1:35">
      <c r="A71" s="63"/>
      <c r="B71" s="56"/>
      <c r="C71" s="56"/>
      <c r="D71" s="59"/>
      <c r="E71" s="63"/>
      <c r="F71" s="24"/>
      <c r="G71" s="63"/>
      <c r="H71" s="21"/>
      <c r="I71" s="23"/>
      <c r="J71" s="121"/>
      <c r="K71" s="121"/>
      <c r="L71" s="26"/>
      <c r="M71" s="26"/>
      <c r="N71" s="26"/>
      <c r="O71" s="26"/>
      <c r="P71" s="26"/>
      <c r="Q71" s="26"/>
      <c r="R71" s="26"/>
      <c r="S71" s="23"/>
      <c r="T71" s="26"/>
      <c r="U71" s="26" t="str">
        <f t="shared" ref="U71:U134" si="10">IF(Q71=0,"",(T71-Q71)/Q71*100)</f>
        <v/>
      </c>
      <c r="V71" s="27"/>
      <c r="W71" s="122"/>
      <c r="X71" s="123">
        <f t="shared" ref="X71:X134" si="11">($W$5-K71)/365</f>
        <v>0</v>
      </c>
      <c r="Y71" s="124" t="e">
        <f t="shared" ref="Y71:Y134" si="12">(W71-X71)/W71</f>
        <v>#DIV/0!</v>
      </c>
      <c r="Z71" s="124"/>
      <c r="AA71" s="124" t="e">
        <f t="shared" ref="AA71:AA134" si="13">Y71/2+Z71/2</f>
        <v>#DIV/0!</v>
      </c>
      <c r="AB71" s="125" t="e">
        <f t="shared" ref="AB71:AB134" si="14">P71/I71</f>
        <v>#DIV/0!</v>
      </c>
      <c r="AC71" s="31" t="e">
        <f t="shared" ref="AC71:AC134" si="15">AB71*AD71</f>
        <v>#DIV/0!</v>
      </c>
      <c r="AD71" s="126"/>
      <c r="AE71" s="127"/>
      <c r="AF71" s="127" t="e">
        <f t="shared" ref="AF71:AF134" si="16">AC71*0.13/(1+0.13)</f>
        <v>#DIV/0!</v>
      </c>
      <c r="AG71" s="128" t="e">
        <f t="shared" ref="AG71:AG134" si="17">AC71-AF71</f>
        <v>#DIV/0!</v>
      </c>
      <c r="AH71" s="128" t="e">
        <f t="shared" ref="AH71:AH134" si="18">AC71*I71</f>
        <v>#DIV/0!</v>
      </c>
      <c r="AI71" s="127" t="e">
        <f t="shared" ref="AI71:AI134" si="19">ROUND(AG71*I71,-1)</f>
        <v>#DIV/0!</v>
      </c>
    </row>
    <row r="72" ht="15.5" customHeight="1" spans="1:35">
      <c r="A72" s="63"/>
      <c r="B72" s="56"/>
      <c r="C72" s="56"/>
      <c r="D72" s="59"/>
      <c r="E72" s="63"/>
      <c r="F72" s="24"/>
      <c r="G72" s="63"/>
      <c r="H72" s="21"/>
      <c r="I72" s="23"/>
      <c r="J72" s="121"/>
      <c r="K72" s="121"/>
      <c r="L72" s="26"/>
      <c r="M72" s="26"/>
      <c r="N72" s="26"/>
      <c r="O72" s="26"/>
      <c r="P72" s="26"/>
      <c r="Q72" s="26"/>
      <c r="R72" s="26"/>
      <c r="S72" s="23"/>
      <c r="T72" s="26"/>
      <c r="U72" s="26" t="str">
        <f t="shared" si="10"/>
        <v/>
      </c>
      <c r="V72" s="27"/>
      <c r="W72" s="122"/>
      <c r="X72" s="123">
        <f t="shared" si="11"/>
        <v>0</v>
      </c>
      <c r="Y72" s="124" t="e">
        <f t="shared" si="12"/>
        <v>#DIV/0!</v>
      </c>
      <c r="Z72" s="124"/>
      <c r="AA72" s="124" t="e">
        <f t="shared" si="13"/>
        <v>#DIV/0!</v>
      </c>
      <c r="AB72" s="125" t="e">
        <f t="shared" si="14"/>
        <v>#DIV/0!</v>
      </c>
      <c r="AC72" s="31" t="e">
        <f t="shared" si="15"/>
        <v>#DIV/0!</v>
      </c>
      <c r="AD72" s="126"/>
      <c r="AE72" s="127"/>
      <c r="AF72" s="127" t="e">
        <f t="shared" si="16"/>
        <v>#DIV/0!</v>
      </c>
      <c r="AG72" s="128" t="e">
        <f t="shared" si="17"/>
        <v>#DIV/0!</v>
      </c>
      <c r="AH72" s="128" t="e">
        <f t="shared" si="18"/>
        <v>#DIV/0!</v>
      </c>
      <c r="AI72" s="127" t="e">
        <f t="shared" si="19"/>
        <v>#DIV/0!</v>
      </c>
    </row>
    <row r="73" ht="15.5" customHeight="1" spans="1:35">
      <c r="A73" s="63"/>
      <c r="B73" s="56"/>
      <c r="C73" s="56"/>
      <c r="D73" s="59"/>
      <c r="E73" s="63"/>
      <c r="F73" s="24"/>
      <c r="G73" s="63"/>
      <c r="H73" s="21"/>
      <c r="I73" s="23"/>
      <c r="J73" s="121"/>
      <c r="K73" s="121"/>
      <c r="L73" s="26"/>
      <c r="M73" s="26"/>
      <c r="N73" s="26"/>
      <c r="O73" s="26"/>
      <c r="P73" s="26"/>
      <c r="Q73" s="26"/>
      <c r="R73" s="26"/>
      <c r="S73" s="23"/>
      <c r="T73" s="26"/>
      <c r="U73" s="26" t="str">
        <f t="shared" si="10"/>
        <v/>
      </c>
      <c r="V73" s="27"/>
      <c r="W73" s="122"/>
      <c r="X73" s="123">
        <f t="shared" si="11"/>
        <v>0</v>
      </c>
      <c r="Y73" s="124" t="e">
        <f t="shared" si="12"/>
        <v>#DIV/0!</v>
      </c>
      <c r="Z73" s="124"/>
      <c r="AA73" s="124" t="e">
        <f t="shared" si="13"/>
        <v>#DIV/0!</v>
      </c>
      <c r="AB73" s="125" t="e">
        <f t="shared" si="14"/>
        <v>#DIV/0!</v>
      </c>
      <c r="AC73" s="31" t="e">
        <f t="shared" si="15"/>
        <v>#DIV/0!</v>
      </c>
      <c r="AD73" s="126"/>
      <c r="AE73" s="127"/>
      <c r="AF73" s="127" t="e">
        <f t="shared" si="16"/>
        <v>#DIV/0!</v>
      </c>
      <c r="AG73" s="128" t="e">
        <f t="shared" si="17"/>
        <v>#DIV/0!</v>
      </c>
      <c r="AH73" s="128" t="e">
        <f t="shared" si="18"/>
        <v>#DIV/0!</v>
      </c>
      <c r="AI73" s="127" t="e">
        <f t="shared" si="19"/>
        <v>#DIV/0!</v>
      </c>
    </row>
    <row r="74" ht="15.5" customHeight="1" spans="1:35">
      <c r="A74" s="63"/>
      <c r="B74" s="56"/>
      <c r="C74" s="56"/>
      <c r="D74" s="59"/>
      <c r="E74" s="63"/>
      <c r="F74" s="24"/>
      <c r="G74" s="63"/>
      <c r="H74" s="21"/>
      <c r="I74" s="23"/>
      <c r="J74" s="121"/>
      <c r="K74" s="121"/>
      <c r="L74" s="26"/>
      <c r="M74" s="26"/>
      <c r="N74" s="26"/>
      <c r="O74" s="26"/>
      <c r="P74" s="26"/>
      <c r="Q74" s="26"/>
      <c r="R74" s="26"/>
      <c r="S74" s="23"/>
      <c r="T74" s="26"/>
      <c r="U74" s="26" t="str">
        <f t="shared" si="10"/>
        <v/>
      </c>
      <c r="V74" s="27"/>
      <c r="W74" s="122"/>
      <c r="X74" s="123">
        <f t="shared" si="11"/>
        <v>0</v>
      </c>
      <c r="Y74" s="124" t="e">
        <f t="shared" si="12"/>
        <v>#DIV/0!</v>
      </c>
      <c r="Z74" s="124"/>
      <c r="AA74" s="124" t="e">
        <f t="shared" si="13"/>
        <v>#DIV/0!</v>
      </c>
      <c r="AB74" s="125" t="e">
        <f t="shared" si="14"/>
        <v>#DIV/0!</v>
      </c>
      <c r="AC74" s="31" t="e">
        <f t="shared" si="15"/>
        <v>#DIV/0!</v>
      </c>
      <c r="AD74" s="126"/>
      <c r="AE74" s="127"/>
      <c r="AF74" s="127" t="e">
        <f t="shared" si="16"/>
        <v>#DIV/0!</v>
      </c>
      <c r="AG74" s="128" t="e">
        <f t="shared" si="17"/>
        <v>#DIV/0!</v>
      </c>
      <c r="AH74" s="128" t="e">
        <f t="shared" si="18"/>
        <v>#DIV/0!</v>
      </c>
      <c r="AI74" s="127" t="e">
        <f t="shared" si="19"/>
        <v>#DIV/0!</v>
      </c>
    </row>
    <row r="75" ht="15.5" customHeight="1" spans="1:35">
      <c r="A75" s="63"/>
      <c r="B75" s="56"/>
      <c r="C75" s="56"/>
      <c r="D75" s="59"/>
      <c r="E75" s="63"/>
      <c r="F75" s="24"/>
      <c r="G75" s="63"/>
      <c r="H75" s="21"/>
      <c r="I75" s="23"/>
      <c r="J75" s="121"/>
      <c r="K75" s="121"/>
      <c r="L75" s="26"/>
      <c r="M75" s="26"/>
      <c r="N75" s="26"/>
      <c r="O75" s="26"/>
      <c r="P75" s="26"/>
      <c r="Q75" s="26"/>
      <c r="R75" s="26"/>
      <c r="S75" s="23"/>
      <c r="T75" s="26"/>
      <c r="U75" s="26" t="str">
        <f t="shared" si="10"/>
        <v/>
      </c>
      <c r="V75" s="27"/>
      <c r="W75" s="122"/>
      <c r="X75" s="123">
        <f t="shared" si="11"/>
        <v>0</v>
      </c>
      <c r="Y75" s="124" t="e">
        <f t="shared" si="12"/>
        <v>#DIV/0!</v>
      </c>
      <c r="Z75" s="124"/>
      <c r="AA75" s="124" t="e">
        <f t="shared" si="13"/>
        <v>#DIV/0!</v>
      </c>
      <c r="AB75" s="125" t="e">
        <f t="shared" si="14"/>
        <v>#DIV/0!</v>
      </c>
      <c r="AC75" s="31" t="e">
        <f t="shared" si="15"/>
        <v>#DIV/0!</v>
      </c>
      <c r="AD75" s="126"/>
      <c r="AE75" s="127"/>
      <c r="AF75" s="127" t="e">
        <f t="shared" si="16"/>
        <v>#DIV/0!</v>
      </c>
      <c r="AG75" s="128" t="e">
        <f t="shared" si="17"/>
        <v>#DIV/0!</v>
      </c>
      <c r="AH75" s="128" t="e">
        <f t="shared" si="18"/>
        <v>#DIV/0!</v>
      </c>
      <c r="AI75" s="127" t="e">
        <f t="shared" si="19"/>
        <v>#DIV/0!</v>
      </c>
    </row>
    <row r="76" ht="15.5" customHeight="1" spans="1:35">
      <c r="A76" s="63"/>
      <c r="B76" s="56"/>
      <c r="C76" s="56"/>
      <c r="D76" s="59"/>
      <c r="E76" s="63"/>
      <c r="F76" s="24"/>
      <c r="G76" s="63"/>
      <c r="H76" s="21"/>
      <c r="I76" s="23"/>
      <c r="J76" s="121"/>
      <c r="K76" s="121"/>
      <c r="L76" s="26"/>
      <c r="M76" s="26"/>
      <c r="N76" s="26"/>
      <c r="O76" s="26"/>
      <c r="P76" s="26"/>
      <c r="Q76" s="26"/>
      <c r="R76" s="26"/>
      <c r="S76" s="23"/>
      <c r="T76" s="26"/>
      <c r="U76" s="26" t="str">
        <f t="shared" si="10"/>
        <v/>
      </c>
      <c r="V76" s="27"/>
      <c r="W76" s="122"/>
      <c r="X76" s="123">
        <f t="shared" si="11"/>
        <v>0</v>
      </c>
      <c r="Y76" s="124" t="e">
        <f t="shared" si="12"/>
        <v>#DIV/0!</v>
      </c>
      <c r="Z76" s="124"/>
      <c r="AA76" s="124" t="e">
        <f t="shared" si="13"/>
        <v>#DIV/0!</v>
      </c>
      <c r="AB76" s="125" t="e">
        <f t="shared" si="14"/>
        <v>#DIV/0!</v>
      </c>
      <c r="AC76" s="31" t="e">
        <f t="shared" si="15"/>
        <v>#DIV/0!</v>
      </c>
      <c r="AD76" s="126"/>
      <c r="AE76" s="127"/>
      <c r="AF76" s="127" t="e">
        <f t="shared" si="16"/>
        <v>#DIV/0!</v>
      </c>
      <c r="AG76" s="128" t="e">
        <f t="shared" si="17"/>
        <v>#DIV/0!</v>
      </c>
      <c r="AH76" s="128" t="e">
        <f t="shared" si="18"/>
        <v>#DIV/0!</v>
      </c>
      <c r="AI76" s="127" t="e">
        <f t="shared" si="19"/>
        <v>#DIV/0!</v>
      </c>
    </row>
    <row r="77" ht="15.5" customHeight="1" spans="1:35">
      <c r="A77" s="63"/>
      <c r="B77" s="56"/>
      <c r="C77" s="56"/>
      <c r="D77" s="59"/>
      <c r="E77" s="63"/>
      <c r="F77" s="24"/>
      <c r="G77" s="63"/>
      <c r="H77" s="21"/>
      <c r="I77" s="23"/>
      <c r="J77" s="121"/>
      <c r="K77" s="121"/>
      <c r="L77" s="26"/>
      <c r="M77" s="26"/>
      <c r="N77" s="26"/>
      <c r="O77" s="26"/>
      <c r="P77" s="26"/>
      <c r="Q77" s="26"/>
      <c r="R77" s="26"/>
      <c r="S77" s="23"/>
      <c r="T77" s="26"/>
      <c r="U77" s="26" t="str">
        <f t="shared" si="10"/>
        <v/>
      </c>
      <c r="V77" s="27"/>
      <c r="W77" s="122"/>
      <c r="X77" s="123">
        <f t="shared" si="11"/>
        <v>0</v>
      </c>
      <c r="Y77" s="124" t="e">
        <f t="shared" si="12"/>
        <v>#DIV/0!</v>
      </c>
      <c r="Z77" s="124"/>
      <c r="AA77" s="124" t="e">
        <f t="shared" si="13"/>
        <v>#DIV/0!</v>
      </c>
      <c r="AB77" s="125" t="e">
        <f t="shared" si="14"/>
        <v>#DIV/0!</v>
      </c>
      <c r="AC77" s="31" t="e">
        <f t="shared" si="15"/>
        <v>#DIV/0!</v>
      </c>
      <c r="AD77" s="126"/>
      <c r="AE77" s="127"/>
      <c r="AF77" s="127" t="e">
        <f t="shared" si="16"/>
        <v>#DIV/0!</v>
      </c>
      <c r="AG77" s="128" t="e">
        <f t="shared" si="17"/>
        <v>#DIV/0!</v>
      </c>
      <c r="AH77" s="128" t="e">
        <f t="shared" si="18"/>
        <v>#DIV/0!</v>
      </c>
      <c r="AI77" s="127" t="e">
        <f t="shared" si="19"/>
        <v>#DIV/0!</v>
      </c>
    </row>
    <row r="78" ht="15.5" customHeight="1" spans="1:35">
      <c r="A78" s="63"/>
      <c r="B78" s="56"/>
      <c r="C78" s="56"/>
      <c r="D78" s="59"/>
      <c r="E78" s="63"/>
      <c r="F78" s="24"/>
      <c r="G78" s="63"/>
      <c r="H78" s="21"/>
      <c r="I78" s="23"/>
      <c r="J78" s="121"/>
      <c r="K78" s="121"/>
      <c r="L78" s="26"/>
      <c r="M78" s="26"/>
      <c r="N78" s="26"/>
      <c r="O78" s="26"/>
      <c r="P78" s="26"/>
      <c r="Q78" s="26"/>
      <c r="R78" s="26"/>
      <c r="S78" s="23"/>
      <c r="T78" s="26"/>
      <c r="U78" s="26" t="str">
        <f t="shared" si="10"/>
        <v/>
      </c>
      <c r="V78" s="27"/>
      <c r="W78" s="122"/>
      <c r="X78" s="123">
        <f t="shared" si="11"/>
        <v>0</v>
      </c>
      <c r="Y78" s="124" t="e">
        <f t="shared" si="12"/>
        <v>#DIV/0!</v>
      </c>
      <c r="Z78" s="124"/>
      <c r="AA78" s="124" t="e">
        <f t="shared" si="13"/>
        <v>#DIV/0!</v>
      </c>
      <c r="AB78" s="125" t="e">
        <f t="shared" si="14"/>
        <v>#DIV/0!</v>
      </c>
      <c r="AC78" s="31" t="e">
        <f t="shared" si="15"/>
        <v>#DIV/0!</v>
      </c>
      <c r="AD78" s="126"/>
      <c r="AE78" s="127"/>
      <c r="AF78" s="127" t="e">
        <f t="shared" si="16"/>
        <v>#DIV/0!</v>
      </c>
      <c r="AG78" s="128" t="e">
        <f t="shared" si="17"/>
        <v>#DIV/0!</v>
      </c>
      <c r="AH78" s="128" t="e">
        <f t="shared" si="18"/>
        <v>#DIV/0!</v>
      </c>
      <c r="AI78" s="127" t="e">
        <f t="shared" si="19"/>
        <v>#DIV/0!</v>
      </c>
    </row>
    <row r="79" ht="15.5" customHeight="1" spans="1:35">
      <c r="A79" s="63"/>
      <c r="B79" s="56"/>
      <c r="C79" s="56"/>
      <c r="D79" s="59"/>
      <c r="E79" s="63"/>
      <c r="F79" s="24"/>
      <c r="G79" s="63"/>
      <c r="H79" s="21"/>
      <c r="I79" s="23"/>
      <c r="J79" s="121"/>
      <c r="K79" s="121"/>
      <c r="L79" s="26"/>
      <c r="M79" s="26"/>
      <c r="N79" s="26"/>
      <c r="O79" s="26"/>
      <c r="P79" s="26"/>
      <c r="Q79" s="26"/>
      <c r="R79" s="26"/>
      <c r="S79" s="23"/>
      <c r="T79" s="26"/>
      <c r="U79" s="26" t="str">
        <f t="shared" si="10"/>
        <v/>
      </c>
      <c r="V79" s="27"/>
      <c r="W79" s="122"/>
      <c r="X79" s="123">
        <f t="shared" si="11"/>
        <v>0</v>
      </c>
      <c r="Y79" s="124" t="e">
        <f t="shared" si="12"/>
        <v>#DIV/0!</v>
      </c>
      <c r="Z79" s="124"/>
      <c r="AA79" s="124" t="e">
        <f t="shared" si="13"/>
        <v>#DIV/0!</v>
      </c>
      <c r="AB79" s="125" t="e">
        <f t="shared" si="14"/>
        <v>#DIV/0!</v>
      </c>
      <c r="AC79" s="31" t="e">
        <f t="shared" si="15"/>
        <v>#DIV/0!</v>
      </c>
      <c r="AD79" s="126"/>
      <c r="AE79" s="127"/>
      <c r="AF79" s="127" t="e">
        <f t="shared" si="16"/>
        <v>#DIV/0!</v>
      </c>
      <c r="AG79" s="128" t="e">
        <f t="shared" si="17"/>
        <v>#DIV/0!</v>
      </c>
      <c r="AH79" s="128" t="e">
        <f t="shared" si="18"/>
        <v>#DIV/0!</v>
      </c>
      <c r="AI79" s="127" t="e">
        <f t="shared" si="19"/>
        <v>#DIV/0!</v>
      </c>
    </row>
    <row r="80" ht="15.5" customHeight="1" spans="1:35">
      <c r="A80" s="63"/>
      <c r="B80" s="56"/>
      <c r="C80" s="56"/>
      <c r="D80" s="59"/>
      <c r="E80" s="63"/>
      <c r="F80" s="24"/>
      <c r="G80" s="63"/>
      <c r="H80" s="21"/>
      <c r="I80" s="23"/>
      <c r="J80" s="121"/>
      <c r="K80" s="121"/>
      <c r="L80" s="26"/>
      <c r="M80" s="26"/>
      <c r="N80" s="26"/>
      <c r="O80" s="26"/>
      <c r="P80" s="26"/>
      <c r="Q80" s="26"/>
      <c r="R80" s="26"/>
      <c r="S80" s="23"/>
      <c r="T80" s="26"/>
      <c r="U80" s="26" t="str">
        <f t="shared" si="10"/>
        <v/>
      </c>
      <c r="V80" s="27"/>
      <c r="W80" s="122"/>
      <c r="X80" s="123">
        <f t="shared" si="11"/>
        <v>0</v>
      </c>
      <c r="Y80" s="124" t="e">
        <f t="shared" si="12"/>
        <v>#DIV/0!</v>
      </c>
      <c r="Z80" s="124"/>
      <c r="AA80" s="124" t="e">
        <f t="shared" si="13"/>
        <v>#DIV/0!</v>
      </c>
      <c r="AB80" s="125" t="e">
        <f t="shared" si="14"/>
        <v>#DIV/0!</v>
      </c>
      <c r="AC80" s="31" t="e">
        <f t="shared" si="15"/>
        <v>#DIV/0!</v>
      </c>
      <c r="AD80" s="126"/>
      <c r="AE80" s="127"/>
      <c r="AF80" s="127" t="e">
        <f t="shared" si="16"/>
        <v>#DIV/0!</v>
      </c>
      <c r="AG80" s="128" t="e">
        <f t="shared" si="17"/>
        <v>#DIV/0!</v>
      </c>
      <c r="AH80" s="128" t="e">
        <f t="shared" si="18"/>
        <v>#DIV/0!</v>
      </c>
      <c r="AI80" s="127" t="e">
        <f t="shared" si="19"/>
        <v>#DIV/0!</v>
      </c>
    </row>
    <row r="81" ht="15.5" customHeight="1" spans="1:35">
      <c r="A81" s="63"/>
      <c r="B81" s="56"/>
      <c r="C81" s="56"/>
      <c r="D81" s="59"/>
      <c r="E81" s="63"/>
      <c r="F81" s="24"/>
      <c r="G81" s="63"/>
      <c r="H81" s="21"/>
      <c r="I81" s="23"/>
      <c r="J81" s="121"/>
      <c r="K81" s="121"/>
      <c r="L81" s="26"/>
      <c r="M81" s="26"/>
      <c r="N81" s="26"/>
      <c r="O81" s="26"/>
      <c r="P81" s="26"/>
      <c r="Q81" s="26"/>
      <c r="R81" s="26"/>
      <c r="S81" s="23"/>
      <c r="T81" s="26"/>
      <c r="U81" s="26" t="str">
        <f t="shared" si="10"/>
        <v/>
      </c>
      <c r="V81" s="27"/>
      <c r="W81" s="122"/>
      <c r="X81" s="123">
        <f t="shared" si="11"/>
        <v>0</v>
      </c>
      <c r="Y81" s="124" t="e">
        <f t="shared" si="12"/>
        <v>#DIV/0!</v>
      </c>
      <c r="Z81" s="124"/>
      <c r="AA81" s="124" t="e">
        <f t="shared" si="13"/>
        <v>#DIV/0!</v>
      </c>
      <c r="AB81" s="125" t="e">
        <f t="shared" si="14"/>
        <v>#DIV/0!</v>
      </c>
      <c r="AC81" s="31" t="e">
        <f t="shared" si="15"/>
        <v>#DIV/0!</v>
      </c>
      <c r="AD81" s="126"/>
      <c r="AE81" s="127"/>
      <c r="AF81" s="127" t="e">
        <f t="shared" si="16"/>
        <v>#DIV/0!</v>
      </c>
      <c r="AG81" s="128" t="e">
        <f t="shared" si="17"/>
        <v>#DIV/0!</v>
      </c>
      <c r="AH81" s="128" t="e">
        <f t="shared" si="18"/>
        <v>#DIV/0!</v>
      </c>
      <c r="AI81" s="127" t="e">
        <f t="shared" si="19"/>
        <v>#DIV/0!</v>
      </c>
    </row>
    <row r="82" ht="15.5" customHeight="1" spans="1:35">
      <c r="A82" s="63"/>
      <c r="B82" s="56"/>
      <c r="C82" s="56"/>
      <c r="D82" s="59"/>
      <c r="E82" s="63"/>
      <c r="F82" s="24"/>
      <c r="G82" s="63"/>
      <c r="H82" s="21"/>
      <c r="I82" s="23"/>
      <c r="J82" s="121"/>
      <c r="K82" s="121"/>
      <c r="L82" s="26"/>
      <c r="M82" s="26"/>
      <c r="N82" s="26"/>
      <c r="O82" s="26"/>
      <c r="P82" s="26"/>
      <c r="Q82" s="26"/>
      <c r="R82" s="26"/>
      <c r="S82" s="23"/>
      <c r="T82" s="26"/>
      <c r="U82" s="26" t="str">
        <f t="shared" si="10"/>
        <v/>
      </c>
      <c r="V82" s="27"/>
      <c r="W82" s="122"/>
      <c r="X82" s="123">
        <f t="shared" si="11"/>
        <v>0</v>
      </c>
      <c r="Y82" s="124" t="e">
        <f t="shared" si="12"/>
        <v>#DIV/0!</v>
      </c>
      <c r="Z82" s="124"/>
      <c r="AA82" s="124" t="e">
        <f t="shared" si="13"/>
        <v>#DIV/0!</v>
      </c>
      <c r="AB82" s="125" t="e">
        <f t="shared" si="14"/>
        <v>#DIV/0!</v>
      </c>
      <c r="AC82" s="31" t="e">
        <f t="shared" si="15"/>
        <v>#DIV/0!</v>
      </c>
      <c r="AD82" s="126"/>
      <c r="AE82" s="127"/>
      <c r="AF82" s="127" t="e">
        <f t="shared" si="16"/>
        <v>#DIV/0!</v>
      </c>
      <c r="AG82" s="128" t="e">
        <f t="shared" si="17"/>
        <v>#DIV/0!</v>
      </c>
      <c r="AH82" s="128" t="e">
        <f t="shared" si="18"/>
        <v>#DIV/0!</v>
      </c>
      <c r="AI82" s="127" t="e">
        <f t="shared" si="19"/>
        <v>#DIV/0!</v>
      </c>
    </row>
    <row r="83" ht="15.5" customHeight="1" spans="1:35">
      <c r="A83" s="63"/>
      <c r="B83" s="56"/>
      <c r="C83" s="56"/>
      <c r="D83" s="59"/>
      <c r="E83" s="63"/>
      <c r="F83" s="24"/>
      <c r="G83" s="63"/>
      <c r="H83" s="21"/>
      <c r="I83" s="23"/>
      <c r="J83" s="121"/>
      <c r="K83" s="121"/>
      <c r="L83" s="26"/>
      <c r="M83" s="26"/>
      <c r="N83" s="26"/>
      <c r="O83" s="26"/>
      <c r="P83" s="26"/>
      <c r="Q83" s="26"/>
      <c r="R83" s="26"/>
      <c r="S83" s="23"/>
      <c r="T83" s="26"/>
      <c r="U83" s="26" t="str">
        <f t="shared" si="10"/>
        <v/>
      </c>
      <c r="V83" s="27"/>
      <c r="W83" s="122"/>
      <c r="X83" s="123">
        <f t="shared" si="11"/>
        <v>0</v>
      </c>
      <c r="Y83" s="124" t="e">
        <f t="shared" si="12"/>
        <v>#DIV/0!</v>
      </c>
      <c r="Z83" s="124"/>
      <c r="AA83" s="124" t="e">
        <f t="shared" si="13"/>
        <v>#DIV/0!</v>
      </c>
      <c r="AB83" s="125" t="e">
        <f t="shared" si="14"/>
        <v>#DIV/0!</v>
      </c>
      <c r="AC83" s="31" t="e">
        <f t="shared" si="15"/>
        <v>#DIV/0!</v>
      </c>
      <c r="AD83" s="126"/>
      <c r="AE83" s="127"/>
      <c r="AF83" s="127" t="e">
        <f t="shared" si="16"/>
        <v>#DIV/0!</v>
      </c>
      <c r="AG83" s="128" t="e">
        <f t="shared" si="17"/>
        <v>#DIV/0!</v>
      </c>
      <c r="AH83" s="128" t="e">
        <f t="shared" si="18"/>
        <v>#DIV/0!</v>
      </c>
      <c r="AI83" s="127" t="e">
        <f t="shared" si="19"/>
        <v>#DIV/0!</v>
      </c>
    </row>
    <row r="84" ht="15.5" customHeight="1" spans="1:35">
      <c r="A84" s="63"/>
      <c r="B84" s="56"/>
      <c r="C84" s="56"/>
      <c r="D84" s="59"/>
      <c r="E84" s="63"/>
      <c r="F84" s="24"/>
      <c r="G84" s="63"/>
      <c r="H84" s="21"/>
      <c r="I84" s="23"/>
      <c r="J84" s="121"/>
      <c r="K84" s="121"/>
      <c r="L84" s="26"/>
      <c r="M84" s="26"/>
      <c r="N84" s="26"/>
      <c r="O84" s="26"/>
      <c r="P84" s="26"/>
      <c r="Q84" s="26"/>
      <c r="R84" s="26"/>
      <c r="S84" s="23"/>
      <c r="T84" s="26"/>
      <c r="U84" s="26" t="str">
        <f t="shared" si="10"/>
        <v/>
      </c>
      <c r="V84" s="27"/>
      <c r="W84" s="122"/>
      <c r="X84" s="123">
        <f t="shared" si="11"/>
        <v>0</v>
      </c>
      <c r="Y84" s="124" t="e">
        <f t="shared" si="12"/>
        <v>#DIV/0!</v>
      </c>
      <c r="Z84" s="124"/>
      <c r="AA84" s="124" t="e">
        <f t="shared" si="13"/>
        <v>#DIV/0!</v>
      </c>
      <c r="AB84" s="125" t="e">
        <f t="shared" si="14"/>
        <v>#DIV/0!</v>
      </c>
      <c r="AC84" s="31" t="e">
        <f t="shared" si="15"/>
        <v>#DIV/0!</v>
      </c>
      <c r="AD84" s="126"/>
      <c r="AE84" s="127"/>
      <c r="AF84" s="127" t="e">
        <f t="shared" si="16"/>
        <v>#DIV/0!</v>
      </c>
      <c r="AG84" s="128" t="e">
        <f t="shared" si="17"/>
        <v>#DIV/0!</v>
      </c>
      <c r="AH84" s="128" t="e">
        <f t="shared" si="18"/>
        <v>#DIV/0!</v>
      </c>
      <c r="AI84" s="127" t="e">
        <f t="shared" si="19"/>
        <v>#DIV/0!</v>
      </c>
    </row>
    <row r="85" ht="15.5" customHeight="1" spans="1:35">
      <c r="A85" s="63"/>
      <c r="B85" s="56"/>
      <c r="C85" s="56"/>
      <c r="D85" s="59"/>
      <c r="E85" s="63"/>
      <c r="F85" s="24"/>
      <c r="G85" s="63"/>
      <c r="H85" s="21"/>
      <c r="I85" s="23"/>
      <c r="J85" s="121"/>
      <c r="K85" s="121"/>
      <c r="L85" s="26"/>
      <c r="M85" s="26"/>
      <c r="N85" s="26"/>
      <c r="O85" s="26"/>
      <c r="P85" s="26"/>
      <c r="Q85" s="26"/>
      <c r="R85" s="26"/>
      <c r="S85" s="23"/>
      <c r="T85" s="26"/>
      <c r="U85" s="26" t="str">
        <f t="shared" si="10"/>
        <v/>
      </c>
      <c r="V85" s="27"/>
      <c r="W85" s="122"/>
      <c r="X85" s="123">
        <f t="shared" si="11"/>
        <v>0</v>
      </c>
      <c r="Y85" s="124" t="e">
        <f t="shared" si="12"/>
        <v>#DIV/0!</v>
      </c>
      <c r="Z85" s="124"/>
      <c r="AA85" s="124" t="e">
        <f t="shared" si="13"/>
        <v>#DIV/0!</v>
      </c>
      <c r="AB85" s="125" t="e">
        <f t="shared" si="14"/>
        <v>#DIV/0!</v>
      </c>
      <c r="AC85" s="31" t="e">
        <f t="shared" si="15"/>
        <v>#DIV/0!</v>
      </c>
      <c r="AD85" s="126"/>
      <c r="AE85" s="127"/>
      <c r="AF85" s="127" t="e">
        <f t="shared" si="16"/>
        <v>#DIV/0!</v>
      </c>
      <c r="AG85" s="128" t="e">
        <f t="shared" si="17"/>
        <v>#DIV/0!</v>
      </c>
      <c r="AH85" s="128" t="e">
        <f t="shared" si="18"/>
        <v>#DIV/0!</v>
      </c>
      <c r="AI85" s="127" t="e">
        <f t="shared" si="19"/>
        <v>#DIV/0!</v>
      </c>
    </row>
    <row r="86" ht="15.5" customHeight="1" spans="1:35">
      <c r="A86" s="63"/>
      <c r="B86" s="56"/>
      <c r="C86" s="56"/>
      <c r="D86" s="59"/>
      <c r="E86" s="63"/>
      <c r="F86" s="24"/>
      <c r="G86" s="63"/>
      <c r="H86" s="21"/>
      <c r="I86" s="23"/>
      <c r="J86" s="121"/>
      <c r="K86" s="121"/>
      <c r="L86" s="26"/>
      <c r="M86" s="26"/>
      <c r="N86" s="26"/>
      <c r="O86" s="26"/>
      <c r="P86" s="26"/>
      <c r="Q86" s="26"/>
      <c r="R86" s="26"/>
      <c r="S86" s="23"/>
      <c r="T86" s="26"/>
      <c r="U86" s="26" t="str">
        <f t="shared" si="10"/>
        <v/>
      </c>
      <c r="V86" s="27"/>
      <c r="W86" s="122"/>
      <c r="X86" s="123">
        <f t="shared" si="11"/>
        <v>0</v>
      </c>
      <c r="Y86" s="124" t="e">
        <f t="shared" si="12"/>
        <v>#DIV/0!</v>
      </c>
      <c r="Z86" s="124"/>
      <c r="AA86" s="124" t="e">
        <f t="shared" si="13"/>
        <v>#DIV/0!</v>
      </c>
      <c r="AB86" s="125" t="e">
        <f t="shared" si="14"/>
        <v>#DIV/0!</v>
      </c>
      <c r="AC86" s="31" t="e">
        <f t="shared" si="15"/>
        <v>#DIV/0!</v>
      </c>
      <c r="AD86" s="126"/>
      <c r="AE86" s="127"/>
      <c r="AF86" s="127" t="e">
        <f t="shared" si="16"/>
        <v>#DIV/0!</v>
      </c>
      <c r="AG86" s="128" t="e">
        <f t="shared" si="17"/>
        <v>#DIV/0!</v>
      </c>
      <c r="AH86" s="128" t="e">
        <f t="shared" si="18"/>
        <v>#DIV/0!</v>
      </c>
      <c r="AI86" s="127" t="e">
        <f t="shared" si="19"/>
        <v>#DIV/0!</v>
      </c>
    </row>
    <row r="87" ht="15.5" customHeight="1" spans="1:35">
      <c r="A87" s="63"/>
      <c r="B87" s="56"/>
      <c r="C87" s="56"/>
      <c r="D87" s="59"/>
      <c r="E87" s="63"/>
      <c r="F87" s="24"/>
      <c r="G87" s="63"/>
      <c r="H87" s="21"/>
      <c r="I87" s="23"/>
      <c r="J87" s="121"/>
      <c r="K87" s="121"/>
      <c r="L87" s="26"/>
      <c r="M87" s="26"/>
      <c r="N87" s="26"/>
      <c r="O87" s="26"/>
      <c r="P87" s="26"/>
      <c r="Q87" s="26"/>
      <c r="R87" s="26"/>
      <c r="S87" s="23"/>
      <c r="T87" s="26"/>
      <c r="U87" s="26" t="str">
        <f t="shared" si="10"/>
        <v/>
      </c>
      <c r="V87" s="27"/>
      <c r="W87" s="122"/>
      <c r="X87" s="123">
        <f t="shared" si="11"/>
        <v>0</v>
      </c>
      <c r="Y87" s="124" t="e">
        <f t="shared" si="12"/>
        <v>#DIV/0!</v>
      </c>
      <c r="Z87" s="124"/>
      <c r="AA87" s="124" t="e">
        <f t="shared" si="13"/>
        <v>#DIV/0!</v>
      </c>
      <c r="AB87" s="125" t="e">
        <f t="shared" si="14"/>
        <v>#DIV/0!</v>
      </c>
      <c r="AC87" s="31" t="e">
        <f t="shared" si="15"/>
        <v>#DIV/0!</v>
      </c>
      <c r="AD87" s="126"/>
      <c r="AE87" s="127"/>
      <c r="AF87" s="127" t="e">
        <f t="shared" si="16"/>
        <v>#DIV/0!</v>
      </c>
      <c r="AG87" s="128" t="e">
        <f t="shared" si="17"/>
        <v>#DIV/0!</v>
      </c>
      <c r="AH87" s="128" t="e">
        <f t="shared" si="18"/>
        <v>#DIV/0!</v>
      </c>
      <c r="AI87" s="127" t="e">
        <f t="shared" si="19"/>
        <v>#DIV/0!</v>
      </c>
    </row>
    <row r="88" ht="15.5" customHeight="1" spans="1:35">
      <c r="A88" s="63"/>
      <c r="B88" s="56"/>
      <c r="C88" s="56"/>
      <c r="D88" s="59"/>
      <c r="E88" s="63"/>
      <c r="F88" s="24"/>
      <c r="G88" s="63"/>
      <c r="H88" s="21"/>
      <c r="I88" s="23"/>
      <c r="J88" s="121"/>
      <c r="K88" s="121"/>
      <c r="L88" s="26"/>
      <c r="M88" s="26"/>
      <c r="N88" s="26"/>
      <c r="O88" s="26"/>
      <c r="P88" s="26"/>
      <c r="Q88" s="26"/>
      <c r="R88" s="26"/>
      <c r="S88" s="23"/>
      <c r="T88" s="26"/>
      <c r="U88" s="26" t="str">
        <f t="shared" si="10"/>
        <v/>
      </c>
      <c r="V88" s="27"/>
      <c r="W88" s="122"/>
      <c r="X88" s="123">
        <f t="shared" si="11"/>
        <v>0</v>
      </c>
      <c r="Y88" s="124" t="e">
        <f t="shared" si="12"/>
        <v>#DIV/0!</v>
      </c>
      <c r="Z88" s="124"/>
      <c r="AA88" s="124" t="e">
        <f t="shared" si="13"/>
        <v>#DIV/0!</v>
      </c>
      <c r="AB88" s="125" t="e">
        <f t="shared" si="14"/>
        <v>#DIV/0!</v>
      </c>
      <c r="AC88" s="31" t="e">
        <f t="shared" si="15"/>
        <v>#DIV/0!</v>
      </c>
      <c r="AD88" s="126"/>
      <c r="AE88" s="127"/>
      <c r="AF88" s="127" t="e">
        <f t="shared" si="16"/>
        <v>#DIV/0!</v>
      </c>
      <c r="AG88" s="128" t="e">
        <f t="shared" si="17"/>
        <v>#DIV/0!</v>
      </c>
      <c r="AH88" s="128" t="e">
        <f t="shared" si="18"/>
        <v>#DIV/0!</v>
      </c>
      <c r="AI88" s="127" t="e">
        <f t="shared" si="19"/>
        <v>#DIV/0!</v>
      </c>
    </row>
    <row r="89" ht="15.5" customHeight="1" spans="1:35">
      <c r="A89" s="63"/>
      <c r="B89" s="56"/>
      <c r="C89" s="56"/>
      <c r="D89" s="59"/>
      <c r="E89" s="63"/>
      <c r="F89" s="24"/>
      <c r="G89" s="63"/>
      <c r="H89" s="21"/>
      <c r="I89" s="23"/>
      <c r="J89" s="121"/>
      <c r="K89" s="121"/>
      <c r="L89" s="26"/>
      <c r="M89" s="26"/>
      <c r="N89" s="26"/>
      <c r="O89" s="26"/>
      <c r="P89" s="26"/>
      <c r="Q89" s="26"/>
      <c r="R89" s="26"/>
      <c r="S89" s="23"/>
      <c r="T89" s="26"/>
      <c r="U89" s="26" t="str">
        <f t="shared" si="10"/>
        <v/>
      </c>
      <c r="V89" s="27"/>
      <c r="W89" s="122"/>
      <c r="X89" s="123">
        <f t="shared" si="11"/>
        <v>0</v>
      </c>
      <c r="Y89" s="124" t="e">
        <f t="shared" si="12"/>
        <v>#DIV/0!</v>
      </c>
      <c r="Z89" s="124"/>
      <c r="AA89" s="124" t="e">
        <f t="shared" si="13"/>
        <v>#DIV/0!</v>
      </c>
      <c r="AB89" s="125" t="e">
        <f t="shared" si="14"/>
        <v>#DIV/0!</v>
      </c>
      <c r="AC89" s="31" t="e">
        <f t="shared" si="15"/>
        <v>#DIV/0!</v>
      </c>
      <c r="AD89" s="126"/>
      <c r="AE89" s="127"/>
      <c r="AF89" s="127" t="e">
        <f t="shared" si="16"/>
        <v>#DIV/0!</v>
      </c>
      <c r="AG89" s="128" t="e">
        <f t="shared" si="17"/>
        <v>#DIV/0!</v>
      </c>
      <c r="AH89" s="128" t="e">
        <f t="shared" si="18"/>
        <v>#DIV/0!</v>
      </c>
      <c r="AI89" s="127" t="e">
        <f t="shared" si="19"/>
        <v>#DIV/0!</v>
      </c>
    </row>
    <row r="90" ht="15.5" customHeight="1" spans="1:35">
      <c r="A90" s="63"/>
      <c r="B90" s="56"/>
      <c r="C90" s="56"/>
      <c r="D90" s="59"/>
      <c r="E90" s="63"/>
      <c r="F90" s="24"/>
      <c r="G90" s="63"/>
      <c r="H90" s="21"/>
      <c r="I90" s="23"/>
      <c r="J90" s="121"/>
      <c r="K90" s="121"/>
      <c r="L90" s="26"/>
      <c r="M90" s="26"/>
      <c r="N90" s="26"/>
      <c r="O90" s="26"/>
      <c r="P90" s="26"/>
      <c r="Q90" s="26"/>
      <c r="R90" s="26"/>
      <c r="S90" s="23"/>
      <c r="T90" s="26"/>
      <c r="U90" s="26" t="str">
        <f t="shared" si="10"/>
        <v/>
      </c>
      <c r="V90" s="27"/>
      <c r="W90" s="122"/>
      <c r="X90" s="123">
        <f t="shared" si="11"/>
        <v>0</v>
      </c>
      <c r="Y90" s="124" t="e">
        <f t="shared" si="12"/>
        <v>#DIV/0!</v>
      </c>
      <c r="Z90" s="124"/>
      <c r="AA90" s="124" t="e">
        <f t="shared" si="13"/>
        <v>#DIV/0!</v>
      </c>
      <c r="AB90" s="125" t="e">
        <f t="shared" si="14"/>
        <v>#DIV/0!</v>
      </c>
      <c r="AC90" s="31" t="e">
        <f t="shared" si="15"/>
        <v>#DIV/0!</v>
      </c>
      <c r="AD90" s="126"/>
      <c r="AE90" s="127"/>
      <c r="AF90" s="127" t="e">
        <f t="shared" si="16"/>
        <v>#DIV/0!</v>
      </c>
      <c r="AG90" s="128" t="e">
        <f t="shared" si="17"/>
        <v>#DIV/0!</v>
      </c>
      <c r="AH90" s="128" t="e">
        <f t="shared" si="18"/>
        <v>#DIV/0!</v>
      </c>
      <c r="AI90" s="127" t="e">
        <f t="shared" si="19"/>
        <v>#DIV/0!</v>
      </c>
    </row>
    <row r="91" ht="15.5" customHeight="1" spans="1:35">
      <c r="A91" s="63"/>
      <c r="B91" s="56"/>
      <c r="C91" s="56"/>
      <c r="D91" s="59"/>
      <c r="E91" s="63"/>
      <c r="F91" s="24"/>
      <c r="G91" s="63"/>
      <c r="H91" s="21"/>
      <c r="I91" s="23"/>
      <c r="J91" s="121"/>
      <c r="K91" s="121"/>
      <c r="L91" s="26"/>
      <c r="M91" s="26"/>
      <c r="N91" s="26"/>
      <c r="O91" s="26"/>
      <c r="P91" s="26"/>
      <c r="Q91" s="26"/>
      <c r="R91" s="26"/>
      <c r="S91" s="23"/>
      <c r="T91" s="26"/>
      <c r="U91" s="26" t="str">
        <f t="shared" si="10"/>
        <v/>
      </c>
      <c r="V91" s="27"/>
      <c r="W91" s="122"/>
      <c r="X91" s="123">
        <f t="shared" si="11"/>
        <v>0</v>
      </c>
      <c r="Y91" s="124" t="e">
        <f t="shared" si="12"/>
        <v>#DIV/0!</v>
      </c>
      <c r="Z91" s="124"/>
      <c r="AA91" s="124" t="e">
        <f t="shared" si="13"/>
        <v>#DIV/0!</v>
      </c>
      <c r="AB91" s="125" t="e">
        <f t="shared" si="14"/>
        <v>#DIV/0!</v>
      </c>
      <c r="AC91" s="31" t="e">
        <f t="shared" si="15"/>
        <v>#DIV/0!</v>
      </c>
      <c r="AD91" s="126"/>
      <c r="AE91" s="127"/>
      <c r="AF91" s="127" t="e">
        <f t="shared" si="16"/>
        <v>#DIV/0!</v>
      </c>
      <c r="AG91" s="128" t="e">
        <f t="shared" si="17"/>
        <v>#DIV/0!</v>
      </c>
      <c r="AH91" s="128" t="e">
        <f t="shared" si="18"/>
        <v>#DIV/0!</v>
      </c>
      <c r="AI91" s="127" t="e">
        <f t="shared" si="19"/>
        <v>#DIV/0!</v>
      </c>
    </row>
    <row r="92" ht="15.5" customHeight="1" spans="1:35">
      <c r="A92" s="63"/>
      <c r="B92" s="56"/>
      <c r="C92" s="56"/>
      <c r="D92" s="59"/>
      <c r="E92" s="63"/>
      <c r="F92" s="24"/>
      <c r="G92" s="63"/>
      <c r="H92" s="21"/>
      <c r="I92" s="23"/>
      <c r="J92" s="121"/>
      <c r="K92" s="121"/>
      <c r="L92" s="26"/>
      <c r="M92" s="26"/>
      <c r="N92" s="26"/>
      <c r="O92" s="26"/>
      <c r="P92" s="26"/>
      <c r="Q92" s="26"/>
      <c r="R92" s="26"/>
      <c r="S92" s="23"/>
      <c r="T92" s="26"/>
      <c r="U92" s="26" t="str">
        <f t="shared" si="10"/>
        <v/>
      </c>
      <c r="V92" s="27"/>
      <c r="W92" s="122"/>
      <c r="X92" s="123">
        <f t="shared" si="11"/>
        <v>0</v>
      </c>
      <c r="Y92" s="124" t="e">
        <f t="shared" si="12"/>
        <v>#DIV/0!</v>
      </c>
      <c r="Z92" s="124"/>
      <c r="AA92" s="124" t="e">
        <f t="shared" si="13"/>
        <v>#DIV/0!</v>
      </c>
      <c r="AB92" s="125" t="e">
        <f t="shared" si="14"/>
        <v>#DIV/0!</v>
      </c>
      <c r="AC92" s="31" t="e">
        <f t="shared" si="15"/>
        <v>#DIV/0!</v>
      </c>
      <c r="AD92" s="126"/>
      <c r="AE92" s="127"/>
      <c r="AF92" s="127" t="e">
        <f t="shared" si="16"/>
        <v>#DIV/0!</v>
      </c>
      <c r="AG92" s="128" t="e">
        <f t="shared" si="17"/>
        <v>#DIV/0!</v>
      </c>
      <c r="AH92" s="128" t="e">
        <f t="shared" si="18"/>
        <v>#DIV/0!</v>
      </c>
      <c r="AI92" s="127" t="e">
        <f t="shared" si="19"/>
        <v>#DIV/0!</v>
      </c>
    </row>
    <row r="93" ht="15.5" customHeight="1" spans="1:35">
      <c r="A93" s="63"/>
      <c r="B93" s="56"/>
      <c r="C93" s="56"/>
      <c r="D93" s="59"/>
      <c r="E93" s="63"/>
      <c r="F93" s="24"/>
      <c r="G93" s="63"/>
      <c r="H93" s="21"/>
      <c r="I93" s="23"/>
      <c r="J93" s="121"/>
      <c r="K93" s="121"/>
      <c r="L93" s="26"/>
      <c r="M93" s="26"/>
      <c r="N93" s="26"/>
      <c r="O93" s="26"/>
      <c r="P93" s="26"/>
      <c r="Q93" s="26"/>
      <c r="R93" s="26"/>
      <c r="S93" s="23"/>
      <c r="T93" s="26"/>
      <c r="U93" s="26" t="str">
        <f t="shared" si="10"/>
        <v/>
      </c>
      <c r="V93" s="27"/>
      <c r="W93" s="122"/>
      <c r="X93" s="123">
        <f t="shared" si="11"/>
        <v>0</v>
      </c>
      <c r="Y93" s="124" t="e">
        <f t="shared" si="12"/>
        <v>#DIV/0!</v>
      </c>
      <c r="Z93" s="124"/>
      <c r="AA93" s="124" t="e">
        <f t="shared" si="13"/>
        <v>#DIV/0!</v>
      </c>
      <c r="AB93" s="125" t="e">
        <f t="shared" si="14"/>
        <v>#DIV/0!</v>
      </c>
      <c r="AC93" s="31" t="e">
        <f t="shared" si="15"/>
        <v>#DIV/0!</v>
      </c>
      <c r="AD93" s="126"/>
      <c r="AE93" s="127"/>
      <c r="AF93" s="127" t="e">
        <f t="shared" si="16"/>
        <v>#DIV/0!</v>
      </c>
      <c r="AG93" s="128" t="e">
        <f t="shared" si="17"/>
        <v>#DIV/0!</v>
      </c>
      <c r="AH93" s="128" t="e">
        <f t="shared" si="18"/>
        <v>#DIV/0!</v>
      </c>
      <c r="AI93" s="127" t="e">
        <f t="shared" si="19"/>
        <v>#DIV/0!</v>
      </c>
    </row>
    <row r="94" ht="15.5" customHeight="1" spans="1:35">
      <c r="A94" s="63"/>
      <c r="B94" s="56"/>
      <c r="C94" s="56"/>
      <c r="D94" s="59"/>
      <c r="E94" s="63"/>
      <c r="F94" s="24"/>
      <c r="G94" s="63"/>
      <c r="H94" s="21"/>
      <c r="I94" s="23"/>
      <c r="J94" s="121"/>
      <c r="K94" s="121"/>
      <c r="L94" s="26"/>
      <c r="M94" s="26"/>
      <c r="N94" s="26"/>
      <c r="O94" s="26"/>
      <c r="P94" s="26"/>
      <c r="Q94" s="26"/>
      <c r="R94" s="26"/>
      <c r="S94" s="23"/>
      <c r="T94" s="26"/>
      <c r="U94" s="26" t="str">
        <f t="shared" si="10"/>
        <v/>
      </c>
      <c r="V94" s="27"/>
      <c r="W94" s="122"/>
      <c r="X94" s="123">
        <f t="shared" si="11"/>
        <v>0</v>
      </c>
      <c r="Y94" s="124" t="e">
        <f t="shared" si="12"/>
        <v>#DIV/0!</v>
      </c>
      <c r="Z94" s="124"/>
      <c r="AA94" s="124" t="e">
        <f t="shared" si="13"/>
        <v>#DIV/0!</v>
      </c>
      <c r="AB94" s="125" t="e">
        <f t="shared" si="14"/>
        <v>#DIV/0!</v>
      </c>
      <c r="AC94" s="31" t="e">
        <f t="shared" si="15"/>
        <v>#DIV/0!</v>
      </c>
      <c r="AD94" s="126"/>
      <c r="AE94" s="127"/>
      <c r="AF94" s="127" t="e">
        <f t="shared" si="16"/>
        <v>#DIV/0!</v>
      </c>
      <c r="AG94" s="128" t="e">
        <f t="shared" si="17"/>
        <v>#DIV/0!</v>
      </c>
      <c r="AH94" s="128" t="e">
        <f t="shared" si="18"/>
        <v>#DIV/0!</v>
      </c>
      <c r="AI94" s="127" t="e">
        <f t="shared" si="19"/>
        <v>#DIV/0!</v>
      </c>
    </row>
    <row r="95" ht="15.5" customHeight="1" spans="1:35">
      <c r="A95" s="63"/>
      <c r="B95" s="56"/>
      <c r="C95" s="56"/>
      <c r="D95" s="59"/>
      <c r="E95" s="63"/>
      <c r="F95" s="24"/>
      <c r="G95" s="63"/>
      <c r="H95" s="21"/>
      <c r="I95" s="23"/>
      <c r="J95" s="121"/>
      <c r="K95" s="121"/>
      <c r="L95" s="26"/>
      <c r="M95" s="26"/>
      <c r="N95" s="26"/>
      <c r="O95" s="26"/>
      <c r="P95" s="26"/>
      <c r="Q95" s="26"/>
      <c r="R95" s="26"/>
      <c r="S95" s="23"/>
      <c r="T95" s="26"/>
      <c r="U95" s="26" t="str">
        <f t="shared" si="10"/>
        <v/>
      </c>
      <c r="V95" s="27"/>
      <c r="W95" s="122"/>
      <c r="X95" s="123">
        <f t="shared" si="11"/>
        <v>0</v>
      </c>
      <c r="Y95" s="124" t="e">
        <f t="shared" si="12"/>
        <v>#DIV/0!</v>
      </c>
      <c r="Z95" s="124"/>
      <c r="AA95" s="124" t="e">
        <f t="shared" si="13"/>
        <v>#DIV/0!</v>
      </c>
      <c r="AB95" s="125" t="e">
        <f t="shared" si="14"/>
        <v>#DIV/0!</v>
      </c>
      <c r="AC95" s="31" t="e">
        <f t="shared" si="15"/>
        <v>#DIV/0!</v>
      </c>
      <c r="AD95" s="126"/>
      <c r="AE95" s="127"/>
      <c r="AF95" s="127" t="e">
        <f t="shared" si="16"/>
        <v>#DIV/0!</v>
      </c>
      <c r="AG95" s="128" t="e">
        <f t="shared" si="17"/>
        <v>#DIV/0!</v>
      </c>
      <c r="AH95" s="128" t="e">
        <f t="shared" si="18"/>
        <v>#DIV/0!</v>
      </c>
      <c r="AI95" s="127" t="e">
        <f t="shared" si="19"/>
        <v>#DIV/0!</v>
      </c>
    </row>
    <row r="96" ht="15.5" customHeight="1" spans="1:35">
      <c r="A96" s="63"/>
      <c r="B96" s="56"/>
      <c r="C96" s="56"/>
      <c r="D96" s="59"/>
      <c r="E96" s="63"/>
      <c r="F96" s="24"/>
      <c r="G96" s="63"/>
      <c r="H96" s="21"/>
      <c r="I96" s="23"/>
      <c r="J96" s="121"/>
      <c r="K96" s="121"/>
      <c r="L96" s="26"/>
      <c r="M96" s="26"/>
      <c r="N96" s="26"/>
      <c r="O96" s="26"/>
      <c r="P96" s="26"/>
      <c r="Q96" s="26"/>
      <c r="R96" s="26"/>
      <c r="S96" s="23"/>
      <c r="T96" s="26"/>
      <c r="U96" s="26" t="str">
        <f t="shared" si="10"/>
        <v/>
      </c>
      <c r="V96" s="27"/>
      <c r="W96" s="122"/>
      <c r="X96" s="123">
        <f t="shared" si="11"/>
        <v>0</v>
      </c>
      <c r="Y96" s="124" t="e">
        <f t="shared" si="12"/>
        <v>#DIV/0!</v>
      </c>
      <c r="Z96" s="124"/>
      <c r="AA96" s="124" t="e">
        <f t="shared" si="13"/>
        <v>#DIV/0!</v>
      </c>
      <c r="AB96" s="125" t="e">
        <f t="shared" si="14"/>
        <v>#DIV/0!</v>
      </c>
      <c r="AC96" s="31" t="e">
        <f t="shared" si="15"/>
        <v>#DIV/0!</v>
      </c>
      <c r="AD96" s="126"/>
      <c r="AE96" s="127"/>
      <c r="AF96" s="127" t="e">
        <f t="shared" si="16"/>
        <v>#DIV/0!</v>
      </c>
      <c r="AG96" s="128" t="e">
        <f t="shared" si="17"/>
        <v>#DIV/0!</v>
      </c>
      <c r="AH96" s="128" t="e">
        <f t="shared" si="18"/>
        <v>#DIV/0!</v>
      </c>
      <c r="AI96" s="127" t="e">
        <f t="shared" si="19"/>
        <v>#DIV/0!</v>
      </c>
    </row>
    <row r="97" ht="15.5" customHeight="1" spans="1:35">
      <c r="A97" s="63"/>
      <c r="B97" s="56"/>
      <c r="C97" s="56"/>
      <c r="D97" s="59"/>
      <c r="E97" s="63"/>
      <c r="F97" s="24"/>
      <c r="G97" s="63"/>
      <c r="H97" s="21"/>
      <c r="I97" s="23"/>
      <c r="J97" s="121"/>
      <c r="K97" s="121"/>
      <c r="L97" s="26"/>
      <c r="M97" s="26"/>
      <c r="N97" s="26"/>
      <c r="O97" s="26"/>
      <c r="P97" s="26"/>
      <c r="Q97" s="26"/>
      <c r="R97" s="26"/>
      <c r="S97" s="23"/>
      <c r="T97" s="26"/>
      <c r="U97" s="26" t="str">
        <f t="shared" si="10"/>
        <v/>
      </c>
      <c r="V97" s="27"/>
      <c r="W97" s="122"/>
      <c r="X97" s="123">
        <f t="shared" si="11"/>
        <v>0</v>
      </c>
      <c r="Y97" s="124" t="e">
        <f t="shared" si="12"/>
        <v>#DIV/0!</v>
      </c>
      <c r="Z97" s="124"/>
      <c r="AA97" s="124" t="e">
        <f t="shared" si="13"/>
        <v>#DIV/0!</v>
      </c>
      <c r="AB97" s="125" t="e">
        <f t="shared" si="14"/>
        <v>#DIV/0!</v>
      </c>
      <c r="AC97" s="31" t="e">
        <f t="shared" si="15"/>
        <v>#DIV/0!</v>
      </c>
      <c r="AD97" s="126"/>
      <c r="AE97" s="127"/>
      <c r="AF97" s="127" t="e">
        <f t="shared" si="16"/>
        <v>#DIV/0!</v>
      </c>
      <c r="AG97" s="128" t="e">
        <f t="shared" si="17"/>
        <v>#DIV/0!</v>
      </c>
      <c r="AH97" s="128" t="e">
        <f t="shared" si="18"/>
        <v>#DIV/0!</v>
      </c>
      <c r="AI97" s="127" t="e">
        <f t="shared" si="19"/>
        <v>#DIV/0!</v>
      </c>
    </row>
    <row r="98" ht="15.5" customHeight="1" spans="1:35">
      <c r="A98" s="63"/>
      <c r="B98" s="56"/>
      <c r="C98" s="56"/>
      <c r="D98" s="59"/>
      <c r="E98" s="63"/>
      <c r="F98" s="24"/>
      <c r="G98" s="63"/>
      <c r="H98" s="21"/>
      <c r="I98" s="23"/>
      <c r="J98" s="121"/>
      <c r="K98" s="121"/>
      <c r="L98" s="26"/>
      <c r="M98" s="26"/>
      <c r="N98" s="26"/>
      <c r="O98" s="26"/>
      <c r="P98" s="26"/>
      <c r="Q98" s="26"/>
      <c r="R98" s="26"/>
      <c r="S98" s="23"/>
      <c r="T98" s="26"/>
      <c r="U98" s="26" t="str">
        <f t="shared" si="10"/>
        <v/>
      </c>
      <c r="V98" s="27"/>
      <c r="W98" s="122"/>
      <c r="X98" s="123">
        <f t="shared" si="11"/>
        <v>0</v>
      </c>
      <c r="Y98" s="124" t="e">
        <f t="shared" si="12"/>
        <v>#DIV/0!</v>
      </c>
      <c r="Z98" s="124"/>
      <c r="AA98" s="124" t="e">
        <f t="shared" si="13"/>
        <v>#DIV/0!</v>
      </c>
      <c r="AB98" s="125" t="e">
        <f t="shared" si="14"/>
        <v>#DIV/0!</v>
      </c>
      <c r="AC98" s="31" t="e">
        <f t="shared" si="15"/>
        <v>#DIV/0!</v>
      </c>
      <c r="AD98" s="126"/>
      <c r="AE98" s="127"/>
      <c r="AF98" s="127" t="e">
        <f t="shared" si="16"/>
        <v>#DIV/0!</v>
      </c>
      <c r="AG98" s="128" t="e">
        <f t="shared" si="17"/>
        <v>#DIV/0!</v>
      </c>
      <c r="AH98" s="128" t="e">
        <f t="shared" si="18"/>
        <v>#DIV/0!</v>
      </c>
      <c r="AI98" s="127" t="e">
        <f t="shared" si="19"/>
        <v>#DIV/0!</v>
      </c>
    </row>
    <row r="99" ht="15.5" customHeight="1" spans="1:35">
      <c r="A99" s="63"/>
      <c r="B99" s="56"/>
      <c r="C99" s="56"/>
      <c r="D99" s="59"/>
      <c r="E99" s="63"/>
      <c r="F99" s="24"/>
      <c r="G99" s="63"/>
      <c r="H99" s="21"/>
      <c r="I99" s="23"/>
      <c r="J99" s="121"/>
      <c r="K99" s="121"/>
      <c r="L99" s="26"/>
      <c r="M99" s="26"/>
      <c r="N99" s="26"/>
      <c r="O99" s="26"/>
      <c r="P99" s="26"/>
      <c r="Q99" s="26"/>
      <c r="R99" s="26"/>
      <c r="S99" s="23"/>
      <c r="T99" s="26"/>
      <c r="U99" s="26" t="str">
        <f t="shared" si="10"/>
        <v/>
      </c>
      <c r="V99" s="27"/>
      <c r="W99" s="122"/>
      <c r="X99" s="123">
        <f t="shared" si="11"/>
        <v>0</v>
      </c>
      <c r="Y99" s="124" t="e">
        <f t="shared" si="12"/>
        <v>#DIV/0!</v>
      </c>
      <c r="Z99" s="124"/>
      <c r="AA99" s="124" t="e">
        <f t="shared" si="13"/>
        <v>#DIV/0!</v>
      </c>
      <c r="AB99" s="125" t="e">
        <f t="shared" si="14"/>
        <v>#DIV/0!</v>
      </c>
      <c r="AC99" s="31" t="e">
        <f t="shared" si="15"/>
        <v>#DIV/0!</v>
      </c>
      <c r="AD99" s="126"/>
      <c r="AE99" s="127"/>
      <c r="AF99" s="127" t="e">
        <f t="shared" si="16"/>
        <v>#DIV/0!</v>
      </c>
      <c r="AG99" s="128" t="e">
        <f t="shared" si="17"/>
        <v>#DIV/0!</v>
      </c>
      <c r="AH99" s="128" t="e">
        <f t="shared" si="18"/>
        <v>#DIV/0!</v>
      </c>
      <c r="AI99" s="127" t="e">
        <f t="shared" si="19"/>
        <v>#DIV/0!</v>
      </c>
    </row>
    <row r="100" ht="15.5" customHeight="1" spans="1:35">
      <c r="A100" s="63"/>
      <c r="B100" s="56"/>
      <c r="C100" s="56"/>
      <c r="D100" s="59"/>
      <c r="E100" s="63"/>
      <c r="F100" s="24"/>
      <c r="G100" s="63"/>
      <c r="H100" s="21"/>
      <c r="I100" s="23"/>
      <c r="J100" s="121"/>
      <c r="K100" s="121"/>
      <c r="L100" s="26"/>
      <c r="M100" s="26"/>
      <c r="N100" s="26"/>
      <c r="O100" s="26"/>
      <c r="P100" s="26"/>
      <c r="Q100" s="26"/>
      <c r="R100" s="26"/>
      <c r="S100" s="23"/>
      <c r="T100" s="26"/>
      <c r="U100" s="26" t="str">
        <f t="shared" si="10"/>
        <v/>
      </c>
      <c r="V100" s="27"/>
      <c r="W100" s="122"/>
      <c r="X100" s="123">
        <f t="shared" si="11"/>
        <v>0</v>
      </c>
      <c r="Y100" s="124" t="e">
        <f t="shared" si="12"/>
        <v>#DIV/0!</v>
      </c>
      <c r="Z100" s="124"/>
      <c r="AA100" s="124" t="e">
        <f t="shared" si="13"/>
        <v>#DIV/0!</v>
      </c>
      <c r="AB100" s="125" t="e">
        <f t="shared" si="14"/>
        <v>#DIV/0!</v>
      </c>
      <c r="AC100" s="31" t="e">
        <f t="shared" si="15"/>
        <v>#DIV/0!</v>
      </c>
      <c r="AD100" s="126"/>
      <c r="AE100" s="127"/>
      <c r="AF100" s="127" t="e">
        <f t="shared" si="16"/>
        <v>#DIV/0!</v>
      </c>
      <c r="AG100" s="128" t="e">
        <f t="shared" si="17"/>
        <v>#DIV/0!</v>
      </c>
      <c r="AH100" s="128" t="e">
        <f t="shared" si="18"/>
        <v>#DIV/0!</v>
      </c>
      <c r="AI100" s="127" t="e">
        <f t="shared" si="19"/>
        <v>#DIV/0!</v>
      </c>
    </row>
    <row r="101" ht="15.5" customHeight="1" spans="1:35">
      <c r="A101" s="63"/>
      <c r="B101" s="56"/>
      <c r="C101" s="56"/>
      <c r="D101" s="59"/>
      <c r="E101" s="63"/>
      <c r="F101" s="24"/>
      <c r="G101" s="63"/>
      <c r="H101" s="21"/>
      <c r="I101" s="23"/>
      <c r="J101" s="121"/>
      <c r="K101" s="121"/>
      <c r="L101" s="26"/>
      <c r="M101" s="26"/>
      <c r="N101" s="26"/>
      <c r="O101" s="26"/>
      <c r="P101" s="26"/>
      <c r="Q101" s="26"/>
      <c r="R101" s="26"/>
      <c r="S101" s="23"/>
      <c r="T101" s="26"/>
      <c r="U101" s="26" t="str">
        <f t="shared" si="10"/>
        <v/>
      </c>
      <c r="V101" s="27"/>
      <c r="W101" s="122"/>
      <c r="X101" s="123">
        <f t="shared" si="11"/>
        <v>0</v>
      </c>
      <c r="Y101" s="124" t="e">
        <f t="shared" si="12"/>
        <v>#DIV/0!</v>
      </c>
      <c r="Z101" s="124"/>
      <c r="AA101" s="124" t="e">
        <f t="shared" si="13"/>
        <v>#DIV/0!</v>
      </c>
      <c r="AB101" s="125" t="e">
        <f t="shared" si="14"/>
        <v>#DIV/0!</v>
      </c>
      <c r="AC101" s="31" t="e">
        <f t="shared" si="15"/>
        <v>#DIV/0!</v>
      </c>
      <c r="AD101" s="126"/>
      <c r="AE101" s="127"/>
      <c r="AF101" s="127" t="e">
        <f t="shared" si="16"/>
        <v>#DIV/0!</v>
      </c>
      <c r="AG101" s="128" t="e">
        <f t="shared" si="17"/>
        <v>#DIV/0!</v>
      </c>
      <c r="AH101" s="128" t="e">
        <f t="shared" si="18"/>
        <v>#DIV/0!</v>
      </c>
      <c r="AI101" s="127" t="e">
        <f t="shared" si="19"/>
        <v>#DIV/0!</v>
      </c>
    </row>
    <row r="102" ht="15.5" customHeight="1" spans="1:35">
      <c r="A102" s="63"/>
      <c r="B102" s="56"/>
      <c r="C102" s="56"/>
      <c r="D102" s="59"/>
      <c r="E102" s="63"/>
      <c r="F102" s="24"/>
      <c r="G102" s="63"/>
      <c r="H102" s="21"/>
      <c r="I102" s="23"/>
      <c r="J102" s="121"/>
      <c r="K102" s="121"/>
      <c r="L102" s="26"/>
      <c r="M102" s="26"/>
      <c r="N102" s="26"/>
      <c r="O102" s="26"/>
      <c r="P102" s="26"/>
      <c r="Q102" s="26"/>
      <c r="R102" s="26"/>
      <c r="S102" s="23"/>
      <c r="T102" s="26"/>
      <c r="U102" s="26" t="str">
        <f t="shared" si="10"/>
        <v/>
      </c>
      <c r="V102" s="27"/>
      <c r="W102" s="122"/>
      <c r="X102" s="123">
        <f t="shared" si="11"/>
        <v>0</v>
      </c>
      <c r="Y102" s="124" t="e">
        <f t="shared" si="12"/>
        <v>#DIV/0!</v>
      </c>
      <c r="Z102" s="124"/>
      <c r="AA102" s="124" t="e">
        <f t="shared" si="13"/>
        <v>#DIV/0!</v>
      </c>
      <c r="AB102" s="125" t="e">
        <f t="shared" si="14"/>
        <v>#DIV/0!</v>
      </c>
      <c r="AC102" s="31" t="e">
        <f t="shared" si="15"/>
        <v>#DIV/0!</v>
      </c>
      <c r="AD102" s="126"/>
      <c r="AE102" s="127"/>
      <c r="AF102" s="127" t="e">
        <f t="shared" si="16"/>
        <v>#DIV/0!</v>
      </c>
      <c r="AG102" s="128" t="e">
        <f t="shared" si="17"/>
        <v>#DIV/0!</v>
      </c>
      <c r="AH102" s="128" t="e">
        <f t="shared" si="18"/>
        <v>#DIV/0!</v>
      </c>
      <c r="AI102" s="127" t="e">
        <f t="shared" si="19"/>
        <v>#DIV/0!</v>
      </c>
    </row>
    <row r="103" ht="15.5" customHeight="1" spans="1:35">
      <c r="A103" s="63"/>
      <c r="B103" s="56"/>
      <c r="C103" s="56"/>
      <c r="D103" s="59"/>
      <c r="E103" s="63"/>
      <c r="F103" s="24"/>
      <c r="G103" s="63"/>
      <c r="H103" s="21"/>
      <c r="I103" s="23"/>
      <c r="J103" s="121"/>
      <c r="K103" s="121"/>
      <c r="L103" s="26"/>
      <c r="M103" s="26"/>
      <c r="N103" s="26"/>
      <c r="O103" s="26"/>
      <c r="P103" s="26"/>
      <c r="Q103" s="26"/>
      <c r="R103" s="26"/>
      <c r="S103" s="23"/>
      <c r="T103" s="26"/>
      <c r="U103" s="26" t="str">
        <f t="shared" si="10"/>
        <v/>
      </c>
      <c r="V103" s="27"/>
      <c r="W103" s="122"/>
      <c r="X103" s="123">
        <f t="shared" si="11"/>
        <v>0</v>
      </c>
      <c r="Y103" s="124" t="e">
        <f t="shared" si="12"/>
        <v>#DIV/0!</v>
      </c>
      <c r="Z103" s="124"/>
      <c r="AA103" s="124" t="e">
        <f t="shared" si="13"/>
        <v>#DIV/0!</v>
      </c>
      <c r="AB103" s="125" t="e">
        <f t="shared" si="14"/>
        <v>#DIV/0!</v>
      </c>
      <c r="AC103" s="31" t="e">
        <f t="shared" si="15"/>
        <v>#DIV/0!</v>
      </c>
      <c r="AD103" s="126"/>
      <c r="AE103" s="127"/>
      <c r="AF103" s="127" t="e">
        <f t="shared" si="16"/>
        <v>#DIV/0!</v>
      </c>
      <c r="AG103" s="128" t="e">
        <f t="shared" si="17"/>
        <v>#DIV/0!</v>
      </c>
      <c r="AH103" s="128" t="e">
        <f t="shared" si="18"/>
        <v>#DIV/0!</v>
      </c>
      <c r="AI103" s="127" t="e">
        <f t="shared" si="19"/>
        <v>#DIV/0!</v>
      </c>
    </row>
    <row r="104" ht="15.5" customHeight="1" spans="1:35">
      <c r="A104" s="63"/>
      <c r="B104" s="56"/>
      <c r="C104" s="56"/>
      <c r="D104" s="59"/>
      <c r="E104" s="63"/>
      <c r="F104" s="24"/>
      <c r="G104" s="63"/>
      <c r="H104" s="21"/>
      <c r="I104" s="23"/>
      <c r="J104" s="121"/>
      <c r="K104" s="121"/>
      <c r="L104" s="26"/>
      <c r="M104" s="26"/>
      <c r="N104" s="26"/>
      <c r="O104" s="26"/>
      <c r="P104" s="26"/>
      <c r="Q104" s="26"/>
      <c r="R104" s="26"/>
      <c r="S104" s="23"/>
      <c r="T104" s="26"/>
      <c r="U104" s="26" t="str">
        <f t="shared" si="10"/>
        <v/>
      </c>
      <c r="V104" s="27"/>
      <c r="W104" s="122"/>
      <c r="X104" s="123">
        <f t="shared" si="11"/>
        <v>0</v>
      </c>
      <c r="Y104" s="124" t="e">
        <f t="shared" si="12"/>
        <v>#DIV/0!</v>
      </c>
      <c r="Z104" s="124"/>
      <c r="AA104" s="124" t="e">
        <f t="shared" si="13"/>
        <v>#DIV/0!</v>
      </c>
      <c r="AB104" s="125" t="e">
        <f t="shared" si="14"/>
        <v>#DIV/0!</v>
      </c>
      <c r="AC104" s="31" t="e">
        <f t="shared" si="15"/>
        <v>#DIV/0!</v>
      </c>
      <c r="AD104" s="126"/>
      <c r="AE104" s="127"/>
      <c r="AF104" s="127" t="e">
        <f t="shared" si="16"/>
        <v>#DIV/0!</v>
      </c>
      <c r="AG104" s="128" t="e">
        <f t="shared" si="17"/>
        <v>#DIV/0!</v>
      </c>
      <c r="AH104" s="128" t="e">
        <f t="shared" si="18"/>
        <v>#DIV/0!</v>
      </c>
      <c r="AI104" s="127" t="e">
        <f t="shared" si="19"/>
        <v>#DIV/0!</v>
      </c>
    </row>
    <row r="105" ht="15.5" customHeight="1" spans="1:35">
      <c r="A105" s="63"/>
      <c r="B105" s="56"/>
      <c r="C105" s="56"/>
      <c r="D105" s="59"/>
      <c r="E105" s="63"/>
      <c r="F105" s="24"/>
      <c r="G105" s="63"/>
      <c r="H105" s="21"/>
      <c r="I105" s="23"/>
      <c r="J105" s="121"/>
      <c r="K105" s="121"/>
      <c r="L105" s="26"/>
      <c r="M105" s="26"/>
      <c r="N105" s="26"/>
      <c r="O105" s="26"/>
      <c r="P105" s="26"/>
      <c r="Q105" s="26"/>
      <c r="R105" s="26"/>
      <c r="S105" s="23"/>
      <c r="T105" s="26"/>
      <c r="U105" s="26" t="str">
        <f t="shared" si="10"/>
        <v/>
      </c>
      <c r="V105" s="27"/>
      <c r="W105" s="122"/>
      <c r="X105" s="123">
        <f t="shared" si="11"/>
        <v>0</v>
      </c>
      <c r="Y105" s="124" t="e">
        <f t="shared" si="12"/>
        <v>#DIV/0!</v>
      </c>
      <c r="Z105" s="124"/>
      <c r="AA105" s="124" t="e">
        <f t="shared" si="13"/>
        <v>#DIV/0!</v>
      </c>
      <c r="AB105" s="125" t="e">
        <f t="shared" si="14"/>
        <v>#DIV/0!</v>
      </c>
      <c r="AC105" s="31" t="e">
        <f t="shared" si="15"/>
        <v>#DIV/0!</v>
      </c>
      <c r="AD105" s="126"/>
      <c r="AE105" s="127"/>
      <c r="AF105" s="127" t="e">
        <f t="shared" si="16"/>
        <v>#DIV/0!</v>
      </c>
      <c r="AG105" s="128" t="e">
        <f t="shared" si="17"/>
        <v>#DIV/0!</v>
      </c>
      <c r="AH105" s="128" t="e">
        <f t="shared" si="18"/>
        <v>#DIV/0!</v>
      </c>
      <c r="AI105" s="127" t="e">
        <f t="shared" si="19"/>
        <v>#DIV/0!</v>
      </c>
    </row>
    <row r="106" ht="15.5" customHeight="1" spans="1:35">
      <c r="A106" s="63"/>
      <c r="B106" s="56"/>
      <c r="C106" s="56"/>
      <c r="D106" s="59"/>
      <c r="E106" s="63"/>
      <c r="F106" s="24"/>
      <c r="G106" s="63"/>
      <c r="H106" s="21"/>
      <c r="I106" s="23"/>
      <c r="J106" s="121"/>
      <c r="K106" s="121"/>
      <c r="L106" s="26"/>
      <c r="M106" s="26"/>
      <c r="N106" s="26"/>
      <c r="O106" s="26"/>
      <c r="P106" s="26"/>
      <c r="Q106" s="26"/>
      <c r="R106" s="26"/>
      <c r="S106" s="23"/>
      <c r="T106" s="26"/>
      <c r="U106" s="26" t="str">
        <f t="shared" si="10"/>
        <v/>
      </c>
      <c r="V106" s="27"/>
      <c r="W106" s="122"/>
      <c r="X106" s="123">
        <f t="shared" si="11"/>
        <v>0</v>
      </c>
      <c r="Y106" s="124" t="e">
        <f t="shared" si="12"/>
        <v>#DIV/0!</v>
      </c>
      <c r="Z106" s="124"/>
      <c r="AA106" s="124" t="e">
        <f t="shared" si="13"/>
        <v>#DIV/0!</v>
      </c>
      <c r="AB106" s="125" t="e">
        <f t="shared" si="14"/>
        <v>#DIV/0!</v>
      </c>
      <c r="AC106" s="31" t="e">
        <f t="shared" si="15"/>
        <v>#DIV/0!</v>
      </c>
      <c r="AD106" s="126"/>
      <c r="AE106" s="127"/>
      <c r="AF106" s="127" t="e">
        <f t="shared" si="16"/>
        <v>#DIV/0!</v>
      </c>
      <c r="AG106" s="128" t="e">
        <f t="shared" si="17"/>
        <v>#DIV/0!</v>
      </c>
      <c r="AH106" s="128" t="e">
        <f t="shared" si="18"/>
        <v>#DIV/0!</v>
      </c>
      <c r="AI106" s="127" t="e">
        <f t="shared" si="19"/>
        <v>#DIV/0!</v>
      </c>
    </row>
    <row r="107" ht="15.5" customHeight="1" spans="1:35">
      <c r="A107" s="63"/>
      <c r="B107" s="56"/>
      <c r="C107" s="56"/>
      <c r="D107" s="59"/>
      <c r="E107" s="63"/>
      <c r="F107" s="24"/>
      <c r="G107" s="63"/>
      <c r="H107" s="21"/>
      <c r="I107" s="23"/>
      <c r="J107" s="121"/>
      <c r="K107" s="121"/>
      <c r="L107" s="26"/>
      <c r="M107" s="26"/>
      <c r="N107" s="26"/>
      <c r="O107" s="26"/>
      <c r="P107" s="26"/>
      <c r="Q107" s="26"/>
      <c r="R107" s="26"/>
      <c r="S107" s="23"/>
      <c r="T107" s="26"/>
      <c r="U107" s="26" t="str">
        <f t="shared" si="10"/>
        <v/>
      </c>
      <c r="V107" s="27"/>
      <c r="W107" s="122"/>
      <c r="X107" s="123">
        <f t="shared" si="11"/>
        <v>0</v>
      </c>
      <c r="Y107" s="124" t="e">
        <f t="shared" si="12"/>
        <v>#DIV/0!</v>
      </c>
      <c r="Z107" s="124"/>
      <c r="AA107" s="124" t="e">
        <f t="shared" si="13"/>
        <v>#DIV/0!</v>
      </c>
      <c r="AB107" s="125" t="e">
        <f t="shared" si="14"/>
        <v>#DIV/0!</v>
      </c>
      <c r="AC107" s="31" t="e">
        <f t="shared" si="15"/>
        <v>#DIV/0!</v>
      </c>
      <c r="AD107" s="126"/>
      <c r="AE107" s="127"/>
      <c r="AF107" s="127" t="e">
        <f t="shared" si="16"/>
        <v>#DIV/0!</v>
      </c>
      <c r="AG107" s="128" t="e">
        <f t="shared" si="17"/>
        <v>#DIV/0!</v>
      </c>
      <c r="AH107" s="128" t="e">
        <f t="shared" si="18"/>
        <v>#DIV/0!</v>
      </c>
      <c r="AI107" s="127" t="e">
        <f t="shared" si="19"/>
        <v>#DIV/0!</v>
      </c>
    </row>
    <row r="108" ht="15.5" customHeight="1" spans="1:35">
      <c r="A108" s="63"/>
      <c r="B108" s="56"/>
      <c r="C108" s="56"/>
      <c r="D108" s="59"/>
      <c r="E108" s="63"/>
      <c r="F108" s="24"/>
      <c r="G108" s="63"/>
      <c r="H108" s="21"/>
      <c r="I108" s="23"/>
      <c r="J108" s="121"/>
      <c r="K108" s="121"/>
      <c r="L108" s="26"/>
      <c r="M108" s="26"/>
      <c r="N108" s="26"/>
      <c r="O108" s="26"/>
      <c r="P108" s="26"/>
      <c r="Q108" s="26"/>
      <c r="R108" s="26"/>
      <c r="S108" s="23"/>
      <c r="T108" s="26"/>
      <c r="U108" s="26" t="str">
        <f t="shared" si="10"/>
        <v/>
      </c>
      <c r="V108" s="27"/>
      <c r="W108" s="122"/>
      <c r="X108" s="123">
        <f t="shared" si="11"/>
        <v>0</v>
      </c>
      <c r="Y108" s="124" t="e">
        <f t="shared" si="12"/>
        <v>#DIV/0!</v>
      </c>
      <c r="Z108" s="124"/>
      <c r="AA108" s="124" t="e">
        <f t="shared" si="13"/>
        <v>#DIV/0!</v>
      </c>
      <c r="AB108" s="125" t="e">
        <f t="shared" si="14"/>
        <v>#DIV/0!</v>
      </c>
      <c r="AC108" s="31" t="e">
        <f t="shared" si="15"/>
        <v>#DIV/0!</v>
      </c>
      <c r="AD108" s="126"/>
      <c r="AE108" s="127"/>
      <c r="AF108" s="127" t="e">
        <f t="shared" si="16"/>
        <v>#DIV/0!</v>
      </c>
      <c r="AG108" s="128" t="e">
        <f t="shared" si="17"/>
        <v>#DIV/0!</v>
      </c>
      <c r="AH108" s="128" t="e">
        <f t="shared" si="18"/>
        <v>#DIV/0!</v>
      </c>
      <c r="AI108" s="127" t="e">
        <f t="shared" si="19"/>
        <v>#DIV/0!</v>
      </c>
    </row>
    <row r="109" ht="15.5" customHeight="1" spans="1:35">
      <c r="A109" s="63"/>
      <c r="B109" s="56"/>
      <c r="C109" s="56"/>
      <c r="D109" s="59"/>
      <c r="E109" s="63"/>
      <c r="F109" s="24"/>
      <c r="G109" s="63"/>
      <c r="H109" s="21"/>
      <c r="I109" s="23"/>
      <c r="J109" s="121"/>
      <c r="K109" s="121"/>
      <c r="L109" s="26"/>
      <c r="M109" s="26"/>
      <c r="N109" s="26"/>
      <c r="O109" s="26"/>
      <c r="P109" s="26"/>
      <c r="Q109" s="26"/>
      <c r="R109" s="26"/>
      <c r="S109" s="23"/>
      <c r="T109" s="26"/>
      <c r="U109" s="26" t="str">
        <f t="shared" si="10"/>
        <v/>
      </c>
      <c r="V109" s="27"/>
      <c r="W109" s="122"/>
      <c r="X109" s="123">
        <f t="shared" si="11"/>
        <v>0</v>
      </c>
      <c r="Y109" s="124" t="e">
        <f t="shared" si="12"/>
        <v>#DIV/0!</v>
      </c>
      <c r="Z109" s="124"/>
      <c r="AA109" s="124" t="e">
        <f t="shared" si="13"/>
        <v>#DIV/0!</v>
      </c>
      <c r="AB109" s="125" t="e">
        <f t="shared" si="14"/>
        <v>#DIV/0!</v>
      </c>
      <c r="AC109" s="31" t="e">
        <f t="shared" si="15"/>
        <v>#DIV/0!</v>
      </c>
      <c r="AD109" s="126"/>
      <c r="AE109" s="127"/>
      <c r="AF109" s="127" t="e">
        <f t="shared" si="16"/>
        <v>#DIV/0!</v>
      </c>
      <c r="AG109" s="128" t="e">
        <f t="shared" si="17"/>
        <v>#DIV/0!</v>
      </c>
      <c r="AH109" s="128" t="e">
        <f t="shared" si="18"/>
        <v>#DIV/0!</v>
      </c>
      <c r="AI109" s="127" t="e">
        <f t="shared" si="19"/>
        <v>#DIV/0!</v>
      </c>
    </row>
    <row r="110" ht="15.5" customHeight="1" spans="1:35">
      <c r="A110" s="63"/>
      <c r="B110" s="56"/>
      <c r="C110" s="56"/>
      <c r="D110" s="59"/>
      <c r="E110" s="63"/>
      <c r="F110" s="24"/>
      <c r="G110" s="63"/>
      <c r="H110" s="21"/>
      <c r="I110" s="23"/>
      <c r="J110" s="121"/>
      <c r="K110" s="121"/>
      <c r="L110" s="26"/>
      <c r="M110" s="26"/>
      <c r="N110" s="26"/>
      <c r="O110" s="26"/>
      <c r="P110" s="26"/>
      <c r="Q110" s="26"/>
      <c r="R110" s="26"/>
      <c r="S110" s="23"/>
      <c r="T110" s="26"/>
      <c r="U110" s="26" t="str">
        <f t="shared" si="10"/>
        <v/>
      </c>
      <c r="V110" s="27"/>
      <c r="W110" s="122"/>
      <c r="X110" s="123">
        <f t="shared" si="11"/>
        <v>0</v>
      </c>
      <c r="Y110" s="124" t="e">
        <f t="shared" si="12"/>
        <v>#DIV/0!</v>
      </c>
      <c r="Z110" s="124"/>
      <c r="AA110" s="124" t="e">
        <f t="shared" si="13"/>
        <v>#DIV/0!</v>
      </c>
      <c r="AB110" s="125" t="e">
        <f t="shared" si="14"/>
        <v>#DIV/0!</v>
      </c>
      <c r="AC110" s="31" t="e">
        <f t="shared" si="15"/>
        <v>#DIV/0!</v>
      </c>
      <c r="AD110" s="126"/>
      <c r="AE110" s="127"/>
      <c r="AF110" s="127" t="e">
        <f t="shared" si="16"/>
        <v>#DIV/0!</v>
      </c>
      <c r="AG110" s="128" t="e">
        <f t="shared" si="17"/>
        <v>#DIV/0!</v>
      </c>
      <c r="AH110" s="128" t="e">
        <f t="shared" si="18"/>
        <v>#DIV/0!</v>
      </c>
      <c r="AI110" s="127" t="e">
        <f t="shared" si="19"/>
        <v>#DIV/0!</v>
      </c>
    </row>
    <row r="111" ht="15.5" customHeight="1" spans="1:35">
      <c r="A111" s="63"/>
      <c r="B111" s="56"/>
      <c r="C111" s="56"/>
      <c r="D111" s="59"/>
      <c r="E111" s="63"/>
      <c r="F111" s="24"/>
      <c r="G111" s="63"/>
      <c r="H111" s="21"/>
      <c r="I111" s="23"/>
      <c r="J111" s="121"/>
      <c r="K111" s="121"/>
      <c r="L111" s="26"/>
      <c r="M111" s="26"/>
      <c r="N111" s="26"/>
      <c r="O111" s="26"/>
      <c r="P111" s="26"/>
      <c r="Q111" s="26"/>
      <c r="R111" s="26"/>
      <c r="S111" s="23"/>
      <c r="T111" s="26"/>
      <c r="U111" s="26" t="str">
        <f t="shared" si="10"/>
        <v/>
      </c>
      <c r="V111" s="27"/>
      <c r="W111" s="122"/>
      <c r="X111" s="123">
        <f t="shared" si="11"/>
        <v>0</v>
      </c>
      <c r="Y111" s="124" t="e">
        <f t="shared" si="12"/>
        <v>#DIV/0!</v>
      </c>
      <c r="Z111" s="124"/>
      <c r="AA111" s="124" t="e">
        <f t="shared" si="13"/>
        <v>#DIV/0!</v>
      </c>
      <c r="AB111" s="125" t="e">
        <f t="shared" si="14"/>
        <v>#DIV/0!</v>
      </c>
      <c r="AC111" s="31" t="e">
        <f t="shared" si="15"/>
        <v>#DIV/0!</v>
      </c>
      <c r="AD111" s="126"/>
      <c r="AE111" s="127"/>
      <c r="AF111" s="127" t="e">
        <f t="shared" si="16"/>
        <v>#DIV/0!</v>
      </c>
      <c r="AG111" s="128" t="e">
        <f t="shared" si="17"/>
        <v>#DIV/0!</v>
      </c>
      <c r="AH111" s="128" t="e">
        <f t="shared" si="18"/>
        <v>#DIV/0!</v>
      </c>
      <c r="AI111" s="127" t="e">
        <f t="shared" si="19"/>
        <v>#DIV/0!</v>
      </c>
    </row>
    <row r="112" ht="15.5" customHeight="1" spans="1:35">
      <c r="A112" s="63"/>
      <c r="B112" s="56"/>
      <c r="C112" s="56"/>
      <c r="D112" s="59"/>
      <c r="E112" s="63"/>
      <c r="F112" s="24"/>
      <c r="G112" s="63"/>
      <c r="H112" s="21"/>
      <c r="I112" s="23"/>
      <c r="J112" s="121"/>
      <c r="K112" s="121"/>
      <c r="L112" s="26"/>
      <c r="M112" s="26"/>
      <c r="N112" s="26"/>
      <c r="O112" s="26"/>
      <c r="P112" s="26"/>
      <c r="Q112" s="26"/>
      <c r="R112" s="26"/>
      <c r="S112" s="23"/>
      <c r="T112" s="26"/>
      <c r="U112" s="26" t="str">
        <f t="shared" si="10"/>
        <v/>
      </c>
      <c r="V112" s="27"/>
      <c r="W112" s="122"/>
      <c r="X112" s="123">
        <f t="shared" si="11"/>
        <v>0</v>
      </c>
      <c r="Y112" s="124" t="e">
        <f t="shared" si="12"/>
        <v>#DIV/0!</v>
      </c>
      <c r="Z112" s="124"/>
      <c r="AA112" s="124" t="e">
        <f t="shared" si="13"/>
        <v>#DIV/0!</v>
      </c>
      <c r="AB112" s="125" t="e">
        <f t="shared" si="14"/>
        <v>#DIV/0!</v>
      </c>
      <c r="AC112" s="31" t="e">
        <f t="shared" si="15"/>
        <v>#DIV/0!</v>
      </c>
      <c r="AD112" s="126"/>
      <c r="AE112" s="127"/>
      <c r="AF112" s="127" t="e">
        <f t="shared" si="16"/>
        <v>#DIV/0!</v>
      </c>
      <c r="AG112" s="128" t="e">
        <f t="shared" si="17"/>
        <v>#DIV/0!</v>
      </c>
      <c r="AH112" s="128" t="e">
        <f t="shared" si="18"/>
        <v>#DIV/0!</v>
      </c>
      <c r="AI112" s="127" t="e">
        <f t="shared" si="19"/>
        <v>#DIV/0!</v>
      </c>
    </row>
    <row r="113" ht="15.5" customHeight="1" spans="1:35">
      <c r="A113" s="63"/>
      <c r="B113" s="56"/>
      <c r="C113" s="56"/>
      <c r="D113" s="59"/>
      <c r="E113" s="63"/>
      <c r="F113" s="24"/>
      <c r="G113" s="63"/>
      <c r="H113" s="21"/>
      <c r="I113" s="23"/>
      <c r="J113" s="121"/>
      <c r="K113" s="121"/>
      <c r="L113" s="26"/>
      <c r="M113" s="26"/>
      <c r="N113" s="26"/>
      <c r="O113" s="26"/>
      <c r="P113" s="26"/>
      <c r="Q113" s="26"/>
      <c r="R113" s="26"/>
      <c r="S113" s="23"/>
      <c r="T113" s="26"/>
      <c r="U113" s="26" t="str">
        <f t="shared" si="10"/>
        <v/>
      </c>
      <c r="V113" s="27"/>
      <c r="W113" s="122"/>
      <c r="X113" s="123">
        <f t="shared" si="11"/>
        <v>0</v>
      </c>
      <c r="Y113" s="124" t="e">
        <f t="shared" si="12"/>
        <v>#DIV/0!</v>
      </c>
      <c r="Z113" s="124"/>
      <c r="AA113" s="124" t="e">
        <f t="shared" si="13"/>
        <v>#DIV/0!</v>
      </c>
      <c r="AB113" s="125" t="e">
        <f t="shared" si="14"/>
        <v>#DIV/0!</v>
      </c>
      <c r="AC113" s="31" t="e">
        <f t="shared" si="15"/>
        <v>#DIV/0!</v>
      </c>
      <c r="AD113" s="126"/>
      <c r="AE113" s="127"/>
      <c r="AF113" s="127" t="e">
        <f t="shared" si="16"/>
        <v>#DIV/0!</v>
      </c>
      <c r="AG113" s="128" t="e">
        <f t="shared" si="17"/>
        <v>#DIV/0!</v>
      </c>
      <c r="AH113" s="128" t="e">
        <f t="shared" si="18"/>
        <v>#DIV/0!</v>
      </c>
      <c r="AI113" s="127" t="e">
        <f t="shared" si="19"/>
        <v>#DIV/0!</v>
      </c>
    </row>
    <row r="114" ht="15.5" customHeight="1" spans="1:35">
      <c r="A114" s="63"/>
      <c r="B114" s="56"/>
      <c r="C114" s="56"/>
      <c r="D114" s="59"/>
      <c r="E114" s="63"/>
      <c r="F114" s="24"/>
      <c r="G114" s="63"/>
      <c r="H114" s="21"/>
      <c r="I114" s="23"/>
      <c r="J114" s="121"/>
      <c r="K114" s="121"/>
      <c r="L114" s="26"/>
      <c r="M114" s="26"/>
      <c r="N114" s="26"/>
      <c r="O114" s="26"/>
      <c r="P114" s="26"/>
      <c r="Q114" s="26"/>
      <c r="R114" s="26"/>
      <c r="S114" s="23"/>
      <c r="T114" s="26"/>
      <c r="U114" s="26" t="str">
        <f t="shared" si="10"/>
        <v/>
      </c>
      <c r="V114" s="27"/>
      <c r="W114" s="122"/>
      <c r="X114" s="123">
        <f t="shared" si="11"/>
        <v>0</v>
      </c>
      <c r="Y114" s="124" t="e">
        <f t="shared" si="12"/>
        <v>#DIV/0!</v>
      </c>
      <c r="Z114" s="124"/>
      <c r="AA114" s="124" t="e">
        <f t="shared" si="13"/>
        <v>#DIV/0!</v>
      </c>
      <c r="AB114" s="125" t="e">
        <f t="shared" si="14"/>
        <v>#DIV/0!</v>
      </c>
      <c r="AC114" s="31" t="e">
        <f t="shared" si="15"/>
        <v>#DIV/0!</v>
      </c>
      <c r="AD114" s="126"/>
      <c r="AE114" s="127"/>
      <c r="AF114" s="127" t="e">
        <f t="shared" si="16"/>
        <v>#DIV/0!</v>
      </c>
      <c r="AG114" s="128" t="e">
        <f t="shared" si="17"/>
        <v>#DIV/0!</v>
      </c>
      <c r="AH114" s="128" t="e">
        <f t="shared" si="18"/>
        <v>#DIV/0!</v>
      </c>
      <c r="AI114" s="127" t="e">
        <f t="shared" si="19"/>
        <v>#DIV/0!</v>
      </c>
    </row>
    <row r="115" ht="15.5" customHeight="1" spans="1:35">
      <c r="A115" s="63"/>
      <c r="B115" s="56"/>
      <c r="C115" s="56"/>
      <c r="D115" s="59"/>
      <c r="E115" s="63"/>
      <c r="F115" s="24"/>
      <c r="G115" s="63"/>
      <c r="H115" s="21"/>
      <c r="I115" s="23"/>
      <c r="J115" s="121"/>
      <c r="K115" s="121"/>
      <c r="L115" s="26"/>
      <c r="M115" s="26"/>
      <c r="N115" s="26"/>
      <c r="O115" s="26"/>
      <c r="P115" s="26"/>
      <c r="Q115" s="26"/>
      <c r="R115" s="26"/>
      <c r="S115" s="23"/>
      <c r="T115" s="26"/>
      <c r="U115" s="26" t="str">
        <f t="shared" si="10"/>
        <v/>
      </c>
      <c r="V115" s="27"/>
      <c r="W115" s="122"/>
      <c r="X115" s="123">
        <f t="shared" si="11"/>
        <v>0</v>
      </c>
      <c r="Y115" s="124" t="e">
        <f t="shared" si="12"/>
        <v>#DIV/0!</v>
      </c>
      <c r="Z115" s="124"/>
      <c r="AA115" s="124" t="e">
        <f t="shared" si="13"/>
        <v>#DIV/0!</v>
      </c>
      <c r="AB115" s="125" t="e">
        <f t="shared" si="14"/>
        <v>#DIV/0!</v>
      </c>
      <c r="AC115" s="31" t="e">
        <f t="shared" si="15"/>
        <v>#DIV/0!</v>
      </c>
      <c r="AD115" s="126"/>
      <c r="AE115" s="127"/>
      <c r="AF115" s="127" t="e">
        <f t="shared" si="16"/>
        <v>#DIV/0!</v>
      </c>
      <c r="AG115" s="128" t="e">
        <f t="shared" si="17"/>
        <v>#DIV/0!</v>
      </c>
      <c r="AH115" s="128" t="e">
        <f t="shared" si="18"/>
        <v>#DIV/0!</v>
      </c>
      <c r="AI115" s="127" t="e">
        <f t="shared" si="19"/>
        <v>#DIV/0!</v>
      </c>
    </row>
    <row r="116" ht="15.5" customHeight="1" spans="1:35">
      <c r="A116" s="63"/>
      <c r="B116" s="56"/>
      <c r="C116" s="56"/>
      <c r="D116" s="59"/>
      <c r="E116" s="63"/>
      <c r="F116" s="24"/>
      <c r="G116" s="63"/>
      <c r="H116" s="21"/>
      <c r="I116" s="23"/>
      <c r="J116" s="121"/>
      <c r="K116" s="121"/>
      <c r="L116" s="26"/>
      <c r="M116" s="26"/>
      <c r="N116" s="26"/>
      <c r="O116" s="26"/>
      <c r="P116" s="26"/>
      <c r="Q116" s="26"/>
      <c r="R116" s="26"/>
      <c r="S116" s="23"/>
      <c r="T116" s="26"/>
      <c r="U116" s="26" t="str">
        <f t="shared" si="10"/>
        <v/>
      </c>
      <c r="V116" s="27"/>
      <c r="W116" s="122"/>
      <c r="X116" s="123">
        <f t="shared" si="11"/>
        <v>0</v>
      </c>
      <c r="Y116" s="124" t="e">
        <f t="shared" si="12"/>
        <v>#DIV/0!</v>
      </c>
      <c r="Z116" s="124"/>
      <c r="AA116" s="124" t="e">
        <f t="shared" si="13"/>
        <v>#DIV/0!</v>
      </c>
      <c r="AB116" s="125" t="e">
        <f t="shared" si="14"/>
        <v>#DIV/0!</v>
      </c>
      <c r="AC116" s="31" t="e">
        <f t="shared" si="15"/>
        <v>#DIV/0!</v>
      </c>
      <c r="AD116" s="126"/>
      <c r="AE116" s="127"/>
      <c r="AF116" s="127" t="e">
        <f t="shared" si="16"/>
        <v>#DIV/0!</v>
      </c>
      <c r="AG116" s="128" t="e">
        <f t="shared" si="17"/>
        <v>#DIV/0!</v>
      </c>
      <c r="AH116" s="128" t="e">
        <f t="shared" si="18"/>
        <v>#DIV/0!</v>
      </c>
      <c r="AI116" s="127" t="e">
        <f t="shared" si="19"/>
        <v>#DIV/0!</v>
      </c>
    </row>
    <row r="117" ht="15.5" customHeight="1" spans="1:35">
      <c r="A117" s="63"/>
      <c r="B117" s="56"/>
      <c r="C117" s="56"/>
      <c r="D117" s="59"/>
      <c r="E117" s="63"/>
      <c r="F117" s="24"/>
      <c r="G117" s="63"/>
      <c r="H117" s="21"/>
      <c r="I117" s="23"/>
      <c r="J117" s="121"/>
      <c r="K117" s="121"/>
      <c r="L117" s="26"/>
      <c r="M117" s="26"/>
      <c r="N117" s="26"/>
      <c r="O117" s="26"/>
      <c r="P117" s="26"/>
      <c r="Q117" s="26"/>
      <c r="R117" s="26"/>
      <c r="S117" s="23"/>
      <c r="T117" s="26"/>
      <c r="U117" s="26" t="str">
        <f t="shared" si="10"/>
        <v/>
      </c>
      <c r="V117" s="27"/>
      <c r="W117" s="122"/>
      <c r="X117" s="123">
        <f t="shared" si="11"/>
        <v>0</v>
      </c>
      <c r="Y117" s="124" t="e">
        <f t="shared" si="12"/>
        <v>#DIV/0!</v>
      </c>
      <c r="Z117" s="124"/>
      <c r="AA117" s="124" t="e">
        <f t="shared" si="13"/>
        <v>#DIV/0!</v>
      </c>
      <c r="AB117" s="125" t="e">
        <f t="shared" si="14"/>
        <v>#DIV/0!</v>
      </c>
      <c r="AC117" s="31" t="e">
        <f t="shared" si="15"/>
        <v>#DIV/0!</v>
      </c>
      <c r="AD117" s="126"/>
      <c r="AE117" s="127"/>
      <c r="AF117" s="127" t="e">
        <f t="shared" si="16"/>
        <v>#DIV/0!</v>
      </c>
      <c r="AG117" s="128" t="e">
        <f t="shared" si="17"/>
        <v>#DIV/0!</v>
      </c>
      <c r="AH117" s="128" t="e">
        <f t="shared" si="18"/>
        <v>#DIV/0!</v>
      </c>
      <c r="AI117" s="127" t="e">
        <f t="shared" si="19"/>
        <v>#DIV/0!</v>
      </c>
    </row>
    <row r="118" ht="15.5" customHeight="1" spans="1:35">
      <c r="A118" s="63"/>
      <c r="B118" s="56"/>
      <c r="C118" s="56"/>
      <c r="D118" s="59"/>
      <c r="E118" s="63"/>
      <c r="F118" s="24"/>
      <c r="G118" s="63"/>
      <c r="H118" s="21"/>
      <c r="I118" s="23"/>
      <c r="J118" s="121"/>
      <c r="K118" s="121"/>
      <c r="L118" s="26"/>
      <c r="M118" s="26"/>
      <c r="N118" s="26"/>
      <c r="O118" s="26"/>
      <c r="P118" s="26"/>
      <c r="Q118" s="26"/>
      <c r="R118" s="26"/>
      <c r="S118" s="23"/>
      <c r="T118" s="26"/>
      <c r="U118" s="26" t="str">
        <f t="shared" si="10"/>
        <v/>
      </c>
      <c r="V118" s="27"/>
      <c r="W118" s="122"/>
      <c r="X118" s="123">
        <f t="shared" si="11"/>
        <v>0</v>
      </c>
      <c r="Y118" s="124" t="e">
        <f t="shared" si="12"/>
        <v>#DIV/0!</v>
      </c>
      <c r="Z118" s="124"/>
      <c r="AA118" s="124" t="e">
        <f t="shared" si="13"/>
        <v>#DIV/0!</v>
      </c>
      <c r="AB118" s="125" t="e">
        <f t="shared" si="14"/>
        <v>#DIV/0!</v>
      </c>
      <c r="AC118" s="31" t="e">
        <f t="shared" si="15"/>
        <v>#DIV/0!</v>
      </c>
      <c r="AD118" s="126"/>
      <c r="AE118" s="127"/>
      <c r="AF118" s="127" t="e">
        <f t="shared" si="16"/>
        <v>#DIV/0!</v>
      </c>
      <c r="AG118" s="128" t="e">
        <f t="shared" si="17"/>
        <v>#DIV/0!</v>
      </c>
      <c r="AH118" s="128" t="e">
        <f t="shared" si="18"/>
        <v>#DIV/0!</v>
      </c>
      <c r="AI118" s="127" t="e">
        <f t="shared" si="19"/>
        <v>#DIV/0!</v>
      </c>
    </row>
    <row r="119" ht="15.5" customHeight="1" spans="1:35">
      <c r="A119" s="63"/>
      <c r="B119" s="56"/>
      <c r="C119" s="56"/>
      <c r="D119" s="59"/>
      <c r="E119" s="63"/>
      <c r="F119" s="24"/>
      <c r="G119" s="63"/>
      <c r="H119" s="21"/>
      <c r="I119" s="23"/>
      <c r="J119" s="121"/>
      <c r="K119" s="121"/>
      <c r="L119" s="26"/>
      <c r="M119" s="26"/>
      <c r="N119" s="26"/>
      <c r="O119" s="26"/>
      <c r="P119" s="26"/>
      <c r="Q119" s="26"/>
      <c r="R119" s="26"/>
      <c r="S119" s="23"/>
      <c r="T119" s="26"/>
      <c r="U119" s="26" t="str">
        <f t="shared" si="10"/>
        <v/>
      </c>
      <c r="V119" s="27"/>
      <c r="W119" s="122"/>
      <c r="X119" s="123">
        <f t="shared" si="11"/>
        <v>0</v>
      </c>
      <c r="Y119" s="124" t="e">
        <f t="shared" si="12"/>
        <v>#DIV/0!</v>
      </c>
      <c r="Z119" s="124"/>
      <c r="AA119" s="124" t="e">
        <f t="shared" si="13"/>
        <v>#DIV/0!</v>
      </c>
      <c r="AB119" s="125" t="e">
        <f t="shared" si="14"/>
        <v>#DIV/0!</v>
      </c>
      <c r="AC119" s="31" t="e">
        <f t="shared" si="15"/>
        <v>#DIV/0!</v>
      </c>
      <c r="AD119" s="126"/>
      <c r="AE119" s="127"/>
      <c r="AF119" s="127" t="e">
        <f t="shared" si="16"/>
        <v>#DIV/0!</v>
      </c>
      <c r="AG119" s="128" t="e">
        <f t="shared" si="17"/>
        <v>#DIV/0!</v>
      </c>
      <c r="AH119" s="128" t="e">
        <f t="shared" si="18"/>
        <v>#DIV/0!</v>
      </c>
      <c r="AI119" s="127" t="e">
        <f t="shared" si="19"/>
        <v>#DIV/0!</v>
      </c>
    </row>
    <row r="120" ht="15.5" customHeight="1" spans="1:35">
      <c r="A120" s="63"/>
      <c r="B120" s="56"/>
      <c r="C120" s="56"/>
      <c r="D120" s="59"/>
      <c r="E120" s="63"/>
      <c r="F120" s="24"/>
      <c r="G120" s="63"/>
      <c r="H120" s="21"/>
      <c r="I120" s="23"/>
      <c r="J120" s="121"/>
      <c r="K120" s="121"/>
      <c r="L120" s="26"/>
      <c r="M120" s="26"/>
      <c r="N120" s="26"/>
      <c r="O120" s="26"/>
      <c r="P120" s="26"/>
      <c r="Q120" s="26"/>
      <c r="R120" s="26"/>
      <c r="S120" s="23"/>
      <c r="T120" s="26"/>
      <c r="U120" s="26" t="str">
        <f t="shared" si="10"/>
        <v/>
      </c>
      <c r="V120" s="27"/>
      <c r="W120" s="122"/>
      <c r="X120" s="123">
        <f t="shared" si="11"/>
        <v>0</v>
      </c>
      <c r="Y120" s="124" t="e">
        <f t="shared" si="12"/>
        <v>#DIV/0!</v>
      </c>
      <c r="Z120" s="124"/>
      <c r="AA120" s="124" t="e">
        <f t="shared" si="13"/>
        <v>#DIV/0!</v>
      </c>
      <c r="AB120" s="125" t="e">
        <f t="shared" si="14"/>
        <v>#DIV/0!</v>
      </c>
      <c r="AC120" s="31" t="e">
        <f t="shared" si="15"/>
        <v>#DIV/0!</v>
      </c>
      <c r="AD120" s="126"/>
      <c r="AE120" s="127"/>
      <c r="AF120" s="127" t="e">
        <f t="shared" si="16"/>
        <v>#DIV/0!</v>
      </c>
      <c r="AG120" s="128" t="e">
        <f t="shared" si="17"/>
        <v>#DIV/0!</v>
      </c>
      <c r="AH120" s="128" t="e">
        <f t="shared" si="18"/>
        <v>#DIV/0!</v>
      </c>
      <c r="AI120" s="127" t="e">
        <f t="shared" si="19"/>
        <v>#DIV/0!</v>
      </c>
    </row>
    <row r="121" ht="15.5" customHeight="1" spans="1:35">
      <c r="A121" s="63"/>
      <c r="B121" s="56"/>
      <c r="C121" s="56"/>
      <c r="D121" s="59"/>
      <c r="E121" s="63"/>
      <c r="F121" s="24"/>
      <c r="G121" s="63"/>
      <c r="H121" s="21"/>
      <c r="I121" s="23"/>
      <c r="J121" s="121"/>
      <c r="K121" s="121"/>
      <c r="L121" s="26"/>
      <c r="M121" s="26"/>
      <c r="N121" s="26"/>
      <c r="O121" s="26"/>
      <c r="P121" s="26"/>
      <c r="Q121" s="26"/>
      <c r="R121" s="26"/>
      <c r="S121" s="23"/>
      <c r="T121" s="26"/>
      <c r="U121" s="26" t="str">
        <f t="shared" si="10"/>
        <v/>
      </c>
      <c r="V121" s="27"/>
      <c r="W121" s="122"/>
      <c r="X121" s="123">
        <f t="shared" si="11"/>
        <v>0</v>
      </c>
      <c r="Y121" s="124" t="e">
        <f t="shared" si="12"/>
        <v>#DIV/0!</v>
      </c>
      <c r="Z121" s="124"/>
      <c r="AA121" s="124" t="e">
        <f t="shared" si="13"/>
        <v>#DIV/0!</v>
      </c>
      <c r="AB121" s="125" t="e">
        <f t="shared" si="14"/>
        <v>#DIV/0!</v>
      </c>
      <c r="AC121" s="31" t="e">
        <f t="shared" si="15"/>
        <v>#DIV/0!</v>
      </c>
      <c r="AD121" s="126"/>
      <c r="AE121" s="127"/>
      <c r="AF121" s="127" t="e">
        <f t="shared" si="16"/>
        <v>#DIV/0!</v>
      </c>
      <c r="AG121" s="128" t="e">
        <f t="shared" si="17"/>
        <v>#DIV/0!</v>
      </c>
      <c r="AH121" s="128" t="e">
        <f t="shared" si="18"/>
        <v>#DIV/0!</v>
      </c>
      <c r="AI121" s="127" t="e">
        <f t="shared" si="19"/>
        <v>#DIV/0!</v>
      </c>
    </row>
    <row r="122" ht="15.5" customHeight="1" spans="1:35">
      <c r="A122" s="63"/>
      <c r="B122" s="56"/>
      <c r="C122" s="56"/>
      <c r="D122" s="59"/>
      <c r="E122" s="63"/>
      <c r="F122" s="24"/>
      <c r="G122" s="63"/>
      <c r="H122" s="21"/>
      <c r="I122" s="23"/>
      <c r="J122" s="121"/>
      <c r="K122" s="121"/>
      <c r="L122" s="26"/>
      <c r="M122" s="26"/>
      <c r="N122" s="26"/>
      <c r="O122" s="26"/>
      <c r="P122" s="26"/>
      <c r="Q122" s="26"/>
      <c r="R122" s="26"/>
      <c r="S122" s="23"/>
      <c r="T122" s="26"/>
      <c r="U122" s="26" t="str">
        <f t="shared" si="10"/>
        <v/>
      </c>
      <c r="V122" s="27"/>
      <c r="W122" s="122"/>
      <c r="X122" s="123">
        <f t="shared" si="11"/>
        <v>0</v>
      </c>
      <c r="Y122" s="124" t="e">
        <f t="shared" si="12"/>
        <v>#DIV/0!</v>
      </c>
      <c r="Z122" s="124"/>
      <c r="AA122" s="124" t="e">
        <f t="shared" si="13"/>
        <v>#DIV/0!</v>
      </c>
      <c r="AB122" s="125" t="e">
        <f t="shared" si="14"/>
        <v>#DIV/0!</v>
      </c>
      <c r="AC122" s="31" t="e">
        <f t="shared" si="15"/>
        <v>#DIV/0!</v>
      </c>
      <c r="AD122" s="126"/>
      <c r="AE122" s="127"/>
      <c r="AF122" s="127" t="e">
        <f t="shared" si="16"/>
        <v>#DIV/0!</v>
      </c>
      <c r="AG122" s="128" t="e">
        <f t="shared" si="17"/>
        <v>#DIV/0!</v>
      </c>
      <c r="AH122" s="128" t="e">
        <f t="shared" si="18"/>
        <v>#DIV/0!</v>
      </c>
      <c r="AI122" s="127" t="e">
        <f t="shared" si="19"/>
        <v>#DIV/0!</v>
      </c>
    </row>
    <row r="123" ht="15.5" customHeight="1" spans="1:35">
      <c r="A123" s="63"/>
      <c r="B123" s="56"/>
      <c r="C123" s="56"/>
      <c r="D123" s="59"/>
      <c r="E123" s="63"/>
      <c r="F123" s="24"/>
      <c r="G123" s="63"/>
      <c r="H123" s="21"/>
      <c r="I123" s="23"/>
      <c r="J123" s="121"/>
      <c r="K123" s="121"/>
      <c r="L123" s="26"/>
      <c r="M123" s="26"/>
      <c r="N123" s="26"/>
      <c r="O123" s="26"/>
      <c r="P123" s="26"/>
      <c r="Q123" s="26"/>
      <c r="R123" s="26"/>
      <c r="S123" s="23"/>
      <c r="T123" s="26"/>
      <c r="U123" s="26" t="str">
        <f t="shared" si="10"/>
        <v/>
      </c>
      <c r="V123" s="27"/>
      <c r="W123" s="122"/>
      <c r="X123" s="123">
        <f t="shared" si="11"/>
        <v>0</v>
      </c>
      <c r="Y123" s="124" t="e">
        <f t="shared" si="12"/>
        <v>#DIV/0!</v>
      </c>
      <c r="Z123" s="124"/>
      <c r="AA123" s="124" t="e">
        <f t="shared" si="13"/>
        <v>#DIV/0!</v>
      </c>
      <c r="AB123" s="125" t="e">
        <f t="shared" si="14"/>
        <v>#DIV/0!</v>
      </c>
      <c r="AC123" s="31" t="e">
        <f t="shared" si="15"/>
        <v>#DIV/0!</v>
      </c>
      <c r="AD123" s="126"/>
      <c r="AE123" s="127"/>
      <c r="AF123" s="127" t="e">
        <f t="shared" si="16"/>
        <v>#DIV/0!</v>
      </c>
      <c r="AG123" s="128" t="e">
        <f t="shared" si="17"/>
        <v>#DIV/0!</v>
      </c>
      <c r="AH123" s="128" t="e">
        <f t="shared" si="18"/>
        <v>#DIV/0!</v>
      </c>
      <c r="AI123" s="127" t="e">
        <f t="shared" si="19"/>
        <v>#DIV/0!</v>
      </c>
    </row>
    <row r="124" ht="15.5" customHeight="1" spans="1:35">
      <c r="A124" s="63"/>
      <c r="B124" s="56"/>
      <c r="C124" s="56"/>
      <c r="D124" s="59"/>
      <c r="E124" s="63"/>
      <c r="F124" s="24"/>
      <c r="G124" s="63"/>
      <c r="H124" s="21"/>
      <c r="I124" s="23"/>
      <c r="J124" s="121"/>
      <c r="K124" s="121"/>
      <c r="L124" s="26"/>
      <c r="M124" s="26"/>
      <c r="N124" s="26"/>
      <c r="O124" s="26"/>
      <c r="P124" s="26"/>
      <c r="Q124" s="26"/>
      <c r="R124" s="26"/>
      <c r="S124" s="23"/>
      <c r="T124" s="26"/>
      <c r="U124" s="26" t="str">
        <f t="shared" si="10"/>
        <v/>
      </c>
      <c r="V124" s="27"/>
      <c r="W124" s="122"/>
      <c r="X124" s="123">
        <f t="shared" si="11"/>
        <v>0</v>
      </c>
      <c r="Y124" s="124" t="e">
        <f t="shared" si="12"/>
        <v>#DIV/0!</v>
      </c>
      <c r="Z124" s="124"/>
      <c r="AA124" s="124" t="e">
        <f t="shared" si="13"/>
        <v>#DIV/0!</v>
      </c>
      <c r="AB124" s="125" t="e">
        <f t="shared" si="14"/>
        <v>#DIV/0!</v>
      </c>
      <c r="AC124" s="31" t="e">
        <f t="shared" si="15"/>
        <v>#DIV/0!</v>
      </c>
      <c r="AD124" s="126"/>
      <c r="AE124" s="127"/>
      <c r="AF124" s="127" t="e">
        <f t="shared" si="16"/>
        <v>#DIV/0!</v>
      </c>
      <c r="AG124" s="128" t="e">
        <f t="shared" si="17"/>
        <v>#DIV/0!</v>
      </c>
      <c r="AH124" s="128" t="e">
        <f t="shared" si="18"/>
        <v>#DIV/0!</v>
      </c>
      <c r="AI124" s="127" t="e">
        <f t="shared" si="19"/>
        <v>#DIV/0!</v>
      </c>
    </row>
    <row r="125" ht="15.5" customHeight="1" spans="1:35">
      <c r="A125" s="63"/>
      <c r="B125" s="56"/>
      <c r="C125" s="56"/>
      <c r="D125" s="59"/>
      <c r="E125" s="63"/>
      <c r="F125" s="24"/>
      <c r="G125" s="63"/>
      <c r="H125" s="21"/>
      <c r="I125" s="23"/>
      <c r="J125" s="121"/>
      <c r="K125" s="121"/>
      <c r="L125" s="26"/>
      <c r="M125" s="26"/>
      <c r="N125" s="26"/>
      <c r="O125" s="26"/>
      <c r="P125" s="26"/>
      <c r="Q125" s="26"/>
      <c r="R125" s="26"/>
      <c r="S125" s="23"/>
      <c r="T125" s="26"/>
      <c r="U125" s="26" t="str">
        <f t="shared" si="10"/>
        <v/>
      </c>
      <c r="V125" s="27"/>
      <c r="W125" s="122"/>
      <c r="X125" s="123">
        <f t="shared" si="11"/>
        <v>0</v>
      </c>
      <c r="Y125" s="124" t="e">
        <f t="shared" si="12"/>
        <v>#DIV/0!</v>
      </c>
      <c r="Z125" s="124"/>
      <c r="AA125" s="124" t="e">
        <f t="shared" si="13"/>
        <v>#DIV/0!</v>
      </c>
      <c r="AB125" s="125" t="e">
        <f t="shared" si="14"/>
        <v>#DIV/0!</v>
      </c>
      <c r="AC125" s="31" t="e">
        <f t="shared" si="15"/>
        <v>#DIV/0!</v>
      </c>
      <c r="AD125" s="126"/>
      <c r="AE125" s="127"/>
      <c r="AF125" s="127" t="e">
        <f t="shared" si="16"/>
        <v>#DIV/0!</v>
      </c>
      <c r="AG125" s="128" t="e">
        <f t="shared" si="17"/>
        <v>#DIV/0!</v>
      </c>
      <c r="AH125" s="128" t="e">
        <f t="shared" si="18"/>
        <v>#DIV/0!</v>
      </c>
      <c r="AI125" s="127" t="e">
        <f t="shared" si="19"/>
        <v>#DIV/0!</v>
      </c>
    </row>
    <row r="126" ht="15.5" customHeight="1" spans="1:35">
      <c r="A126" s="63"/>
      <c r="B126" s="56"/>
      <c r="C126" s="56"/>
      <c r="D126" s="59"/>
      <c r="E126" s="63"/>
      <c r="F126" s="24"/>
      <c r="G126" s="63"/>
      <c r="H126" s="21"/>
      <c r="I126" s="23"/>
      <c r="J126" s="121"/>
      <c r="K126" s="121"/>
      <c r="L126" s="26"/>
      <c r="M126" s="26"/>
      <c r="N126" s="26"/>
      <c r="O126" s="26"/>
      <c r="P126" s="26"/>
      <c r="Q126" s="26"/>
      <c r="R126" s="26"/>
      <c r="S126" s="23"/>
      <c r="T126" s="26"/>
      <c r="U126" s="26" t="str">
        <f t="shared" si="10"/>
        <v/>
      </c>
      <c r="V126" s="27"/>
      <c r="W126" s="122"/>
      <c r="X126" s="123">
        <f t="shared" si="11"/>
        <v>0</v>
      </c>
      <c r="Y126" s="124" t="e">
        <f t="shared" si="12"/>
        <v>#DIV/0!</v>
      </c>
      <c r="Z126" s="124"/>
      <c r="AA126" s="124" t="e">
        <f t="shared" si="13"/>
        <v>#DIV/0!</v>
      </c>
      <c r="AB126" s="125" t="e">
        <f t="shared" si="14"/>
        <v>#DIV/0!</v>
      </c>
      <c r="AC126" s="31" t="e">
        <f t="shared" si="15"/>
        <v>#DIV/0!</v>
      </c>
      <c r="AD126" s="126"/>
      <c r="AE126" s="127"/>
      <c r="AF126" s="127" t="e">
        <f t="shared" si="16"/>
        <v>#DIV/0!</v>
      </c>
      <c r="AG126" s="128" t="e">
        <f t="shared" si="17"/>
        <v>#DIV/0!</v>
      </c>
      <c r="AH126" s="128" t="e">
        <f t="shared" si="18"/>
        <v>#DIV/0!</v>
      </c>
      <c r="AI126" s="127" t="e">
        <f t="shared" si="19"/>
        <v>#DIV/0!</v>
      </c>
    </row>
    <row r="127" ht="15.5" customHeight="1" spans="1:35">
      <c r="A127" s="63"/>
      <c r="B127" s="56"/>
      <c r="C127" s="56"/>
      <c r="D127" s="59"/>
      <c r="E127" s="63"/>
      <c r="F127" s="24"/>
      <c r="G127" s="63"/>
      <c r="H127" s="21"/>
      <c r="I127" s="23"/>
      <c r="J127" s="121"/>
      <c r="K127" s="121"/>
      <c r="L127" s="26"/>
      <c r="M127" s="26"/>
      <c r="N127" s="26"/>
      <c r="O127" s="26"/>
      <c r="P127" s="26"/>
      <c r="Q127" s="26"/>
      <c r="R127" s="26"/>
      <c r="S127" s="23"/>
      <c r="T127" s="26"/>
      <c r="U127" s="26" t="str">
        <f t="shared" si="10"/>
        <v/>
      </c>
      <c r="V127" s="27"/>
      <c r="W127" s="122"/>
      <c r="X127" s="123">
        <f t="shared" si="11"/>
        <v>0</v>
      </c>
      <c r="Y127" s="124" t="e">
        <f t="shared" si="12"/>
        <v>#DIV/0!</v>
      </c>
      <c r="Z127" s="124"/>
      <c r="AA127" s="124" t="e">
        <f t="shared" si="13"/>
        <v>#DIV/0!</v>
      </c>
      <c r="AB127" s="125" t="e">
        <f t="shared" si="14"/>
        <v>#DIV/0!</v>
      </c>
      <c r="AC127" s="31" t="e">
        <f t="shared" si="15"/>
        <v>#DIV/0!</v>
      </c>
      <c r="AD127" s="126"/>
      <c r="AE127" s="127"/>
      <c r="AF127" s="127" t="e">
        <f t="shared" si="16"/>
        <v>#DIV/0!</v>
      </c>
      <c r="AG127" s="128" t="e">
        <f t="shared" si="17"/>
        <v>#DIV/0!</v>
      </c>
      <c r="AH127" s="128" t="e">
        <f t="shared" si="18"/>
        <v>#DIV/0!</v>
      </c>
      <c r="AI127" s="127" t="e">
        <f t="shared" si="19"/>
        <v>#DIV/0!</v>
      </c>
    </row>
    <row r="128" ht="15.5" customHeight="1" spans="1:35">
      <c r="A128" s="63"/>
      <c r="B128" s="56"/>
      <c r="C128" s="56"/>
      <c r="D128" s="59"/>
      <c r="E128" s="63"/>
      <c r="F128" s="24"/>
      <c r="G128" s="63"/>
      <c r="H128" s="21"/>
      <c r="I128" s="23"/>
      <c r="J128" s="121"/>
      <c r="K128" s="121"/>
      <c r="L128" s="26"/>
      <c r="M128" s="26"/>
      <c r="N128" s="26"/>
      <c r="O128" s="26"/>
      <c r="P128" s="26"/>
      <c r="Q128" s="26"/>
      <c r="R128" s="26"/>
      <c r="S128" s="23"/>
      <c r="T128" s="26"/>
      <c r="U128" s="26" t="str">
        <f t="shared" si="10"/>
        <v/>
      </c>
      <c r="V128" s="27"/>
      <c r="W128" s="122"/>
      <c r="X128" s="123">
        <f t="shared" si="11"/>
        <v>0</v>
      </c>
      <c r="Y128" s="124" t="e">
        <f t="shared" si="12"/>
        <v>#DIV/0!</v>
      </c>
      <c r="Z128" s="124"/>
      <c r="AA128" s="124" t="e">
        <f t="shared" si="13"/>
        <v>#DIV/0!</v>
      </c>
      <c r="AB128" s="125" t="e">
        <f t="shared" si="14"/>
        <v>#DIV/0!</v>
      </c>
      <c r="AC128" s="31" t="e">
        <f t="shared" si="15"/>
        <v>#DIV/0!</v>
      </c>
      <c r="AD128" s="126"/>
      <c r="AE128" s="127"/>
      <c r="AF128" s="127" t="e">
        <f t="shared" si="16"/>
        <v>#DIV/0!</v>
      </c>
      <c r="AG128" s="128" t="e">
        <f t="shared" si="17"/>
        <v>#DIV/0!</v>
      </c>
      <c r="AH128" s="128" t="e">
        <f t="shared" si="18"/>
        <v>#DIV/0!</v>
      </c>
      <c r="AI128" s="127" t="e">
        <f t="shared" si="19"/>
        <v>#DIV/0!</v>
      </c>
    </row>
    <row r="129" ht="15.5" customHeight="1" spans="1:35">
      <c r="A129" s="63"/>
      <c r="B129" s="56"/>
      <c r="C129" s="56"/>
      <c r="D129" s="59"/>
      <c r="E129" s="63"/>
      <c r="F129" s="24"/>
      <c r="G129" s="63"/>
      <c r="H129" s="21"/>
      <c r="I129" s="23"/>
      <c r="J129" s="121"/>
      <c r="K129" s="121"/>
      <c r="L129" s="26"/>
      <c r="M129" s="26"/>
      <c r="N129" s="26"/>
      <c r="O129" s="26"/>
      <c r="P129" s="26"/>
      <c r="Q129" s="26"/>
      <c r="R129" s="26"/>
      <c r="S129" s="23"/>
      <c r="T129" s="26"/>
      <c r="U129" s="26" t="str">
        <f t="shared" si="10"/>
        <v/>
      </c>
      <c r="V129" s="27"/>
      <c r="W129" s="122"/>
      <c r="X129" s="123">
        <f t="shared" si="11"/>
        <v>0</v>
      </c>
      <c r="Y129" s="124" t="e">
        <f t="shared" si="12"/>
        <v>#DIV/0!</v>
      </c>
      <c r="Z129" s="124"/>
      <c r="AA129" s="124" t="e">
        <f t="shared" si="13"/>
        <v>#DIV/0!</v>
      </c>
      <c r="AB129" s="125" t="e">
        <f t="shared" si="14"/>
        <v>#DIV/0!</v>
      </c>
      <c r="AC129" s="31" t="e">
        <f t="shared" si="15"/>
        <v>#DIV/0!</v>
      </c>
      <c r="AD129" s="126"/>
      <c r="AE129" s="127"/>
      <c r="AF129" s="127" t="e">
        <f t="shared" si="16"/>
        <v>#DIV/0!</v>
      </c>
      <c r="AG129" s="128" t="e">
        <f t="shared" si="17"/>
        <v>#DIV/0!</v>
      </c>
      <c r="AH129" s="128" t="e">
        <f t="shared" si="18"/>
        <v>#DIV/0!</v>
      </c>
      <c r="AI129" s="127" t="e">
        <f t="shared" si="19"/>
        <v>#DIV/0!</v>
      </c>
    </row>
    <row r="130" ht="15.5" customHeight="1" spans="1:35">
      <c r="A130" s="63"/>
      <c r="B130" s="56"/>
      <c r="C130" s="56"/>
      <c r="D130" s="59"/>
      <c r="E130" s="63"/>
      <c r="F130" s="24"/>
      <c r="G130" s="63"/>
      <c r="H130" s="21"/>
      <c r="I130" s="23"/>
      <c r="J130" s="121"/>
      <c r="K130" s="121"/>
      <c r="L130" s="26"/>
      <c r="M130" s="26"/>
      <c r="N130" s="26"/>
      <c r="O130" s="26"/>
      <c r="P130" s="26"/>
      <c r="Q130" s="26"/>
      <c r="R130" s="26"/>
      <c r="S130" s="23"/>
      <c r="T130" s="26"/>
      <c r="U130" s="26" t="str">
        <f t="shared" si="10"/>
        <v/>
      </c>
      <c r="V130" s="27"/>
      <c r="W130" s="122"/>
      <c r="X130" s="123">
        <f t="shared" si="11"/>
        <v>0</v>
      </c>
      <c r="Y130" s="124" t="e">
        <f t="shared" si="12"/>
        <v>#DIV/0!</v>
      </c>
      <c r="Z130" s="124"/>
      <c r="AA130" s="124" t="e">
        <f t="shared" si="13"/>
        <v>#DIV/0!</v>
      </c>
      <c r="AB130" s="125" t="e">
        <f t="shared" si="14"/>
        <v>#DIV/0!</v>
      </c>
      <c r="AC130" s="31" t="e">
        <f t="shared" si="15"/>
        <v>#DIV/0!</v>
      </c>
      <c r="AD130" s="126"/>
      <c r="AE130" s="127"/>
      <c r="AF130" s="127" t="e">
        <f t="shared" si="16"/>
        <v>#DIV/0!</v>
      </c>
      <c r="AG130" s="128" t="e">
        <f t="shared" si="17"/>
        <v>#DIV/0!</v>
      </c>
      <c r="AH130" s="128" t="e">
        <f t="shared" si="18"/>
        <v>#DIV/0!</v>
      </c>
      <c r="AI130" s="127" t="e">
        <f t="shared" si="19"/>
        <v>#DIV/0!</v>
      </c>
    </row>
    <row r="131" ht="15.5" customHeight="1" spans="1:35">
      <c r="A131" s="63"/>
      <c r="B131" s="56"/>
      <c r="C131" s="56"/>
      <c r="D131" s="59"/>
      <c r="E131" s="63"/>
      <c r="F131" s="24"/>
      <c r="G131" s="63"/>
      <c r="H131" s="21"/>
      <c r="I131" s="23"/>
      <c r="J131" s="121"/>
      <c r="K131" s="121"/>
      <c r="L131" s="26"/>
      <c r="M131" s="26"/>
      <c r="N131" s="26"/>
      <c r="O131" s="26"/>
      <c r="P131" s="26"/>
      <c r="Q131" s="26"/>
      <c r="R131" s="26"/>
      <c r="S131" s="23"/>
      <c r="T131" s="26"/>
      <c r="U131" s="26" t="str">
        <f t="shared" si="10"/>
        <v/>
      </c>
      <c r="V131" s="27"/>
      <c r="W131" s="122"/>
      <c r="X131" s="123">
        <f t="shared" si="11"/>
        <v>0</v>
      </c>
      <c r="Y131" s="124" t="e">
        <f t="shared" si="12"/>
        <v>#DIV/0!</v>
      </c>
      <c r="Z131" s="124"/>
      <c r="AA131" s="124" t="e">
        <f t="shared" si="13"/>
        <v>#DIV/0!</v>
      </c>
      <c r="AB131" s="125" t="e">
        <f t="shared" si="14"/>
        <v>#DIV/0!</v>
      </c>
      <c r="AC131" s="31" t="e">
        <f t="shared" si="15"/>
        <v>#DIV/0!</v>
      </c>
      <c r="AD131" s="126"/>
      <c r="AE131" s="127"/>
      <c r="AF131" s="127" t="e">
        <f t="shared" si="16"/>
        <v>#DIV/0!</v>
      </c>
      <c r="AG131" s="128" t="e">
        <f t="shared" si="17"/>
        <v>#DIV/0!</v>
      </c>
      <c r="AH131" s="128" t="e">
        <f t="shared" si="18"/>
        <v>#DIV/0!</v>
      </c>
      <c r="AI131" s="127" t="e">
        <f t="shared" si="19"/>
        <v>#DIV/0!</v>
      </c>
    </row>
    <row r="132" ht="15.5" customHeight="1" spans="1:35">
      <c r="A132" s="63"/>
      <c r="B132" s="56"/>
      <c r="C132" s="56"/>
      <c r="D132" s="59"/>
      <c r="E132" s="63"/>
      <c r="F132" s="24"/>
      <c r="G132" s="63"/>
      <c r="H132" s="21"/>
      <c r="I132" s="23"/>
      <c r="J132" s="121"/>
      <c r="K132" s="121"/>
      <c r="L132" s="26"/>
      <c r="M132" s="26"/>
      <c r="N132" s="26"/>
      <c r="O132" s="26"/>
      <c r="P132" s="26"/>
      <c r="Q132" s="26"/>
      <c r="R132" s="26"/>
      <c r="S132" s="23"/>
      <c r="T132" s="26"/>
      <c r="U132" s="26" t="str">
        <f t="shared" si="10"/>
        <v/>
      </c>
      <c r="V132" s="27"/>
      <c r="W132" s="122"/>
      <c r="X132" s="123">
        <f t="shared" si="11"/>
        <v>0</v>
      </c>
      <c r="Y132" s="124" t="e">
        <f t="shared" si="12"/>
        <v>#DIV/0!</v>
      </c>
      <c r="Z132" s="124"/>
      <c r="AA132" s="124" t="e">
        <f t="shared" si="13"/>
        <v>#DIV/0!</v>
      </c>
      <c r="AB132" s="125" t="e">
        <f t="shared" si="14"/>
        <v>#DIV/0!</v>
      </c>
      <c r="AC132" s="31" t="e">
        <f t="shared" si="15"/>
        <v>#DIV/0!</v>
      </c>
      <c r="AD132" s="126"/>
      <c r="AE132" s="127"/>
      <c r="AF132" s="127" t="e">
        <f t="shared" si="16"/>
        <v>#DIV/0!</v>
      </c>
      <c r="AG132" s="128" t="e">
        <f t="shared" si="17"/>
        <v>#DIV/0!</v>
      </c>
      <c r="AH132" s="128" t="e">
        <f t="shared" si="18"/>
        <v>#DIV/0!</v>
      </c>
      <c r="AI132" s="127" t="e">
        <f t="shared" si="19"/>
        <v>#DIV/0!</v>
      </c>
    </row>
    <row r="133" ht="15.5" customHeight="1" spans="1:35">
      <c r="A133" s="63"/>
      <c r="B133" s="56"/>
      <c r="C133" s="56"/>
      <c r="D133" s="59"/>
      <c r="E133" s="63"/>
      <c r="F133" s="24"/>
      <c r="G133" s="63"/>
      <c r="H133" s="21"/>
      <c r="I133" s="23"/>
      <c r="J133" s="121"/>
      <c r="K133" s="121"/>
      <c r="L133" s="26"/>
      <c r="M133" s="26"/>
      <c r="N133" s="26"/>
      <c r="O133" s="26"/>
      <c r="P133" s="26"/>
      <c r="Q133" s="26"/>
      <c r="R133" s="26"/>
      <c r="S133" s="23"/>
      <c r="T133" s="26"/>
      <c r="U133" s="26" t="str">
        <f t="shared" si="10"/>
        <v/>
      </c>
      <c r="V133" s="27"/>
      <c r="W133" s="122"/>
      <c r="X133" s="123">
        <f t="shared" si="11"/>
        <v>0</v>
      </c>
      <c r="Y133" s="124" t="e">
        <f t="shared" si="12"/>
        <v>#DIV/0!</v>
      </c>
      <c r="Z133" s="124"/>
      <c r="AA133" s="124" t="e">
        <f t="shared" si="13"/>
        <v>#DIV/0!</v>
      </c>
      <c r="AB133" s="125" t="e">
        <f t="shared" si="14"/>
        <v>#DIV/0!</v>
      </c>
      <c r="AC133" s="31" t="e">
        <f t="shared" si="15"/>
        <v>#DIV/0!</v>
      </c>
      <c r="AD133" s="126"/>
      <c r="AE133" s="127"/>
      <c r="AF133" s="127" t="e">
        <f t="shared" si="16"/>
        <v>#DIV/0!</v>
      </c>
      <c r="AG133" s="128" t="e">
        <f t="shared" si="17"/>
        <v>#DIV/0!</v>
      </c>
      <c r="AH133" s="128" t="e">
        <f t="shared" si="18"/>
        <v>#DIV/0!</v>
      </c>
      <c r="AI133" s="127" t="e">
        <f t="shared" si="19"/>
        <v>#DIV/0!</v>
      </c>
    </row>
    <row r="134" ht="15.5" customHeight="1" spans="1:35">
      <c r="A134" s="63"/>
      <c r="B134" s="56"/>
      <c r="C134" s="56"/>
      <c r="D134" s="59"/>
      <c r="E134" s="63"/>
      <c r="F134" s="24"/>
      <c r="G134" s="63"/>
      <c r="H134" s="21"/>
      <c r="I134" s="23"/>
      <c r="J134" s="121"/>
      <c r="K134" s="121"/>
      <c r="L134" s="26"/>
      <c r="M134" s="26"/>
      <c r="N134" s="26"/>
      <c r="O134" s="26"/>
      <c r="P134" s="26"/>
      <c r="Q134" s="26"/>
      <c r="R134" s="26"/>
      <c r="S134" s="23"/>
      <c r="T134" s="26"/>
      <c r="U134" s="26" t="str">
        <f t="shared" si="10"/>
        <v/>
      </c>
      <c r="V134" s="27"/>
      <c r="W134" s="122"/>
      <c r="X134" s="123">
        <f t="shared" si="11"/>
        <v>0</v>
      </c>
      <c r="Y134" s="124" t="e">
        <f t="shared" si="12"/>
        <v>#DIV/0!</v>
      </c>
      <c r="Z134" s="124"/>
      <c r="AA134" s="124" t="e">
        <f t="shared" si="13"/>
        <v>#DIV/0!</v>
      </c>
      <c r="AB134" s="125" t="e">
        <f t="shared" si="14"/>
        <v>#DIV/0!</v>
      </c>
      <c r="AC134" s="31" t="e">
        <f t="shared" si="15"/>
        <v>#DIV/0!</v>
      </c>
      <c r="AD134" s="126"/>
      <c r="AE134" s="127"/>
      <c r="AF134" s="127" t="e">
        <f t="shared" si="16"/>
        <v>#DIV/0!</v>
      </c>
      <c r="AG134" s="128" t="e">
        <f t="shared" si="17"/>
        <v>#DIV/0!</v>
      </c>
      <c r="AH134" s="128" t="e">
        <f t="shared" si="18"/>
        <v>#DIV/0!</v>
      </c>
      <c r="AI134" s="127" t="e">
        <f t="shared" si="19"/>
        <v>#DIV/0!</v>
      </c>
    </row>
    <row r="135" ht="15.5" customHeight="1" spans="1:35">
      <c r="A135" s="63"/>
      <c r="B135" s="56"/>
      <c r="C135" s="56"/>
      <c r="D135" s="59"/>
      <c r="E135" s="63"/>
      <c r="F135" s="24"/>
      <c r="G135" s="63"/>
      <c r="H135" s="21"/>
      <c r="I135" s="23"/>
      <c r="J135" s="121"/>
      <c r="K135" s="121"/>
      <c r="L135" s="26"/>
      <c r="M135" s="26"/>
      <c r="N135" s="26"/>
      <c r="O135" s="26"/>
      <c r="P135" s="26"/>
      <c r="Q135" s="26"/>
      <c r="R135" s="26"/>
      <c r="S135" s="23"/>
      <c r="T135" s="26"/>
      <c r="U135" s="26" t="str">
        <f t="shared" ref="U135:U198" si="20">IF(Q135=0,"",(T135-Q135)/Q135*100)</f>
        <v/>
      </c>
      <c r="V135" s="27"/>
      <c r="W135" s="122"/>
      <c r="X135" s="123">
        <f t="shared" ref="X135:X198" si="21">($W$5-K135)/365</f>
        <v>0</v>
      </c>
      <c r="Y135" s="124" t="e">
        <f t="shared" ref="Y135:Y198" si="22">(W135-X135)/W135</f>
        <v>#DIV/0!</v>
      </c>
      <c r="Z135" s="124"/>
      <c r="AA135" s="124" t="e">
        <f t="shared" ref="AA135:AA198" si="23">Y135/2+Z135/2</f>
        <v>#DIV/0!</v>
      </c>
      <c r="AB135" s="125" t="e">
        <f t="shared" ref="AB135:AB198" si="24">P135/I135</f>
        <v>#DIV/0!</v>
      </c>
      <c r="AC135" s="31" t="e">
        <f t="shared" ref="AC135:AC198" si="25">AB135*AD135</f>
        <v>#DIV/0!</v>
      </c>
      <c r="AD135" s="126"/>
      <c r="AE135" s="127"/>
      <c r="AF135" s="127" t="e">
        <f t="shared" ref="AF135:AF198" si="26">AC135*0.13/(1+0.13)</f>
        <v>#DIV/0!</v>
      </c>
      <c r="AG135" s="128" t="e">
        <f t="shared" ref="AG135:AG198" si="27">AC135-AF135</f>
        <v>#DIV/0!</v>
      </c>
      <c r="AH135" s="128" t="e">
        <f t="shared" ref="AH135:AH198" si="28">AC135*I135</f>
        <v>#DIV/0!</v>
      </c>
      <c r="AI135" s="127" t="e">
        <f t="shared" ref="AI135:AI198" si="29">ROUND(AG135*I135,-1)</f>
        <v>#DIV/0!</v>
      </c>
    </row>
    <row r="136" ht="15.5" customHeight="1" spans="1:35">
      <c r="A136" s="63"/>
      <c r="B136" s="56"/>
      <c r="C136" s="56"/>
      <c r="D136" s="59"/>
      <c r="E136" s="63"/>
      <c r="F136" s="24"/>
      <c r="G136" s="63"/>
      <c r="H136" s="21"/>
      <c r="I136" s="23"/>
      <c r="J136" s="121"/>
      <c r="K136" s="121"/>
      <c r="L136" s="26"/>
      <c r="M136" s="26"/>
      <c r="N136" s="26"/>
      <c r="O136" s="26"/>
      <c r="P136" s="26"/>
      <c r="Q136" s="26"/>
      <c r="R136" s="26"/>
      <c r="S136" s="23"/>
      <c r="T136" s="26"/>
      <c r="U136" s="26" t="str">
        <f t="shared" si="20"/>
        <v/>
      </c>
      <c r="V136" s="27"/>
      <c r="W136" s="122"/>
      <c r="X136" s="123">
        <f t="shared" si="21"/>
        <v>0</v>
      </c>
      <c r="Y136" s="124" t="e">
        <f t="shared" si="22"/>
        <v>#DIV/0!</v>
      </c>
      <c r="Z136" s="124"/>
      <c r="AA136" s="124" t="e">
        <f t="shared" si="23"/>
        <v>#DIV/0!</v>
      </c>
      <c r="AB136" s="125" t="e">
        <f t="shared" si="24"/>
        <v>#DIV/0!</v>
      </c>
      <c r="AC136" s="31" t="e">
        <f t="shared" si="25"/>
        <v>#DIV/0!</v>
      </c>
      <c r="AD136" s="126"/>
      <c r="AE136" s="127"/>
      <c r="AF136" s="127" t="e">
        <f t="shared" si="26"/>
        <v>#DIV/0!</v>
      </c>
      <c r="AG136" s="128" t="e">
        <f t="shared" si="27"/>
        <v>#DIV/0!</v>
      </c>
      <c r="AH136" s="128" t="e">
        <f t="shared" si="28"/>
        <v>#DIV/0!</v>
      </c>
      <c r="AI136" s="127" t="e">
        <f t="shared" si="29"/>
        <v>#DIV/0!</v>
      </c>
    </row>
    <row r="137" ht="15.5" customHeight="1" spans="1:35">
      <c r="A137" s="63"/>
      <c r="B137" s="56"/>
      <c r="C137" s="56"/>
      <c r="D137" s="59"/>
      <c r="E137" s="63"/>
      <c r="F137" s="24"/>
      <c r="G137" s="63"/>
      <c r="H137" s="21"/>
      <c r="I137" s="23"/>
      <c r="J137" s="121"/>
      <c r="K137" s="121"/>
      <c r="L137" s="26"/>
      <c r="M137" s="26"/>
      <c r="N137" s="26"/>
      <c r="O137" s="26"/>
      <c r="P137" s="26"/>
      <c r="Q137" s="26"/>
      <c r="R137" s="26"/>
      <c r="S137" s="23"/>
      <c r="T137" s="26"/>
      <c r="U137" s="26" t="str">
        <f t="shared" si="20"/>
        <v/>
      </c>
      <c r="V137" s="27"/>
      <c r="W137" s="122"/>
      <c r="X137" s="123">
        <f t="shared" si="21"/>
        <v>0</v>
      </c>
      <c r="Y137" s="124" t="e">
        <f t="shared" si="22"/>
        <v>#DIV/0!</v>
      </c>
      <c r="Z137" s="124"/>
      <c r="AA137" s="124" t="e">
        <f t="shared" si="23"/>
        <v>#DIV/0!</v>
      </c>
      <c r="AB137" s="125" t="e">
        <f t="shared" si="24"/>
        <v>#DIV/0!</v>
      </c>
      <c r="AC137" s="31" t="e">
        <f t="shared" si="25"/>
        <v>#DIV/0!</v>
      </c>
      <c r="AD137" s="126"/>
      <c r="AE137" s="127"/>
      <c r="AF137" s="127" t="e">
        <f t="shared" si="26"/>
        <v>#DIV/0!</v>
      </c>
      <c r="AG137" s="128" t="e">
        <f t="shared" si="27"/>
        <v>#DIV/0!</v>
      </c>
      <c r="AH137" s="128" t="e">
        <f t="shared" si="28"/>
        <v>#DIV/0!</v>
      </c>
      <c r="AI137" s="127" t="e">
        <f t="shared" si="29"/>
        <v>#DIV/0!</v>
      </c>
    </row>
    <row r="138" ht="15.5" customHeight="1" spans="1:35">
      <c r="A138" s="63"/>
      <c r="B138" s="56"/>
      <c r="C138" s="56"/>
      <c r="D138" s="59"/>
      <c r="E138" s="63"/>
      <c r="F138" s="24"/>
      <c r="G138" s="63"/>
      <c r="H138" s="21"/>
      <c r="I138" s="23"/>
      <c r="J138" s="121"/>
      <c r="K138" s="121"/>
      <c r="L138" s="26"/>
      <c r="M138" s="26"/>
      <c r="N138" s="26"/>
      <c r="O138" s="26"/>
      <c r="P138" s="26"/>
      <c r="Q138" s="26"/>
      <c r="R138" s="26"/>
      <c r="S138" s="23"/>
      <c r="T138" s="26"/>
      <c r="U138" s="26" t="str">
        <f t="shared" si="20"/>
        <v/>
      </c>
      <c r="V138" s="27"/>
      <c r="W138" s="122"/>
      <c r="X138" s="123">
        <f t="shared" si="21"/>
        <v>0</v>
      </c>
      <c r="Y138" s="124" t="e">
        <f t="shared" si="22"/>
        <v>#DIV/0!</v>
      </c>
      <c r="Z138" s="124"/>
      <c r="AA138" s="124" t="e">
        <f t="shared" si="23"/>
        <v>#DIV/0!</v>
      </c>
      <c r="AB138" s="125" t="e">
        <f t="shared" si="24"/>
        <v>#DIV/0!</v>
      </c>
      <c r="AC138" s="31" t="e">
        <f t="shared" si="25"/>
        <v>#DIV/0!</v>
      </c>
      <c r="AD138" s="126"/>
      <c r="AE138" s="127"/>
      <c r="AF138" s="127" t="e">
        <f t="shared" si="26"/>
        <v>#DIV/0!</v>
      </c>
      <c r="AG138" s="128" t="e">
        <f t="shared" si="27"/>
        <v>#DIV/0!</v>
      </c>
      <c r="AH138" s="128" t="e">
        <f t="shared" si="28"/>
        <v>#DIV/0!</v>
      </c>
      <c r="AI138" s="127" t="e">
        <f t="shared" si="29"/>
        <v>#DIV/0!</v>
      </c>
    </row>
    <row r="139" ht="15.5" customHeight="1" spans="1:35">
      <c r="A139" s="63"/>
      <c r="B139" s="56"/>
      <c r="C139" s="56"/>
      <c r="D139" s="59"/>
      <c r="E139" s="63"/>
      <c r="F139" s="24"/>
      <c r="G139" s="63"/>
      <c r="H139" s="21"/>
      <c r="I139" s="23"/>
      <c r="J139" s="121"/>
      <c r="K139" s="121"/>
      <c r="L139" s="26"/>
      <c r="M139" s="26"/>
      <c r="N139" s="26"/>
      <c r="O139" s="26"/>
      <c r="P139" s="26"/>
      <c r="Q139" s="26"/>
      <c r="R139" s="26"/>
      <c r="S139" s="23"/>
      <c r="T139" s="26"/>
      <c r="U139" s="26" t="str">
        <f t="shared" si="20"/>
        <v/>
      </c>
      <c r="V139" s="27"/>
      <c r="W139" s="122"/>
      <c r="X139" s="123">
        <f t="shared" si="21"/>
        <v>0</v>
      </c>
      <c r="Y139" s="124" t="e">
        <f t="shared" si="22"/>
        <v>#DIV/0!</v>
      </c>
      <c r="Z139" s="124"/>
      <c r="AA139" s="124" t="e">
        <f t="shared" si="23"/>
        <v>#DIV/0!</v>
      </c>
      <c r="AB139" s="125" t="e">
        <f t="shared" si="24"/>
        <v>#DIV/0!</v>
      </c>
      <c r="AC139" s="31" t="e">
        <f t="shared" si="25"/>
        <v>#DIV/0!</v>
      </c>
      <c r="AD139" s="126"/>
      <c r="AE139" s="127"/>
      <c r="AF139" s="127" t="e">
        <f t="shared" si="26"/>
        <v>#DIV/0!</v>
      </c>
      <c r="AG139" s="128" t="e">
        <f t="shared" si="27"/>
        <v>#DIV/0!</v>
      </c>
      <c r="AH139" s="128" t="e">
        <f t="shared" si="28"/>
        <v>#DIV/0!</v>
      </c>
      <c r="AI139" s="127" t="e">
        <f t="shared" si="29"/>
        <v>#DIV/0!</v>
      </c>
    </row>
    <row r="140" ht="15.5" customHeight="1" spans="1:35">
      <c r="A140" s="63"/>
      <c r="B140" s="56"/>
      <c r="C140" s="56"/>
      <c r="D140" s="59"/>
      <c r="E140" s="63"/>
      <c r="F140" s="24"/>
      <c r="G140" s="63"/>
      <c r="H140" s="21"/>
      <c r="I140" s="23"/>
      <c r="J140" s="121"/>
      <c r="K140" s="121"/>
      <c r="L140" s="26"/>
      <c r="M140" s="26"/>
      <c r="N140" s="26"/>
      <c r="O140" s="26"/>
      <c r="P140" s="26"/>
      <c r="Q140" s="26"/>
      <c r="R140" s="26"/>
      <c r="S140" s="23"/>
      <c r="T140" s="26"/>
      <c r="U140" s="26" t="str">
        <f t="shared" si="20"/>
        <v/>
      </c>
      <c r="V140" s="27"/>
      <c r="W140" s="122"/>
      <c r="X140" s="123">
        <f t="shared" si="21"/>
        <v>0</v>
      </c>
      <c r="Y140" s="124" t="e">
        <f t="shared" si="22"/>
        <v>#DIV/0!</v>
      </c>
      <c r="Z140" s="124"/>
      <c r="AA140" s="124" t="e">
        <f t="shared" si="23"/>
        <v>#DIV/0!</v>
      </c>
      <c r="AB140" s="125" t="e">
        <f t="shared" si="24"/>
        <v>#DIV/0!</v>
      </c>
      <c r="AC140" s="31" t="e">
        <f t="shared" si="25"/>
        <v>#DIV/0!</v>
      </c>
      <c r="AD140" s="126"/>
      <c r="AE140" s="127"/>
      <c r="AF140" s="127" t="e">
        <f t="shared" si="26"/>
        <v>#DIV/0!</v>
      </c>
      <c r="AG140" s="128" t="e">
        <f t="shared" si="27"/>
        <v>#DIV/0!</v>
      </c>
      <c r="AH140" s="128" t="e">
        <f t="shared" si="28"/>
        <v>#DIV/0!</v>
      </c>
      <c r="AI140" s="127" t="e">
        <f t="shared" si="29"/>
        <v>#DIV/0!</v>
      </c>
    </row>
    <row r="141" ht="15.5" customHeight="1" spans="1:35">
      <c r="A141" s="63"/>
      <c r="B141" s="56"/>
      <c r="C141" s="56"/>
      <c r="D141" s="59"/>
      <c r="E141" s="63"/>
      <c r="F141" s="24"/>
      <c r="G141" s="63"/>
      <c r="H141" s="21"/>
      <c r="I141" s="23"/>
      <c r="J141" s="121"/>
      <c r="K141" s="121"/>
      <c r="L141" s="26"/>
      <c r="M141" s="26"/>
      <c r="N141" s="26"/>
      <c r="O141" s="26"/>
      <c r="P141" s="26"/>
      <c r="Q141" s="26"/>
      <c r="R141" s="26"/>
      <c r="S141" s="23"/>
      <c r="T141" s="26"/>
      <c r="U141" s="26" t="str">
        <f t="shared" si="20"/>
        <v/>
      </c>
      <c r="V141" s="27"/>
      <c r="W141" s="122"/>
      <c r="X141" s="123">
        <f t="shared" si="21"/>
        <v>0</v>
      </c>
      <c r="Y141" s="124" t="e">
        <f t="shared" si="22"/>
        <v>#DIV/0!</v>
      </c>
      <c r="Z141" s="124"/>
      <c r="AA141" s="124" t="e">
        <f t="shared" si="23"/>
        <v>#DIV/0!</v>
      </c>
      <c r="AB141" s="125" t="e">
        <f t="shared" si="24"/>
        <v>#DIV/0!</v>
      </c>
      <c r="AC141" s="31" t="e">
        <f t="shared" si="25"/>
        <v>#DIV/0!</v>
      </c>
      <c r="AD141" s="126"/>
      <c r="AE141" s="127"/>
      <c r="AF141" s="127" t="e">
        <f t="shared" si="26"/>
        <v>#DIV/0!</v>
      </c>
      <c r="AG141" s="128" t="e">
        <f t="shared" si="27"/>
        <v>#DIV/0!</v>
      </c>
      <c r="AH141" s="128" t="e">
        <f t="shared" si="28"/>
        <v>#DIV/0!</v>
      </c>
      <c r="AI141" s="127" t="e">
        <f t="shared" si="29"/>
        <v>#DIV/0!</v>
      </c>
    </row>
    <row r="142" ht="15.5" customHeight="1" spans="1:35">
      <c r="A142" s="63"/>
      <c r="B142" s="56"/>
      <c r="C142" s="56"/>
      <c r="D142" s="59"/>
      <c r="E142" s="63"/>
      <c r="F142" s="24"/>
      <c r="G142" s="63"/>
      <c r="H142" s="21"/>
      <c r="I142" s="23"/>
      <c r="J142" s="121"/>
      <c r="K142" s="121"/>
      <c r="L142" s="26"/>
      <c r="M142" s="26"/>
      <c r="N142" s="26"/>
      <c r="O142" s="26"/>
      <c r="P142" s="26"/>
      <c r="Q142" s="26"/>
      <c r="R142" s="26"/>
      <c r="S142" s="23"/>
      <c r="T142" s="26"/>
      <c r="U142" s="26" t="str">
        <f t="shared" si="20"/>
        <v/>
      </c>
      <c r="V142" s="27"/>
      <c r="W142" s="122"/>
      <c r="X142" s="123">
        <f t="shared" si="21"/>
        <v>0</v>
      </c>
      <c r="Y142" s="124" t="e">
        <f t="shared" si="22"/>
        <v>#DIV/0!</v>
      </c>
      <c r="Z142" s="124"/>
      <c r="AA142" s="124" t="e">
        <f t="shared" si="23"/>
        <v>#DIV/0!</v>
      </c>
      <c r="AB142" s="125" t="e">
        <f t="shared" si="24"/>
        <v>#DIV/0!</v>
      </c>
      <c r="AC142" s="31" t="e">
        <f t="shared" si="25"/>
        <v>#DIV/0!</v>
      </c>
      <c r="AD142" s="126"/>
      <c r="AE142" s="127"/>
      <c r="AF142" s="127" t="e">
        <f t="shared" si="26"/>
        <v>#DIV/0!</v>
      </c>
      <c r="AG142" s="128" t="e">
        <f t="shared" si="27"/>
        <v>#DIV/0!</v>
      </c>
      <c r="AH142" s="128" t="e">
        <f t="shared" si="28"/>
        <v>#DIV/0!</v>
      </c>
      <c r="AI142" s="127" t="e">
        <f t="shared" si="29"/>
        <v>#DIV/0!</v>
      </c>
    </row>
    <row r="143" ht="15.5" customHeight="1" spans="1:35">
      <c r="A143" s="63"/>
      <c r="B143" s="56"/>
      <c r="C143" s="56"/>
      <c r="D143" s="59"/>
      <c r="E143" s="63"/>
      <c r="F143" s="24"/>
      <c r="G143" s="63"/>
      <c r="H143" s="21"/>
      <c r="I143" s="23"/>
      <c r="J143" s="121"/>
      <c r="K143" s="121"/>
      <c r="L143" s="26"/>
      <c r="M143" s="26"/>
      <c r="N143" s="26"/>
      <c r="O143" s="26"/>
      <c r="P143" s="26"/>
      <c r="Q143" s="26"/>
      <c r="R143" s="26"/>
      <c r="S143" s="23"/>
      <c r="T143" s="26"/>
      <c r="U143" s="26" t="str">
        <f t="shared" si="20"/>
        <v/>
      </c>
      <c r="V143" s="27"/>
      <c r="W143" s="122"/>
      <c r="X143" s="123">
        <f t="shared" si="21"/>
        <v>0</v>
      </c>
      <c r="Y143" s="124" t="e">
        <f t="shared" si="22"/>
        <v>#DIV/0!</v>
      </c>
      <c r="Z143" s="124"/>
      <c r="AA143" s="124" t="e">
        <f t="shared" si="23"/>
        <v>#DIV/0!</v>
      </c>
      <c r="AB143" s="125" t="e">
        <f t="shared" si="24"/>
        <v>#DIV/0!</v>
      </c>
      <c r="AC143" s="31" t="e">
        <f t="shared" si="25"/>
        <v>#DIV/0!</v>
      </c>
      <c r="AD143" s="126"/>
      <c r="AE143" s="127"/>
      <c r="AF143" s="127" t="e">
        <f t="shared" si="26"/>
        <v>#DIV/0!</v>
      </c>
      <c r="AG143" s="128" t="e">
        <f t="shared" si="27"/>
        <v>#DIV/0!</v>
      </c>
      <c r="AH143" s="128" t="e">
        <f t="shared" si="28"/>
        <v>#DIV/0!</v>
      </c>
      <c r="AI143" s="127" t="e">
        <f t="shared" si="29"/>
        <v>#DIV/0!</v>
      </c>
    </row>
    <row r="144" ht="15.5" customHeight="1" spans="1:35">
      <c r="A144" s="63"/>
      <c r="B144" s="56"/>
      <c r="C144" s="56"/>
      <c r="D144" s="59"/>
      <c r="E144" s="63"/>
      <c r="F144" s="24"/>
      <c r="G144" s="63"/>
      <c r="H144" s="21"/>
      <c r="I144" s="23"/>
      <c r="J144" s="121"/>
      <c r="K144" s="121"/>
      <c r="L144" s="26"/>
      <c r="M144" s="26"/>
      <c r="N144" s="26"/>
      <c r="O144" s="26"/>
      <c r="P144" s="26"/>
      <c r="Q144" s="26"/>
      <c r="R144" s="26"/>
      <c r="S144" s="23"/>
      <c r="T144" s="26"/>
      <c r="U144" s="26" t="str">
        <f t="shared" si="20"/>
        <v/>
      </c>
      <c r="V144" s="27"/>
      <c r="W144" s="122"/>
      <c r="X144" s="123">
        <f t="shared" si="21"/>
        <v>0</v>
      </c>
      <c r="Y144" s="124" t="e">
        <f t="shared" si="22"/>
        <v>#DIV/0!</v>
      </c>
      <c r="Z144" s="124"/>
      <c r="AA144" s="124" t="e">
        <f t="shared" si="23"/>
        <v>#DIV/0!</v>
      </c>
      <c r="AB144" s="125" t="e">
        <f t="shared" si="24"/>
        <v>#DIV/0!</v>
      </c>
      <c r="AC144" s="31" t="e">
        <f t="shared" si="25"/>
        <v>#DIV/0!</v>
      </c>
      <c r="AD144" s="126"/>
      <c r="AE144" s="127"/>
      <c r="AF144" s="127" t="e">
        <f t="shared" si="26"/>
        <v>#DIV/0!</v>
      </c>
      <c r="AG144" s="128" t="e">
        <f t="shared" si="27"/>
        <v>#DIV/0!</v>
      </c>
      <c r="AH144" s="128" t="e">
        <f t="shared" si="28"/>
        <v>#DIV/0!</v>
      </c>
      <c r="AI144" s="127" t="e">
        <f t="shared" si="29"/>
        <v>#DIV/0!</v>
      </c>
    </row>
    <row r="145" ht="15.5" customHeight="1" spans="1:35">
      <c r="A145" s="63"/>
      <c r="B145" s="56"/>
      <c r="C145" s="56"/>
      <c r="D145" s="59"/>
      <c r="E145" s="63"/>
      <c r="F145" s="24"/>
      <c r="G145" s="63"/>
      <c r="H145" s="21"/>
      <c r="I145" s="23"/>
      <c r="J145" s="121"/>
      <c r="K145" s="121"/>
      <c r="L145" s="26"/>
      <c r="M145" s="26"/>
      <c r="N145" s="26"/>
      <c r="O145" s="26"/>
      <c r="P145" s="26"/>
      <c r="Q145" s="26"/>
      <c r="R145" s="26"/>
      <c r="S145" s="23"/>
      <c r="T145" s="26"/>
      <c r="U145" s="26" t="str">
        <f t="shared" si="20"/>
        <v/>
      </c>
      <c r="V145" s="27"/>
      <c r="W145" s="122"/>
      <c r="X145" s="123">
        <f t="shared" si="21"/>
        <v>0</v>
      </c>
      <c r="Y145" s="124" t="e">
        <f t="shared" si="22"/>
        <v>#DIV/0!</v>
      </c>
      <c r="Z145" s="124"/>
      <c r="AA145" s="124" t="e">
        <f t="shared" si="23"/>
        <v>#DIV/0!</v>
      </c>
      <c r="AB145" s="125" t="e">
        <f t="shared" si="24"/>
        <v>#DIV/0!</v>
      </c>
      <c r="AC145" s="31" t="e">
        <f t="shared" si="25"/>
        <v>#DIV/0!</v>
      </c>
      <c r="AD145" s="126"/>
      <c r="AE145" s="127"/>
      <c r="AF145" s="127" t="e">
        <f t="shared" si="26"/>
        <v>#DIV/0!</v>
      </c>
      <c r="AG145" s="128" t="e">
        <f t="shared" si="27"/>
        <v>#DIV/0!</v>
      </c>
      <c r="AH145" s="128" t="e">
        <f t="shared" si="28"/>
        <v>#DIV/0!</v>
      </c>
      <c r="AI145" s="127" t="e">
        <f t="shared" si="29"/>
        <v>#DIV/0!</v>
      </c>
    </row>
    <row r="146" ht="15.5" customHeight="1" spans="1:35">
      <c r="A146" s="63"/>
      <c r="B146" s="56"/>
      <c r="C146" s="56"/>
      <c r="D146" s="59"/>
      <c r="E146" s="63"/>
      <c r="F146" s="24"/>
      <c r="G146" s="63"/>
      <c r="H146" s="21"/>
      <c r="I146" s="23"/>
      <c r="J146" s="121"/>
      <c r="K146" s="121"/>
      <c r="L146" s="26"/>
      <c r="M146" s="26"/>
      <c r="N146" s="26"/>
      <c r="O146" s="26"/>
      <c r="P146" s="26"/>
      <c r="Q146" s="26"/>
      <c r="R146" s="26"/>
      <c r="S146" s="23"/>
      <c r="T146" s="26"/>
      <c r="U146" s="26" t="str">
        <f t="shared" si="20"/>
        <v/>
      </c>
      <c r="V146" s="27"/>
      <c r="W146" s="122"/>
      <c r="X146" s="123">
        <f t="shared" si="21"/>
        <v>0</v>
      </c>
      <c r="Y146" s="124" t="e">
        <f t="shared" si="22"/>
        <v>#DIV/0!</v>
      </c>
      <c r="Z146" s="124"/>
      <c r="AA146" s="124" t="e">
        <f t="shared" si="23"/>
        <v>#DIV/0!</v>
      </c>
      <c r="AB146" s="125" t="e">
        <f t="shared" si="24"/>
        <v>#DIV/0!</v>
      </c>
      <c r="AC146" s="31" t="e">
        <f t="shared" si="25"/>
        <v>#DIV/0!</v>
      </c>
      <c r="AD146" s="126"/>
      <c r="AE146" s="127"/>
      <c r="AF146" s="127" t="e">
        <f t="shared" si="26"/>
        <v>#DIV/0!</v>
      </c>
      <c r="AG146" s="128" t="e">
        <f t="shared" si="27"/>
        <v>#DIV/0!</v>
      </c>
      <c r="AH146" s="128" t="e">
        <f t="shared" si="28"/>
        <v>#DIV/0!</v>
      </c>
      <c r="AI146" s="127" t="e">
        <f t="shared" si="29"/>
        <v>#DIV/0!</v>
      </c>
    </row>
    <row r="147" ht="15.5" customHeight="1" spans="1:35">
      <c r="A147" s="63"/>
      <c r="B147" s="56"/>
      <c r="C147" s="56"/>
      <c r="D147" s="59"/>
      <c r="E147" s="63"/>
      <c r="F147" s="24"/>
      <c r="G147" s="63"/>
      <c r="H147" s="21"/>
      <c r="I147" s="23"/>
      <c r="J147" s="121"/>
      <c r="K147" s="121"/>
      <c r="L147" s="26"/>
      <c r="M147" s="26"/>
      <c r="N147" s="26"/>
      <c r="O147" s="26"/>
      <c r="P147" s="26"/>
      <c r="Q147" s="26"/>
      <c r="R147" s="26"/>
      <c r="S147" s="23"/>
      <c r="T147" s="26"/>
      <c r="U147" s="26" t="str">
        <f t="shared" si="20"/>
        <v/>
      </c>
      <c r="V147" s="27"/>
      <c r="W147" s="122"/>
      <c r="X147" s="123">
        <f t="shared" si="21"/>
        <v>0</v>
      </c>
      <c r="Y147" s="124" t="e">
        <f t="shared" si="22"/>
        <v>#DIV/0!</v>
      </c>
      <c r="Z147" s="124"/>
      <c r="AA147" s="124" t="e">
        <f t="shared" si="23"/>
        <v>#DIV/0!</v>
      </c>
      <c r="AB147" s="125" t="e">
        <f t="shared" si="24"/>
        <v>#DIV/0!</v>
      </c>
      <c r="AC147" s="31" t="e">
        <f t="shared" si="25"/>
        <v>#DIV/0!</v>
      </c>
      <c r="AD147" s="126"/>
      <c r="AE147" s="127"/>
      <c r="AF147" s="127" t="e">
        <f t="shared" si="26"/>
        <v>#DIV/0!</v>
      </c>
      <c r="AG147" s="128" t="e">
        <f t="shared" si="27"/>
        <v>#DIV/0!</v>
      </c>
      <c r="AH147" s="128" t="e">
        <f t="shared" si="28"/>
        <v>#DIV/0!</v>
      </c>
      <c r="AI147" s="127" t="e">
        <f t="shared" si="29"/>
        <v>#DIV/0!</v>
      </c>
    </row>
    <row r="148" ht="15.5" customHeight="1" spans="1:35">
      <c r="A148" s="63"/>
      <c r="B148" s="56"/>
      <c r="C148" s="56"/>
      <c r="D148" s="59"/>
      <c r="E148" s="63"/>
      <c r="F148" s="24"/>
      <c r="G148" s="63"/>
      <c r="H148" s="21"/>
      <c r="I148" s="23"/>
      <c r="J148" s="121"/>
      <c r="K148" s="121"/>
      <c r="L148" s="26"/>
      <c r="M148" s="26"/>
      <c r="N148" s="26"/>
      <c r="O148" s="26"/>
      <c r="P148" s="26"/>
      <c r="Q148" s="26"/>
      <c r="R148" s="26"/>
      <c r="S148" s="23"/>
      <c r="T148" s="26"/>
      <c r="U148" s="26" t="str">
        <f t="shared" si="20"/>
        <v/>
      </c>
      <c r="V148" s="27"/>
      <c r="W148" s="122"/>
      <c r="X148" s="123">
        <f t="shared" si="21"/>
        <v>0</v>
      </c>
      <c r="Y148" s="124" t="e">
        <f t="shared" si="22"/>
        <v>#DIV/0!</v>
      </c>
      <c r="Z148" s="124"/>
      <c r="AA148" s="124" t="e">
        <f t="shared" si="23"/>
        <v>#DIV/0!</v>
      </c>
      <c r="AB148" s="125" t="e">
        <f t="shared" si="24"/>
        <v>#DIV/0!</v>
      </c>
      <c r="AC148" s="31" t="e">
        <f t="shared" si="25"/>
        <v>#DIV/0!</v>
      </c>
      <c r="AD148" s="126"/>
      <c r="AE148" s="127"/>
      <c r="AF148" s="127" t="e">
        <f t="shared" si="26"/>
        <v>#DIV/0!</v>
      </c>
      <c r="AG148" s="128" t="e">
        <f t="shared" si="27"/>
        <v>#DIV/0!</v>
      </c>
      <c r="AH148" s="128" t="e">
        <f t="shared" si="28"/>
        <v>#DIV/0!</v>
      </c>
      <c r="AI148" s="127" t="e">
        <f t="shared" si="29"/>
        <v>#DIV/0!</v>
      </c>
    </row>
    <row r="149" ht="15.5" customHeight="1" spans="1:35">
      <c r="A149" s="63"/>
      <c r="B149" s="56"/>
      <c r="C149" s="56"/>
      <c r="D149" s="59"/>
      <c r="E149" s="63"/>
      <c r="F149" s="24"/>
      <c r="G149" s="63"/>
      <c r="H149" s="21"/>
      <c r="I149" s="23"/>
      <c r="J149" s="121"/>
      <c r="K149" s="121"/>
      <c r="L149" s="26"/>
      <c r="M149" s="26"/>
      <c r="N149" s="26"/>
      <c r="O149" s="26"/>
      <c r="P149" s="26"/>
      <c r="Q149" s="26"/>
      <c r="R149" s="26"/>
      <c r="S149" s="23"/>
      <c r="T149" s="26"/>
      <c r="U149" s="26" t="str">
        <f t="shared" si="20"/>
        <v/>
      </c>
      <c r="V149" s="27"/>
      <c r="W149" s="122"/>
      <c r="X149" s="123">
        <f t="shared" si="21"/>
        <v>0</v>
      </c>
      <c r="Y149" s="124" t="e">
        <f t="shared" si="22"/>
        <v>#DIV/0!</v>
      </c>
      <c r="Z149" s="124"/>
      <c r="AA149" s="124" t="e">
        <f t="shared" si="23"/>
        <v>#DIV/0!</v>
      </c>
      <c r="AB149" s="125" t="e">
        <f t="shared" si="24"/>
        <v>#DIV/0!</v>
      </c>
      <c r="AC149" s="31" t="e">
        <f t="shared" si="25"/>
        <v>#DIV/0!</v>
      </c>
      <c r="AD149" s="126"/>
      <c r="AE149" s="127"/>
      <c r="AF149" s="127" t="e">
        <f t="shared" si="26"/>
        <v>#DIV/0!</v>
      </c>
      <c r="AG149" s="128" t="e">
        <f t="shared" si="27"/>
        <v>#DIV/0!</v>
      </c>
      <c r="AH149" s="128" t="e">
        <f t="shared" si="28"/>
        <v>#DIV/0!</v>
      </c>
      <c r="AI149" s="127" t="e">
        <f t="shared" si="29"/>
        <v>#DIV/0!</v>
      </c>
    </row>
    <row r="150" ht="15.5" customHeight="1" spans="1:35">
      <c r="A150" s="63"/>
      <c r="B150" s="56"/>
      <c r="C150" s="56"/>
      <c r="D150" s="59"/>
      <c r="E150" s="63"/>
      <c r="F150" s="24"/>
      <c r="G150" s="63"/>
      <c r="H150" s="21"/>
      <c r="I150" s="23"/>
      <c r="J150" s="121"/>
      <c r="K150" s="121"/>
      <c r="L150" s="26"/>
      <c r="M150" s="26"/>
      <c r="N150" s="26"/>
      <c r="O150" s="26"/>
      <c r="P150" s="26"/>
      <c r="Q150" s="26"/>
      <c r="R150" s="26"/>
      <c r="S150" s="23"/>
      <c r="T150" s="26"/>
      <c r="U150" s="26" t="str">
        <f t="shared" si="20"/>
        <v/>
      </c>
      <c r="V150" s="27"/>
      <c r="W150" s="122"/>
      <c r="X150" s="123">
        <f t="shared" si="21"/>
        <v>0</v>
      </c>
      <c r="Y150" s="124" t="e">
        <f t="shared" si="22"/>
        <v>#DIV/0!</v>
      </c>
      <c r="Z150" s="124"/>
      <c r="AA150" s="124" t="e">
        <f t="shared" si="23"/>
        <v>#DIV/0!</v>
      </c>
      <c r="AB150" s="125" t="e">
        <f t="shared" si="24"/>
        <v>#DIV/0!</v>
      </c>
      <c r="AC150" s="31" t="e">
        <f t="shared" si="25"/>
        <v>#DIV/0!</v>
      </c>
      <c r="AD150" s="126"/>
      <c r="AE150" s="127"/>
      <c r="AF150" s="127" t="e">
        <f t="shared" si="26"/>
        <v>#DIV/0!</v>
      </c>
      <c r="AG150" s="128" t="e">
        <f t="shared" si="27"/>
        <v>#DIV/0!</v>
      </c>
      <c r="AH150" s="128" t="e">
        <f t="shared" si="28"/>
        <v>#DIV/0!</v>
      </c>
      <c r="AI150" s="127" t="e">
        <f t="shared" si="29"/>
        <v>#DIV/0!</v>
      </c>
    </row>
    <row r="151" ht="15.5" customHeight="1" spans="1:35">
      <c r="A151" s="63"/>
      <c r="B151" s="56"/>
      <c r="C151" s="56"/>
      <c r="D151" s="59"/>
      <c r="E151" s="63"/>
      <c r="F151" s="24"/>
      <c r="G151" s="63"/>
      <c r="H151" s="21"/>
      <c r="I151" s="23"/>
      <c r="J151" s="121"/>
      <c r="K151" s="121"/>
      <c r="L151" s="26"/>
      <c r="M151" s="26"/>
      <c r="N151" s="26"/>
      <c r="O151" s="26"/>
      <c r="P151" s="26"/>
      <c r="Q151" s="26"/>
      <c r="R151" s="26"/>
      <c r="S151" s="23"/>
      <c r="T151" s="26"/>
      <c r="U151" s="26" t="str">
        <f t="shared" si="20"/>
        <v/>
      </c>
      <c r="V151" s="27"/>
      <c r="W151" s="122"/>
      <c r="X151" s="123">
        <f t="shared" si="21"/>
        <v>0</v>
      </c>
      <c r="Y151" s="124" t="e">
        <f t="shared" si="22"/>
        <v>#DIV/0!</v>
      </c>
      <c r="Z151" s="124"/>
      <c r="AA151" s="124" t="e">
        <f t="shared" si="23"/>
        <v>#DIV/0!</v>
      </c>
      <c r="AB151" s="125" t="e">
        <f t="shared" si="24"/>
        <v>#DIV/0!</v>
      </c>
      <c r="AC151" s="31" t="e">
        <f t="shared" si="25"/>
        <v>#DIV/0!</v>
      </c>
      <c r="AD151" s="126"/>
      <c r="AE151" s="127"/>
      <c r="AF151" s="127" t="e">
        <f t="shared" si="26"/>
        <v>#DIV/0!</v>
      </c>
      <c r="AG151" s="128" t="e">
        <f t="shared" si="27"/>
        <v>#DIV/0!</v>
      </c>
      <c r="AH151" s="128" t="e">
        <f t="shared" si="28"/>
        <v>#DIV/0!</v>
      </c>
      <c r="AI151" s="127" t="e">
        <f t="shared" si="29"/>
        <v>#DIV/0!</v>
      </c>
    </row>
    <row r="152" ht="15.5" customHeight="1" spans="1:35">
      <c r="A152" s="63"/>
      <c r="B152" s="56"/>
      <c r="C152" s="56"/>
      <c r="D152" s="59"/>
      <c r="E152" s="63"/>
      <c r="F152" s="24"/>
      <c r="G152" s="63"/>
      <c r="H152" s="21"/>
      <c r="I152" s="23"/>
      <c r="J152" s="121"/>
      <c r="K152" s="121"/>
      <c r="L152" s="26"/>
      <c r="M152" s="26"/>
      <c r="N152" s="26"/>
      <c r="O152" s="26"/>
      <c r="P152" s="26"/>
      <c r="Q152" s="26"/>
      <c r="R152" s="26"/>
      <c r="S152" s="23"/>
      <c r="T152" s="26"/>
      <c r="U152" s="26" t="str">
        <f t="shared" si="20"/>
        <v/>
      </c>
      <c r="V152" s="27"/>
      <c r="W152" s="122"/>
      <c r="X152" s="123">
        <f t="shared" si="21"/>
        <v>0</v>
      </c>
      <c r="Y152" s="124" t="e">
        <f t="shared" si="22"/>
        <v>#DIV/0!</v>
      </c>
      <c r="Z152" s="124"/>
      <c r="AA152" s="124" t="e">
        <f t="shared" si="23"/>
        <v>#DIV/0!</v>
      </c>
      <c r="AB152" s="125" t="e">
        <f t="shared" si="24"/>
        <v>#DIV/0!</v>
      </c>
      <c r="AC152" s="31" t="e">
        <f t="shared" si="25"/>
        <v>#DIV/0!</v>
      </c>
      <c r="AD152" s="126"/>
      <c r="AE152" s="127"/>
      <c r="AF152" s="127" t="e">
        <f t="shared" si="26"/>
        <v>#DIV/0!</v>
      </c>
      <c r="AG152" s="128" t="e">
        <f t="shared" si="27"/>
        <v>#DIV/0!</v>
      </c>
      <c r="AH152" s="128" t="e">
        <f t="shared" si="28"/>
        <v>#DIV/0!</v>
      </c>
      <c r="AI152" s="127" t="e">
        <f t="shared" si="29"/>
        <v>#DIV/0!</v>
      </c>
    </row>
    <row r="153" ht="15.5" customHeight="1" spans="1:35">
      <c r="A153" s="63"/>
      <c r="B153" s="56"/>
      <c r="C153" s="56"/>
      <c r="D153" s="59"/>
      <c r="E153" s="63"/>
      <c r="F153" s="24"/>
      <c r="G153" s="63"/>
      <c r="H153" s="21"/>
      <c r="I153" s="23"/>
      <c r="J153" s="121"/>
      <c r="K153" s="121"/>
      <c r="L153" s="26"/>
      <c r="M153" s="26"/>
      <c r="N153" s="26"/>
      <c r="O153" s="26"/>
      <c r="P153" s="26"/>
      <c r="Q153" s="26"/>
      <c r="R153" s="26"/>
      <c r="S153" s="23"/>
      <c r="T153" s="26"/>
      <c r="U153" s="26" t="str">
        <f t="shared" si="20"/>
        <v/>
      </c>
      <c r="V153" s="27"/>
      <c r="W153" s="122"/>
      <c r="X153" s="123">
        <f t="shared" si="21"/>
        <v>0</v>
      </c>
      <c r="Y153" s="124" t="e">
        <f t="shared" si="22"/>
        <v>#DIV/0!</v>
      </c>
      <c r="Z153" s="124"/>
      <c r="AA153" s="124" t="e">
        <f t="shared" si="23"/>
        <v>#DIV/0!</v>
      </c>
      <c r="AB153" s="125" t="e">
        <f t="shared" si="24"/>
        <v>#DIV/0!</v>
      </c>
      <c r="AC153" s="31" t="e">
        <f t="shared" si="25"/>
        <v>#DIV/0!</v>
      </c>
      <c r="AD153" s="126"/>
      <c r="AE153" s="127"/>
      <c r="AF153" s="127" t="e">
        <f t="shared" si="26"/>
        <v>#DIV/0!</v>
      </c>
      <c r="AG153" s="128" t="e">
        <f t="shared" si="27"/>
        <v>#DIV/0!</v>
      </c>
      <c r="AH153" s="128" t="e">
        <f t="shared" si="28"/>
        <v>#DIV/0!</v>
      </c>
      <c r="AI153" s="127" t="e">
        <f t="shared" si="29"/>
        <v>#DIV/0!</v>
      </c>
    </row>
    <row r="154" ht="15.5" customHeight="1" spans="1:35">
      <c r="A154" s="63"/>
      <c r="B154" s="56"/>
      <c r="C154" s="56"/>
      <c r="D154" s="59"/>
      <c r="E154" s="63"/>
      <c r="F154" s="24"/>
      <c r="G154" s="63"/>
      <c r="H154" s="21"/>
      <c r="I154" s="23"/>
      <c r="J154" s="121"/>
      <c r="K154" s="121"/>
      <c r="L154" s="26"/>
      <c r="M154" s="26"/>
      <c r="N154" s="26"/>
      <c r="O154" s="26"/>
      <c r="P154" s="26"/>
      <c r="Q154" s="26"/>
      <c r="R154" s="26"/>
      <c r="S154" s="23"/>
      <c r="T154" s="26"/>
      <c r="U154" s="26" t="str">
        <f t="shared" si="20"/>
        <v/>
      </c>
      <c r="V154" s="27"/>
      <c r="W154" s="122"/>
      <c r="X154" s="123">
        <f t="shared" si="21"/>
        <v>0</v>
      </c>
      <c r="Y154" s="124" t="e">
        <f t="shared" si="22"/>
        <v>#DIV/0!</v>
      </c>
      <c r="Z154" s="124"/>
      <c r="AA154" s="124" t="e">
        <f t="shared" si="23"/>
        <v>#DIV/0!</v>
      </c>
      <c r="AB154" s="125" t="e">
        <f t="shared" si="24"/>
        <v>#DIV/0!</v>
      </c>
      <c r="AC154" s="31" t="e">
        <f t="shared" si="25"/>
        <v>#DIV/0!</v>
      </c>
      <c r="AD154" s="126"/>
      <c r="AE154" s="127"/>
      <c r="AF154" s="127" t="e">
        <f t="shared" si="26"/>
        <v>#DIV/0!</v>
      </c>
      <c r="AG154" s="128" t="e">
        <f t="shared" si="27"/>
        <v>#DIV/0!</v>
      </c>
      <c r="AH154" s="128" t="e">
        <f t="shared" si="28"/>
        <v>#DIV/0!</v>
      </c>
      <c r="AI154" s="127" t="e">
        <f t="shared" si="29"/>
        <v>#DIV/0!</v>
      </c>
    </row>
    <row r="155" ht="15.5" customHeight="1" spans="1:35">
      <c r="A155" s="63"/>
      <c r="B155" s="56"/>
      <c r="C155" s="56"/>
      <c r="D155" s="59"/>
      <c r="E155" s="63"/>
      <c r="F155" s="24"/>
      <c r="G155" s="63"/>
      <c r="H155" s="21"/>
      <c r="I155" s="23"/>
      <c r="J155" s="121"/>
      <c r="K155" s="121"/>
      <c r="L155" s="26"/>
      <c r="M155" s="26"/>
      <c r="N155" s="26"/>
      <c r="O155" s="26"/>
      <c r="P155" s="26"/>
      <c r="Q155" s="26"/>
      <c r="R155" s="26"/>
      <c r="S155" s="23"/>
      <c r="T155" s="26"/>
      <c r="U155" s="26" t="str">
        <f t="shared" si="20"/>
        <v/>
      </c>
      <c r="V155" s="27"/>
      <c r="W155" s="122"/>
      <c r="X155" s="123">
        <f t="shared" si="21"/>
        <v>0</v>
      </c>
      <c r="Y155" s="124" t="e">
        <f t="shared" si="22"/>
        <v>#DIV/0!</v>
      </c>
      <c r="Z155" s="124"/>
      <c r="AA155" s="124" t="e">
        <f t="shared" si="23"/>
        <v>#DIV/0!</v>
      </c>
      <c r="AB155" s="125" t="e">
        <f t="shared" si="24"/>
        <v>#DIV/0!</v>
      </c>
      <c r="AC155" s="31" t="e">
        <f t="shared" si="25"/>
        <v>#DIV/0!</v>
      </c>
      <c r="AD155" s="126"/>
      <c r="AE155" s="127"/>
      <c r="AF155" s="127" t="e">
        <f t="shared" si="26"/>
        <v>#DIV/0!</v>
      </c>
      <c r="AG155" s="128" t="e">
        <f t="shared" si="27"/>
        <v>#DIV/0!</v>
      </c>
      <c r="AH155" s="128" t="e">
        <f t="shared" si="28"/>
        <v>#DIV/0!</v>
      </c>
      <c r="AI155" s="127" t="e">
        <f t="shared" si="29"/>
        <v>#DIV/0!</v>
      </c>
    </row>
    <row r="156" ht="15.5" customHeight="1" spans="1:35">
      <c r="A156" s="63"/>
      <c r="B156" s="56"/>
      <c r="C156" s="56"/>
      <c r="D156" s="59"/>
      <c r="E156" s="63"/>
      <c r="F156" s="24"/>
      <c r="G156" s="63"/>
      <c r="H156" s="21"/>
      <c r="I156" s="23"/>
      <c r="J156" s="121"/>
      <c r="K156" s="121"/>
      <c r="L156" s="26"/>
      <c r="M156" s="26"/>
      <c r="N156" s="26"/>
      <c r="O156" s="26"/>
      <c r="P156" s="26"/>
      <c r="Q156" s="26"/>
      <c r="R156" s="26"/>
      <c r="S156" s="23"/>
      <c r="T156" s="26"/>
      <c r="U156" s="26" t="str">
        <f t="shared" si="20"/>
        <v/>
      </c>
      <c r="V156" s="27"/>
      <c r="W156" s="122"/>
      <c r="X156" s="123">
        <f t="shared" si="21"/>
        <v>0</v>
      </c>
      <c r="Y156" s="124" t="e">
        <f t="shared" si="22"/>
        <v>#DIV/0!</v>
      </c>
      <c r="Z156" s="124"/>
      <c r="AA156" s="124" t="e">
        <f t="shared" si="23"/>
        <v>#DIV/0!</v>
      </c>
      <c r="AB156" s="125" t="e">
        <f t="shared" si="24"/>
        <v>#DIV/0!</v>
      </c>
      <c r="AC156" s="31" t="e">
        <f t="shared" si="25"/>
        <v>#DIV/0!</v>
      </c>
      <c r="AD156" s="126"/>
      <c r="AE156" s="127"/>
      <c r="AF156" s="127" t="e">
        <f t="shared" si="26"/>
        <v>#DIV/0!</v>
      </c>
      <c r="AG156" s="128" t="e">
        <f t="shared" si="27"/>
        <v>#DIV/0!</v>
      </c>
      <c r="AH156" s="128" t="e">
        <f t="shared" si="28"/>
        <v>#DIV/0!</v>
      </c>
      <c r="AI156" s="127" t="e">
        <f t="shared" si="29"/>
        <v>#DIV/0!</v>
      </c>
    </row>
    <row r="157" ht="15.5" customHeight="1" spans="1:35">
      <c r="A157" s="63"/>
      <c r="B157" s="56"/>
      <c r="C157" s="56"/>
      <c r="D157" s="59"/>
      <c r="E157" s="63"/>
      <c r="F157" s="24"/>
      <c r="G157" s="63"/>
      <c r="H157" s="21"/>
      <c r="I157" s="23"/>
      <c r="J157" s="121"/>
      <c r="K157" s="121"/>
      <c r="L157" s="26"/>
      <c r="M157" s="26"/>
      <c r="N157" s="26"/>
      <c r="O157" s="26"/>
      <c r="P157" s="26"/>
      <c r="Q157" s="26"/>
      <c r="R157" s="26"/>
      <c r="S157" s="23"/>
      <c r="T157" s="26"/>
      <c r="U157" s="26" t="str">
        <f t="shared" si="20"/>
        <v/>
      </c>
      <c r="V157" s="27"/>
      <c r="W157" s="122"/>
      <c r="X157" s="123">
        <f t="shared" si="21"/>
        <v>0</v>
      </c>
      <c r="Y157" s="124" t="e">
        <f t="shared" si="22"/>
        <v>#DIV/0!</v>
      </c>
      <c r="Z157" s="124"/>
      <c r="AA157" s="124" t="e">
        <f t="shared" si="23"/>
        <v>#DIV/0!</v>
      </c>
      <c r="AB157" s="125" t="e">
        <f t="shared" si="24"/>
        <v>#DIV/0!</v>
      </c>
      <c r="AC157" s="31" t="e">
        <f t="shared" si="25"/>
        <v>#DIV/0!</v>
      </c>
      <c r="AD157" s="126"/>
      <c r="AE157" s="127"/>
      <c r="AF157" s="127" t="e">
        <f t="shared" si="26"/>
        <v>#DIV/0!</v>
      </c>
      <c r="AG157" s="128" t="e">
        <f t="shared" si="27"/>
        <v>#DIV/0!</v>
      </c>
      <c r="AH157" s="128" t="e">
        <f t="shared" si="28"/>
        <v>#DIV/0!</v>
      </c>
      <c r="AI157" s="127" t="e">
        <f t="shared" si="29"/>
        <v>#DIV/0!</v>
      </c>
    </row>
    <row r="158" ht="15.5" customHeight="1" spans="1:35">
      <c r="A158" s="63"/>
      <c r="B158" s="56"/>
      <c r="C158" s="56"/>
      <c r="D158" s="59"/>
      <c r="E158" s="63"/>
      <c r="F158" s="24"/>
      <c r="G158" s="63"/>
      <c r="H158" s="21"/>
      <c r="I158" s="23"/>
      <c r="J158" s="121"/>
      <c r="K158" s="121"/>
      <c r="L158" s="26"/>
      <c r="M158" s="26"/>
      <c r="N158" s="26"/>
      <c r="O158" s="26"/>
      <c r="P158" s="26"/>
      <c r="Q158" s="26"/>
      <c r="R158" s="26"/>
      <c r="S158" s="23"/>
      <c r="T158" s="26"/>
      <c r="U158" s="26" t="str">
        <f t="shared" si="20"/>
        <v/>
      </c>
      <c r="V158" s="27"/>
      <c r="W158" s="122"/>
      <c r="X158" s="123">
        <f t="shared" si="21"/>
        <v>0</v>
      </c>
      <c r="Y158" s="124" t="e">
        <f t="shared" si="22"/>
        <v>#DIV/0!</v>
      </c>
      <c r="Z158" s="124"/>
      <c r="AA158" s="124" t="e">
        <f t="shared" si="23"/>
        <v>#DIV/0!</v>
      </c>
      <c r="AB158" s="125" t="e">
        <f t="shared" si="24"/>
        <v>#DIV/0!</v>
      </c>
      <c r="AC158" s="31" t="e">
        <f t="shared" si="25"/>
        <v>#DIV/0!</v>
      </c>
      <c r="AD158" s="126"/>
      <c r="AE158" s="127"/>
      <c r="AF158" s="127" t="e">
        <f t="shared" si="26"/>
        <v>#DIV/0!</v>
      </c>
      <c r="AG158" s="128" t="e">
        <f t="shared" si="27"/>
        <v>#DIV/0!</v>
      </c>
      <c r="AH158" s="128" t="e">
        <f t="shared" si="28"/>
        <v>#DIV/0!</v>
      </c>
      <c r="AI158" s="127" t="e">
        <f t="shared" si="29"/>
        <v>#DIV/0!</v>
      </c>
    </row>
    <row r="159" ht="15.5" customHeight="1" spans="1:35">
      <c r="A159" s="63"/>
      <c r="B159" s="56"/>
      <c r="C159" s="56"/>
      <c r="D159" s="59"/>
      <c r="E159" s="63"/>
      <c r="F159" s="24"/>
      <c r="G159" s="63"/>
      <c r="H159" s="21"/>
      <c r="I159" s="23"/>
      <c r="J159" s="121"/>
      <c r="K159" s="121"/>
      <c r="L159" s="26"/>
      <c r="M159" s="26"/>
      <c r="N159" s="26"/>
      <c r="O159" s="26"/>
      <c r="P159" s="26"/>
      <c r="Q159" s="26"/>
      <c r="R159" s="26"/>
      <c r="S159" s="23"/>
      <c r="T159" s="26"/>
      <c r="U159" s="26" t="str">
        <f t="shared" si="20"/>
        <v/>
      </c>
      <c r="V159" s="27"/>
      <c r="W159" s="122"/>
      <c r="X159" s="123">
        <f t="shared" si="21"/>
        <v>0</v>
      </c>
      <c r="Y159" s="124" t="e">
        <f t="shared" si="22"/>
        <v>#DIV/0!</v>
      </c>
      <c r="Z159" s="124"/>
      <c r="AA159" s="124" t="e">
        <f t="shared" si="23"/>
        <v>#DIV/0!</v>
      </c>
      <c r="AB159" s="125" t="e">
        <f t="shared" si="24"/>
        <v>#DIV/0!</v>
      </c>
      <c r="AC159" s="31" t="e">
        <f t="shared" si="25"/>
        <v>#DIV/0!</v>
      </c>
      <c r="AD159" s="126"/>
      <c r="AE159" s="127"/>
      <c r="AF159" s="127" t="e">
        <f t="shared" si="26"/>
        <v>#DIV/0!</v>
      </c>
      <c r="AG159" s="128" t="e">
        <f t="shared" si="27"/>
        <v>#DIV/0!</v>
      </c>
      <c r="AH159" s="128" t="e">
        <f t="shared" si="28"/>
        <v>#DIV/0!</v>
      </c>
      <c r="AI159" s="127" t="e">
        <f t="shared" si="29"/>
        <v>#DIV/0!</v>
      </c>
    </row>
    <row r="160" ht="15.5" customHeight="1" spans="1:35">
      <c r="A160" s="63"/>
      <c r="B160" s="56"/>
      <c r="C160" s="56"/>
      <c r="D160" s="59"/>
      <c r="E160" s="63"/>
      <c r="F160" s="24"/>
      <c r="G160" s="63"/>
      <c r="H160" s="21"/>
      <c r="I160" s="23"/>
      <c r="J160" s="121"/>
      <c r="K160" s="121"/>
      <c r="L160" s="26"/>
      <c r="M160" s="26"/>
      <c r="N160" s="26"/>
      <c r="O160" s="26"/>
      <c r="P160" s="26"/>
      <c r="Q160" s="26"/>
      <c r="R160" s="26"/>
      <c r="S160" s="23"/>
      <c r="T160" s="26"/>
      <c r="U160" s="26" t="str">
        <f t="shared" si="20"/>
        <v/>
      </c>
      <c r="V160" s="27"/>
      <c r="W160" s="122"/>
      <c r="X160" s="123">
        <f t="shared" si="21"/>
        <v>0</v>
      </c>
      <c r="Y160" s="124" t="e">
        <f t="shared" si="22"/>
        <v>#DIV/0!</v>
      </c>
      <c r="Z160" s="124"/>
      <c r="AA160" s="124" t="e">
        <f t="shared" si="23"/>
        <v>#DIV/0!</v>
      </c>
      <c r="AB160" s="125" t="e">
        <f t="shared" si="24"/>
        <v>#DIV/0!</v>
      </c>
      <c r="AC160" s="31" t="e">
        <f t="shared" si="25"/>
        <v>#DIV/0!</v>
      </c>
      <c r="AD160" s="126"/>
      <c r="AE160" s="127"/>
      <c r="AF160" s="127" t="e">
        <f t="shared" si="26"/>
        <v>#DIV/0!</v>
      </c>
      <c r="AG160" s="128" t="e">
        <f t="shared" si="27"/>
        <v>#DIV/0!</v>
      </c>
      <c r="AH160" s="128" t="e">
        <f t="shared" si="28"/>
        <v>#DIV/0!</v>
      </c>
      <c r="AI160" s="127" t="e">
        <f t="shared" si="29"/>
        <v>#DIV/0!</v>
      </c>
    </row>
    <row r="161" ht="15.5" customHeight="1" spans="1:35">
      <c r="A161" s="63"/>
      <c r="B161" s="56"/>
      <c r="C161" s="56"/>
      <c r="D161" s="59"/>
      <c r="E161" s="63"/>
      <c r="F161" s="24"/>
      <c r="G161" s="63"/>
      <c r="H161" s="21"/>
      <c r="I161" s="23"/>
      <c r="J161" s="121"/>
      <c r="K161" s="121"/>
      <c r="L161" s="26"/>
      <c r="M161" s="26"/>
      <c r="N161" s="26"/>
      <c r="O161" s="26"/>
      <c r="P161" s="26"/>
      <c r="Q161" s="26"/>
      <c r="R161" s="26"/>
      <c r="S161" s="23"/>
      <c r="T161" s="26"/>
      <c r="U161" s="26" t="str">
        <f t="shared" si="20"/>
        <v/>
      </c>
      <c r="V161" s="27"/>
      <c r="W161" s="122"/>
      <c r="X161" s="123">
        <f t="shared" si="21"/>
        <v>0</v>
      </c>
      <c r="Y161" s="124" t="e">
        <f t="shared" si="22"/>
        <v>#DIV/0!</v>
      </c>
      <c r="Z161" s="124"/>
      <c r="AA161" s="124" t="e">
        <f t="shared" si="23"/>
        <v>#DIV/0!</v>
      </c>
      <c r="AB161" s="125" t="e">
        <f t="shared" si="24"/>
        <v>#DIV/0!</v>
      </c>
      <c r="AC161" s="31" t="e">
        <f t="shared" si="25"/>
        <v>#DIV/0!</v>
      </c>
      <c r="AD161" s="126"/>
      <c r="AE161" s="127"/>
      <c r="AF161" s="127" t="e">
        <f t="shared" si="26"/>
        <v>#DIV/0!</v>
      </c>
      <c r="AG161" s="128" t="e">
        <f t="shared" si="27"/>
        <v>#DIV/0!</v>
      </c>
      <c r="AH161" s="128" t="e">
        <f t="shared" si="28"/>
        <v>#DIV/0!</v>
      </c>
      <c r="AI161" s="127" t="e">
        <f t="shared" si="29"/>
        <v>#DIV/0!</v>
      </c>
    </row>
    <row r="162" ht="15.5" customHeight="1" spans="1:35">
      <c r="A162" s="63"/>
      <c r="B162" s="56"/>
      <c r="C162" s="56"/>
      <c r="D162" s="59"/>
      <c r="E162" s="63"/>
      <c r="F162" s="24"/>
      <c r="G162" s="63"/>
      <c r="H162" s="21"/>
      <c r="I162" s="23"/>
      <c r="J162" s="121"/>
      <c r="K162" s="121"/>
      <c r="L162" s="26"/>
      <c r="M162" s="26"/>
      <c r="N162" s="26"/>
      <c r="O162" s="26"/>
      <c r="P162" s="26"/>
      <c r="Q162" s="26"/>
      <c r="R162" s="26"/>
      <c r="S162" s="23"/>
      <c r="T162" s="26"/>
      <c r="U162" s="26" t="str">
        <f t="shared" si="20"/>
        <v/>
      </c>
      <c r="V162" s="27"/>
      <c r="W162" s="122"/>
      <c r="X162" s="123">
        <f t="shared" si="21"/>
        <v>0</v>
      </c>
      <c r="Y162" s="124" t="e">
        <f t="shared" si="22"/>
        <v>#DIV/0!</v>
      </c>
      <c r="Z162" s="124"/>
      <c r="AA162" s="124" t="e">
        <f t="shared" si="23"/>
        <v>#DIV/0!</v>
      </c>
      <c r="AB162" s="125" t="e">
        <f t="shared" si="24"/>
        <v>#DIV/0!</v>
      </c>
      <c r="AC162" s="31" t="e">
        <f t="shared" si="25"/>
        <v>#DIV/0!</v>
      </c>
      <c r="AD162" s="126"/>
      <c r="AE162" s="127"/>
      <c r="AF162" s="127" t="e">
        <f t="shared" si="26"/>
        <v>#DIV/0!</v>
      </c>
      <c r="AG162" s="128" t="e">
        <f t="shared" si="27"/>
        <v>#DIV/0!</v>
      </c>
      <c r="AH162" s="128" t="e">
        <f t="shared" si="28"/>
        <v>#DIV/0!</v>
      </c>
      <c r="AI162" s="127" t="e">
        <f t="shared" si="29"/>
        <v>#DIV/0!</v>
      </c>
    </row>
    <row r="163" ht="15.5" customHeight="1" spans="1:35">
      <c r="A163" s="63"/>
      <c r="B163" s="56"/>
      <c r="C163" s="56"/>
      <c r="D163" s="59"/>
      <c r="E163" s="63"/>
      <c r="F163" s="24"/>
      <c r="G163" s="63"/>
      <c r="H163" s="21"/>
      <c r="I163" s="23"/>
      <c r="J163" s="121"/>
      <c r="K163" s="121"/>
      <c r="L163" s="26"/>
      <c r="M163" s="26"/>
      <c r="N163" s="26"/>
      <c r="O163" s="26"/>
      <c r="P163" s="26"/>
      <c r="Q163" s="26"/>
      <c r="R163" s="26"/>
      <c r="S163" s="23"/>
      <c r="T163" s="26"/>
      <c r="U163" s="26" t="str">
        <f t="shared" si="20"/>
        <v/>
      </c>
      <c r="V163" s="27"/>
      <c r="W163" s="122"/>
      <c r="X163" s="123">
        <f t="shared" si="21"/>
        <v>0</v>
      </c>
      <c r="Y163" s="124" t="e">
        <f t="shared" si="22"/>
        <v>#DIV/0!</v>
      </c>
      <c r="Z163" s="124"/>
      <c r="AA163" s="124" t="e">
        <f t="shared" si="23"/>
        <v>#DIV/0!</v>
      </c>
      <c r="AB163" s="125" t="e">
        <f t="shared" si="24"/>
        <v>#DIV/0!</v>
      </c>
      <c r="AC163" s="31" t="e">
        <f t="shared" si="25"/>
        <v>#DIV/0!</v>
      </c>
      <c r="AD163" s="126"/>
      <c r="AE163" s="127"/>
      <c r="AF163" s="127" t="e">
        <f t="shared" si="26"/>
        <v>#DIV/0!</v>
      </c>
      <c r="AG163" s="128" t="e">
        <f t="shared" si="27"/>
        <v>#DIV/0!</v>
      </c>
      <c r="AH163" s="128" t="e">
        <f t="shared" si="28"/>
        <v>#DIV/0!</v>
      </c>
      <c r="AI163" s="127" t="e">
        <f t="shared" si="29"/>
        <v>#DIV/0!</v>
      </c>
    </row>
    <row r="164" ht="15.5" customHeight="1" spans="1:35">
      <c r="A164" s="63"/>
      <c r="B164" s="56"/>
      <c r="C164" s="56"/>
      <c r="D164" s="59"/>
      <c r="E164" s="63"/>
      <c r="F164" s="24"/>
      <c r="G164" s="63"/>
      <c r="H164" s="21"/>
      <c r="I164" s="23"/>
      <c r="J164" s="121"/>
      <c r="K164" s="121"/>
      <c r="L164" s="26"/>
      <c r="M164" s="26"/>
      <c r="N164" s="26"/>
      <c r="O164" s="26"/>
      <c r="P164" s="26"/>
      <c r="Q164" s="26"/>
      <c r="R164" s="26"/>
      <c r="S164" s="23"/>
      <c r="T164" s="26"/>
      <c r="U164" s="26" t="str">
        <f t="shared" si="20"/>
        <v/>
      </c>
      <c r="V164" s="27"/>
      <c r="W164" s="122"/>
      <c r="X164" s="123">
        <f t="shared" si="21"/>
        <v>0</v>
      </c>
      <c r="Y164" s="124" t="e">
        <f t="shared" si="22"/>
        <v>#DIV/0!</v>
      </c>
      <c r="Z164" s="124"/>
      <c r="AA164" s="124" t="e">
        <f t="shared" si="23"/>
        <v>#DIV/0!</v>
      </c>
      <c r="AB164" s="125" t="e">
        <f t="shared" si="24"/>
        <v>#DIV/0!</v>
      </c>
      <c r="AC164" s="31" t="e">
        <f t="shared" si="25"/>
        <v>#DIV/0!</v>
      </c>
      <c r="AD164" s="126"/>
      <c r="AE164" s="127"/>
      <c r="AF164" s="127" t="e">
        <f t="shared" si="26"/>
        <v>#DIV/0!</v>
      </c>
      <c r="AG164" s="128" t="e">
        <f t="shared" si="27"/>
        <v>#DIV/0!</v>
      </c>
      <c r="AH164" s="128" t="e">
        <f t="shared" si="28"/>
        <v>#DIV/0!</v>
      </c>
      <c r="AI164" s="127" t="e">
        <f t="shared" si="29"/>
        <v>#DIV/0!</v>
      </c>
    </row>
    <row r="165" ht="15.5" customHeight="1" spans="1:35">
      <c r="A165" s="63"/>
      <c r="B165" s="56"/>
      <c r="C165" s="56"/>
      <c r="D165" s="59"/>
      <c r="E165" s="63"/>
      <c r="F165" s="24"/>
      <c r="G165" s="63"/>
      <c r="H165" s="21"/>
      <c r="I165" s="23"/>
      <c r="J165" s="121"/>
      <c r="K165" s="121"/>
      <c r="L165" s="26"/>
      <c r="M165" s="26"/>
      <c r="N165" s="26"/>
      <c r="O165" s="26"/>
      <c r="P165" s="26"/>
      <c r="Q165" s="26"/>
      <c r="R165" s="26"/>
      <c r="S165" s="23"/>
      <c r="T165" s="26"/>
      <c r="U165" s="26" t="str">
        <f t="shared" si="20"/>
        <v/>
      </c>
      <c r="V165" s="27"/>
      <c r="W165" s="122"/>
      <c r="X165" s="123">
        <f t="shared" si="21"/>
        <v>0</v>
      </c>
      <c r="Y165" s="124" t="e">
        <f t="shared" si="22"/>
        <v>#DIV/0!</v>
      </c>
      <c r="Z165" s="124"/>
      <c r="AA165" s="124" t="e">
        <f t="shared" si="23"/>
        <v>#DIV/0!</v>
      </c>
      <c r="AB165" s="125" t="e">
        <f t="shared" si="24"/>
        <v>#DIV/0!</v>
      </c>
      <c r="AC165" s="31" t="e">
        <f t="shared" si="25"/>
        <v>#DIV/0!</v>
      </c>
      <c r="AD165" s="126"/>
      <c r="AE165" s="127"/>
      <c r="AF165" s="127" t="e">
        <f t="shared" si="26"/>
        <v>#DIV/0!</v>
      </c>
      <c r="AG165" s="128" t="e">
        <f t="shared" si="27"/>
        <v>#DIV/0!</v>
      </c>
      <c r="AH165" s="128" t="e">
        <f t="shared" si="28"/>
        <v>#DIV/0!</v>
      </c>
      <c r="AI165" s="127" t="e">
        <f t="shared" si="29"/>
        <v>#DIV/0!</v>
      </c>
    </row>
    <row r="166" ht="15.5" customHeight="1" spans="1:35">
      <c r="A166" s="63"/>
      <c r="B166" s="56"/>
      <c r="C166" s="56"/>
      <c r="D166" s="59"/>
      <c r="E166" s="63"/>
      <c r="F166" s="24"/>
      <c r="G166" s="63"/>
      <c r="H166" s="21"/>
      <c r="I166" s="23"/>
      <c r="J166" s="121"/>
      <c r="K166" s="121"/>
      <c r="L166" s="26"/>
      <c r="M166" s="26"/>
      <c r="N166" s="26"/>
      <c r="O166" s="26"/>
      <c r="P166" s="26"/>
      <c r="Q166" s="26"/>
      <c r="R166" s="26"/>
      <c r="S166" s="23"/>
      <c r="T166" s="26"/>
      <c r="U166" s="26" t="str">
        <f t="shared" si="20"/>
        <v/>
      </c>
      <c r="V166" s="27"/>
      <c r="W166" s="122"/>
      <c r="X166" s="123">
        <f t="shared" si="21"/>
        <v>0</v>
      </c>
      <c r="Y166" s="124" t="e">
        <f t="shared" si="22"/>
        <v>#DIV/0!</v>
      </c>
      <c r="Z166" s="124"/>
      <c r="AA166" s="124" t="e">
        <f t="shared" si="23"/>
        <v>#DIV/0!</v>
      </c>
      <c r="AB166" s="125" t="e">
        <f t="shared" si="24"/>
        <v>#DIV/0!</v>
      </c>
      <c r="AC166" s="31" t="e">
        <f t="shared" si="25"/>
        <v>#DIV/0!</v>
      </c>
      <c r="AD166" s="126"/>
      <c r="AE166" s="127"/>
      <c r="AF166" s="127" t="e">
        <f t="shared" si="26"/>
        <v>#DIV/0!</v>
      </c>
      <c r="AG166" s="128" t="e">
        <f t="shared" si="27"/>
        <v>#DIV/0!</v>
      </c>
      <c r="AH166" s="128" t="e">
        <f t="shared" si="28"/>
        <v>#DIV/0!</v>
      </c>
      <c r="AI166" s="127" t="e">
        <f t="shared" si="29"/>
        <v>#DIV/0!</v>
      </c>
    </row>
    <row r="167" ht="15.5" customHeight="1" spans="1:35">
      <c r="A167" s="63"/>
      <c r="B167" s="56"/>
      <c r="C167" s="56"/>
      <c r="D167" s="59"/>
      <c r="E167" s="63"/>
      <c r="F167" s="24"/>
      <c r="G167" s="63"/>
      <c r="H167" s="21"/>
      <c r="I167" s="23"/>
      <c r="J167" s="121"/>
      <c r="K167" s="121"/>
      <c r="L167" s="26"/>
      <c r="M167" s="26"/>
      <c r="N167" s="26"/>
      <c r="O167" s="26"/>
      <c r="P167" s="26"/>
      <c r="Q167" s="26"/>
      <c r="R167" s="26"/>
      <c r="S167" s="23"/>
      <c r="T167" s="26"/>
      <c r="U167" s="26" t="str">
        <f t="shared" si="20"/>
        <v/>
      </c>
      <c r="V167" s="27"/>
      <c r="W167" s="122"/>
      <c r="X167" s="123">
        <f t="shared" si="21"/>
        <v>0</v>
      </c>
      <c r="Y167" s="124" t="e">
        <f t="shared" si="22"/>
        <v>#DIV/0!</v>
      </c>
      <c r="Z167" s="124"/>
      <c r="AA167" s="124" t="e">
        <f t="shared" si="23"/>
        <v>#DIV/0!</v>
      </c>
      <c r="AB167" s="125" t="e">
        <f t="shared" si="24"/>
        <v>#DIV/0!</v>
      </c>
      <c r="AC167" s="31" t="e">
        <f t="shared" si="25"/>
        <v>#DIV/0!</v>
      </c>
      <c r="AD167" s="126"/>
      <c r="AE167" s="127"/>
      <c r="AF167" s="127" t="e">
        <f t="shared" si="26"/>
        <v>#DIV/0!</v>
      </c>
      <c r="AG167" s="128" t="e">
        <f t="shared" si="27"/>
        <v>#DIV/0!</v>
      </c>
      <c r="AH167" s="128" t="e">
        <f t="shared" si="28"/>
        <v>#DIV/0!</v>
      </c>
      <c r="AI167" s="127" t="e">
        <f t="shared" si="29"/>
        <v>#DIV/0!</v>
      </c>
    </row>
    <row r="168" ht="15.5" customHeight="1" spans="1:35">
      <c r="A168" s="63"/>
      <c r="B168" s="56"/>
      <c r="C168" s="56"/>
      <c r="D168" s="59"/>
      <c r="E168" s="63"/>
      <c r="F168" s="24"/>
      <c r="G168" s="63"/>
      <c r="H168" s="21"/>
      <c r="I168" s="23"/>
      <c r="J168" s="121"/>
      <c r="K168" s="121"/>
      <c r="L168" s="26"/>
      <c r="M168" s="26"/>
      <c r="N168" s="26"/>
      <c r="O168" s="26"/>
      <c r="P168" s="26"/>
      <c r="Q168" s="26"/>
      <c r="R168" s="26"/>
      <c r="S168" s="23"/>
      <c r="T168" s="26"/>
      <c r="U168" s="26" t="str">
        <f t="shared" si="20"/>
        <v/>
      </c>
      <c r="V168" s="27"/>
      <c r="W168" s="122"/>
      <c r="X168" s="123">
        <f t="shared" si="21"/>
        <v>0</v>
      </c>
      <c r="Y168" s="124" t="e">
        <f t="shared" si="22"/>
        <v>#DIV/0!</v>
      </c>
      <c r="Z168" s="124"/>
      <c r="AA168" s="124" t="e">
        <f t="shared" si="23"/>
        <v>#DIV/0!</v>
      </c>
      <c r="AB168" s="125" t="e">
        <f t="shared" si="24"/>
        <v>#DIV/0!</v>
      </c>
      <c r="AC168" s="31" t="e">
        <f t="shared" si="25"/>
        <v>#DIV/0!</v>
      </c>
      <c r="AD168" s="126"/>
      <c r="AE168" s="127"/>
      <c r="AF168" s="127" t="e">
        <f t="shared" si="26"/>
        <v>#DIV/0!</v>
      </c>
      <c r="AG168" s="128" t="e">
        <f t="shared" si="27"/>
        <v>#DIV/0!</v>
      </c>
      <c r="AH168" s="128" t="e">
        <f t="shared" si="28"/>
        <v>#DIV/0!</v>
      </c>
      <c r="AI168" s="127" t="e">
        <f t="shared" si="29"/>
        <v>#DIV/0!</v>
      </c>
    </row>
    <row r="169" ht="15.5" customHeight="1" spans="1:35">
      <c r="A169" s="63"/>
      <c r="B169" s="56"/>
      <c r="C169" s="56"/>
      <c r="D169" s="59"/>
      <c r="E169" s="63"/>
      <c r="F169" s="24"/>
      <c r="G169" s="63"/>
      <c r="H169" s="21"/>
      <c r="I169" s="23"/>
      <c r="J169" s="121"/>
      <c r="K169" s="121"/>
      <c r="L169" s="26"/>
      <c r="M169" s="26"/>
      <c r="N169" s="26"/>
      <c r="O169" s="26"/>
      <c r="P169" s="26"/>
      <c r="Q169" s="26"/>
      <c r="R169" s="26"/>
      <c r="S169" s="23"/>
      <c r="T169" s="26"/>
      <c r="U169" s="26" t="str">
        <f t="shared" si="20"/>
        <v/>
      </c>
      <c r="V169" s="27"/>
      <c r="W169" s="122"/>
      <c r="X169" s="123">
        <f t="shared" si="21"/>
        <v>0</v>
      </c>
      <c r="Y169" s="124" t="e">
        <f t="shared" si="22"/>
        <v>#DIV/0!</v>
      </c>
      <c r="Z169" s="124"/>
      <c r="AA169" s="124" t="e">
        <f t="shared" si="23"/>
        <v>#DIV/0!</v>
      </c>
      <c r="AB169" s="125" t="e">
        <f t="shared" si="24"/>
        <v>#DIV/0!</v>
      </c>
      <c r="AC169" s="31" t="e">
        <f t="shared" si="25"/>
        <v>#DIV/0!</v>
      </c>
      <c r="AD169" s="126"/>
      <c r="AE169" s="127"/>
      <c r="AF169" s="127" t="e">
        <f t="shared" si="26"/>
        <v>#DIV/0!</v>
      </c>
      <c r="AG169" s="128" t="e">
        <f t="shared" si="27"/>
        <v>#DIV/0!</v>
      </c>
      <c r="AH169" s="128" t="e">
        <f t="shared" si="28"/>
        <v>#DIV/0!</v>
      </c>
      <c r="AI169" s="127" t="e">
        <f t="shared" si="29"/>
        <v>#DIV/0!</v>
      </c>
    </row>
    <row r="170" ht="15.5" customHeight="1" spans="1:35">
      <c r="A170" s="63"/>
      <c r="B170" s="56"/>
      <c r="C170" s="56"/>
      <c r="D170" s="59"/>
      <c r="E170" s="63"/>
      <c r="F170" s="24"/>
      <c r="G170" s="63"/>
      <c r="H170" s="21"/>
      <c r="I170" s="23"/>
      <c r="J170" s="121"/>
      <c r="K170" s="121"/>
      <c r="L170" s="26"/>
      <c r="M170" s="26"/>
      <c r="N170" s="26"/>
      <c r="O170" s="26"/>
      <c r="P170" s="26"/>
      <c r="Q170" s="26"/>
      <c r="R170" s="26"/>
      <c r="S170" s="23"/>
      <c r="T170" s="26"/>
      <c r="U170" s="26" t="str">
        <f t="shared" si="20"/>
        <v/>
      </c>
      <c r="V170" s="27"/>
      <c r="W170" s="122"/>
      <c r="X170" s="123">
        <f t="shared" si="21"/>
        <v>0</v>
      </c>
      <c r="Y170" s="124" t="e">
        <f t="shared" si="22"/>
        <v>#DIV/0!</v>
      </c>
      <c r="Z170" s="124"/>
      <c r="AA170" s="124" t="e">
        <f t="shared" si="23"/>
        <v>#DIV/0!</v>
      </c>
      <c r="AB170" s="125" t="e">
        <f t="shared" si="24"/>
        <v>#DIV/0!</v>
      </c>
      <c r="AC170" s="31" t="e">
        <f t="shared" si="25"/>
        <v>#DIV/0!</v>
      </c>
      <c r="AD170" s="126"/>
      <c r="AE170" s="127"/>
      <c r="AF170" s="127" t="e">
        <f t="shared" si="26"/>
        <v>#DIV/0!</v>
      </c>
      <c r="AG170" s="128" t="e">
        <f t="shared" si="27"/>
        <v>#DIV/0!</v>
      </c>
      <c r="AH170" s="128" t="e">
        <f t="shared" si="28"/>
        <v>#DIV/0!</v>
      </c>
      <c r="AI170" s="127" t="e">
        <f t="shared" si="29"/>
        <v>#DIV/0!</v>
      </c>
    </row>
    <row r="171" ht="15.5" customHeight="1" spans="1:35">
      <c r="A171" s="63"/>
      <c r="B171" s="56"/>
      <c r="C171" s="56"/>
      <c r="D171" s="59"/>
      <c r="E171" s="63"/>
      <c r="F171" s="24"/>
      <c r="G171" s="63"/>
      <c r="H171" s="21"/>
      <c r="I171" s="23"/>
      <c r="J171" s="121"/>
      <c r="K171" s="121"/>
      <c r="L171" s="26"/>
      <c r="M171" s="26"/>
      <c r="N171" s="26"/>
      <c r="O171" s="26"/>
      <c r="P171" s="26"/>
      <c r="Q171" s="26"/>
      <c r="R171" s="26"/>
      <c r="S171" s="23"/>
      <c r="T171" s="26"/>
      <c r="U171" s="26" t="str">
        <f t="shared" si="20"/>
        <v/>
      </c>
      <c r="V171" s="27"/>
      <c r="W171" s="122"/>
      <c r="X171" s="123">
        <f t="shared" si="21"/>
        <v>0</v>
      </c>
      <c r="Y171" s="124" t="e">
        <f t="shared" si="22"/>
        <v>#DIV/0!</v>
      </c>
      <c r="Z171" s="124"/>
      <c r="AA171" s="124" t="e">
        <f t="shared" si="23"/>
        <v>#DIV/0!</v>
      </c>
      <c r="AB171" s="125" t="e">
        <f t="shared" si="24"/>
        <v>#DIV/0!</v>
      </c>
      <c r="AC171" s="31" t="e">
        <f t="shared" si="25"/>
        <v>#DIV/0!</v>
      </c>
      <c r="AD171" s="126"/>
      <c r="AE171" s="127"/>
      <c r="AF171" s="127" t="e">
        <f t="shared" si="26"/>
        <v>#DIV/0!</v>
      </c>
      <c r="AG171" s="128" t="e">
        <f t="shared" si="27"/>
        <v>#DIV/0!</v>
      </c>
      <c r="AH171" s="128" t="e">
        <f t="shared" si="28"/>
        <v>#DIV/0!</v>
      </c>
      <c r="AI171" s="127" t="e">
        <f t="shared" si="29"/>
        <v>#DIV/0!</v>
      </c>
    </row>
    <row r="172" ht="15.5" customHeight="1" spans="1:35">
      <c r="A172" s="63"/>
      <c r="B172" s="56"/>
      <c r="C172" s="56"/>
      <c r="D172" s="59"/>
      <c r="E172" s="63"/>
      <c r="F172" s="24"/>
      <c r="G172" s="63"/>
      <c r="H172" s="21"/>
      <c r="I172" s="23"/>
      <c r="J172" s="121"/>
      <c r="K172" s="121"/>
      <c r="L172" s="26"/>
      <c r="M172" s="26"/>
      <c r="N172" s="26"/>
      <c r="O172" s="26"/>
      <c r="P172" s="26"/>
      <c r="Q172" s="26"/>
      <c r="R172" s="26"/>
      <c r="S172" s="23"/>
      <c r="T172" s="26"/>
      <c r="U172" s="26" t="str">
        <f t="shared" si="20"/>
        <v/>
      </c>
      <c r="V172" s="27"/>
      <c r="W172" s="122"/>
      <c r="X172" s="123">
        <f t="shared" si="21"/>
        <v>0</v>
      </c>
      <c r="Y172" s="124" t="e">
        <f t="shared" si="22"/>
        <v>#DIV/0!</v>
      </c>
      <c r="Z172" s="124"/>
      <c r="AA172" s="124" t="e">
        <f t="shared" si="23"/>
        <v>#DIV/0!</v>
      </c>
      <c r="AB172" s="125" t="e">
        <f t="shared" si="24"/>
        <v>#DIV/0!</v>
      </c>
      <c r="AC172" s="31" t="e">
        <f t="shared" si="25"/>
        <v>#DIV/0!</v>
      </c>
      <c r="AD172" s="126"/>
      <c r="AE172" s="127"/>
      <c r="AF172" s="127" t="e">
        <f t="shared" si="26"/>
        <v>#DIV/0!</v>
      </c>
      <c r="AG172" s="128" t="e">
        <f t="shared" si="27"/>
        <v>#DIV/0!</v>
      </c>
      <c r="AH172" s="128" t="e">
        <f t="shared" si="28"/>
        <v>#DIV/0!</v>
      </c>
      <c r="AI172" s="127" t="e">
        <f t="shared" si="29"/>
        <v>#DIV/0!</v>
      </c>
    </row>
    <row r="173" ht="15.5" customHeight="1" spans="1:35">
      <c r="A173" s="63"/>
      <c r="B173" s="56"/>
      <c r="C173" s="56"/>
      <c r="D173" s="59"/>
      <c r="E173" s="63"/>
      <c r="F173" s="24"/>
      <c r="G173" s="63"/>
      <c r="H173" s="21"/>
      <c r="I173" s="23"/>
      <c r="J173" s="121"/>
      <c r="K173" s="121"/>
      <c r="L173" s="26"/>
      <c r="M173" s="26"/>
      <c r="N173" s="26"/>
      <c r="O173" s="26"/>
      <c r="P173" s="26"/>
      <c r="Q173" s="26"/>
      <c r="R173" s="26"/>
      <c r="S173" s="23"/>
      <c r="T173" s="26"/>
      <c r="U173" s="26" t="str">
        <f t="shared" si="20"/>
        <v/>
      </c>
      <c r="V173" s="27"/>
      <c r="W173" s="122"/>
      <c r="X173" s="123">
        <f t="shared" si="21"/>
        <v>0</v>
      </c>
      <c r="Y173" s="124" t="e">
        <f t="shared" si="22"/>
        <v>#DIV/0!</v>
      </c>
      <c r="Z173" s="124"/>
      <c r="AA173" s="124" t="e">
        <f t="shared" si="23"/>
        <v>#DIV/0!</v>
      </c>
      <c r="AB173" s="125" t="e">
        <f t="shared" si="24"/>
        <v>#DIV/0!</v>
      </c>
      <c r="AC173" s="31" t="e">
        <f t="shared" si="25"/>
        <v>#DIV/0!</v>
      </c>
      <c r="AD173" s="126"/>
      <c r="AE173" s="127"/>
      <c r="AF173" s="127" t="e">
        <f t="shared" si="26"/>
        <v>#DIV/0!</v>
      </c>
      <c r="AG173" s="128" t="e">
        <f t="shared" si="27"/>
        <v>#DIV/0!</v>
      </c>
      <c r="AH173" s="128" t="e">
        <f t="shared" si="28"/>
        <v>#DIV/0!</v>
      </c>
      <c r="AI173" s="127" t="e">
        <f t="shared" si="29"/>
        <v>#DIV/0!</v>
      </c>
    </row>
    <row r="174" ht="15.5" customHeight="1" spans="1:35">
      <c r="A174" s="63"/>
      <c r="B174" s="56"/>
      <c r="C174" s="56"/>
      <c r="D174" s="59"/>
      <c r="E174" s="63"/>
      <c r="F174" s="24"/>
      <c r="G174" s="63"/>
      <c r="H174" s="21"/>
      <c r="I174" s="23"/>
      <c r="J174" s="121"/>
      <c r="K174" s="121"/>
      <c r="L174" s="26"/>
      <c r="M174" s="26"/>
      <c r="N174" s="26"/>
      <c r="O174" s="26"/>
      <c r="P174" s="26"/>
      <c r="Q174" s="26"/>
      <c r="R174" s="26"/>
      <c r="S174" s="23"/>
      <c r="T174" s="26"/>
      <c r="U174" s="26" t="str">
        <f t="shared" si="20"/>
        <v/>
      </c>
      <c r="V174" s="27"/>
      <c r="W174" s="122"/>
      <c r="X174" s="123">
        <f t="shared" si="21"/>
        <v>0</v>
      </c>
      <c r="Y174" s="124" t="e">
        <f t="shared" si="22"/>
        <v>#DIV/0!</v>
      </c>
      <c r="Z174" s="124"/>
      <c r="AA174" s="124" t="e">
        <f t="shared" si="23"/>
        <v>#DIV/0!</v>
      </c>
      <c r="AB174" s="125" t="e">
        <f t="shared" si="24"/>
        <v>#DIV/0!</v>
      </c>
      <c r="AC174" s="31" t="e">
        <f t="shared" si="25"/>
        <v>#DIV/0!</v>
      </c>
      <c r="AD174" s="126"/>
      <c r="AE174" s="127"/>
      <c r="AF174" s="127" t="e">
        <f t="shared" si="26"/>
        <v>#DIV/0!</v>
      </c>
      <c r="AG174" s="128" t="e">
        <f t="shared" si="27"/>
        <v>#DIV/0!</v>
      </c>
      <c r="AH174" s="128" t="e">
        <f t="shared" si="28"/>
        <v>#DIV/0!</v>
      </c>
      <c r="AI174" s="127" t="e">
        <f t="shared" si="29"/>
        <v>#DIV/0!</v>
      </c>
    </row>
    <row r="175" ht="15.5" customHeight="1" spans="1:35">
      <c r="A175" s="63"/>
      <c r="B175" s="56"/>
      <c r="C175" s="56"/>
      <c r="D175" s="59"/>
      <c r="E175" s="63"/>
      <c r="F175" s="24"/>
      <c r="G175" s="63"/>
      <c r="H175" s="21"/>
      <c r="I175" s="23"/>
      <c r="J175" s="121"/>
      <c r="K175" s="121"/>
      <c r="L175" s="26"/>
      <c r="M175" s="26"/>
      <c r="N175" s="26"/>
      <c r="O175" s="26"/>
      <c r="P175" s="26"/>
      <c r="Q175" s="26"/>
      <c r="R175" s="26"/>
      <c r="S175" s="23"/>
      <c r="T175" s="26"/>
      <c r="U175" s="26" t="str">
        <f t="shared" si="20"/>
        <v/>
      </c>
      <c r="V175" s="27"/>
      <c r="W175" s="122"/>
      <c r="X175" s="123">
        <f t="shared" si="21"/>
        <v>0</v>
      </c>
      <c r="Y175" s="124" t="e">
        <f t="shared" si="22"/>
        <v>#DIV/0!</v>
      </c>
      <c r="Z175" s="124"/>
      <c r="AA175" s="124" t="e">
        <f t="shared" si="23"/>
        <v>#DIV/0!</v>
      </c>
      <c r="AB175" s="125" t="e">
        <f t="shared" si="24"/>
        <v>#DIV/0!</v>
      </c>
      <c r="AC175" s="31" t="e">
        <f t="shared" si="25"/>
        <v>#DIV/0!</v>
      </c>
      <c r="AD175" s="126"/>
      <c r="AE175" s="127"/>
      <c r="AF175" s="127" t="e">
        <f t="shared" si="26"/>
        <v>#DIV/0!</v>
      </c>
      <c r="AG175" s="128" t="e">
        <f t="shared" si="27"/>
        <v>#DIV/0!</v>
      </c>
      <c r="AH175" s="128" t="e">
        <f t="shared" si="28"/>
        <v>#DIV/0!</v>
      </c>
      <c r="AI175" s="127" t="e">
        <f t="shared" si="29"/>
        <v>#DIV/0!</v>
      </c>
    </row>
    <row r="176" ht="15.5" customHeight="1" spans="1:35">
      <c r="A176" s="63"/>
      <c r="B176" s="56"/>
      <c r="C176" s="56"/>
      <c r="D176" s="59"/>
      <c r="E176" s="63"/>
      <c r="F176" s="24"/>
      <c r="G176" s="63"/>
      <c r="H176" s="21"/>
      <c r="I176" s="23"/>
      <c r="J176" s="121"/>
      <c r="K176" s="121"/>
      <c r="L176" s="26"/>
      <c r="M176" s="26"/>
      <c r="N176" s="26"/>
      <c r="O176" s="26"/>
      <c r="P176" s="26"/>
      <c r="Q176" s="26"/>
      <c r="R176" s="26"/>
      <c r="S176" s="23"/>
      <c r="T176" s="26"/>
      <c r="U176" s="26" t="str">
        <f t="shared" si="20"/>
        <v/>
      </c>
      <c r="V176" s="27"/>
      <c r="W176" s="122"/>
      <c r="X176" s="123">
        <f t="shared" si="21"/>
        <v>0</v>
      </c>
      <c r="Y176" s="124" t="e">
        <f t="shared" si="22"/>
        <v>#DIV/0!</v>
      </c>
      <c r="Z176" s="124"/>
      <c r="AA176" s="124" t="e">
        <f t="shared" si="23"/>
        <v>#DIV/0!</v>
      </c>
      <c r="AB176" s="125" t="e">
        <f t="shared" si="24"/>
        <v>#DIV/0!</v>
      </c>
      <c r="AC176" s="31" t="e">
        <f t="shared" si="25"/>
        <v>#DIV/0!</v>
      </c>
      <c r="AD176" s="126"/>
      <c r="AE176" s="127"/>
      <c r="AF176" s="127" t="e">
        <f t="shared" si="26"/>
        <v>#DIV/0!</v>
      </c>
      <c r="AG176" s="128" t="e">
        <f t="shared" si="27"/>
        <v>#DIV/0!</v>
      </c>
      <c r="AH176" s="128" t="e">
        <f t="shared" si="28"/>
        <v>#DIV/0!</v>
      </c>
      <c r="AI176" s="127" t="e">
        <f t="shared" si="29"/>
        <v>#DIV/0!</v>
      </c>
    </row>
    <row r="177" ht="15.5" customHeight="1" spans="1:35">
      <c r="A177" s="63"/>
      <c r="B177" s="56"/>
      <c r="C177" s="56"/>
      <c r="D177" s="59"/>
      <c r="E177" s="63"/>
      <c r="F177" s="24"/>
      <c r="G177" s="63"/>
      <c r="H177" s="21"/>
      <c r="I177" s="23"/>
      <c r="J177" s="121"/>
      <c r="K177" s="121"/>
      <c r="L177" s="26"/>
      <c r="M177" s="26"/>
      <c r="N177" s="26"/>
      <c r="O177" s="26"/>
      <c r="P177" s="26"/>
      <c r="Q177" s="26"/>
      <c r="R177" s="26"/>
      <c r="S177" s="23"/>
      <c r="T177" s="26"/>
      <c r="U177" s="26" t="str">
        <f t="shared" si="20"/>
        <v/>
      </c>
      <c r="V177" s="27"/>
      <c r="W177" s="122"/>
      <c r="X177" s="123">
        <f t="shared" si="21"/>
        <v>0</v>
      </c>
      <c r="Y177" s="124" t="e">
        <f t="shared" si="22"/>
        <v>#DIV/0!</v>
      </c>
      <c r="Z177" s="124"/>
      <c r="AA177" s="124" t="e">
        <f t="shared" si="23"/>
        <v>#DIV/0!</v>
      </c>
      <c r="AB177" s="125" t="e">
        <f t="shared" si="24"/>
        <v>#DIV/0!</v>
      </c>
      <c r="AC177" s="31" t="e">
        <f t="shared" si="25"/>
        <v>#DIV/0!</v>
      </c>
      <c r="AD177" s="126"/>
      <c r="AE177" s="127"/>
      <c r="AF177" s="127" t="e">
        <f t="shared" si="26"/>
        <v>#DIV/0!</v>
      </c>
      <c r="AG177" s="128" t="e">
        <f t="shared" si="27"/>
        <v>#DIV/0!</v>
      </c>
      <c r="AH177" s="128" t="e">
        <f t="shared" si="28"/>
        <v>#DIV/0!</v>
      </c>
      <c r="AI177" s="127" t="e">
        <f t="shared" si="29"/>
        <v>#DIV/0!</v>
      </c>
    </row>
    <row r="178" ht="15.5" customHeight="1" spans="1:35">
      <c r="A178" s="63"/>
      <c r="B178" s="56"/>
      <c r="C178" s="56"/>
      <c r="D178" s="59"/>
      <c r="E178" s="63"/>
      <c r="F178" s="24"/>
      <c r="G178" s="63"/>
      <c r="H178" s="21"/>
      <c r="I178" s="23"/>
      <c r="J178" s="121"/>
      <c r="K178" s="121"/>
      <c r="L178" s="26"/>
      <c r="M178" s="26"/>
      <c r="N178" s="26"/>
      <c r="O178" s="26"/>
      <c r="P178" s="26"/>
      <c r="Q178" s="26"/>
      <c r="R178" s="26"/>
      <c r="S178" s="23"/>
      <c r="T178" s="26"/>
      <c r="U178" s="26" t="str">
        <f t="shared" si="20"/>
        <v/>
      </c>
      <c r="V178" s="27"/>
      <c r="W178" s="122"/>
      <c r="X178" s="123">
        <f t="shared" si="21"/>
        <v>0</v>
      </c>
      <c r="Y178" s="124" t="e">
        <f t="shared" si="22"/>
        <v>#DIV/0!</v>
      </c>
      <c r="Z178" s="124"/>
      <c r="AA178" s="124" t="e">
        <f t="shared" si="23"/>
        <v>#DIV/0!</v>
      </c>
      <c r="AB178" s="125" t="e">
        <f t="shared" si="24"/>
        <v>#DIV/0!</v>
      </c>
      <c r="AC178" s="31" t="e">
        <f t="shared" si="25"/>
        <v>#DIV/0!</v>
      </c>
      <c r="AD178" s="126"/>
      <c r="AE178" s="127"/>
      <c r="AF178" s="127" t="e">
        <f t="shared" si="26"/>
        <v>#DIV/0!</v>
      </c>
      <c r="AG178" s="128" t="e">
        <f t="shared" si="27"/>
        <v>#DIV/0!</v>
      </c>
      <c r="AH178" s="128" t="e">
        <f t="shared" si="28"/>
        <v>#DIV/0!</v>
      </c>
      <c r="AI178" s="127" t="e">
        <f t="shared" si="29"/>
        <v>#DIV/0!</v>
      </c>
    </row>
    <row r="179" ht="15.5" customHeight="1" spans="1:35">
      <c r="A179" s="63"/>
      <c r="B179" s="56"/>
      <c r="C179" s="56"/>
      <c r="D179" s="59"/>
      <c r="E179" s="63"/>
      <c r="F179" s="24"/>
      <c r="G179" s="63"/>
      <c r="H179" s="21"/>
      <c r="I179" s="23"/>
      <c r="J179" s="121"/>
      <c r="K179" s="121"/>
      <c r="L179" s="26"/>
      <c r="M179" s="26"/>
      <c r="N179" s="26"/>
      <c r="O179" s="26"/>
      <c r="P179" s="26"/>
      <c r="Q179" s="26"/>
      <c r="R179" s="26"/>
      <c r="S179" s="23"/>
      <c r="T179" s="26"/>
      <c r="U179" s="26" t="str">
        <f t="shared" si="20"/>
        <v/>
      </c>
      <c r="V179" s="27"/>
      <c r="W179" s="122"/>
      <c r="X179" s="123">
        <f t="shared" si="21"/>
        <v>0</v>
      </c>
      <c r="Y179" s="124" t="e">
        <f t="shared" si="22"/>
        <v>#DIV/0!</v>
      </c>
      <c r="Z179" s="124"/>
      <c r="AA179" s="124" t="e">
        <f t="shared" si="23"/>
        <v>#DIV/0!</v>
      </c>
      <c r="AB179" s="125" t="e">
        <f t="shared" si="24"/>
        <v>#DIV/0!</v>
      </c>
      <c r="AC179" s="31" t="e">
        <f t="shared" si="25"/>
        <v>#DIV/0!</v>
      </c>
      <c r="AD179" s="126"/>
      <c r="AE179" s="127"/>
      <c r="AF179" s="127" t="e">
        <f t="shared" si="26"/>
        <v>#DIV/0!</v>
      </c>
      <c r="AG179" s="128" t="e">
        <f t="shared" si="27"/>
        <v>#DIV/0!</v>
      </c>
      <c r="AH179" s="128" t="e">
        <f t="shared" si="28"/>
        <v>#DIV/0!</v>
      </c>
      <c r="AI179" s="127" t="e">
        <f t="shared" si="29"/>
        <v>#DIV/0!</v>
      </c>
    </row>
    <row r="180" ht="15.5" customHeight="1" spans="1:35">
      <c r="A180" s="63"/>
      <c r="B180" s="56"/>
      <c r="C180" s="56"/>
      <c r="D180" s="59"/>
      <c r="E180" s="63"/>
      <c r="F180" s="24"/>
      <c r="G180" s="63"/>
      <c r="H180" s="21"/>
      <c r="I180" s="23"/>
      <c r="J180" s="121"/>
      <c r="K180" s="121"/>
      <c r="L180" s="26"/>
      <c r="M180" s="26"/>
      <c r="N180" s="26"/>
      <c r="O180" s="26"/>
      <c r="P180" s="26"/>
      <c r="Q180" s="26"/>
      <c r="R180" s="26"/>
      <c r="S180" s="23"/>
      <c r="T180" s="26"/>
      <c r="U180" s="26" t="str">
        <f t="shared" si="20"/>
        <v/>
      </c>
      <c r="V180" s="27"/>
      <c r="W180" s="122"/>
      <c r="X180" s="123">
        <f t="shared" si="21"/>
        <v>0</v>
      </c>
      <c r="Y180" s="124" t="e">
        <f t="shared" si="22"/>
        <v>#DIV/0!</v>
      </c>
      <c r="Z180" s="124"/>
      <c r="AA180" s="124" t="e">
        <f t="shared" si="23"/>
        <v>#DIV/0!</v>
      </c>
      <c r="AB180" s="125" t="e">
        <f t="shared" si="24"/>
        <v>#DIV/0!</v>
      </c>
      <c r="AC180" s="31" t="e">
        <f t="shared" si="25"/>
        <v>#DIV/0!</v>
      </c>
      <c r="AD180" s="126"/>
      <c r="AE180" s="127"/>
      <c r="AF180" s="127" t="e">
        <f t="shared" si="26"/>
        <v>#DIV/0!</v>
      </c>
      <c r="AG180" s="128" t="e">
        <f t="shared" si="27"/>
        <v>#DIV/0!</v>
      </c>
      <c r="AH180" s="128" t="e">
        <f t="shared" si="28"/>
        <v>#DIV/0!</v>
      </c>
      <c r="AI180" s="127" t="e">
        <f t="shared" si="29"/>
        <v>#DIV/0!</v>
      </c>
    </row>
    <row r="181" ht="15.5" customHeight="1" spans="1:35">
      <c r="A181" s="63"/>
      <c r="B181" s="56"/>
      <c r="C181" s="56"/>
      <c r="D181" s="59"/>
      <c r="E181" s="63"/>
      <c r="F181" s="24"/>
      <c r="G181" s="63"/>
      <c r="H181" s="21"/>
      <c r="I181" s="23"/>
      <c r="J181" s="121"/>
      <c r="K181" s="121"/>
      <c r="L181" s="26"/>
      <c r="M181" s="26"/>
      <c r="N181" s="26"/>
      <c r="O181" s="26"/>
      <c r="P181" s="26"/>
      <c r="Q181" s="26"/>
      <c r="R181" s="26"/>
      <c r="S181" s="23"/>
      <c r="T181" s="26"/>
      <c r="U181" s="26" t="str">
        <f t="shared" si="20"/>
        <v/>
      </c>
      <c r="V181" s="27"/>
      <c r="W181" s="122"/>
      <c r="X181" s="123">
        <f t="shared" si="21"/>
        <v>0</v>
      </c>
      <c r="Y181" s="124" t="e">
        <f t="shared" si="22"/>
        <v>#DIV/0!</v>
      </c>
      <c r="Z181" s="124"/>
      <c r="AA181" s="124" t="e">
        <f t="shared" si="23"/>
        <v>#DIV/0!</v>
      </c>
      <c r="AB181" s="125" t="e">
        <f t="shared" si="24"/>
        <v>#DIV/0!</v>
      </c>
      <c r="AC181" s="31" t="e">
        <f t="shared" si="25"/>
        <v>#DIV/0!</v>
      </c>
      <c r="AD181" s="126"/>
      <c r="AE181" s="127"/>
      <c r="AF181" s="127" t="e">
        <f t="shared" si="26"/>
        <v>#DIV/0!</v>
      </c>
      <c r="AG181" s="128" t="e">
        <f t="shared" si="27"/>
        <v>#DIV/0!</v>
      </c>
      <c r="AH181" s="128" t="e">
        <f t="shared" si="28"/>
        <v>#DIV/0!</v>
      </c>
      <c r="AI181" s="127" t="e">
        <f t="shared" si="29"/>
        <v>#DIV/0!</v>
      </c>
    </row>
    <row r="182" ht="15.5" customHeight="1" spans="1:35">
      <c r="A182" s="63"/>
      <c r="B182" s="56"/>
      <c r="C182" s="56"/>
      <c r="D182" s="59"/>
      <c r="E182" s="63"/>
      <c r="F182" s="24"/>
      <c r="G182" s="63"/>
      <c r="H182" s="21"/>
      <c r="I182" s="23"/>
      <c r="J182" s="121"/>
      <c r="K182" s="121"/>
      <c r="L182" s="26"/>
      <c r="M182" s="26"/>
      <c r="N182" s="26"/>
      <c r="O182" s="26"/>
      <c r="P182" s="26"/>
      <c r="Q182" s="26"/>
      <c r="R182" s="26"/>
      <c r="S182" s="23"/>
      <c r="T182" s="26"/>
      <c r="U182" s="26" t="str">
        <f t="shared" si="20"/>
        <v/>
      </c>
      <c r="V182" s="27"/>
      <c r="W182" s="122"/>
      <c r="X182" s="123">
        <f t="shared" si="21"/>
        <v>0</v>
      </c>
      <c r="Y182" s="124" t="e">
        <f t="shared" si="22"/>
        <v>#DIV/0!</v>
      </c>
      <c r="Z182" s="124"/>
      <c r="AA182" s="124" t="e">
        <f t="shared" si="23"/>
        <v>#DIV/0!</v>
      </c>
      <c r="AB182" s="125" t="e">
        <f t="shared" si="24"/>
        <v>#DIV/0!</v>
      </c>
      <c r="AC182" s="31" t="e">
        <f t="shared" si="25"/>
        <v>#DIV/0!</v>
      </c>
      <c r="AD182" s="126"/>
      <c r="AE182" s="127"/>
      <c r="AF182" s="127" t="e">
        <f t="shared" si="26"/>
        <v>#DIV/0!</v>
      </c>
      <c r="AG182" s="128" t="e">
        <f t="shared" si="27"/>
        <v>#DIV/0!</v>
      </c>
      <c r="AH182" s="128" t="e">
        <f t="shared" si="28"/>
        <v>#DIV/0!</v>
      </c>
      <c r="AI182" s="127" t="e">
        <f t="shared" si="29"/>
        <v>#DIV/0!</v>
      </c>
    </row>
    <row r="183" ht="15.5" customHeight="1" spans="1:35">
      <c r="A183" s="63"/>
      <c r="B183" s="56"/>
      <c r="C183" s="56"/>
      <c r="D183" s="59"/>
      <c r="E183" s="63"/>
      <c r="F183" s="24"/>
      <c r="G183" s="63"/>
      <c r="H183" s="21"/>
      <c r="I183" s="23"/>
      <c r="J183" s="121"/>
      <c r="K183" s="121"/>
      <c r="L183" s="26"/>
      <c r="M183" s="26"/>
      <c r="N183" s="26"/>
      <c r="O183" s="26"/>
      <c r="P183" s="26"/>
      <c r="Q183" s="26"/>
      <c r="R183" s="26"/>
      <c r="S183" s="23"/>
      <c r="T183" s="26"/>
      <c r="U183" s="26" t="str">
        <f t="shared" si="20"/>
        <v/>
      </c>
      <c r="V183" s="27"/>
      <c r="W183" s="122"/>
      <c r="X183" s="123">
        <f t="shared" si="21"/>
        <v>0</v>
      </c>
      <c r="Y183" s="124" t="e">
        <f t="shared" si="22"/>
        <v>#DIV/0!</v>
      </c>
      <c r="Z183" s="124"/>
      <c r="AA183" s="124" t="e">
        <f t="shared" si="23"/>
        <v>#DIV/0!</v>
      </c>
      <c r="AB183" s="125" t="e">
        <f t="shared" si="24"/>
        <v>#DIV/0!</v>
      </c>
      <c r="AC183" s="31" t="e">
        <f t="shared" si="25"/>
        <v>#DIV/0!</v>
      </c>
      <c r="AD183" s="126"/>
      <c r="AE183" s="127"/>
      <c r="AF183" s="127" t="e">
        <f t="shared" si="26"/>
        <v>#DIV/0!</v>
      </c>
      <c r="AG183" s="128" t="e">
        <f t="shared" si="27"/>
        <v>#DIV/0!</v>
      </c>
      <c r="AH183" s="128" t="e">
        <f t="shared" si="28"/>
        <v>#DIV/0!</v>
      </c>
      <c r="AI183" s="127" t="e">
        <f t="shared" si="29"/>
        <v>#DIV/0!</v>
      </c>
    </row>
    <row r="184" ht="15.5" customHeight="1" spans="1:35">
      <c r="A184" s="63"/>
      <c r="B184" s="56"/>
      <c r="C184" s="56"/>
      <c r="D184" s="59"/>
      <c r="E184" s="63"/>
      <c r="F184" s="24"/>
      <c r="G184" s="63"/>
      <c r="H184" s="21"/>
      <c r="I184" s="23"/>
      <c r="J184" s="121"/>
      <c r="K184" s="121"/>
      <c r="L184" s="26"/>
      <c r="M184" s="26"/>
      <c r="N184" s="26"/>
      <c r="O184" s="26"/>
      <c r="P184" s="26"/>
      <c r="Q184" s="26"/>
      <c r="R184" s="26"/>
      <c r="S184" s="23"/>
      <c r="T184" s="26"/>
      <c r="U184" s="26" t="str">
        <f t="shared" si="20"/>
        <v/>
      </c>
      <c r="V184" s="27"/>
      <c r="W184" s="122"/>
      <c r="X184" s="123">
        <f t="shared" si="21"/>
        <v>0</v>
      </c>
      <c r="Y184" s="124" t="e">
        <f t="shared" si="22"/>
        <v>#DIV/0!</v>
      </c>
      <c r="Z184" s="124"/>
      <c r="AA184" s="124" t="e">
        <f t="shared" si="23"/>
        <v>#DIV/0!</v>
      </c>
      <c r="AB184" s="125" t="e">
        <f t="shared" si="24"/>
        <v>#DIV/0!</v>
      </c>
      <c r="AC184" s="31" t="e">
        <f t="shared" si="25"/>
        <v>#DIV/0!</v>
      </c>
      <c r="AD184" s="126"/>
      <c r="AE184" s="127"/>
      <c r="AF184" s="127" t="e">
        <f t="shared" si="26"/>
        <v>#DIV/0!</v>
      </c>
      <c r="AG184" s="128" t="e">
        <f t="shared" si="27"/>
        <v>#DIV/0!</v>
      </c>
      <c r="AH184" s="128" t="e">
        <f t="shared" si="28"/>
        <v>#DIV/0!</v>
      </c>
      <c r="AI184" s="127" t="e">
        <f t="shared" si="29"/>
        <v>#DIV/0!</v>
      </c>
    </row>
    <row r="185" ht="15.5" customHeight="1" spans="1:35">
      <c r="A185" s="63"/>
      <c r="B185" s="56"/>
      <c r="C185" s="56"/>
      <c r="D185" s="59"/>
      <c r="E185" s="63"/>
      <c r="F185" s="24"/>
      <c r="G185" s="63"/>
      <c r="H185" s="21"/>
      <c r="I185" s="23"/>
      <c r="J185" s="121"/>
      <c r="K185" s="121"/>
      <c r="L185" s="26"/>
      <c r="M185" s="26"/>
      <c r="N185" s="26"/>
      <c r="O185" s="26"/>
      <c r="P185" s="26"/>
      <c r="Q185" s="26"/>
      <c r="R185" s="26"/>
      <c r="S185" s="23"/>
      <c r="T185" s="26"/>
      <c r="U185" s="26" t="str">
        <f t="shared" si="20"/>
        <v/>
      </c>
      <c r="V185" s="27"/>
      <c r="W185" s="122"/>
      <c r="X185" s="123">
        <f t="shared" si="21"/>
        <v>0</v>
      </c>
      <c r="Y185" s="124" t="e">
        <f t="shared" si="22"/>
        <v>#DIV/0!</v>
      </c>
      <c r="Z185" s="124"/>
      <c r="AA185" s="124" t="e">
        <f t="shared" si="23"/>
        <v>#DIV/0!</v>
      </c>
      <c r="AB185" s="125" t="e">
        <f t="shared" si="24"/>
        <v>#DIV/0!</v>
      </c>
      <c r="AC185" s="31" t="e">
        <f t="shared" si="25"/>
        <v>#DIV/0!</v>
      </c>
      <c r="AD185" s="126"/>
      <c r="AE185" s="127"/>
      <c r="AF185" s="127" t="e">
        <f t="shared" si="26"/>
        <v>#DIV/0!</v>
      </c>
      <c r="AG185" s="128" t="e">
        <f t="shared" si="27"/>
        <v>#DIV/0!</v>
      </c>
      <c r="AH185" s="128" t="e">
        <f t="shared" si="28"/>
        <v>#DIV/0!</v>
      </c>
      <c r="AI185" s="127" t="e">
        <f t="shared" si="29"/>
        <v>#DIV/0!</v>
      </c>
    </row>
    <row r="186" ht="15.5" customHeight="1" spans="1:35">
      <c r="A186" s="63"/>
      <c r="B186" s="56"/>
      <c r="C186" s="56"/>
      <c r="D186" s="59"/>
      <c r="E186" s="63"/>
      <c r="F186" s="24"/>
      <c r="G186" s="63"/>
      <c r="H186" s="21"/>
      <c r="I186" s="23"/>
      <c r="J186" s="121"/>
      <c r="K186" s="121"/>
      <c r="L186" s="26"/>
      <c r="M186" s="26"/>
      <c r="N186" s="26"/>
      <c r="O186" s="26"/>
      <c r="P186" s="26"/>
      <c r="Q186" s="26"/>
      <c r="R186" s="26"/>
      <c r="S186" s="23"/>
      <c r="T186" s="26"/>
      <c r="U186" s="26" t="str">
        <f t="shared" si="20"/>
        <v/>
      </c>
      <c r="V186" s="27"/>
      <c r="W186" s="122"/>
      <c r="X186" s="123">
        <f t="shared" si="21"/>
        <v>0</v>
      </c>
      <c r="Y186" s="124" t="e">
        <f t="shared" si="22"/>
        <v>#DIV/0!</v>
      </c>
      <c r="Z186" s="124"/>
      <c r="AA186" s="124" t="e">
        <f t="shared" si="23"/>
        <v>#DIV/0!</v>
      </c>
      <c r="AB186" s="125" t="e">
        <f t="shared" si="24"/>
        <v>#DIV/0!</v>
      </c>
      <c r="AC186" s="31" t="e">
        <f t="shared" si="25"/>
        <v>#DIV/0!</v>
      </c>
      <c r="AD186" s="126"/>
      <c r="AE186" s="127"/>
      <c r="AF186" s="127" t="e">
        <f t="shared" si="26"/>
        <v>#DIV/0!</v>
      </c>
      <c r="AG186" s="128" t="e">
        <f t="shared" si="27"/>
        <v>#DIV/0!</v>
      </c>
      <c r="AH186" s="128" t="e">
        <f t="shared" si="28"/>
        <v>#DIV/0!</v>
      </c>
      <c r="AI186" s="127" t="e">
        <f t="shared" si="29"/>
        <v>#DIV/0!</v>
      </c>
    </row>
    <row r="187" ht="15.5" customHeight="1" spans="1:35">
      <c r="A187" s="63"/>
      <c r="B187" s="56"/>
      <c r="C187" s="56"/>
      <c r="D187" s="59"/>
      <c r="E187" s="63"/>
      <c r="F187" s="24"/>
      <c r="G187" s="63"/>
      <c r="H187" s="21"/>
      <c r="I187" s="23"/>
      <c r="J187" s="121"/>
      <c r="K187" s="121"/>
      <c r="L187" s="26"/>
      <c r="M187" s="26"/>
      <c r="N187" s="26"/>
      <c r="O187" s="26"/>
      <c r="P187" s="26"/>
      <c r="Q187" s="26"/>
      <c r="R187" s="26"/>
      <c r="S187" s="23"/>
      <c r="T187" s="26"/>
      <c r="U187" s="26" t="str">
        <f t="shared" si="20"/>
        <v/>
      </c>
      <c r="V187" s="27"/>
      <c r="W187" s="122"/>
      <c r="X187" s="123">
        <f t="shared" si="21"/>
        <v>0</v>
      </c>
      <c r="Y187" s="124" t="e">
        <f t="shared" si="22"/>
        <v>#DIV/0!</v>
      </c>
      <c r="Z187" s="124"/>
      <c r="AA187" s="124" t="e">
        <f t="shared" si="23"/>
        <v>#DIV/0!</v>
      </c>
      <c r="AB187" s="125" t="e">
        <f t="shared" si="24"/>
        <v>#DIV/0!</v>
      </c>
      <c r="AC187" s="31" t="e">
        <f t="shared" si="25"/>
        <v>#DIV/0!</v>
      </c>
      <c r="AD187" s="126"/>
      <c r="AE187" s="127"/>
      <c r="AF187" s="127" t="e">
        <f t="shared" si="26"/>
        <v>#DIV/0!</v>
      </c>
      <c r="AG187" s="128" t="e">
        <f t="shared" si="27"/>
        <v>#DIV/0!</v>
      </c>
      <c r="AH187" s="128" t="e">
        <f t="shared" si="28"/>
        <v>#DIV/0!</v>
      </c>
      <c r="AI187" s="127" t="e">
        <f t="shared" si="29"/>
        <v>#DIV/0!</v>
      </c>
    </row>
    <row r="188" ht="15.5" customHeight="1" spans="1:35">
      <c r="A188" s="63"/>
      <c r="B188" s="56"/>
      <c r="C188" s="56"/>
      <c r="D188" s="59"/>
      <c r="E188" s="63"/>
      <c r="F188" s="24"/>
      <c r="G188" s="63"/>
      <c r="H188" s="21"/>
      <c r="I188" s="23"/>
      <c r="J188" s="121"/>
      <c r="K188" s="121"/>
      <c r="L188" s="26"/>
      <c r="M188" s="26"/>
      <c r="N188" s="26"/>
      <c r="O188" s="26"/>
      <c r="P188" s="26"/>
      <c r="Q188" s="26"/>
      <c r="R188" s="26"/>
      <c r="S188" s="23"/>
      <c r="T188" s="26"/>
      <c r="U188" s="26" t="str">
        <f t="shared" si="20"/>
        <v/>
      </c>
      <c r="V188" s="27"/>
      <c r="W188" s="122"/>
      <c r="X188" s="123">
        <f t="shared" si="21"/>
        <v>0</v>
      </c>
      <c r="Y188" s="124" t="e">
        <f t="shared" si="22"/>
        <v>#DIV/0!</v>
      </c>
      <c r="Z188" s="124"/>
      <c r="AA188" s="124" t="e">
        <f t="shared" si="23"/>
        <v>#DIV/0!</v>
      </c>
      <c r="AB188" s="125" t="e">
        <f t="shared" si="24"/>
        <v>#DIV/0!</v>
      </c>
      <c r="AC188" s="31" t="e">
        <f t="shared" si="25"/>
        <v>#DIV/0!</v>
      </c>
      <c r="AD188" s="126"/>
      <c r="AE188" s="127"/>
      <c r="AF188" s="127" t="e">
        <f t="shared" si="26"/>
        <v>#DIV/0!</v>
      </c>
      <c r="AG188" s="128" t="e">
        <f t="shared" si="27"/>
        <v>#DIV/0!</v>
      </c>
      <c r="AH188" s="128" t="e">
        <f t="shared" si="28"/>
        <v>#DIV/0!</v>
      </c>
      <c r="AI188" s="127" t="e">
        <f t="shared" si="29"/>
        <v>#DIV/0!</v>
      </c>
    </row>
    <row r="189" ht="15.5" customHeight="1" spans="1:35">
      <c r="A189" s="63"/>
      <c r="B189" s="56"/>
      <c r="C189" s="56"/>
      <c r="D189" s="59"/>
      <c r="E189" s="63"/>
      <c r="F189" s="24"/>
      <c r="G189" s="63"/>
      <c r="H189" s="21"/>
      <c r="I189" s="23"/>
      <c r="J189" s="121"/>
      <c r="K189" s="121"/>
      <c r="L189" s="26"/>
      <c r="M189" s="26"/>
      <c r="N189" s="26"/>
      <c r="O189" s="26"/>
      <c r="P189" s="26"/>
      <c r="Q189" s="26"/>
      <c r="R189" s="26"/>
      <c r="S189" s="23"/>
      <c r="T189" s="26"/>
      <c r="U189" s="26" t="str">
        <f t="shared" si="20"/>
        <v/>
      </c>
      <c r="V189" s="27"/>
      <c r="W189" s="122"/>
      <c r="X189" s="123">
        <f t="shared" si="21"/>
        <v>0</v>
      </c>
      <c r="Y189" s="124" t="e">
        <f t="shared" si="22"/>
        <v>#DIV/0!</v>
      </c>
      <c r="Z189" s="124"/>
      <c r="AA189" s="124" t="e">
        <f t="shared" si="23"/>
        <v>#DIV/0!</v>
      </c>
      <c r="AB189" s="125" t="e">
        <f t="shared" si="24"/>
        <v>#DIV/0!</v>
      </c>
      <c r="AC189" s="31" t="e">
        <f t="shared" si="25"/>
        <v>#DIV/0!</v>
      </c>
      <c r="AD189" s="126"/>
      <c r="AE189" s="127"/>
      <c r="AF189" s="127" t="e">
        <f t="shared" si="26"/>
        <v>#DIV/0!</v>
      </c>
      <c r="AG189" s="128" t="e">
        <f t="shared" si="27"/>
        <v>#DIV/0!</v>
      </c>
      <c r="AH189" s="128" t="e">
        <f t="shared" si="28"/>
        <v>#DIV/0!</v>
      </c>
      <c r="AI189" s="127" t="e">
        <f t="shared" si="29"/>
        <v>#DIV/0!</v>
      </c>
    </row>
    <row r="190" ht="15.5" customHeight="1" spans="1:35">
      <c r="A190" s="63"/>
      <c r="B190" s="56"/>
      <c r="C190" s="56"/>
      <c r="D190" s="59"/>
      <c r="E190" s="63"/>
      <c r="F190" s="24"/>
      <c r="G190" s="63"/>
      <c r="H190" s="21"/>
      <c r="I190" s="23"/>
      <c r="J190" s="121"/>
      <c r="K190" s="121"/>
      <c r="L190" s="26"/>
      <c r="M190" s="26"/>
      <c r="N190" s="26"/>
      <c r="O190" s="26"/>
      <c r="P190" s="26"/>
      <c r="Q190" s="26"/>
      <c r="R190" s="26"/>
      <c r="S190" s="23"/>
      <c r="T190" s="26"/>
      <c r="U190" s="26" t="str">
        <f t="shared" si="20"/>
        <v/>
      </c>
      <c r="V190" s="27"/>
      <c r="W190" s="122"/>
      <c r="X190" s="123">
        <f t="shared" si="21"/>
        <v>0</v>
      </c>
      <c r="Y190" s="124" t="e">
        <f t="shared" si="22"/>
        <v>#DIV/0!</v>
      </c>
      <c r="Z190" s="124"/>
      <c r="AA190" s="124" t="e">
        <f t="shared" si="23"/>
        <v>#DIV/0!</v>
      </c>
      <c r="AB190" s="125" t="e">
        <f t="shared" si="24"/>
        <v>#DIV/0!</v>
      </c>
      <c r="AC190" s="31" t="e">
        <f t="shared" si="25"/>
        <v>#DIV/0!</v>
      </c>
      <c r="AD190" s="126"/>
      <c r="AE190" s="127"/>
      <c r="AF190" s="127" t="e">
        <f t="shared" si="26"/>
        <v>#DIV/0!</v>
      </c>
      <c r="AG190" s="128" t="e">
        <f t="shared" si="27"/>
        <v>#DIV/0!</v>
      </c>
      <c r="AH190" s="128" t="e">
        <f t="shared" si="28"/>
        <v>#DIV/0!</v>
      </c>
      <c r="AI190" s="127" t="e">
        <f t="shared" si="29"/>
        <v>#DIV/0!</v>
      </c>
    </row>
    <row r="191" ht="15.5" customHeight="1" spans="1:35">
      <c r="A191" s="63"/>
      <c r="B191" s="56"/>
      <c r="C191" s="56"/>
      <c r="D191" s="59"/>
      <c r="E191" s="63"/>
      <c r="F191" s="24"/>
      <c r="G191" s="63"/>
      <c r="H191" s="21"/>
      <c r="I191" s="23"/>
      <c r="J191" s="121"/>
      <c r="K191" s="121"/>
      <c r="L191" s="26"/>
      <c r="M191" s="26"/>
      <c r="N191" s="26"/>
      <c r="O191" s="26"/>
      <c r="P191" s="26"/>
      <c r="Q191" s="26"/>
      <c r="R191" s="26"/>
      <c r="S191" s="23"/>
      <c r="T191" s="26"/>
      <c r="U191" s="26" t="str">
        <f t="shared" si="20"/>
        <v/>
      </c>
      <c r="V191" s="27"/>
      <c r="W191" s="122"/>
      <c r="X191" s="123">
        <f t="shared" si="21"/>
        <v>0</v>
      </c>
      <c r="Y191" s="124" t="e">
        <f t="shared" si="22"/>
        <v>#DIV/0!</v>
      </c>
      <c r="Z191" s="124"/>
      <c r="AA191" s="124" t="e">
        <f t="shared" si="23"/>
        <v>#DIV/0!</v>
      </c>
      <c r="AB191" s="125" t="e">
        <f t="shared" si="24"/>
        <v>#DIV/0!</v>
      </c>
      <c r="AC191" s="31" t="e">
        <f t="shared" si="25"/>
        <v>#DIV/0!</v>
      </c>
      <c r="AD191" s="126"/>
      <c r="AE191" s="127"/>
      <c r="AF191" s="127" t="e">
        <f t="shared" si="26"/>
        <v>#DIV/0!</v>
      </c>
      <c r="AG191" s="128" t="e">
        <f t="shared" si="27"/>
        <v>#DIV/0!</v>
      </c>
      <c r="AH191" s="128" t="e">
        <f t="shared" si="28"/>
        <v>#DIV/0!</v>
      </c>
      <c r="AI191" s="127" t="e">
        <f t="shared" si="29"/>
        <v>#DIV/0!</v>
      </c>
    </row>
    <row r="192" ht="15.5" customHeight="1" spans="1:35">
      <c r="A192" s="63"/>
      <c r="B192" s="56"/>
      <c r="C192" s="56"/>
      <c r="D192" s="59"/>
      <c r="E192" s="63"/>
      <c r="F192" s="24"/>
      <c r="G192" s="63"/>
      <c r="H192" s="21"/>
      <c r="I192" s="23"/>
      <c r="J192" s="121"/>
      <c r="K192" s="121"/>
      <c r="L192" s="26"/>
      <c r="M192" s="26"/>
      <c r="N192" s="26"/>
      <c r="O192" s="26"/>
      <c r="P192" s="26"/>
      <c r="Q192" s="26"/>
      <c r="R192" s="26"/>
      <c r="S192" s="23"/>
      <c r="T192" s="26"/>
      <c r="U192" s="26" t="str">
        <f t="shared" si="20"/>
        <v/>
      </c>
      <c r="V192" s="27"/>
      <c r="W192" s="122"/>
      <c r="X192" s="123">
        <f t="shared" si="21"/>
        <v>0</v>
      </c>
      <c r="Y192" s="124" t="e">
        <f t="shared" si="22"/>
        <v>#DIV/0!</v>
      </c>
      <c r="Z192" s="124"/>
      <c r="AA192" s="124" t="e">
        <f t="shared" si="23"/>
        <v>#DIV/0!</v>
      </c>
      <c r="AB192" s="125" t="e">
        <f t="shared" si="24"/>
        <v>#DIV/0!</v>
      </c>
      <c r="AC192" s="31" t="e">
        <f t="shared" si="25"/>
        <v>#DIV/0!</v>
      </c>
      <c r="AD192" s="126"/>
      <c r="AE192" s="127"/>
      <c r="AF192" s="127" t="e">
        <f t="shared" si="26"/>
        <v>#DIV/0!</v>
      </c>
      <c r="AG192" s="128" t="e">
        <f t="shared" si="27"/>
        <v>#DIV/0!</v>
      </c>
      <c r="AH192" s="128" t="e">
        <f t="shared" si="28"/>
        <v>#DIV/0!</v>
      </c>
      <c r="AI192" s="127" t="e">
        <f t="shared" si="29"/>
        <v>#DIV/0!</v>
      </c>
    </row>
    <row r="193" ht="15.5" customHeight="1" spans="1:35">
      <c r="A193" s="63"/>
      <c r="B193" s="56"/>
      <c r="C193" s="56"/>
      <c r="D193" s="59"/>
      <c r="E193" s="63"/>
      <c r="F193" s="24"/>
      <c r="G193" s="63"/>
      <c r="H193" s="21"/>
      <c r="I193" s="23"/>
      <c r="J193" s="121"/>
      <c r="K193" s="121"/>
      <c r="L193" s="26"/>
      <c r="M193" s="26"/>
      <c r="N193" s="26"/>
      <c r="O193" s="26"/>
      <c r="P193" s="26"/>
      <c r="Q193" s="26"/>
      <c r="R193" s="26"/>
      <c r="S193" s="23"/>
      <c r="T193" s="26"/>
      <c r="U193" s="26" t="str">
        <f t="shared" si="20"/>
        <v/>
      </c>
      <c r="V193" s="27"/>
      <c r="W193" s="122"/>
      <c r="X193" s="123">
        <f t="shared" si="21"/>
        <v>0</v>
      </c>
      <c r="Y193" s="124" t="e">
        <f t="shared" si="22"/>
        <v>#DIV/0!</v>
      </c>
      <c r="Z193" s="124"/>
      <c r="AA193" s="124" t="e">
        <f t="shared" si="23"/>
        <v>#DIV/0!</v>
      </c>
      <c r="AB193" s="125" t="e">
        <f t="shared" si="24"/>
        <v>#DIV/0!</v>
      </c>
      <c r="AC193" s="31" t="e">
        <f t="shared" si="25"/>
        <v>#DIV/0!</v>
      </c>
      <c r="AD193" s="126"/>
      <c r="AE193" s="127"/>
      <c r="AF193" s="127" t="e">
        <f t="shared" si="26"/>
        <v>#DIV/0!</v>
      </c>
      <c r="AG193" s="128" t="e">
        <f t="shared" si="27"/>
        <v>#DIV/0!</v>
      </c>
      <c r="AH193" s="128" t="e">
        <f t="shared" si="28"/>
        <v>#DIV/0!</v>
      </c>
      <c r="AI193" s="127" t="e">
        <f t="shared" si="29"/>
        <v>#DIV/0!</v>
      </c>
    </row>
    <row r="194" ht="15.5" customHeight="1" spans="1:35">
      <c r="A194" s="63"/>
      <c r="B194" s="56"/>
      <c r="C194" s="56"/>
      <c r="D194" s="59"/>
      <c r="E194" s="63"/>
      <c r="F194" s="24"/>
      <c r="G194" s="63"/>
      <c r="H194" s="21"/>
      <c r="I194" s="23"/>
      <c r="J194" s="121"/>
      <c r="K194" s="121"/>
      <c r="L194" s="26"/>
      <c r="M194" s="26"/>
      <c r="N194" s="26"/>
      <c r="O194" s="26"/>
      <c r="P194" s="26"/>
      <c r="Q194" s="26"/>
      <c r="R194" s="26"/>
      <c r="S194" s="23"/>
      <c r="T194" s="26"/>
      <c r="U194" s="26" t="str">
        <f t="shared" si="20"/>
        <v/>
      </c>
      <c r="V194" s="27"/>
      <c r="W194" s="122"/>
      <c r="X194" s="123">
        <f t="shared" si="21"/>
        <v>0</v>
      </c>
      <c r="Y194" s="124" t="e">
        <f t="shared" si="22"/>
        <v>#DIV/0!</v>
      </c>
      <c r="Z194" s="124"/>
      <c r="AA194" s="124" t="e">
        <f t="shared" si="23"/>
        <v>#DIV/0!</v>
      </c>
      <c r="AB194" s="125" t="e">
        <f t="shared" si="24"/>
        <v>#DIV/0!</v>
      </c>
      <c r="AC194" s="31" t="e">
        <f t="shared" si="25"/>
        <v>#DIV/0!</v>
      </c>
      <c r="AD194" s="126"/>
      <c r="AE194" s="127"/>
      <c r="AF194" s="127" t="e">
        <f t="shared" si="26"/>
        <v>#DIV/0!</v>
      </c>
      <c r="AG194" s="128" t="e">
        <f t="shared" si="27"/>
        <v>#DIV/0!</v>
      </c>
      <c r="AH194" s="128" t="e">
        <f t="shared" si="28"/>
        <v>#DIV/0!</v>
      </c>
      <c r="AI194" s="127" t="e">
        <f t="shared" si="29"/>
        <v>#DIV/0!</v>
      </c>
    </row>
    <row r="195" ht="15.5" customHeight="1" spans="1:35">
      <c r="A195" s="63"/>
      <c r="B195" s="56"/>
      <c r="C195" s="56"/>
      <c r="D195" s="59"/>
      <c r="E195" s="63"/>
      <c r="F195" s="24"/>
      <c r="G195" s="63"/>
      <c r="H195" s="21"/>
      <c r="I195" s="23"/>
      <c r="J195" s="121"/>
      <c r="K195" s="121"/>
      <c r="L195" s="26"/>
      <c r="M195" s="26"/>
      <c r="N195" s="26"/>
      <c r="O195" s="26"/>
      <c r="P195" s="26"/>
      <c r="Q195" s="26"/>
      <c r="R195" s="26"/>
      <c r="S195" s="23"/>
      <c r="T195" s="26"/>
      <c r="U195" s="26" t="str">
        <f t="shared" si="20"/>
        <v/>
      </c>
      <c r="V195" s="27"/>
      <c r="W195" s="122"/>
      <c r="X195" s="123">
        <f t="shared" si="21"/>
        <v>0</v>
      </c>
      <c r="Y195" s="124" t="e">
        <f t="shared" si="22"/>
        <v>#DIV/0!</v>
      </c>
      <c r="Z195" s="124"/>
      <c r="AA195" s="124" t="e">
        <f t="shared" si="23"/>
        <v>#DIV/0!</v>
      </c>
      <c r="AB195" s="125" t="e">
        <f t="shared" si="24"/>
        <v>#DIV/0!</v>
      </c>
      <c r="AC195" s="31" t="e">
        <f t="shared" si="25"/>
        <v>#DIV/0!</v>
      </c>
      <c r="AD195" s="126"/>
      <c r="AE195" s="127"/>
      <c r="AF195" s="127" t="e">
        <f t="shared" si="26"/>
        <v>#DIV/0!</v>
      </c>
      <c r="AG195" s="128" t="e">
        <f t="shared" si="27"/>
        <v>#DIV/0!</v>
      </c>
      <c r="AH195" s="128" t="e">
        <f t="shared" si="28"/>
        <v>#DIV/0!</v>
      </c>
      <c r="AI195" s="127" t="e">
        <f t="shared" si="29"/>
        <v>#DIV/0!</v>
      </c>
    </row>
    <row r="196" ht="15.5" customHeight="1" spans="1:35">
      <c r="A196" s="63"/>
      <c r="B196" s="56"/>
      <c r="C196" s="56"/>
      <c r="D196" s="59"/>
      <c r="E196" s="63"/>
      <c r="F196" s="24"/>
      <c r="G196" s="63"/>
      <c r="H196" s="21"/>
      <c r="I196" s="23"/>
      <c r="J196" s="121"/>
      <c r="K196" s="121"/>
      <c r="L196" s="26"/>
      <c r="M196" s="26"/>
      <c r="N196" s="26"/>
      <c r="O196" s="26"/>
      <c r="P196" s="26"/>
      <c r="Q196" s="26"/>
      <c r="R196" s="26"/>
      <c r="S196" s="23"/>
      <c r="T196" s="26"/>
      <c r="U196" s="26" t="str">
        <f t="shared" si="20"/>
        <v/>
      </c>
      <c r="V196" s="27"/>
      <c r="W196" s="122"/>
      <c r="X196" s="123">
        <f t="shared" si="21"/>
        <v>0</v>
      </c>
      <c r="Y196" s="124" t="e">
        <f t="shared" si="22"/>
        <v>#DIV/0!</v>
      </c>
      <c r="Z196" s="124"/>
      <c r="AA196" s="124" t="e">
        <f t="shared" si="23"/>
        <v>#DIV/0!</v>
      </c>
      <c r="AB196" s="125" t="e">
        <f t="shared" si="24"/>
        <v>#DIV/0!</v>
      </c>
      <c r="AC196" s="31" t="e">
        <f t="shared" si="25"/>
        <v>#DIV/0!</v>
      </c>
      <c r="AD196" s="126"/>
      <c r="AE196" s="127"/>
      <c r="AF196" s="127" t="e">
        <f t="shared" si="26"/>
        <v>#DIV/0!</v>
      </c>
      <c r="AG196" s="128" t="e">
        <f t="shared" si="27"/>
        <v>#DIV/0!</v>
      </c>
      <c r="AH196" s="128" t="e">
        <f t="shared" si="28"/>
        <v>#DIV/0!</v>
      </c>
      <c r="AI196" s="127" t="e">
        <f t="shared" si="29"/>
        <v>#DIV/0!</v>
      </c>
    </row>
    <row r="197" ht="15.5" customHeight="1" spans="1:35">
      <c r="A197" s="63"/>
      <c r="B197" s="56"/>
      <c r="C197" s="56"/>
      <c r="D197" s="59"/>
      <c r="E197" s="63"/>
      <c r="F197" s="24"/>
      <c r="G197" s="63"/>
      <c r="H197" s="21"/>
      <c r="I197" s="23"/>
      <c r="J197" s="121"/>
      <c r="K197" s="121"/>
      <c r="L197" s="26"/>
      <c r="M197" s="26"/>
      <c r="N197" s="26"/>
      <c r="O197" s="26"/>
      <c r="P197" s="26"/>
      <c r="Q197" s="26"/>
      <c r="R197" s="26"/>
      <c r="S197" s="23"/>
      <c r="T197" s="26"/>
      <c r="U197" s="26" t="str">
        <f t="shared" si="20"/>
        <v/>
      </c>
      <c r="V197" s="27"/>
      <c r="W197" s="122"/>
      <c r="X197" s="123">
        <f t="shared" si="21"/>
        <v>0</v>
      </c>
      <c r="Y197" s="124" t="e">
        <f t="shared" si="22"/>
        <v>#DIV/0!</v>
      </c>
      <c r="Z197" s="124"/>
      <c r="AA197" s="124" t="e">
        <f t="shared" si="23"/>
        <v>#DIV/0!</v>
      </c>
      <c r="AB197" s="125" t="e">
        <f t="shared" si="24"/>
        <v>#DIV/0!</v>
      </c>
      <c r="AC197" s="31" t="e">
        <f t="shared" si="25"/>
        <v>#DIV/0!</v>
      </c>
      <c r="AD197" s="126"/>
      <c r="AE197" s="127"/>
      <c r="AF197" s="127" t="e">
        <f t="shared" si="26"/>
        <v>#DIV/0!</v>
      </c>
      <c r="AG197" s="128" t="e">
        <f t="shared" si="27"/>
        <v>#DIV/0!</v>
      </c>
      <c r="AH197" s="128" t="e">
        <f t="shared" si="28"/>
        <v>#DIV/0!</v>
      </c>
      <c r="AI197" s="127" t="e">
        <f t="shared" si="29"/>
        <v>#DIV/0!</v>
      </c>
    </row>
    <row r="198" ht="15.5" customHeight="1" spans="1:35">
      <c r="A198" s="63"/>
      <c r="B198" s="56"/>
      <c r="C198" s="56"/>
      <c r="D198" s="59"/>
      <c r="E198" s="63"/>
      <c r="F198" s="24"/>
      <c r="G198" s="63"/>
      <c r="H198" s="21"/>
      <c r="I198" s="23"/>
      <c r="J198" s="121"/>
      <c r="K198" s="121"/>
      <c r="L198" s="26"/>
      <c r="M198" s="26"/>
      <c r="N198" s="26"/>
      <c r="O198" s="26"/>
      <c r="P198" s="26"/>
      <c r="Q198" s="26"/>
      <c r="R198" s="26"/>
      <c r="S198" s="23"/>
      <c r="T198" s="26"/>
      <c r="U198" s="26" t="str">
        <f t="shared" si="20"/>
        <v/>
      </c>
      <c r="V198" s="27"/>
      <c r="W198" s="122"/>
      <c r="X198" s="123">
        <f t="shared" si="21"/>
        <v>0</v>
      </c>
      <c r="Y198" s="124" t="e">
        <f t="shared" si="22"/>
        <v>#DIV/0!</v>
      </c>
      <c r="Z198" s="124"/>
      <c r="AA198" s="124" t="e">
        <f t="shared" si="23"/>
        <v>#DIV/0!</v>
      </c>
      <c r="AB198" s="125" t="e">
        <f t="shared" si="24"/>
        <v>#DIV/0!</v>
      </c>
      <c r="AC198" s="31" t="e">
        <f t="shared" si="25"/>
        <v>#DIV/0!</v>
      </c>
      <c r="AD198" s="126"/>
      <c r="AE198" s="127"/>
      <c r="AF198" s="127" t="e">
        <f t="shared" si="26"/>
        <v>#DIV/0!</v>
      </c>
      <c r="AG198" s="128" t="e">
        <f t="shared" si="27"/>
        <v>#DIV/0!</v>
      </c>
      <c r="AH198" s="128" t="e">
        <f t="shared" si="28"/>
        <v>#DIV/0!</v>
      </c>
      <c r="AI198" s="127" t="e">
        <f t="shared" si="29"/>
        <v>#DIV/0!</v>
      </c>
    </row>
    <row r="199" ht="15.5" customHeight="1" spans="1:35">
      <c r="A199" s="63"/>
      <c r="B199" s="56"/>
      <c r="C199" s="56"/>
      <c r="D199" s="59"/>
      <c r="E199" s="63"/>
      <c r="F199" s="24"/>
      <c r="G199" s="63"/>
      <c r="H199" s="21"/>
      <c r="I199" s="23"/>
      <c r="J199" s="121"/>
      <c r="K199" s="121"/>
      <c r="L199" s="26"/>
      <c r="M199" s="26"/>
      <c r="N199" s="26"/>
      <c r="O199" s="26"/>
      <c r="P199" s="26"/>
      <c r="Q199" s="26"/>
      <c r="R199" s="26"/>
      <c r="S199" s="23"/>
      <c r="T199" s="26"/>
      <c r="U199" s="26" t="str">
        <f t="shared" ref="U199:U262" si="30">IF(Q199=0,"",(T199-Q199)/Q199*100)</f>
        <v/>
      </c>
      <c r="V199" s="27"/>
      <c r="W199" s="122"/>
      <c r="X199" s="123">
        <f t="shared" ref="X199:X262" si="31">($W$5-K199)/365</f>
        <v>0</v>
      </c>
      <c r="Y199" s="124" t="e">
        <f t="shared" ref="Y199:Y262" si="32">(W199-X199)/W199</f>
        <v>#DIV/0!</v>
      </c>
      <c r="Z199" s="124"/>
      <c r="AA199" s="124" t="e">
        <f t="shared" ref="AA199:AA262" si="33">Y199/2+Z199/2</f>
        <v>#DIV/0!</v>
      </c>
      <c r="AB199" s="125" t="e">
        <f t="shared" ref="AB199:AB262" si="34">P199/I199</f>
        <v>#DIV/0!</v>
      </c>
      <c r="AC199" s="31" t="e">
        <f t="shared" ref="AC199:AC262" si="35">AB199*AD199</f>
        <v>#DIV/0!</v>
      </c>
      <c r="AD199" s="126"/>
      <c r="AE199" s="127"/>
      <c r="AF199" s="127" t="e">
        <f t="shared" ref="AF199:AF262" si="36">AC199*0.13/(1+0.13)</f>
        <v>#DIV/0!</v>
      </c>
      <c r="AG199" s="128" t="e">
        <f t="shared" ref="AG199:AG262" si="37">AC199-AF199</f>
        <v>#DIV/0!</v>
      </c>
      <c r="AH199" s="128" t="e">
        <f t="shared" ref="AH199:AH262" si="38">AC199*I199</f>
        <v>#DIV/0!</v>
      </c>
      <c r="AI199" s="127" t="e">
        <f t="shared" ref="AI199:AI262" si="39">ROUND(AG199*I199,-1)</f>
        <v>#DIV/0!</v>
      </c>
    </row>
    <row r="200" ht="15.5" customHeight="1" spans="1:35">
      <c r="A200" s="63"/>
      <c r="B200" s="56"/>
      <c r="C200" s="56"/>
      <c r="D200" s="59"/>
      <c r="E200" s="63"/>
      <c r="F200" s="24"/>
      <c r="G200" s="63"/>
      <c r="H200" s="21"/>
      <c r="I200" s="23"/>
      <c r="J200" s="121"/>
      <c r="K200" s="121"/>
      <c r="L200" s="26"/>
      <c r="M200" s="26"/>
      <c r="N200" s="26"/>
      <c r="O200" s="26"/>
      <c r="P200" s="26"/>
      <c r="Q200" s="26"/>
      <c r="R200" s="26"/>
      <c r="S200" s="23"/>
      <c r="T200" s="26"/>
      <c r="U200" s="26" t="str">
        <f t="shared" si="30"/>
        <v/>
      </c>
      <c r="V200" s="27"/>
      <c r="W200" s="122"/>
      <c r="X200" s="123">
        <f t="shared" si="31"/>
        <v>0</v>
      </c>
      <c r="Y200" s="124" t="e">
        <f t="shared" si="32"/>
        <v>#DIV/0!</v>
      </c>
      <c r="Z200" s="124"/>
      <c r="AA200" s="124" t="e">
        <f t="shared" si="33"/>
        <v>#DIV/0!</v>
      </c>
      <c r="AB200" s="125" t="e">
        <f t="shared" si="34"/>
        <v>#DIV/0!</v>
      </c>
      <c r="AC200" s="31" t="e">
        <f t="shared" si="35"/>
        <v>#DIV/0!</v>
      </c>
      <c r="AD200" s="126"/>
      <c r="AE200" s="127"/>
      <c r="AF200" s="127" t="e">
        <f t="shared" si="36"/>
        <v>#DIV/0!</v>
      </c>
      <c r="AG200" s="128" t="e">
        <f t="shared" si="37"/>
        <v>#DIV/0!</v>
      </c>
      <c r="AH200" s="128" t="e">
        <f t="shared" si="38"/>
        <v>#DIV/0!</v>
      </c>
      <c r="AI200" s="127" t="e">
        <f t="shared" si="39"/>
        <v>#DIV/0!</v>
      </c>
    </row>
    <row r="201" ht="15.5" customHeight="1" spans="1:35">
      <c r="A201" s="63"/>
      <c r="B201" s="56"/>
      <c r="C201" s="56"/>
      <c r="D201" s="59"/>
      <c r="E201" s="63"/>
      <c r="F201" s="24"/>
      <c r="G201" s="63"/>
      <c r="H201" s="21"/>
      <c r="I201" s="23"/>
      <c r="J201" s="121"/>
      <c r="K201" s="121"/>
      <c r="L201" s="26"/>
      <c r="M201" s="26"/>
      <c r="N201" s="26"/>
      <c r="O201" s="26"/>
      <c r="P201" s="26"/>
      <c r="Q201" s="26"/>
      <c r="R201" s="26"/>
      <c r="S201" s="23"/>
      <c r="T201" s="26"/>
      <c r="U201" s="26" t="str">
        <f t="shared" si="30"/>
        <v/>
      </c>
      <c r="V201" s="27"/>
      <c r="W201" s="122"/>
      <c r="X201" s="123">
        <f t="shared" si="31"/>
        <v>0</v>
      </c>
      <c r="Y201" s="124" t="e">
        <f t="shared" si="32"/>
        <v>#DIV/0!</v>
      </c>
      <c r="Z201" s="124"/>
      <c r="AA201" s="124" t="e">
        <f t="shared" si="33"/>
        <v>#DIV/0!</v>
      </c>
      <c r="AB201" s="125" t="e">
        <f t="shared" si="34"/>
        <v>#DIV/0!</v>
      </c>
      <c r="AC201" s="31" t="e">
        <f t="shared" si="35"/>
        <v>#DIV/0!</v>
      </c>
      <c r="AD201" s="126"/>
      <c r="AE201" s="127"/>
      <c r="AF201" s="127" t="e">
        <f t="shared" si="36"/>
        <v>#DIV/0!</v>
      </c>
      <c r="AG201" s="128" t="e">
        <f t="shared" si="37"/>
        <v>#DIV/0!</v>
      </c>
      <c r="AH201" s="128" t="e">
        <f t="shared" si="38"/>
        <v>#DIV/0!</v>
      </c>
      <c r="AI201" s="127" t="e">
        <f t="shared" si="39"/>
        <v>#DIV/0!</v>
      </c>
    </row>
    <row r="202" ht="15.5" customHeight="1" spans="1:35">
      <c r="A202" s="63"/>
      <c r="B202" s="56"/>
      <c r="C202" s="56"/>
      <c r="D202" s="59"/>
      <c r="E202" s="63"/>
      <c r="F202" s="24"/>
      <c r="G202" s="63"/>
      <c r="H202" s="21"/>
      <c r="I202" s="23"/>
      <c r="J202" s="121"/>
      <c r="K202" s="121"/>
      <c r="L202" s="26"/>
      <c r="M202" s="26"/>
      <c r="N202" s="26"/>
      <c r="O202" s="26"/>
      <c r="P202" s="26"/>
      <c r="Q202" s="26"/>
      <c r="R202" s="26"/>
      <c r="S202" s="23"/>
      <c r="T202" s="26"/>
      <c r="U202" s="26" t="str">
        <f t="shared" si="30"/>
        <v/>
      </c>
      <c r="V202" s="27"/>
      <c r="W202" s="122"/>
      <c r="X202" s="123">
        <f t="shared" si="31"/>
        <v>0</v>
      </c>
      <c r="Y202" s="124" t="e">
        <f t="shared" si="32"/>
        <v>#DIV/0!</v>
      </c>
      <c r="Z202" s="124"/>
      <c r="AA202" s="124" t="e">
        <f t="shared" si="33"/>
        <v>#DIV/0!</v>
      </c>
      <c r="AB202" s="125" t="e">
        <f t="shared" si="34"/>
        <v>#DIV/0!</v>
      </c>
      <c r="AC202" s="31" t="e">
        <f t="shared" si="35"/>
        <v>#DIV/0!</v>
      </c>
      <c r="AD202" s="126"/>
      <c r="AE202" s="127"/>
      <c r="AF202" s="127" t="e">
        <f t="shared" si="36"/>
        <v>#DIV/0!</v>
      </c>
      <c r="AG202" s="128" t="e">
        <f t="shared" si="37"/>
        <v>#DIV/0!</v>
      </c>
      <c r="AH202" s="128" t="e">
        <f t="shared" si="38"/>
        <v>#DIV/0!</v>
      </c>
      <c r="AI202" s="127" t="e">
        <f t="shared" si="39"/>
        <v>#DIV/0!</v>
      </c>
    </row>
    <row r="203" ht="15.5" customHeight="1" spans="1:35">
      <c r="A203" s="63"/>
      <c r="B203" s="56"/>
      <c r="C203" s="56"/>
      <c r="D203" s="59"/>
      <c r="E203" s="63"/>
      <c r="F203" s="24"/>
      <c r="G203" s="63"/>
      <c r="H203" s="21"/>
      <c r="I203" s="23"/>
      <c r="J203" s="121"/>
      <c r="K203" s="121"/>
      <c r="L203" s="26"/>
      <c r="M203" s="26"/>
      <c r="N203" s="26"/>
      <c r="O203" s="26"/>
      <c r="P203" s="26"/>
      <c r="Q203" s="26"/>
      <c r="R203" s="26"/>
      <c r="S203" s="23"/>
      <c r="T203" s="26"/>
      <c r="U203" s="26" t="str">
        <f t="shared" si="30"/>
        <v/>
      </c>
      <c r="V203" s="27"/>
      <c r="W203" s="122"/>
      <c r="X203" s="123">
        <f t="shared" si="31"/>
        <v>0</v>
      </c>
      <c r="Y203" s="124" t="e">
        <f t="shared" si="32"/>
        <v>#DIV/0!</v>
      </c>
      <c r="Z203" s="124"/>
      <c r="AA203" s="124" t="e">
        <f t="shared" si="33"/>
        <v>#DIV/0!</v>
      </c>
      <c r="AB203" s="125" t="e">
        <f t="shared" si="34"/>
        <v>#DIV/0!</v>
      </c>
      <c r="AC203" s="31" t="e">
        <f t="shared" si="35"/>
        <v>#DIV/0!</v>
      </c>
      <c r="AD203" s="126"/>
      <c r="AE203" s="127"/>
      <c r="AF203" s="127" t="e">
        <f t="shared" si="36"/>
        <v>#DIV/0!</v>
      </c>
      <c r="AG203" s="128" t="e">
        <f t="shared" si="37"/>
        <v>#DIV/0!</v>
      </c>
      <c r="AH203" s="128" t="e">
        <f t="shared" si="38"/>
        <v>#DIV/0!</v>
      </c>
      <c r="AI203" s="127" t="e">
        <f t="shared" si="39"/>
        <v>#DIV/0!</v>
      </c>
    </row>
    <row r="204" ht="15.5" customHeight="1" spans="1:35">
      <c r="A204" s="63"/>
      <c r="B204" s="56"/>
      <c r="C204" s="56"/>
      <c r="D204" s="59"/>
      <c r="E204" s="63"/>
      <c r="F204" s="24"/>
      <c r="G204" s="63"/>
      <c r="H204" s="21"/>
      <c r="I204" s="23"/>
      <c r="J204" s="121"/>
      <c r="K204" s="121"/>
      <c r="L204" s="26"/>
      <c r="M204" s="26"/>
      <c r="N204" s="26"/>
      <c r="O204" s="26"/>
      <c r="P204" s="26"/>
      <c r="Q204" s="26"/>
      <c r="R204" s="26"/>
      <c r="S204" s="23"/>
      <c r="T204" s="26"/>
      <c r="U204" s="26" t="str">
        <f t="shared" si="30"/>
        <v/>
      </c>
      <c r="V204" s="27"/>
      <c r="W204" s="122"/>
      <c r="X204" s="123">
        <f t="shared" si="31"/>
        <v>0</v>
      </c>
      <c r="Y204" s="124" t="e">
        <f t="shared" si="32"/>
        <v>#DIV/0!</v>
      </c>
      <c r="Z204" s="124"/>
      <c r="AA204" s="124" t="e">
        <f t="shared" si="33"/>
        <v>#DIV/0!</v>
      </c>
      <c r="AB204" s="125" t="e">
        <f t="shared" si="34"/>
        <v>#DIV/0!</v>
      </c>
      <c r="AC204" s="31" t="e">
        <f t="shared" si="35"/>
        <v>#DIV/0!</v>
      </c>
      <c r="AD204" s="126"/>
      <c r="AE204" s="127"/>
      <c r="AF204" s="127" t="e">
        <f t="shared" si="36"/>
        <v>#DIV/0!</v>
      </c>
      <c r="AG204" s="128" t="e">
        <f t="shared" si="37"/>
        <v>#DIV/0!</v>
      </c>
      <c r="AH204" s="128" t="e">
        <f t="shared" si="38"/>
        <v>#DIV/0!</v>
      </c>
      <c r="AI204" s="127" t="e">
        <f t="shared" si="39"/>
        <v>#DIV/0!</v>
      </c>
    </row>
    <row r="205" ht="15.5" customHeight="1" spans="1:35">
      <c r="A205" s="63"/>
      <c r="B205" s="56"/>
      <c r="C205" s="56"/>
      <c r="D205" s="59"/>
      <c r="E205" s="63"/>
      <c r="F205" s="24"/>
      <c r="G205" s="63"/>
      <c r="H205" s="21"/>
      <c r="I205" s="23"/>
      <c r="J205" s="121"/>
      <c r="K205" s="121"/>
      <c r="L205" s="26"/>
      <c r="M205" s="26"/>
      <c r="N205" s="26"/>
      <c r="O205" s="26"/>
      <c r="P205" s="26"/>
      <c r="Q205" s="26"/>
      <c r="R205" s="26"/>
      <c r="S205" s="23"/>
      <c r="T205" s="26"/>
      <c r="U205" s="26" t="str">
        <f t="shared" si="30"/>
        <v/>
      </c>
      <c r="V205" s="27"/>
      <c r="W205" s="122"/>
      <c r="X205" s="123">
        <f t="shared" si="31"/>
        <v>0</v>
      </c>
      <c r="Y205" s="124" t="e">
        <f t="shared" si="32"/>
        <v>#DIV/0!</v>
      </c>
      <c r="Z205" s="124"/>
      <c r="AA205" s="124" t="e">
        <f t="shared" si="33"/>
        <v>#DIV/0!</v>
      </c>
      <c r="AB205" s="125" t="e">
        <f t="shared" si="34"/>
        <v>#DIV/0!</v>
      </c>
      <c r="AC205" s="31" t="e">
        <f t="shared" si="35"/>
        <v>#DIV/0!</v>
      </c>
      <c r="AD205" s="126"/>
      <c r="AE205" s="127"/>
      <c r="AF205" s="127" t="e">
        <f t="shared" si="36"/>
        <v>#DIV/0!</v>
      </c>
      <c r="AG205" s="128" t="e">
        <f t="shared" si="37"/>
        <v>#DIV/0!</v>
      </c>
      <c r="AH205" s="128" t="e">
        <f t="shared" si="38"/>
        <v>#DIV/0!</v>
      </c>
      <c r="AI205" s="127" t="e">
        <f t="shared" si="39"/>
        <v>#DIV/0!</v>
      </c>
    </row>
    <row r="206" ht="15.5" customHeight="1" spans="1:35">
      <c r="A206" s="63"/>
      <c r="B206" s="56"/>
      <c r="C206" s="56"/>
      <c r="D206" s="59"/>
      <c r="E206" s="63"/>
      <c r="F206" s="24"/>
      <c r="G206" s="63"/>
      <c r="H206" s="21"/>
      <c r="I206" s="23"/>
      <c r="J206" s="121"/>
      <c r="K206" s="121"/>
      <c r="L206" s="26"/>
      <c r="M206" s="26"/>
      <c r="N206" s="26"/>
      <c r="O206" s="26"/>
      <c r="P206" s="26"/>
      <c r="Q206" s="26"/>
      <c r="R206" s="26"/>
      <c r="S206" s="23"/>
      <c r="T206" s="26"/>
      <c r="U206" s="26" t="str">
        <f t="shared" si="30"/>
        <v/>
      </c>
      <c r="V206" s="27"/>
      <c r="W206" s="122"/>
      <c r="X206" s="123">
        <f t="shared" si="31"/>
        <v>0</v>
      </c>
      <c r="Y206" s="124" t="e">
        <f t="shared" si="32"/>
        <v>#DIV/0!</v>
      </c>
      <c r="Z206" s="124"/>
      <c r="AA206" s="124" t="e">
        <f t="shared" si="33"/>
        <v>#DIV/0!</v>
      </c>
      <c r="AB206" s="125" t="e">
        <f t="shared" si="34"/>
        <v>#DIV/0!</v>
      </c>
      <c r="AC206" s="31" t="e">
        <f t="shared" si="35"/>
        <v>#DIV/0!</v>
      </c>
      <c r="AD206" s="126"/>
      <c r="AE206" s="127"/>
      <c r="AF206" s="127" t="e">
        <f t="shared" si="36"/>
        <v>#DIV/0!</v>
      </c>
      <c r="AG206" s="128" t="e">
        <f t="shared" si="37"/>
        <v>#DIV/0!</v>
      </c>
      <c r="AH206" s="128" t="e">
        <f t="shared" si="38"/>
        <v>#DIV/0!</v>
      </c>
      <c r="AI206" s="127" t="e">
        <f t="shared" si="39"/>
        <v>#DIV/0!</v>
      </c>
    </row>
    <row r="207" ht="15.5" customHeight="1" spans="1:35">
      <c r="A207" s="63"/>
      <c r="B207" s="56"/>
      <c r="C207" s="56"/>
      <c r="D207" s="59"/>
      <c r="E207" s="63"/>
      <c r="F207" s="24"/>
      <c r="G207" s="63"/>
      <c r="H207" s="21"/>
      <c r="I207" s="23"/>
      <c r="J207" s="121"/>
      <c r="K207" s="121"/>
      <c r="L207" s="26"/>
      <c r="M207" s="26"/>
      <c r="N207" s="26"/>
      <c r="O207" s="26"/>
      <c r="P207" s="26"/>
      <c r="Q207" s="26"/>
      <c r="R207" s="26"/>
      <c r="S207" s="23"/>
      <c r="T207" s="26"/>
      <c r="U207" s="26" t="str">
        <f t="shared" si="30"/>
        <v/>
      </c>
      <c r="V207" s="27"/>
      <c r="W207" s="122"/>
      <c r="X207" s="123">
        <f t="shared" si="31"/>
        <v>0</v>
      </c>
      <c r="Y207" s="124" t="e">
        <f t="shared" si="32"/>
        <v>#DIV/0!</v>
      </c>
      <c r="Z207" s="124"/>
      <c r="AA207" s="124" t="e">
        <f t="shared" si="33"/>
        <v>#DIV/0!</v>
      </c>
      <c r="AB207" s="125" t="e">
        <f t="shared" si="34"/>
        <v>#DIV/0!</v>
      </c>
      <c r="AC207" s="31" t="e">
        <f t="shared" si="35"/>
        <v>#DIV/0!</v>
      </c>
      <c r="AD207" s="126"/>
      <c r="AE207" s="127"/>
      <c r="AF207" s="127" t="e">
        <f t="shared" si="36"/>
        <v>#DIV/0!</v>
      </c>
      <c r="AG207" s="128" t="e">
        <f t="shared" si="37"/>
        <v>#DIV/0!</v>
      </c>
      <c r="AH207" s="128" t="e">
        <f t="shared" si="38"/>
        <v>#DIV/0!</v>
      </c>
      <c r="AI207" s="127" t="e">
        <f t="shared" si="39"/>
        <v>#DIV/0!</v>
      </c>
    </row>
    <row r="208" ht="15.5" customHeight="1" spans="1:35">
      <c r="A208" s="63"/>
      <c r="B208" s="56"/>
      <c r="C208" s="56"/>
      <c r="D208" s="59"/>
      <c r="E208" s="63"/>
      <c r="F208" s="24"/>
      <c r="G208" s="63"/>
      <c r="H208" s="21"/>
      <c r="I208" s="23"/>
      <c r="J208" s="121"/>
      <c r="K208" s="121"/>
      <c r="L208" s="26"/>
      <c r="M208" s="26"/>
      <c r="N208" s="26"/>
      <c r="O208" s="26"/>
      <c r="P208" s="26"/>
      <c r="Q208" s="26"/>
      <c r="R208" s="26"/>
      <c r="S208" s="23"/>
      <c r="T208" s="26"/>
      <c r="U208" s="26" t="str">
        <f t="shared" si="30"/>
        <v/>
      </c>
      <c r="V208" s="27"/>
      <c r="W208" s="122"/>
      <c r="X208" s="123">
        <f t="shared" si="31"/>
        <v>0</v>
      </c>
      <c r="Y208" s="124" t="e">
        <f t="shared" si="32"/>
        <v>#DIV/0!</v>
      </c>
      <c r="Z208" s="124"/>
      <c r="AA208" s="124" t="e">
        <f t="shared" si="33"/>
        <v>#DIV/0!</v>
      </c>
      <c r="AB208" s="125" t="e">
        <f t="shared" si="34"/>
        <v>#DIV/0!</v>
      </c>
      <c r="AC208" s="31" t="e">
        <f t="shared" si="35"/>
        <v>#DIV/0!</v>
      </c>
      <c r="AD208" s="126"/>
      <c r="AE208" s="127"/>
      <c r="AF208" s="127" t="e">
        <f t="shared" si="36"/>
        <v>#DIV/0!</v>
      </c>
      <c r="AG208" s="128" t="e">
        <f t="shared" si="37"/>
        <v>#DIV/0!</v>
      </c>
      <c r="AH208" s="128" t="e">
        <f t="shared" si="38"/>
        <v>#DIV/0!</v>
      </c>
      <c r="AI208" s="127" t="e">
        <f t="shared" si="39"/>
        <v>#DIV/0!</v>
      </c>
    </row>
    <row r="209" ht="15.5" customHeight="1" spans="1:35">
      <c r="A209" s="63"/>
      <c r="B209" s="56"/>
      <c r="C209" s="56"/>
      <c r="D209" s="59"/>
      <c r="E209" s="63"/>
      <c r="F209" s="24"/>
      <c r="G209" s="63"/>
      <c r="H209" s="21"/>
      <c r="I209" s="23"/>
      <c r="J209" s="121"/>
      <c r="K209" s="121"/>
      <c r="L209" s="26"/>
      <c r="M209" s="26"/>
      <c r="N209" s="26"/>
      <c r="O209" s="26"/>
      <c r="P209" s="26"/>
      <c r="Q209" s="26"/>
      <c r="R209" s="26"/>
      <c r="S209" s="23"/>
      <c r="T209" s="26"/>
      <c r="U209" s="26" t="str">
        <f t="shared" si="30"/>
        <v/>
      </c>
      <c r="V209" s="27"/>
      <c r="W209" s="122"/>
      <c r="X209" s="123">
        <f t="shared" si="31"/>
        <v>0</v>
      </c>
      <c r="Y209" s="124" t="e">
        <f t="shared" si="32"/>
        <v>#DIV/0!</v>
      </c>
      <c r="Z209" s="124"/>
      <c r="AA209" s="124" t="e">
        <f t="shared" si="33"/>
        <v>#DIV/0!</v>
      </c>
      <c r="AB209" s="125" t="e">
        <f t="shared" si="34"/>
        <v>#DIV/0!</v>
      </c>
      <c r="AC209" s="31" t="e">
        <f t="shared" si="35"/>
        <v>#DIV/0!</v>
      </c>
      <c r="AD209" s="126"/>
      <c r="AE209" s="127"/>
      <c r="AF209" s="127" t="e">
        <f t="shared" si="36"/>
        <v>#DIV/0!</v>
      </c>
      <c r="AG209" s="128" t="e">
        <f t="shared" si="37"/>
        <v>#DIV/0!</v>
      </c>
      <c r="AH209" s="128" t="e">
        <f t="shared" si="38"/>
        <v>#DIV/0!</v>
      </c>
      <c r="AI209" s="127" t="e">
        <f t="shared" si="39"/>
        <v>#DIV/0!</v>
      </c>
    </row>
    <row r="210" ht="15.5" customHeight="1" spans="1:35">
      <c r="A210" s="63"/>
      <c r="B210" s="56"/>
      <c r="C210" s="56"/>
      <c r="D210" s="59"/>
      <c r="E210" s="63"/>
      <c r="F210" s="24"/>
      <c r="G210" s="63"/>
      <c r="H210" s="21"/>
      <c r="I210" s="23"/>
      <c r="J210" s="121"/>
      <c r="K210" s="121"/>
      <c r="L210" s="26"/>
      <c r="M210" s="26"/>
      <c r="N210" s="26"/>
      <c r="O210" s="26"/>
      <c r="P210" s="26"/>
      <c r="Q210" s="26"/>
      <c r="R210" s="26"/>
      <c r="S210" s="23"/>
      <c r="T210" s="26"/>
      <c r="U210" s="26" t="str">
        <f t="shared" si="30"/>
        <v/>
      </c>
      <c r="V210" s="27"/>
      <c r="W210" s="122"/>
      <c r="X210" s="123">
        <f t="shared" si="31"/>
        <v>0</v>
      </c>
      <c r="Y210" s="124" t="e">
        <f t="shared" si="32"/>
        <v>#DIV/0!</v>
      </c>
      <c r="Z210" s="124"/>
      <c r="AA210" s="124" t="e">
        <f t="shared" si="33"/>
        <v>#DIV/0!</v>
      </c>
      <c r="AB210" s="125" t="e">
        <f t="shared" si="34"/>
        <v>#DIV/0!</v>
      </c>
      <c r="AC210" s="31" t="e">
        <f t="shared" si="35"/>
        <v>#DIV/0!</v>
      </c>
      <c r="AD210" s="126"/>
      <c r="AE210" s="127"/>
      <c r="AF210" s="127" t="e">
        <f t="shared" si="36"/>
        <v>#DIV/0!</v>
      </c>
      <c r="AG210" s="128" t="e">
        <f t="shared" si="37"/>
        <v>#DIV/0!</v>
      </c>
      <c r="AH210" s="128" t="e">
        <f t="shared" si="38"/>
        <v>#DIV/0!</v>
      </c>
      <c r="AI210" s="127" t="e">
        <f t="shared" si="39"/>
        <v>#DIV/0!</v>
      </c>
    </row>
    <row r="211" ht="15.5" customHeight="1" spans="1:35">
      <c r="A211" s="63"/>
      <c r="B211" s="56"/>
      <c r="C211" s="56"/>
      <c r="D211" s="59"/>
      <c r="E211" s="63"/>
      <c r="F211" s="24"/>
      <c r="G211" s="63"/>
      <c r="H211" s="21"/>
      <c r="I211" s="23"/>
      <c r="J211" s="121"/>
      <c r="K211" s="121"/>
      <c r="L211" s="26"/>
      <c r="M211" s="26"/>
      <c r="N211" s="26"/>
      <c r="O211" s="26"/>
      <c r="P211" s="26"/>
      <c r="Q211" s="26"/>
      <c r="R211" s="26"/>
      <c r="S211" s="23"/>
      <c r="T211" s="26"/>
      <c r="U211" s="26" t="str">
        <f t="shared" si="30"/>
        <v/>
      </c>
      <c r="V211" s="27"/>
      <c r="W211" s="122"/>
      <c r="X211" s="123">
        <f t="shared" si="31"/>
        <v>0</v>
      </c>
      <c r="Y211" s="124" t="e">
        <f t="shared" si="32"/>
        <v>#DIV/0!</v>
      </c>
      <c r="Z211" s="124"/>
      <c r="AA211" s="124" t="e">
        <f t="shared" si="33"/>
        <v>#DIV/0!</v>
      </c>
      <c r="AB211" s="125" t="e">
        <f t="shared" si="34"/>
        <v>#DIV/0!</v>
      </c>
      <c r="AC211" s="31" t="e">
        <f t="shared" si="35"/>
        <v>#DIV/0!</v>
      </c>
      <c r="AD211" s="126"/>
      <c r="AE211" s="127"/>
      <c r="AF211" s="127" t="e">
        <f t="shared" si="36"/>
        <v>#DIV/0!</v>
      </c>
      <c r="AG211" s="128" t="e">
        <f t="shared" si="37"/>
        <v>#DIV/0!</v>
      </c>
      <c r="AH211" s="128" t="e">
        <f t="shared" si="38"/>
        <v>#DIV/0!</v>
      </c>
      <c r="AI211" s="127" t="e">
        <f t="shared" si="39"/>
        <v>#DIV/0!</v>
      </c>
    </row>
    <row r="212" ht="15.5" customHeight="1" spans="1:35">
      <c r="A212" s="63"/>
      <c r="B212" s="56"/>
      <c r="C212" s="56"/>
      <c r="D212" s="59"/>
      <c r="E212" s="63"/>
      <c r="F212" s="24"/>
      <c r="G212" s="63"/>
      <c r="H212" s="21"/>
      <c r="I212" s="23"/>
      <c r="J212" s="121"/>
      <c r="K212" s="121"/>
      <c r="L212" s="26"/>
      <c r="M212" s="26"/>
      <c r="N212" s="26"/>
      <c r="O212" s="26"/>
      <c r="P212" s="26"/>
      <c r="Q212" s="26"/>
      <c r="R212" s="26"/>
      <c r="S212" s="23"/>
      <c r="T212" s="26"/>
      <c r="U212" s="26" t="str">
        <f t="shared" si="30"/>
        <v/>
      </c>
      <c r="V212" s="27"/>
      <c r="W212" s="122"/>
      <c r="X212" s="123">
        <f t="shared" si="31"/>
        <v>0</v>
      </c>
      <c r="Y212" s="124" t="e">
        <f t="shared" si="32"/>
        <v>#DIV/0!</v>
      </c>
      <c r="Z212" s="124"/>
      <c r="AA212" s="124" t="e">
        <f t="shared" si="33"/>
        <v>#DIV/0!</v>
      </c>
      <c r="AB212" s="125" t="e">
        <f t="shared" si="34"/>
        <v>#DIV/0!</v>
      </c>
      <c r="AC212" s="31" t="e">
        <f t="shared" si="35"/>
        <v>#DIV/0!</v>
      </c>
      <c r="AD212" s="126"/>
      <c r="AE212" s="127"/>
      <c r="AF212" s="127" t="e">
        <f t="shared" si="36"/>
        <v>#DIV/0!</v>
      </c>
      <c r="AG212" s="128" t="e">
        <f t="shared" si="37"/>
        <v>#DIV/0!</v>
      </c>
      <c r="AH212" s="128" t="e">
        <f t="shared" si="38"/>
        <v>#DIV/0!</v>
      </c>
      <c r="AI212" s="127" t="e">
        <f t="shared" si="39"/>
        <v>#DIV/0!</v>
      </c>
    </row>
    <row r="213" ht="15.5" customHeight="1" spans="1:35">
      <c r="A213" s="63"/>
      <c r="B213" s="56"/>
      <c r="C213" s="56"/>
      <c r="D213" s="59"/>
      <c r="E213" s="63"/>
      <c r="F213" s="24"/>
      <c r="G213" s="63"/>
      <c r="H213" s="21"/>
      <c r="I213" s="23"/>
      <c r="J213" s="121"/>
      <c r="K213" s="121"/>
      <c r="L213" s="26"/>
      <c r="M213" s="26"/>
      <c r="N213" s="26"/>
      <c r="O213" s="26"/>
      <c r="P213" s="26"/>
      <c r="Q213" s="26"/>
      <c r="R213" s="26"/>
      <c r="S213" s="23"/>
      <c r="T213" s="26"/>
      <c r="U213" s="26" t="str">
        <f t="shared" si="30"/>
        <v/>
      </c>
      <c r="V213" s="27"/>
      <c r="W213" s="122"/>
      <c r="X213" s="123">
        <f t="shared" si="31"/>
        <v>0</v>
      </c>
      <c r="Y213" s="124" t="e">
        <f t="shared" si="32"/>
        <v>#DIV/0!</v>
      </c>
      <c r="Z213" s="124"/>
      <c r="AA213" s="124" t="e">
        <f t="shared" si="33"/>
        <v>#DIV/0!</v>
      </c>
      <c r="AB213" s="125" t="e">
        <f t="shared" si="34"/>
        <v>#DIV/0!</v>
      </c>
      <c r="AC213" s="31" t="e">
        <f t="shared" si="35"/>
        <v>#DIV/0!</v>
      </c>
      <c r="AD213" s="126"/>
      <c r="AE213" s="127"/>
      <c r="AF213" s="127" t="e">
        <f t="shared" si="36"/>
        <v>#DIV/0!</v>
      </c>
      <c r="AG213" s="128" t="e">
        <f t="shared" si="37"/>
        <v>#DIV/0!</v>
      </c>
      <c r="AH213" s="128" t="e">
        <f t="shared" si="38"/>
        <v>#DIV/0!</v>
      </c>
      <c r="AI213" s="127" t="e">
        <f t="shared" si="39"/>
        <v>#DIV/0!</v>
      </c>
    </row>
    <row r="214" ht="15.5" customHeight="1" spans="1:35">
      <c r="A214" s="63"/>
      <c r="B214" s="56"/>
      <c r="C214" s="56"/>
      <c r="D214" s="59"/>
      <c r="E214" s="63"/>
      <c r="F214" s="24"/>
      <c r="G214" s="63"/>
      <c r="H214" s="21"/>
      <c r="I214" s="23"/>
      <c r="J214" s="121"/>
      <c r="K214" s="121"/>
      <c r="L214" s="26"/>
      <c r="M214" s="26"/>
      <c r="N214" s="26"/>
      <c r="O214" s="26"/>
      <c r="P214" s="26"/>
      <c r="Q214" s="26"/>
      <c r="R214" s="26"/>
      <c r="S214" s="23"/>
      <c r="T214" s="26"/>
      <c r="U214" s="26" t="str">
        <f t="shared" si="30"/>
        <v/>
      </c>
      <c r="V214" s="27"/>
      <c r="W214" s="122"/>
      <c r="X214" s="123">
        <f t="shared" si="31"/>
        <v>0</v>
      </c>
      <c r="Y214" s="124" t="e">
        <f t="shared" si="32"/>
        <v>#DIV/0!</v>
      </c>
      <c r="Z214" s="124"/>
      <c r="AA214" s="124" t="e">
        <f t="shared" si="33"/>
        <v>#DIV/0!</v>
      </c>
      <c r="AB214" s="125" t="e">
        <f t="shared" si="34"/>
        <v>#DIV/0!</v>
      </c>
      <c r="AC214" s="31" t="e">
        <f t="shared" si="35"/>
        <v>#DIV/0!</v>
      </c>
      <c r="AD214" s="126"/>
      <c r="AE214" s="127"/>
      <c r="AF214" s="127" t="e">
        <f t="shared" si="36"/>
        <v>#DIV/0!</v>
      </c>
      <c r="AG214" s="128" t="e">
        <f t="shared" si="37"/>
        <v>#DIV/0!</v>
      </c>
      <c r="AH214" s="128" t="e">
        <f t="shared" si="38"/>
        <v>#DIV/0!</v>
      </c>
      <c r="AI214" s="127" t="e">
        <f t="shared" si="39"/>
        <v>#DIV/0!</v>
      </c>
    </row>
    <row r="215" ht="15.5" customHeight="1" spans="1:35">
      <c r="A215" s="63"/>
      <c r="B215" s="56"/>
      <c r="C215" s="56"/>
      <c r="D215" s="59"/>
      <c r="E215" s="63"/>
      <c r="F215" s="24"/>
      <c r="G215" s="63"/>
      <c r="H215" s="21"/>
      <c r="I215" s="23"/>
      <c r="J215" s="121"/>
      <c r="K215" s="121"/>
      <c r="L215" s="26"/>
      <c r="M215" s="26"/>
      <c r="N215" s="26"/>
      <c r="O215" s="26"/>
      <c r="P215" s="26"/>
      <c r="Q215" s="26"/>
      <c r="R215" s="26"/>
      <c r="S215" s="23"/>
      <c r="T215" s="26"/>
      <c r="U215" s="26" t="str">
        <f t="shared" si="30"/>
        <v/>
      </c>
      <c r="V215" s="27"/>
      <c r="W215" s="122"/>
      <c r="X215" s="123">
        <f t="shared" si="31"/>
        <v>0</v>
      </c>
      <c r="Y215" s="124" t="e">
        <f t="shared" si="32"/>
        <v>#DIV/0!</v>
      </c>
      <c r="Z215" s="124"/>
      <c r="AA215" s="124" t="e">
        <f t="shared" si="33"/>
        <v>#DIV/0!</v>
      </c>
      <c r="AB215" s="125" t="e">
        <f t="shared" si="34"/>
        <v>#DIV/0!</v>
      </c>
      <c r="AC215" s="31" t="e">
        <f t="shared" si="35"/>
        <v>#DIV/0!</v>
      </c>
      <c r="AD215" s="126"/>
      <c r="AE215" s="127"/>
      <c r="AF215" s="127" t="e">
        <f t="shared" si="36"/>
        <v>#DIV/0!</v>
      </c>
      <c r="AG215" s="128" t="e">
        <f t="shared" si="37"/>
        <v>#DIV/0!</v>
      </c>
      <c r="AH215" s="128" t="e">
        <f t="shared" si="38"/>
        <v>#DIV/0!</v>
      </c>
      <c r="AI215" s="127" t="e">
        <f t="shared" si="39"/>
        <v>#DIV/0!</v>
      </c>
    </row>
    <row r="216" ht="15.5" customHeight="1" spans="1:35">
      <c r="A216" s="63"/>
      <c r="B216" s="56"/>
      <c r="C216" s="56"/>
      <c r="D216" s="59"/>
      <c r="E216" s="63"/>
      <c r="F216" s="24"/>
      <c r="G216" s="63"/>
      <c r="H216" s="21"/>
      <c r="I216" s="23"/>
      <c r="J216" s="121"/>
      <c r="K216" s="121"/>
      <c r="L216" s="26"/>
      <c r="M216" s="26"/>
      <c r="N216" s="26"/>
      <c r="O216" s="26"/>
      <c r="P216" s="26"/>
      <c r="Q216" s="26"/>
      <c r="R216" s="26"/>
      <c r="S216" s="23"/>
      <c r="T216" s="26"/>
      <c r="U216" s="26" t="str">
        <f t="shared" si="30"/>
        <v/>
      </c>
      <c r="V216" s="27"/>
      <c r="W216" s="122"/>
      <c r="X216" s="123">
        <f t="shared" si="31"/>
        <v>0</v>
      </c>
      <c r="Y216" s="124" t="e">
        <f t="shared" si="32"/>
        <v>#DIV/0!</v>
      </c>
      <c r="Z216" s="124"/>
      <c r="AA216" s="124" t="e">
        <f t="shared" si="33"/>
        <v>#DIV/0!</v>
      </c>
      <c r="AB216" s="125" t="e">
        <f t="shared" si="34"/>
        <v>#DIV/0!</v>
      </c>
      <c r="AC216" s="31" t="e">
        <f t="shared" si="35"/>
        <v>#DIV/0!</v>
      </c>
      <c r="AD216" s="126"/>
      <c r="AE216" s="127"/>
      <c r="AF216" s="127" t="e">
        <f t="shared" si="36"/>
        <v>#DIV/0!</v>
      </c>
      <c r="AG216" s="128" t="e">
        <f t="shared" si="37"/>
        <v>#DIV/0!</v>
      </c>
      <c r="AH216" s="128" t="e">
        <f t="shared" si="38"/>
        <v>#DIV/0!</v>
      </c>
      <c r="AI216" s="127" t="e">
        <f t="shared" si="39"/>
        <v>#DIV/0!</v>
      </c>
    </row>
    <row r="217" ht="15.5" customHeight="1" spans="1:35">
      <c r="A217" s="63"/>
      <c r="B217" s="56"/>
      <c r="C217" s="56"/>
      <c r="D217" s="59"/>
      <c r="E217" s="63"/>
      <c r="F217" s="24"/>
      <c r="G217" s="63"/>
      <c r="H217" s="21"/>
      <c r="I217" s="23"/>
      <c r="J217" s="121"/>
      <c r="K217" s="121"/>
      <c r="L217" s="26"/>
      <c r="M217" s="26"/>
      <c r="N217" s="26"/>
      <c r="O217" s="26"/>
      <c r="P217" s="26"/>
      <c r="Q217" s="26"/>
      <c r="R217" s="26"/>
      <c r="S217" s="23"/>
      <c r="T217" s="26"/>
      <c r="U217" s="26" t="str">
        <f t="shared" si="30"/>
        <v/>
      </c>
      <c r="V217" s="27"/>
      <c r="W217" s="122"/>
      <c r="X217" s="123">
        <f t="shared" si="31"/>
        <v>0</v>
      </c>
      <c r="Y217" s="124" t="e">
        <f t="shared" si="32"/>
        <v>#DIV/0!</v>
      </c>
      <c r="Z217" s="124"/>
      <c r="AA217" s="124" t="e">
        <f t="shared" si="33"/>
        <v>#DIV/0!</v>
      </c>
      <c r="AB217" s="125" t="e">
        <f t="shared" si="34"/>
        <v>#DIV/0!</v>
      </c>
      <c r="AC217" s="31" t="e">
        <f t="shared" si="35"/>
        <v>#DIV/0!</v>
      </c>
      <c r="AD217" s="126"/>
      <c r="AE217" s="127"/>
      <c r="AF217" s="127" t="e">
        <f t="shared" si="36"/>
        <v>#DIV/0!</v>
      </c>
      <c r="AG217" s="128" t="e">
        <f t="shared" si="37"/>
        <v>#DIV/0!</v>
      </c>
      <c r="AH217" s="128" t="e">
        <f t="shared" si="38"/>
        <v>#DIV/0!</v>
      </c>
      <c r="AI217" s="127" t="e">
        <f t="shared" si="39"/>
        <v>#DIV/0!</v>
      </c>
    </row>
    <row r="218" ht="15.5" customHeight="1" spans="1:35">
      <c r="A218" s="63"/>
      <c r="B218" s="56"/>
      <c r="C218" s="56"/>
      <c r="D218" s="59"/>
      <c r="E218" s="63"/>
      <c r="F218" s="24"/>
      <c r="G218" s="63"/>
      <c r="H218" s="21"/>
      <c r="I218" s="23"/>
      <c r="J218" s="121"/>
      <c r="K218" s="121"/>
      <c r="L218" s="26"/>
      <c r="M218" s="26"/>
      <c r="N218" s="26"/>
      <c r="O218" s="26"/>
      <c r="P218" s="26"/>
      <c r="Q218" s="26"/>
      <c r="R218" s="26"/>
      <c r="S218" s="23"/>
      <c r="T218" s="26"/>
      <c r="U218" s="26" t="str">
        <f t="shared" si="30"/>
        <v/>
      </c>
      <c r="V218" s="27"/>
      <c r="W218" s="122"/>
      <c r="X218" s="123">
        <f t="shared" si="31"/>
        <v>0</v>
      </c>
      <c r="Y218" s="124" t="e">
        <f t="shared" si="32"/>
        <v>#DIV/0!</v>
      </c>
      <c r="Z218" s="124"/>
      <c r="AA218" s="124" t="e">
        <f t="shared" si="33"/>
        <v>#DIV/0!</v>
      </c>
      <c r="AB218" s="125" t="e">
        <f t="shared" si="34"/>
        <v>#DIV/0!</v>
      </c>
      <c r="AC218" s="31" t="e">
        <f t="shared" si="35"/>
        <v>#DIV/0!</v>
      </c>
      <c r="AD218" s="126"/>
      <c r="AE218" s="127"/>
      <c r="AF218" s="127" t="e">
        <f t="shared" si="36"/>
        <v>#DIV/0!</v>
      </c>
      <c r="AG218" s="128" t="e">
        <f t="shared" si="37"/>
        <v>#DIV/0!</v>
      </c>
      <c r="AH218" s="128" t="e">
        <f t="shared" si="38"/>
        <v>#DIV/0!</v>
      </c>
      <c r="AI218" s="127" t="e">
        <f t="shared" si="39"/>
        <v>#DIV/0!</v>
      </c>
    </row>
    <row r="219" ht="15.5" customHeight="1" spans="1:35">
      <c r="A219" s="63"/>
      <c r="B219" s="56"/>
      <c r="C219" s="56"/>
      <c r="D219" s="59"/>
      <c r="E219" s="63"/>
      <c r="F219" s="24"/>
      <c r="G219" s="63"/>
      <c r="H219" s="21"/>
      <c r="I219" s="23"/>
      <c r="J219" s="121"/>
      <c r="K219" s="121"/>
      <c r="L219" s="26"/>
      <c r="M219" s="26"/>
      <c r="N219" s="26"/>
      <c r="O219" s="26"/>
      <c r="P219" s="26"/>
      <c r="Q219" s="26"/>
      <c r="R219" s="26"/>
      <c r="S219" s="23"/>
      <c r="T219" s="26"/>
      <c r="U219" s="26" t="str">
        <f t="shared" si="30"/>
        <v/>
      </c>
      <c r="V219" s="27"/>
      <c r="W219" s="122"/>
      <c r="X219" s="123">
        <f t="shared" si="31"/>
        <v>0</v>
      </c>
      <c r="Y219" s="124" t="e">
        <f t="shared" si="32"/>
        <v>#DIV/0!</v>
      </c>
      <c r="Z219" s="124"/>
      <c r="AA219" s="124" t="e">
        <f t="shared" si="33"/>
        <v>#DIV/0!</v>
      </c>
      <c r="AB219" s="125" t="e">
        <f t="shared" si="34"/>
        <v>#DIV/0!</v>
      </c>
      <c r="AC219" s="31" t="e">
        <f t="shared" si="35"/>
        <v>#DIV/0!</v>
      </c>
      <c r="AD219" s="126"/>
      <c r="AE219" s="127"/>
      <c r="AF219" s="127" t="e">
        <f t="shared" si="36"/>
        <v>#DIV/0!</v>
      </c>
      <c r="AG219" s="128" t="e">
        <f t="shared" si="37"/>
        <v>#DIV/0!</v>
      </c>
      <c r="AH219" s="128" t="e">
        <f t="shared" si="38"/>
        <v>#DIV/0!</v>
      </c>
      <c r="AI219" s="127" t="e">
        <f t="shared" si="39"/>
        <v>#DIV/0!</v>
      </c>
    </row>
    <row r="220" ht="15.5" customHeight="1" spans="1:35">
      <c r="A220" s="63"/>
      <c r="B220" s="56"/>
      <c r="C220" s="56"/>
      <c r="D220" s="59"/>
      <c r="E220" s="63"/>
      <c r="F220" s="24"/>
      <c r="G220" s="63"/>
      <c r="H220" s="21"/>
      <c r="I220" s="23"/>
      <c r="J220" s="121"/>
      <c r="K220" s="121"/>
      <c r="L220" s="26"/>
      <c r="M220" s="26"/>
      <c r="N220" s="26"/>
      <c r="O220" s="26"/>
      <c r="P220" s="26"/>
      <c r="Q220" s="26"/>
      <c r="R220" s="26"/>
      <c r="S220" s="23"/>
      <c r="T220" s="26"/>
      <c r="U220" s="26" t="str">
        <f t="shared" si="30"/>
        <v/>
      </c>
      <c r="V220" s="27"/>
      <c r="W220" s="122"/>
      <c r="X220" s="123">
        <f t="shared" si="31"/>
        <v>0</v>
      </c>
      <c r="Y220" s="124" t="e">
        <f t="shared" si="32"/>
        <v>#DIV/0!</v>
      </c>
      <c r="Z220" s="124"/>
      <c r="AA220" s="124" t="e">
        <f t="shared" si="33"/>
        <v>#DIV/0!</v>
      </c>
      <c r="AB220" s="125" t="e">
        <f t="shared" si="34"/>
        <v>#DIV/0!</v>
      </c>
      <c r="AC220" s="31" t="e">
        <f t="shared" si="35"/>
        <v>#DIV/0!</v>
      </c>
      <c r="AD220" s="126"/>
      <c r="AE220" s="127"/>
      <c r="AF220" s="127" t="e">
        <f t="shared" si="36"/>
        <v>#DIV/0!</v>
      </c>
      <c r="AG220" s="128" t="e">
        <f t="shared" si="37"/>
        <v>#DIV/0!</v>
      </c>
      <c r="AH220" s="128" t="e">
        <f t="shared" si="38"/>
        <v>#DIV/0!</v>
      </c>
      <c r="AI220" s="127" t="e">
        <f t="shared" si="39"/>
        <v>#DIV/0!</v>
      </c>
    </row>
    <row r="221" ht="15.5" customHeight="1" spans="1:35">
      <c r="A221" s="63"/>
      <c r="B221" s="56"/>
      <c r="C221" s="56"/>
      <c r="D221" s="59"/>
      <c r="E221" s="63"/>
      <c r="F221" s="24"/>
      <c r="G221" s="63"/>
      <c r="H221" s="21"/>
      <c r="I221" s="23"/>
      <c r="J221" s="121"/>
      <c r="K221" s="121"/>
      <c r="L221" s="26"/>
      <c r="M221" s="26"/>
      <c r="N221" s="26"/>
      <c r="O221" s="26"/>
      <c r="P221" s="26"/>
      <c r="Q221" s="26"/>
      <c r="R221" s="26"/>
      <c r="S221" s="23"/>
      <c r="T221" s="26"/>
      <c r="U221" s="26" t="str">
        <f t="shared" si="30"/>
        <v/>
      </c>
      <c r="V221" s="27"/>
      <c r="W221" s="122"/>
      <c r="X221" s="123">
        <f t="shared" si="31"/>
        <v>0</v>
      </c>
      <c r="Y221" s="124" t="e">
        <f t="shared" si="32"/>
        <v>#DIV/0!</v>
      </c>
      <c r="Z221" s="124"/>
      <c r="AA221" s="124" t="e">
        <f t="shared" si="33"/>
        <v>#DIV/0!</v>
      </c>
      <c r="AB221" s="125" t="e">
        <f t="shared" si="34"/>
        <v>#DIV/0!</v>
      </c>
      <c r="AC221" s="31" t="e">
        <f t="shared" si="35"/>
        <v>#DIV/0!</v>
      </c>
      <c r="AD221" s="126"/>
      <c r="AE221" s="127"/>
      <c r="AF221" s="127" t="e">
        <f t="shared" si="36"/>
        <v>#DIV/0!</v>
      </c>
      <c r="AG221" s="128" t="e">
        <f t="shared" si="37"/>
        <v>#DIV/0!</v>
      </c>
      <c r="AH221" s="128" t="e">
        <f t="shared" si="38"/>
        <v>#DIV/0!</v>
      </c>
      <c r="AI221" s="127" t="e">
        <f t="shared" si="39"/>
        <v>#DIV/0!</v>
      </c>
    </row>
    <row r="222" ht="15.5" customHeight="1" spans="1:35">
      <c r="A222" s="63"/>
      <c r="B222" s="56"/>
      <c r="C222" s="56"/>
      <c r="D222" s="59"/>
      <c r="E222" s="63"/>
      <c r="F222" s="24"/>
      <c r="G222" s="63"/>
      <c r="H222" s="21"/>
      <c r="I222" s="23"/>
      <c r="J222" s="121"/>
      <c r="K222" s="121"/>
      <c r="L222" s="26"/>
      <c r="M222" s="26"/>
      <c r="N222" s="26"/>
      <c r="O222" s="26"/>
      <c r="P222" s="26"/>
      <c r="Q222" s="26"/>
      <c r="R222" s="26"/>
      <c r="S222" s="23"/>
      <c r="T222" s="26"/>
      <c r="U222" s="26" t="str">
        <f t="shared" si="30"/>
        <v/>
      </c>
      <c r="V222" s="27"/>
      <c r="W222" s="122"/>
      <c r="X222" s="123">
        <f t="shared" si="31"/>
        <v>0</v>
      </c>
      <c r="Y222" s="124" t="e">
        <f t="shared" si="32"/>
        <v>#DIV/0!</v>
      </c>
      <c r="Z222" s="124"/>
      <c r="AA222" s="124" t="e">
        <f t="shared" si="33"/>
        <v>#DIV/0!</v>
      </c>
      <c r="AB222" s="125" t="e">
        <f t="shared" si="34"/>
        <v>#DIV/0!</v>
      </c>
      <c r="AC222" s="31" t="e">
        <f t="shared" si="35"/>
        <v>#DIV/0!</v>
      </c>
      <c r="AD222" s="126"/>
      <c r="AE222" s="127"/>
      <c r="AF222" s="127" t="e">
        <f t="shared" si="36"/>
        <v>#DIV/0!</v>
      </c>
      <c r="AG222" s="128" t="e">
        <f t="shared" si="37"/>
        <v>#DIV/0!</v>
      </c>
      <c r="AH222" s="128" t="e">
        <f t="shared" si="38"/>
        <v>#DIV/0!</v>
      </c>
      <c r="AI222" s="127" t="e">
        <f t="shared" si="39"/>
        <v>#DIV/0!</v>
      </c>
    </row>
    <row r="223" ht="15.5" customHeight="1" spans="1:35">
      <c r="A223" s="63"/>
      <c r="B223" s="56"/>
      <c r="C223" s="56"/>
      <c r="D223" s="59"/>
      <c r="E223" s="63"/>
      <c r="F223" s="24"/>
      <c r="G223" s="63"/>
      <c r="H223" s="21"/>
      <c r="I223" s="23"/>
      <c r="J223" s="121"/>
      <c r="K223" s="121"/>
      <c r="L223" s="26"/>
      <c r="M223" s="26"/>
      <c r="N223" s="26"/>
      <c r="O223" s="26"/>
      <c r="P223" s="26"/>
      <c r="Q223" s="26"/>
      <c r="R223" s="26"/>
      <c r="S223" s="23"/>
      <c r="T223" s="26"/>
      <c r="U223" s="26" t="str">
        <f t="shared" si="30"/>
        <v/>
      </c>
      <c r="V223" s="27"/>
      <c r="W223" s="122"/>
      <c r="X223" s="123">
        <f t="shared" si="31"/>
        <v>0</v>
      </c>
      <c r="Y223" s="124" t="e">
        <f t="shared" si="32"/>
        <v>#DIV/0!</v>
      </c>
      <c r="Z223" s="124"/>
      <c r="AA223" s="124" t="e">
        <f t="shared" si="33"/>
        <v>#DIV/0!</v>
      </c>
      <c r="AB223" s="125" t="e">
        <f t="shared" si="34"/>
        <v>#DIV/0!</v>
      </c>
      <c r="AC223" s="31" t="e">
        <f t="shared" si="35"/>
        <v>#DIV/0!</v>
      </c>
      <c r="AD223" s="126"/>
      <c r="AE223" s="127"/>
      <c r="AF223" s="127" t="e">
        <f t="shared" si="36"/>
        <v>#DIV/0!</v>
      </c>
      <c r="AG223" s="128" t="e">
        <f t="shared" si="37"/>
        <v>#DIV/0!</v>
      </c>
      <c r="AH223" s="128" t="e">
        <f t="shared" si="38"/>
        <v>#DIV/0!</v>
      </c>
      <c r="AI223" s="127" t="e">
        <f t="shared" si="39"/>
        <v>#DIV/0!</v>
      </c>
    </row>
    <row r="224" ht="15.5" customHeight="1" spans="1:35">
      <c r="A224" s="63"/>
      <c r="B224" s="56"/>
      <c r="C224" s="56"/>
      <c r="D224" s="59"/>
      <c r="E224" s="63"/>
      <c r="F224" s="24"/>
      <c r="G224" s="63"/>
      <c r="H224" s="21"/>
      <c r="I224" s="23"/>
      <c r="J224" s="121"/>
      <c r="K224" s="121"/>
      <c r="L224" s="26"/>
      <c r="M224" s="26"/>
      <c r="N224" s="26"/>
      <c r="O224" s="26"/>
      <c r="P224" s="26"/>
      <c r="Q224" s="26"/>
      <c r="R224" s="26"/>
      <c r="S224" s="23"/>
      <c r="T224" s="26"/>
      <c r="U224" s="26" t="str">
        <f t="shared" si="30"/>
        <v/>
      </c>
      <c r="V224" s="27"/>
      <c r="W224" s="122"/>
      <c r="X224" s="123">
        <f t="shared" si="31"/>
        <v>0</v>
      </c>
      <c r="Y224" s="124" t="e">
        <f t="shared" si="32"/>
        <v>#DIV/0!</v>
      </c>
      <c r="Z224" s="124"/>
      <c r="AA224" s="124" t="e">
        <f t="shared" si="33"/>
        <v>#DIV/0!</v>
      </c>
      <c r="AB224" s="125" t="e">
        <f t="shared" si="34"/>
        <v>#DIV/0!</v>
      </c>
      <c r="AC224" s="31" t="e">
        <f t="shared" si="35"/>
        <v>#DIV/0!</v>
      </c>
      <c r="AD224" s="126"/>
      <c r="AE224" s="127"/>
      <c r="AF224" s="127" t="e">
        <f t="shared" si="36"/>
        <v>#DIV/0!</v>
      </c>
      <c r="AG224" s="128" t="e">
        <f t="shared" si="37"/>
        <v>#DIV/0!</v>
      </c>
      <c r="AH224" s="128" t="e">
        <f t="shared" si="38"/>
        <v>#DIV/0!</v>
      </c>
      <c r="AI224" s="127" t="e">
        <f t="shared" si="39"/>
        <v>#DIV/0!</v>
      </c>
    </row>
    <row r="225" ht="15.5" customHeight="1" spans="1:35">
      <c r="A225" s="63"/>
      <c r="B225" s="56"/>
      <c r="C225" s="56"/>
      <c r="D225" s="59"/>
      <c r="E225" s="63"/>
      <c r="F225" s="24"/>
      <c r="G225" s="63"/>
      <c r="H225" s="21"/>
      <c r="I225" s="23"/>
      <c r="J225" s="121"/>
      <c r="K225" s="121"/>
      <c r="L225" s="26"/>
      <c r="M225" s="26"/>
      <c r="N225" s="26"/>
      <c r="O225" s="26"/>
      <c r="P225" s="26"/>
      <c r="Q225" s="26"/>
      <c r="R225" s="26"/>
      <c r="S225" s="23"/>
      <c r="T225" s="26"/>
      <c r="U225" s="26" t="str">
        <f t="shared" si="30"/>
        <v/>
      </c>
      <c r="V225" s="27"/>
      <c r="W225" s="122"/>
      <c r="X225" s="123">
        <f t="shared" si="31"/>
        <v>0</v>
      </c>
      <c r="Y225" s="124" t="e">
        <f t="shared" si="32"/>
        <v>#DIV/0!</v>
      </c>
      <c r="Z225" s="124"/>
      <c r="AA225" s="124" t="e">
        <f t="shared" si="33"/>
        <v>#DIV/0!</v>
      </c>
      <c r="AB225" s="125" t="e">
        <f t="shared" si="34"/>
        <v>#DIV/0!</v>
      </c>
      <c r="AC225" s="31" t="e">
        <f t="shared" si="35"/>
        <v>#DIV/0!</v>
      </c>
      <c r="AD225" s="126"/>
      <c r="AE225" s="127"/>
      <c r="AF225" s="127" t="e">
        <f t="shared" si="36"/>
        <v>#DIV/0!</v>
      </c>
      <c r="AG225" s="128" t="e">
        <f t="shared" si="37"/>
        <v>#DIV/0!</v>
      </c>
      <c r="AH225" s="128" t="e">
        <f t="shared" si="38"/>
        <v>#DIV/0!</v>
      </c>
      <c r="AI225" s="127" t="e">
        <f t="shared" si="39"/>
        <v>#DIV/0!</v>
      </c>
    </row>
    <row r="226" ht="15.5" customHeight="1" spans="1:35">
      <c r="A226" s="63"/>
      <c r="B226" s="56"/>
      <c r="C226" s="56"/>
      <c r="D226" s="59"/>
      <c r="E226" s="63"/>
      <c r="F226" s="24"/>
      <c r="G226" s="63"/>
      <c r="H226" s="21"/>
      <c r="I226" s="23"/>
      <c r="J226" s="121"/>
      <c r="K226" s="121"/>
      <c r="L226" s="26"/>
      <c r="M226" s="26"/>
      <c r="N226" s="26"/>
      <c r="O226" s="26"/>
      <c r="P226" s="26"/>
      <c r="Q226" s="26"/>
      <c r="R226" s="26"/>
      <c r="S226" s="23"/>
      <c r="T226" s="26"/>
      <c r="U226" s="26" t="str">
        <f t="shared" si="30"/>
        <v/>
      </c>
      <c r="V226" s="27"/>
      <c r="W226" s="122"/>
      <c r="X226" s="123">
        <f t="shared" si="31"/>
        <v>0</v>
      </c>
      <c r="Y226" s="124" t="e">
        <f t="shared" si="32"/>
        <v>#DIV/0!</v>
      </c>
      <c r="Z226" s="124"/>
      <c r="AA226" s="124" t="e">
        <f t="shared" si="33"/>
        <v>#DIV/0!</v>
      </c>
      <c r="AB226" s="125" t="e">
        <f t="shared" si="34"/>
        <v>#DIV/0!</v>
      </c>
      <c r="AC226" s="31" t="e">
        <f t="shared" si="35"/>
        <v>#DIV/0!</v>
      </c>
      <c r="AD226" s="126"/>
      <c r="AE226" s="127"/>
      <c r="AF226" s="127" t="e">
        <f t="shared" si="36"/>
        <v>#DIV/0!</v>
      </c>
      <c r="AG226" s="128" t="e">
        <f t="shared" si="37"/>
        <v>#DIV/0!</v>
      </c>
      <c r="AH226" s="128" t="e">
        <f t="shared" si="38"/>
        <v>#DIV/0!</v>
      </c>
      <c r="AI226" s="127" t="e">
        <f t="shared" si="39"/>
        <v>#DIV/0!</v>
      </c>
    </row>
    <row r="227" ht="15.5" customHeight="1" spans="1:35">
      <c r="A227" s="63"/>
      <c r="B227" s="56"/>
      <c r="C227" s="56"/>
      <c r="D227" s="59"/>
      <c r="E227" s="63"/>
      <c r="F227" s="24"/>
      <c r="G227" s="63"/>
      <c r="H227" s="21"/>
      <c r="I227" s="23"/>
      <c r="J227" s="121"/>
      <c r="K227" s="121"/>
      <c r="L227" s="26"/>
      <c r="M227" s="26"/>
      <c r="N227" s="26"/>
      <c r="O227" s="26"/>
      <c r="P227" s="26"/>
      <c r="Q227" s="26"/>
      <c r="R227" s="26"/>
      <c r="S227" s="23"/>
      <c r="T227" s="26"/>
      <c r="U227" s="26" t="str">
        <f t="shared" si="30"/>
        <v/>
      </c>
      <c r="V227" s="27"/>
      <c r="W227" s="122"/>
      <c r="X227" s="123">
        <f t="shared" si="31"/>
        <v>0</v>
      </c>
      <c r="Y227" s="124" t="e">
        <f t="shared" si="32"/>
        <v>#DIV/0!</v>
      </c>
      <c r="Z227" s="124"/>
      <c r="AA227" s="124" t="e">
        <f t="shared" si="33"/>
        <v>#DIV/0!</v>
      </c>
      <c r="AB227" s="125" t="e">
        <f t="shared" si="34"/>
        <v>#DIV/0!</v>
      </c>
      <c r="AC227" s="31" t="e">
        <f t="shared" si="35"/>
        <v>#DIV/0!</v>
      </c>
      <c r="AD227" s="126"/>
      <c r="AE227" s="127"/>
      <c r="AF227" s="127" t="e">
        <f t="shared" si="36"/>
        <v>#DIV/0!</v>
      </c>
      <c r="AG227" s="128" t="e">
        <f t="shared" si="37"/>
        <v>#DIV/0!</v>
      </c>
      <c r="AH227" s="128" t="e">
        <f t="shared" si="38"/>
        <v>#DIV/0!</v>
      </c>
      <c r="AI227" s="127" t="e">
        <f t="shared" si="39"/>
        <v>#DIV/0!</v>
      </c>
    </row>
    <row r="228" ht="15.5" customHeight="1" spans="1:35">
      <c r="A228" s="63"/>
      <c r="B228" s="56"/>
      <c r="C228" s="56"/>
      <c r="D228" s="59"/>
      <c r="E228" s="63"/>
      <c r="F228" s="24"/>
      <c r="G228" s="63"/>
      <c r="H228" s="21"/>
      <c r="I228" s="23"/>
      <c r="J228" s="121"/>
      <c r="K228" s="121"/>
      <c r="L228" s="26"/>
      <c r="M228" s="26"/>
      <c r="N228" s="26"/>
      <c r="O228" s="26"/>
      <c r="P228" s="26"/>
      <c r="Q228" s="26"/>
      <c r="R228" s="26"/>
      <c r="S228" s="23"/>
      <c r="T228" s="26"/>
      <c r="U228" s="26" t="str">
        <f t="shared" si="30"/>
        <v/>
      </c>
      <c r="V228" s="27"/>
      <c r="W228" s="122"/>
      <c r="X228" s="123">
        <f t="shared" si="31"/>
        <v>0</v>
      </c>
      <c r="Y228" s="124" t="e">
        <f t="shared" si="32"/>
        <v>#DIV/0!</v>
      </c>
      <c r="Z228" s="124"/>
      <c r="AA228" s="124" t="e">
        <f t="shared" si="33"/>
        <v>#DIV/0!</v>
      </c>
      <c r="AB228" s="125" t="e">
        <f t="shared" si="34"/>
        <v>#DIV/0!</v>
      </c>
      <c r="AC228" s="31" t="e">
        <f t="shared" si="35"/>
        <v>#DIV/0!</v>
      </c>
      <c r="AD228" s="126"/>
      <c r="AE228" s="127"/>
      <c r="AF228" s="127" t="e">
        <f t="shared" si="36"/>
        <v>#DIV/0!</v>
      </c>
      <c r="AG228" s="128" t="e">
        <f t="shared" si="37"/>
        <v>#DIV/0!</v>
      </c>
      <c r="AH228" s="128" t="e">
        <f t="shared" si="38"/>
        <v>#DIV/0!</v>
      </c>
      <c r="AI228" s="127" t="e">
        <f t="shared" si="39"/>
        <v>#DIV/0!</v>
      </c>
    </row>
    <row r="229" ht="15.5" customHeight="1" spans="1:35">
      <c r="A229" s="63"/>
      <c r="B229" s="56"/>
      <c r="C229" s="56"/>
      <c r="D229" s="59"/>
      <c r="E229" s="63"/>
      <c r="F229" s="24"/>
      <c r="G229" s="63"/>
      <c r="H229" s="21"/>
      <c r="I229" s="23"/>
      <c r="J229" s="121"/>
      <c r="K229" s="121"/>
      <c r="L229" s="26"/>
      <c r="M229" s="26"/>
      <c r="N229" s="26"/>
      <c r="O229" s="26"/>
      <c r="P229" s="26"/>
      <c r="Q229" s="26"/>
      <c r="R229" s="26"/>
      <c r="S229" s="23"/>
      <c r="T229" s="26"/>
      <c r="U229" s="26" t="str">
        <f t="shared" si="30"/>
        <v/>
      </c>
      <c r="V229" s="27"/>
      <c r="W229" s="122"/>
      <c r="X229" s="123">
        <f t="shared" si="31"/>
        <v>0</v>
      </c>
      <c r="Y229" s="124" t="e">
        <f t="shared" si="32"/>
        <v>#DIV/0!</v>
      </c>
      <c r="Z229" s="124"/>
      <c r="AA229" s="124" t="e">
        <f t="shared" si="33"/>
        <v>#DIV/0!</v>
      </c>
      <c r="AB229" s="125" t="e">
        <f t="shared" si="34"/>
        <v>#DIV/0!</v>
      </c>
      <c r="AC229" s="31" t="e">
        <f t="shared" si="35"/>
        <v>#DIV/0!</v>
      </c>
      <c r="AD229" s="126"/>
      <c r="AE229" s="127"/>
      <c r="AF229" s="127" t="e">
        <f t="shared" si="36"/>
        <v>#DIV/0!</v>
      </c>
      <c r="AG229" s="128" t="e">
        <f t="shared" si="37"/>
        <v>#DIV/0!</v>
      </c>
      <c r="AH229" s="128" t="e">
        <f t="shared" si="38"/>
        <v>#DIV/0!</v>
      </c>
      <c r="AI229" s="127" t="e">
        <f t="shared" si="39"/>
        <v>#DIV/0!</v>
      </c>
    </row>
    <row r="230" ht="15.5" customHeight="1" spans="1:35">
      <c r="A230" s="63"/>
      <c r="B230" s="56"/>
      <c r="C230" s="56"/>
      <c r="D230" s="59"/>
      <c r="E230" s="63"/>
      <c r="F230" s="24"/>
      <c r="G230" s="63"/>
      <c r="H230" s="21"/>
      <c r="I230" s="23"/>
      <c r="J230" s="121"/>
      <c r="K230" s="121"/>
      <c r="L230" s="26"/>
      <c r="M230" s="26"/>
      <c r="N230" s="26"/>
      <c r="O230" s="26"/>
      <c r="P230" s="26"/>
      <c r="Q230" s="26"/>
      <c r="R230" s="26"/>
      <c r="S230" s="23"/>
      <c r="T230" s="26"/>
      <c r="U230" s="26" t="str">
        <f t="shared" si="30"/>
        <v/>
      </c>
      <c r="V230" s="27"/>
      <c r="W230" s="122"/>
      <c r="X230" s="123">
        <f t="shared" si="31"/>
        <v>0</v>
      </c>
      <c r="Y230" s="124" t="e">
        <f t="shared" si="32"/>
        <v>#DIV/0!</v>
      </c>
      <c r="Z230" s="124"/>
      <c r="AA230" s="124" t="e">
        <f t="shared" si="33"/>
        <v>#DIV/0!</v>
      </c>
      <c r="AB230" s="125" t="e">
        <f t="shared" si="34"/>
        <v>#DIV/0!</v>
      </c>
      <c r="AC230" s="31" t="e">
        <f t="shared" si="35"/>
        <v>#DIV/0!</v>
      </c>
      <c r="AD230" s="126"/>
      <c r="AE230" s="127"/>
      <c r="AF230" s="127" t="e">
        <f t="shared" si="36"/>
        <v>#DIV/0!</v>
      </c>
      <c r="AG230" s="128" t="e">
        <f t="shared" si="37"/>
        <v>#DIV/0!</v>
      </c>
      <c r="AH230" s="128" t="e">
        <f t="shared" si="38"/>
        <v>#DIV/0!</v>
      </c>
      <c r="AI230" s="127" t="e">
        <f t="shared" si="39"/>
        <v>#DIV/0!</v>
      </c>
    </row>
    <row r="231" ht="15.5" customHeight="1" spans="1:35">
      <c r="A231" s="63"/>
      <c r="B231" s="56"/>
      <c r="C231" s="56"/>
      <c r="D231" s="59"/>
      <c r="E231" s="63"/>
      <c r="F231" s="24"/>
      <c r="G231" s="63"/>
      <c r="H231" s="21"/>
      <c r="I231" s="23"/>
      <c r="J231" s="121"/>
      <c r="K231" s="121"/>
      <c r="L231" s="26"/>
      <c r="M231" s="26"/>
      <c r="N231" s="26"/>
      <c r="O231" s="26"/>
      <c r="P231" s="26"/>
      <c r="Q231" s="26"/>
      <c r="R231" s="26"/>
      <c r="S231" s="23"/>
      <c r="T231" s="26"/>
      <c r="U231" s="26" t="str">
        <f t="shared" si="30"/>
        <v/>
      </c>
      <c r="V231" s="27"/>
      <c r="W231" s="122"/>
      <c r="X231" s="123">
        <f t="shared" si="31"/>
        <v>0</v>
      </c>
      <c r="Y231" s="124" t="e">
        <f t="shared" si="32"/>
        <v>#DIV/0!</v>
      </c>
      <c r="Z231" s="124"/>
      <c r="AA231" s="124" t="e">
        <f t="shared" si="33"/>
        <v>#DIV/0!</v>
      </c>
      <c r="AB231" s="125" t="e">
        <f t="shared" si="34"/>
        <v>#DIV/0!</v>
      </c>
      <c r="AC231" s="31" t="e">
        <f t="shared" si="35"/>
        <v>#DIV/0!</v>
      </c>
      <c r="AD231" s="126"/>
      <c r="AE231" s="127"/>
      <c r="AF231" s="127" t="e">
        <f t="shared" si="36"/>
        <v>#DIV/0!</v>
      </c>
      <c r="AG231" s="128" t="e">
        <f t="shared" si="37"/>
        <v>#DIV/0!</v>
      </c>
      <c r="AH231" s="128" t="e">
        <f t="shared" si="38"/>
        <v>#DIV/0!</v>
      </c>
      <c r="AI231" s="127" t="e">
        <f t="shared" si="39"/>
        <v>#DIV/0!</v>
      </c>
    </row>
    <row r="232" ht="15.5" customHeight="1" spans="1:35">
      <c r="A232" s="63"/>
      <c r="B232" s="56"/>
      <c r="C232" s="56"/>
      <c r="D232" s="59"/>
      <c r="E232" s="63"/>
      <c r="F232" s="24"/>
      <c r="G232" s="63"/>
      <c r="H232" s="21"/>
      <c r="I232" s="23"/>
      <c r="J232" s="121"/>
      <c r="K232" s="121"/>
      <c r="L232" s="26"/>
      <c r="M232" s="26"/>
      <c r="N232" s="26"/>
      <c r="O232" s="26"/>
      <c r="P232" s="26"/>
      <c r="Q232" s="26"/>
      <c r="R232" s="26"/>
      <c r="S232" s="23"/>
      <c r="T232" s="26"/>
      <c r="U232" s="26" t="str">
        <f t="shared" si="30"/>
        <v/>
      </c>
      <c r="V232" s="27"/>
      <c r="W232" s="122"/>
      <c r="X232" s="123">
        <f t="shared" si="31"/>
        <v>0</v>
      </c>
      <c r="Y232" s="124" t="e">
        <f t="shared" si="32"/>
        <v>#DIV/0!</v>
      </c>
      <c r="Z232" s="124"/>
      <c r="AA232" s="124" t="e">
        <f t="shared" si="33"/>
        <v>#DIV/0!</v>
      </c>
      <c r="AB232" s="125" t="e">
        <f t="shared" si="34"/>
        <v>#DIV/0!</v>
      </c>
      <c r="AC232" s="31" t="e">
        <f t="shared" si="35"/>
        <v>#DIV/0!</v>
      </c>
      <c r="AD232" s="126"/>
      <c r="AE232" s="127"/>
      <c r="AF232" s="127" t="e">
        <f t="shared" si="36"/>
        <v>#DIV/0!</v>
      </c>
      <c r="AG232" s="128" t="e">
        <f t="shared" si="37"/>
        <v>#DIV/0!</v>
      </c>
      <c r="AH232" s="128" t="e">
        <f t="shared" si="38"/>
        <v>#DIV/0!</v>
      </c>
      <c r="AI232" s="127" t="e">
        <f t="shared" si="39"/>
        <v>#DIV/0!</v>
      </c>
    </row>
    <row r="233" ht="15.5" customHeight="1" spans="1:35">
      <c r="A233" s="63"/>
      <c r="B233" s="56"/>
      <c r="C233" s="56"/>
      <c r="D233" s="59"/>
      <c r="E233" s="63"/>
      <c r="F233" s="24"/>
      <c r="G233" s="63"/>
      <c r="H233" s="21"/>
      <c r="I233" s="23"/>
      <c r="J233" s="121"/>
      <c r="K233" s="121"/>
      <c r="L233" s="26"/>
      <c r="M233" s="26"/>
      <c r="N233" s="26"/>
      <c r="O233" s="26"/>
      <c r="P233" s="26"/>
      <c r="Q233" s="26"/>
      <c r="R233" s="26"/>
      <c r="S233" s="23"/>
      <c r="T233" s="26"/>
      <c r="U233" s="26" t="str">
        <f t="shared" si="30"/>
        <v/>
      </c>
      <c r="V233" s="27"/>
      <c r="W233" s="122"/>
      <c r="X233" s="123">
        <f t="shared" si="31"/>
        <v>0</v>
      </c>
      <c r="Y233" s="124" t="e">
        <f t="shared" si="32"/>
        <v>#DIV/0!</v>
      </c>
      <c r="Z233" s="124"/>
      <c r="AA233" s="124" t="e">
        <f t="shared" si="33"/>
        <v>#DIV/0!</v>
      </c>
      <c r="AB233" s="125" t="e">
        <f t="shared" si="34"/>
        <v>#DIV/0!</v>
      </c>
      <c r="AC233" s="31" t="e">
        <f t="shared" si="35"/>
        <v>#DIV/0!</v>
      </c>
      <c r="AD233" s="126"/>
      <c r="AE233" s="127"/>
      <c r="AF233" s="127" t="e">
        <f t="shared" si="36"/>
        <v>#DIV/0!</v>
      </c>
      <c r="AG233" s="128" t="e">
        <f t="shared" si="37"/>
        <v>#DIV/0!</v>
      </c>
      <c r="AH233" s="128" t="e">
        <f t="shared" si="38"/>
        <v>#DIV/0!</v>
      </c>
      <c r="AI233" s="127" t="e">
        <f t="shared" si="39"/>
        <v>#DIV/0!</v>
      </c>
    </row>
    <row r="234" ht="15.5" customHeight="1" spans="1:35">
      <c r="A234" s="63"/>
      <c r="B234" s="56"/>
      <c r="C234" s="56"/>
      <c r="D234" s="59"/>
      <c r="E234" s="63"/>
      <c r="F234" s="24"/>
      <c r="G234" s="63"/>
      <c r="H234" s="21"/>
      <c r="I234" s="23"/>
      <c r="J234" s="121"/>
      <c r="K234" s="121"/>
      <c r="L234" s="26"/>
      <c r="M234" s="26"/>
      <c r="N234" s="26"/>
      <c r="O234" s="26"/>
      <c r="P234" s="26"/>
      <c r="Q234" s="26"/>
      <c r="R234" s="26"/>
      <c r="S234" s="23"/>
      <c r="T234" s="26"/>
      <c r="U234" s="26" t="str">
        <f t="shared" si="30"/>
        <v/>
      </c>
      <c r="V234" s="27"/>
      <c r="W234" s="122"/>
      <c r="X234" s="123">
        <f t="shared" si="31"/>
        <v>0</v>
      </c>
      <c r="Y234" s="124" t="e">
        <f t="shared" si="32"/>
        <v>#DIV/0!</v>
      </c>
      <c r="Z234" s="124"/>
      <c r="AA234" s="124" t="e">
        <f t="shared" si="33"/>
        <v>#DIV/0!</v>
      </c>
      <c r="AB234" s="125" t="e">
        <f t="shared" si="34"/>
        <v>#DIV/0!</v>
      </c>
      <c r="AC234" s="31" t="e">
        <f t="shared" si="35"/>
        <v>#DIV/0!</v>
      </c>
      <c r="AD234" s="126"/>
      <c r="AE234" s="127"/>
      <c r="AF234" s="127" t="e">
        <f t="shared" si="36"/>
        <v>#DIV/0!</v>
      </c>
      <c r="AG234" s="128" t="e">
        <f t="shared" si="37"/>
        <v>#DIV/0!</v>
      </c>
      <c r="AH234" s="128" t="e">
        <f t="shared" si="38"/>
        <v>#DIV/0!</v>
      </c>
      <c r="AI234" s="127" t="e">
        <f t="shared" si="39"/>
        <v>#DIV/0!</v>
      </c>
    </row>
    <row r="235" ht="15.5" customHeight="1" spans="1:35">
      <c r="A235" s="63"/>
      <c r="B235" s="56"/>
      <c r="C235" s="56"/>
      <c r="D235" s="59"/>
      <c r="E235" s="63"/>
      <c r="F235" s="24"/>
      <c r="G235" s="63"/>
      <c r="H235" s="21"/>
      <c r="I235" s="23"/>
      <c r="J235" s="121"/>
      <c r="K235" s="121"/>
      <c r="L235" s="26"/>
      <c r="M235" s="26"/>
      <c r="N235" s="26"/>
      <c r="O235" s="26"/>
      <c r="P235" s="26"/>
      <c r="Q235" s="26"/>
      <c r="R235" s="26"/>
      <c r="S235" s="23"/>
      <c r="T235" s="26"/>
      <c r="U235" s="26" t="str">
        <f t="shared" si="30"/>
        <v/>
      </c>
      <c r="V235" s="27"/>
      <c r="W235" s="122"/>
      <c r="X235" s="123">
        <f t="shared" si="31"/>
        <v>0</v>
      </c>
      <c r="Y235" s="124" t="e">
        <f t="shared" si="32"/>
        <v>#DIV/0!</v>
      </c>
      <c r="Z235" s="124"/>
      <c r="AA235" s="124" t="e">
        <f t="shared" si="33"/>
        <v>#DIV/0!</v>
      </c>
      <c r="AB235" s="125" t="e">
        <f t="shared" si="34"/>
        <v>#DIV/0!</v>
      </c>
      <c r="AC235" s="31" t="e">
        <f t="shared" si="35"/>
        <v>#DIV/0!</v>
      </c>
      <c r="AD235" s="126"/>
      <c r="AE235" s="127"/>
      <c r="AF235" s="127" t="e">
        <f t="shared" si="36"/>
        <v>#DIV/0!</v>
      </c>
      <c r="AG235" s="128" t="e">
        <f t="shared" si="37"/>
        <v>#DIV/0!</v>
      </c>
      <c r="AH235" s="128" t="e">
        <f t="shared" si="38"/>
        <v>#DIV/0!</v>
      </c>
      <c r="AI235" s="127" t="e">
        <f t="shared" si="39"/>
        <v>#DIV/0!</v>
      </c>
    </row>
    <row r="236" ht="15.5" customHeight="1" spans="1:35">
      <c r="A236" s="63"/>
      <c r="B236" s="56"/>
      <c r="C236" s="56"/>
      <c r="D236" s="59"/>
      <c r="E236" s="63"/>
      <c r="F236" s="24"/>
      <c r="G236" s="63"/>
      <c r="H236" s="21"/>
      <c r="I236" s="23"/>
      <c r="J236" s="121"/>
      <c r="K236" s="121"/>
      <c r="L236" s="26"/>
      <c r="M236" s="26"/>
      <c r="N236" s="26"/>
      <c r="O236" s="26"/>
      <c r="P236" s="26"/>
      <c r="Q236" s="26"/>
      <c r="R236" s="26"/>
      <c r="S236" s="23"/>
      <c r="T236" s="26"/>
      <c r="U236" s="26" t="str">
        <f t="shared" si="30"/>
        <v/>
      </c>
      <c r="V236" s="27"/>
      <c r="W236" s="122"/>
      <c r="X236" s="123">
        <f t="shared" si="31"/>
        <v>0</v>
      </c>
      <c r="Y236" s="124" t="e">
        <f t="shared" si="32"/>
        <v>#DIV/0!</v>
      </c>
      <c r="Z236" s="124"/>
      <c r="AA236" s="124" t="e">
        <f t="shared" si="33"/>
        <v>#DIV/0!</v>
      </c>
      <c r="AB236" s="125" t="e">
        <f t="shared" si="34"/>
        <v>#DIV/0!</v>
      </c>
      <c r="AC236" s="31" t="e">
        <f t="shared" si="35"/>
        <v>#DIV/0!</v>
      </c>
      <c r="AD236" s="126"/>
      <c r="AE236" s="127"/>
      <c r="AF236" s="127" t="e">
        <f t="shared" si="36"/>
        <v>#DIV/0!</v>
      </c>
      <c r="AG236" s="128" t="e">
        <f t="shared" si="37"/>
        <v>#DIV/0!</v>
      </c>
      <c r="AH236" s="128" t="e">
        <f t="shared" si="38"/>
        <v>#DIV/0!</v>
      </c>
      <c r="AI236" s="127" t="e">
        <f t="shared" si="39"/>
        <v>#DIV/0!</v>
      </c>
    </row>
    <row r="237" ht="15.5" customHeight="1" spans="1:35">
      <c r="A237" s="63"/>
      <c r="B237" s="56"/>
      <c r="C237" s="56"/>
      <c r="D237" s="59"/>
      <c r="E237" s="63"/>
      <c r="F237" s="24"/>
      <c r="G237" s="63"/>
      <c r="H237" s="21"/>
      <c r="I237" s="23"/>
      <c r="J237" s="121"/>
      <c r="K237" s="121"/>
      <c r="L237" s="26"/>
      <c r="M237" s="26"/>
      <c r="N237" s="26"/>
      <c r="O237" s="26"/>
      <c r="P237" s="26"/>
      <c r="Q237" s="26"/>
      <c r="R237" s="26"/>
      <c r="S237" s="23"/>
      <c r="T237" s="26"/>
      <c r="U237" s="26" t="str">
        <f t="shared" si="30"/>
        <v/>
      </c>
      <c r="V237" s="27"/>
      <c r="W237" s="122"/>
      <c r="X237" s="123">
        <f t="shared" si="31"/>
        <v>0</v>
      </c>
      <c r="Y237" s="124" t="e">
        <f t="shared" si="32"/>
        <v>#DIV/0!</v>
      </c>
      <c r="Z237" s="124"/>
      <c r="AA237" s="124" t="e">
        <f t="shared" si="33"/>
        <v>#DIV/0!</v>
      </c>
      <c r="AB237" s="125" t="e">
        <f t="shared" si="34"/>
        <v>#DIV/0!</v>
      </c>
      <c r="AC237" s="31" t="e">
        <f t="shared" si="35"/>
        <v>#DIV/0!</v>
      </c>
      <c r="AD237" s="126"/>
      <c r="AE237" s="127"/>
      <c r="AF237" s="127" t="e">
        <f t="shared" si="36"/>
        <v>#DIV/0!</v>
      </c>
      <c r="AG237" s="128" t="e">
        <f t="shared" si="37"/>
        <v>#DIV/0!</v>
      </c>
      <c r="AH237" s="128" t="e">
        <f t="shared" si="38"/>
        <v>#DIV/0!</v>
      </c>
      <c r="AI237" s="127" t="e">
        <f t="shared" si="39"/>
        <v>#DIV/0!</v>
      </c>
    </row>
    <row r="238" ht="15.5" customHeight="1" spans="1:35">
      <c r="A238" s="63"/>
      <c r="B238" s="56"/>
      <c r="C238" s="56"/>
      <c r="D238" s="59"/>
      <c r="E238" s="63"/>
      <c r="F238" s="24"/>
      <c r="G238" s="63"/>
      <c r="H238" s="21"/>
      <c r="I238" s="23"/>
      <c r="J238" s="121"/>
      <c r="K238" s="121"/>
      <c r="L238" s="26"/>
      <c r="M238" s="26"/>
      <c r="N238" s="26"/>
      <c r="O238" s="26"/>
      <c r="P238" s="26"/>
      <c r="Q238" s="26"/>
      <c r="R238" s="26"/>
      <c r="S238" s="23"/>
      <c r="T238" s="26"/>
      <c r="U238" s="26" t="str">
        <f t="shared" si="30"/>
        <v/>
      </c>
      <c r="V238" s="27"/>
      <c r="W238" s="122"/>
      <c r="X238" s="123">
        <f t="shared" si="31"/>
        <v>0</v>
      </c>
      <c r="Y238" s="124" t="e">
        <f t="shared" si="32"/>
        <v>#DIV/0!</v>
      </c>
      <c r="Z238" s="124"/>
      <c r="AA238" s="124" t="e">
        <f t="shared" si="33"/>
        <v>#DIV/0!</v>
      </c>
      <c r="AB238" s="125" t="e">
        <f t="shared" si="34"/>
        <v>#DIV/0!</v>
      </c>
      <c r="AC238" s="31" t="e">
        <f t="shared" si="35"/>
        <v>#DIV/0!</v>
      </c>
      <c r="AD238" s="126"/>
      <c r="AE238" s="127"/>
      <c r="AF238" s="127" t="e">
        <f t="shared" si="36"/>
        <v>#DIV/0!</v>
      </c>
      <c r="AG238" s="128" t="e">
        <f t="shared" si="37"/>
        <v>#DIV/0!</v>
      </c>
      <c r="AH238" s="128" t="e">
        <f t="shared" si="38"/>
        <v>#DIV/0!</v>
      </c>
      <c r="AI238" s="127" t="e">
        <f t="shared" si="39"/>
        <v>#DIV/0!</v>
      </c>
    </row>
    <row r="239" ht="15.5" customHeight="1" spans="1:35">
      <c r="A239" s="63"/>
      <c r="B239" s="56"/>
      <c r="C239" s="56"/>
      <c r="D239" s="59"/>
      <c r="E239" s="63"/>
      <c r="F239" s="24"/>
      <c r="G239" s="63"/>
      <c r="H239" s="21"/>
      <c r="I239" s="23"/>
      <c r="J239" s="121"/>
      <c r="K239" s="121"/>
      <c r="L239" s="26"/>
      <c r="M239" s="26"/>
      <c r="N239" s="26"/>
      <c r="O239" s="26"/>
      <c r="P239" s="26"/>
      <c r="Q239" s="26"/>
      <c r="R239" s="26"/>
      <c r="S239" s="23"/>
      <c r="T239" s="26"/>
      <c r="U239" s="26" t="str">
        <f t="shared" si="30"/>
        <v/>
      </c>
      <c r="V239" s="27"/>
      <c r="W239" s="122"/>
      <c r="X239" s="123">
        <f t="shared" si="31"/>
        <v>0</v>
      </c>
      <c r="Y239" s="124" t="e">
        <f t="shared" si="32"/>
        <v>#DIV/0!</v>
      </c>
      <c r="Z239" s="124"/>
      <c r="AA239" s="124" t="e">
        <f t="shared" si="33"/>
        <v>#DIV/0!</v>
      </c>
      <c r="AB239" s="125" t="e">
        <f t="shared" si="34"/>
        <v>#DIV/0!</v>
      </c>
      <c r="AC239" s="31" t="e">
        <f t="shared" si="35"/>
        <v>#DIV/0!</v>
      </c>
      <c r="AD239" s="126"/>
      <c r="AE239" s="127"/>
      <c r="AF239" s="127" t="e">
        <f t="shared" si="36"/>
        <v>#DIV/0!</v>
      </c>
      <c r="AG239" s="128" t="e">
        <f t="shared" si="37"/>
        <v>#DIV/0!</v>
      </c>
      <c r="AH239" s="128" t="e">
        <f t="shared" si="38"/>
        <v>#DIV/0!</v>
      </c>
      <c r="AI239" s="127" t="e">
        <f t="shared" si="39"/>
        <v>#DIV/0!</v>
      </c>
    </row>
    <row r="240" ht="15.5" customHeight="1" spans="1:35">
      <c r="A240" s="63"/>
      <c r="B240" s="56"/>
      <c r="C240" s="56"/>
      <c r="D240" s="59"/>
      <c r="E240" s="63"/>
      <c r="F240" s="24"/>
      <c r="G240" s="63"/>
      <c r="H240" s="21"/>
      <c r="I240" s="23"/>
      <c r="J240" s="121"/>
      <c r="K240" s="121"/>
      <c r="L240" s="26"/>
      <c r="M240" s="26"/>
      <c r="N240" s="26"/>
      <c r="O240" s="26"/>
      <c r="P240" s="26"/>
      <c r="Q240" s="26"/>
      <c r="R240" s="26"/>
      <c r="S240" s="23"/>
      <c r="T240" s="26"/>
      <c r="U240" s="26" t="str">
        <f t="shared" si="30"/>
        <v/>
      </c>
      <c r="V240" s="27"/>
      <c r="W240" s="122"/>
      <c r="X240" s="123">
        <f t="shared" si="31"/>
        <v>0</v>
      </c>
      <c r="Y240" s="124" t="e">
        <f t="shared" si="32"/>
        <v>#DIV/0!</v>
      </c>
      <c r="Z240" s="124"/>
      <c r="AA240" s="124" t="e">
        <f t="shared" si="33"/>
        <v>#DIV/0!</v>
      </c>
      <c r="AB240" s="125" t="e">
        <f t="shared" si="34"/>
        <v>#DIV/0!</v>
      </c>
      <c r="AC240" s="31" t="e">
        <f t="shared" si="35"/>
        <v>#DIV/0!</v>
      </c>
      <c r="AD240" s="126"/>
      <c r="AE240" s="127"/>
      <c r="AF240" s="127" t="e">
        <f t="shared" si="36"/>
        <v>#DIV/0!</v>
      </c>
      <c r="AG240" s="128" t="e">
        <f t="shared" si="37"/>
        <v>#DIV/0!</v>
      </c>
      <c r="AH240" s="128" t="e">
        <f t="shared" si="38"/>
        <v>#DIV/0!</v>
      </c>
      <c r="AI240" s="127" t="e">
        <f t="shared" si="39"/>
        <v>#DIV/0!</v>
      </c>
    </row>
    <row r="241" ht="15.5" customHeight="1" spans="1:35">
      <c r="A241" s="63"/>
      <c r="B241" s="56"/>
      <c r="C241" s="56"/>
      <c r="D241" s="59"/>
      <c r="E241" s="63"/>
      <c r="F241" s="24"/>
      <c r="G241" s="63"/>
      <c r="H241" s="21"/>
      <c r="I241" s="23"/>
      <c r="J241" s="121"/>
      <c r="K241" s="121"/>
      <c r="L241" s="26"/>
      <c r="M241" s="26"/>
      <c r="N241" s="26"/>
      <c r="O241" s="26"/>
      <c r="P241" s="26"/>
      <c r="Q241" s="26"/>
      <c r="R241" s="26"/>
      <c r="S241" s="23"/>
      <c r="T241" s="26"/>
      <c r="U241" s="26" t="str">
        <f t="shared" si="30"/>
        <v/>
      </c>
      <c r="V241" s="27"/>
      <c r="W241" s="122"/>
      <c r="X241" s="123">
        <f t="shared" si="31"/>
        <v>0</v>
      </c>
      <c r="Y241" s="124" t="e">
        <f t="shared" si="32"/>
        <v>#DIV/0!</v>
      </c>
      <c r="Z241" s="124"/>
      <c r="AA241" s="124" t="e">
        <f t="shared" si="33"/>
        <v>#DIV/0!</v>
      </c>
      <c r="AB241" s="125" t="e">
        <f t="shared" si="34"/>
        <v>#DIV/0!</v>
      </c>
      <c r="AC241" s="31" t="e">
        <f t="shared" si="35"/>
        <v>#DIV/0!</v>
      </c>
      <c r="AD241" s="126"/>
      <c r="AE241" s="127"/>
      <c r="AF241" s="127" t="e">
        <f t="shared" si="36"/>
        <v>#DIV/0!</v>
      </c>
      <c r="AG241" s="128" t="e">
        <f t="shared" si="37"/>
        <v>#DIV/0!</v>
      </c>
      <c r="AH241" s="128" t="e">
        <f t="shared" si="38"/>
        <v>#DIV/0!</v>
      </c>
      <c r="AI241" s="127" t="e">
        <f t="shared" si="39"/>
        <v>#DIV/0!</v>
      </c>
    </row>
    <row r="242" ht="15.5" customHeight="1" spans="1:35">
      <c r="A242" s="63"/>
      <c r="B242" s="56"/>
      <c r="C242" s="56"/>
      <c r="D242" s="59"/>
      <c r="E242" s="63"/>
      <c r="F242" s="24"/>
      <c r="G242" s="63"/>
      <c r="H242" s="21"/>
      <c r="I242" s="23"/>
      <c r="J242" s="121"/>
      <c r="K242" s="121"/>
      <c r="L242" s="26"/>
      <c r="M242" s="26"/>
      <c r="N242" s="26"/>
      <c r="O242" s="26"/>
      <c r="P242" s="26"/>
      <c r="Q242" s="26"/>
      <c r="R242" s="26"/>
      <c r="S242" s="23"/>
      <c r="T242" s="26"/>
      <c r="U242" s="26" t="str">
        <f t="shared" si="30"/>
        <v/>
      </c>
      <c r="V242" s="27"/>
      <c r="W242" s="122"/>
      <c r="X242" s="123">
        <f t="shared" si="31"/>
        <v>0</v>
      </c>
      <c r="Y242" s="124" t="e">
        <f t="shared" si="32"/>
        <v>#DIV/0!</v>
      </c>
      <c r="Z242" s="124"/>
      <c r="AA242" s="124" t="e">
        <f t="shared" si="33"/>
        <v>#DIV/0!</v>
      </c>
      <c r="AB242" s="125" t="e">
        <f t="shared" si="34"/>
        <v>#DIV/0!</v>
      </c>
      <c r="AC242" s="31" t="e">
        <f t="shared" si="35"/>
        <v>#DIV/0!</v>
      </c>
      <c r="AD242" s="126"/>
      <c r="AE242" s="127"/>
      <c r="AF242" s="127" t="e">
        <f t="shared" si="36"/>
        <v>#DIV/0!</v>
      </c>
      <c r="AG242" s="128" t="e">
        <f t="shared" si="37"/>
        <v>#DIV/0!</v>
      </c>
      <c r="AH242" s="128" t="e">
        <f t="shared" si="38"/>
        <v>#DIV/0!</v>
      </c>
      <c r="AI242" s="127" t="e">
        <f t="shared" si="39"/>
        <v>#DIV/0!</v>
      </c>
    </row>
    <row r="243" ht="15.5" customHeight="1" spans="1:35">
      <c r="A243" s="63"/>
      <c r="B243" s="56"/>
      <c r="C243" s="56"/>
      <c r="D243" s="59"/>
      <c r="E243" s="63"/>
      <c r="F243" s="24"/>
      <c r="G243" s="63"/>
      <c r="H243" s="21"/>
      <c r="I243" s="23"/>
      <c r="J243" s="121"/>
      <c r="K243" s="121"/>
      <c r="L243" s="26"/>
      <c r="M243" s="26"/>
      <c r="N243" s="26"/>
      <c r="O243" s="26"/>
      <c r="P243" s="26"/>
      <c r="Q243" s="26"/>
      <c r="R243" s="26"/>
      <c r="S243" s="23"/>
      <c r="T243" s="26"/>
      <c r="U243" s="26" t="str">
        <f t="shared" si="30"/>
        <v/>
      </c>
      <c r="V243" s="27"/>
      <c r="W243" s="122"/>
      <c r="X243" s="123">
        <f t="shared" si="31"/>
        <v>0</v>
      </c>
      <c r="Y243" s="124" t="e">
        <f t="shared" si="32"/>
        <v>#DIV/0!</v>
      </c>
      <c r="Z243" s="124"/>
      <c r="AA243" s="124" t="e">
        <f t="shared" si="33"/>
        <v>#DIV/0!</v>
      </c>
      <c r="AB243" s="125" t="e">
        <f t="shared" si="34"/>
        <v>#DIV/0!</v>
      </c>
      <c r="AC243" s="31" t="e">
        <f t="shared" si="35"/>
        <v>#DIV/0!</v>
      </c>
      <c r="AD243" s="126"/>
      <c r="AE243" s="127"/>
      <c r="AF243" s="127" t="e">
        <f t="shared" si="36"/>
        <v>#DIV/0!</v>
      </c>
      <c r="AG243" s="128" t="e">
        <f t="shared" si="37"/>
        <v>#DIV/0!</v>
      </c>
      <c r="AH243" s="128" t="e">
        <f t="shared" si="38"/>
        <v>#DIV/0!</v>
      </c>
      <c r="AI243" s="127" t="e">
        <f t="shared" si="39"/>
        <v>#DIV/0!</v>
      </c>
    </row>
    <row r="244" ht="15.5" customHeight="1" spans="1:35">
      <c r="A244" s="63"/>
      <c r="B244" s="56"/>
      <c r="C244" s="56"/>
      <c r="D244" s="59"/>
      <c r="E244" s="63"/>
      <c r="F244" s="24"/>
      <c r="G244" s="63"/>
      <c r="H244" s="21"/>
      <c r="I244" s="23"/>
      <c r="J244" s="121"/>
      <c r="K244" s="121"/>
      <c r="L244" s="26"/>
      <c r="M244" s="26"/>
      <c r="N244" s="26"/>
      <c r="O244" s="26"/>
      <c r="P244" s="26"/>
      <c r="Q244" s="26"/>
      <c r="R244" s="26"/>
      <c r="S244" s="23"/>
      <c r="T244" s="26"/>
      <c r="U244" s="26" t="str">
        <f t="shared" si="30"/>
        <v/>
      </c>
      <c r="V244" s="27"/>
      <c r="W244" s="122"/>
      <c r="X244" s="123">
        <f t="shared" si="31"/>
        <v>0</v>
      </c>
      <c r="Y244" s="124" t="e">
        <f t="shared" si="32"/>
        <v>#DIV/0!</v>
      </c>
      <c r="Z244" s="124"/>
      <c r="AA244" s="124" t="e">
        <f t="shared" si="33"/>
        <v>#DIV/0!</v>
      </c>
      <c r="AB244" s="125" t="e">
        <f t="shared" si="34"/>
        <v>#DIV/0!</v>
      </c>
      <c r="AC244" s="31" t="e">
        <f t="shared" si="35"/>
        <v>#DIV/0!</v>
      </c>
      <c r="AD244" s="126"/>
      <c r="AE244" s="127"/>
      <c r="AF244" s="127" t="e">
        <f t="shared" si="36"/>
        <v>#DIV/0!</v>
      </c>
      <c r="AG244" s="128" t="e">
        <f t="shared" si="37"/>
        <v>#DIV/0!</v>
      </c>
      <c r="AH244" s="128" t="e">
        <f t="shared" si="38"/>
        <v>#DIV/0!</v>
      </c>
      <c r="AI244" s="127" t="e">
        <f t="shared" si="39"/>
        <v>#DIV/0!</v>
      </c>
    </row>
    <row r="245" ht="15.5" customHeight="1" spans="1:35">
      <c r="A245" s="63"/>
      <c r="B245" s="56"/>
      <c r="C245" s="56"/>
      <c r="D245" s="59"/>
      <c r="E245" s="63"/>
      <c r="F245" s="24"/>
      <c r="G245" s="63"/>
      <c r="H245" s="21"/>
      <c r="I245" s="23"/>
      <c r="J245" s="121"/>
      <c r="K245" s="121"/>
      <c r="L245" s="26"/>
      <c r="M245" s="26"/>
      <c r="N245" s="26"/>
      <c r="O245" s="26"/>
      <c r="P245" s="26"/>
      <c r="Q245" s="26"/>
      <c r="R245" s="26"/>
      <c r="S245" s="23"/>
      <c r="T245" s="26"/>
      <c r="U245" s="26" t="str">
        <f t="shared" si="30"/>
        <v/>
      </c>
      <c r="V245" s="27"/>
      <c r="W245" s="122"/>
      <c r="X245" s="123">
        <f t="shared" si="31"/>
        <v>0</v>
      </c>
      <c r="Y245" s="124" t="e">
        <f t="shared" si="32"/>
        <v>#DIV/0!</v>
      </c>
      <c r="Z245" s="124"/>
      <c r="AA245" s="124" t="e">
        <f t="shared" si="33"/>
        <v>#DIV/0!</v>
      </c>
      <c r="AB245" s="125" t="e">
        <f t="shared" si="34"/>
        <v>#DIV/0!</v>
      </c>
      <c r="AC245" s="31" t="e">
        <f t="shared" si="35"/>
        <v>#DIV/0!</v>
      </c>
      <c r="AD245" s="126"/>
      <c r="AE245" s="127"/>
      <c r="AF245" s="127" t="e">
        <f t="shared" si="36"/>
        <v>#DIV/0!</v>
      </c>
      <c r="AG245" s="128" t="e">
        <f t="shared" si="37"/>
        <v>#DIV/0!</v>
      </c>
      <c r="AH245" s="128" t="e">
        <f t="shared" si="38"/>
        <v>#DIV/0!</v>
      </c>
      <c r="AI245" s="127" t="e">
        <f t="shared" si="39"/>
        <v>#DIV/0!</v>
      </c>
    </row>
    <row r="246" ht="15.5" customHeight="1" spans="1:35">
      <c r="A246" s="63"/>
      <c r="B246" s="56"/>
      <c r="C246" s="56"/>
      <c r="D246" s="59"/>
      <c r="E246" s="63"/>
      <c r="F246" s="24"/>
      <c r="G246" s="63"/>
      <c r="H246" s="21"/>
      <c r="I246" s="23"/>
      <c r="J246" s="121"/>
      <c r="K246" s="121"/>
      <c r="L246" s="26"/>
      <c r="M246" s="26"/>
      <c r="N246" s="26"/>
      <c r="O246" s="26"/>
      <c r="P246" s="26"/>
      <c r="Q246" s="26"/>
      <c r="R246" s="26"/>
      <c r="S246" s="23"/>
      <c r="T246" s="26"/>
      <c r="U246" s="26" t="str">
        <f t="shared" si="30"/>
        <v/>
      </c>
      <c r="V246" s="27"/>
      <c r="W246" s="122"/>
      <c r="X246" s="123">
        <f t="shared" si="31"/>
        <v>0</v>
      </c>
      <c r="Y246" s="124" t="e">
        <f t="shared" si="32"/>
        <v>#DIV/0!</v>
      </c>
      <c r="Z246" s="124"/>
      <c r="AA246" s="124" t="e">
        <f t="shared" si="33"/>
        <v>#DIV/0!</v>
      </c>
      <c r="AB246" s="125" t="e">
        <f t="shared" si="34"/>
        <v>#DIV/0!</v>
      </c>
      <c r="AC246" s="31" t="e">
        <f t="shared" si="35"/>
        <v>#DIV/0!</v>
      </c>
      <c r="AD246" s="126"/>
      <c r="AE246" s="127"/>
      <c r="AF246" s="127" t="e">
        <f t="shared" si="36"/>
        <v>#DIV/0!</v>
      </c>
      <c r="AG246" s="128" t="e">
        <f t="shared" si="37"/>
        <v>#DIV/0!</v>
      </c>
      <c r="AH246" s="128" t="e">
        <f t="shared" si="38"/>
        <v>#DIV/0!</v>
      </c>
      <c r="AI246" s="127" t="e">
        <f t="shared" si="39"/>
        <v>#DIV/0!</v>
      </c>
    </row>
    <row r="247" ht="15.5" customHeight="1" spans="1:35">
      <c r="A247" s="63"/>
      <c r="B247" s="56"/>
      <c r="C247" s="56"/>
      <c r="D247" s="59"/>
      <c r="E247" s="63"/>
      <c r="F247" s="24"/>
      <c r="G247" s="63"/>
      <c r="H247" s="21"/>
      <c r="I247" s="23"/>
      <c r="J247" s="121"/>
      <c r="K247" s="121"/>
      <c r="L247" s="26"/>
      <c r="M247" s="26"/>
      <c r="N247" s="26"/>
      <c r="O247" s="26"/>
      <c r="P247" s="26"/>
      <c r="Q247" s="26"/>
      <c r="R247" s="26"/>
      <c r="S247" s="23"/>
      <c r="T247" s="26"/>
      <c r="U247" s="26" t="str">
        <f t="shared" si="30"/>
        <v/>
      </c>
      <c r="V247" s="27"/>
      <c r="W247" s="122"/>
      <c r="X247" s="123">
        <f t="shared" si="31"/>
        <v>0</v>
      </c>
      <c r="Y247" s="124" t="e">
        <f t="shared" si="32"/>
        <v>#DIV/0!</v>
      </c>
      <c r="Z247" s="124"/>
      <c r="AA247" s="124" t="e">
        <f t="shared" si="33"/>
        <v>#DIV/0!</v>
      </c>
      <c r="AB247" s="125" t="e">
        <f t="shared" si="34"/>
        <v>#DIV/0!</v>
      </c>
      <c r="AC247" s="31" t="e">
        <f t="shared" si="35"/>
        <v>#DIV/0!</v>
      </c>
      <c r="AD247" s="126"/>
      <c r="AE247" s="127"/>
      <c r="AF247" s="127" t="e">
        <f t="shared" si="36"/>
        <v>#DIV/0!</v>
      </c>
      <c r="AG247" s="128" t="e">
        <f t="shared" si="37"/>
        <v>#DIV/0!</v>
      </c>
      <c r="AH247" s="128" t="e">
        <f t="shared" si="38"/>
        <v>#DIV/0!</v>
      </c>
      <c r="AI247" s="127" t="e">
        <f t="shared" si="39"/>
        <v>#DIV/0!</v>
      </c>
    </row>
    <row r="248" ht="15.5" customHeight="1" spans="1:35">
      <c r="A248" s="63"/>
      <c r="B248" s="56"/>
      <c r="C248" s="56"/>
      <c r="D248" s="59"/>
      <c r="E248" s="63"/>
      <c r="F248" s="24"/>
      <c r="G248" s="63"/>
      <c r="H248" s="21"/>
      <c r="I248" s="23"/>
      <c r="J248" s="121"/>
      <c r="K248" s="121"/>
      <c r="L248" s="26"/>
      <c r="M248" s="26"/>
      <c r="N248" s="26"/>
      <c r="O248" s="26"/>
      <c r="P248" s="26"/>
      <c r="Q248" s="26"/>
      <c r="R248" s="26"/>
      <c r="S248" s="23"/>
      <c r="T248" s="26"/>
      <c r="U248" s="26" t="str">
        <f t="shared" si="30"/>
        <v/>
      </c>
      <c r="V248" s="27"/>
      <c r="W248" s="122"/>
      <c r="X248" s="123">
        <f t="shared" si="31"/>
        <v>0</v>
      </c>
      <c r="Y248" s="124" t="e">
        <f t="shared" si="32"/>
        <v>#DIV/0!</v>
      </c>
      <c r="Z248" s="124"/>
      <c r="AA248" s="124" t="e">
        <f t="shared" si="33"/>
        <v>#DIV/0!</v>
      </c>
      <c r="AB248" s="125" t="e">
        <f t="shared" si="34"/>
        <v>#DIV/0!</v>
      </c>
      <c r="AC248" s="31" t="e">
        <f t="shared" si="35"/>
        <v>#DIV/0!</v>
      </c>
      <c r="AD248" s="126"/>
      <c r="AE248" s="127"/>
      <c r="AF248" s="127" t="e">
        <f t="shared" si="36"/>
        <v>#DIV/0!</v>
      </c>
      <c r="AG248" s="128" t="e">
        <f t="shared" si="37"/>
        <v>#DIV/0!</v>
      </c>
      <c r="AH248" s="128" t="e">
        <f t="shared" si="38"/>
        <v>#DIV/0!</v>
      </c>
      <c r="AI248" s="127" t="e">
        <f t="shared" si="39"/>
        <v>#DIV/0!</v>
      </c>
    </row>
    <row r="249" ht="15.5" customHeight="1" spans="1:35">
      <c r="A249" s="63"/>
      <c r="B249" s="56"/>
      <c r="C249" s="56"/>
      <c r="D249" s="59"/>
      <c r="E249" s="63"/>
      <c r="F249" s="24"/>
      <c r="G249" s="63"/>
      <c r="H249" s="21"/>
      <c r="I249" s="23"/>
      <c r="J249" s="121"/>
      <c r="K249" s="121"/>
      <c r="L249" s="26"/>
      <c r="M249" s="26"/>
      <c r="N249" s="26"/>
      <c r="O249" s="26"/>
      <c r="P249" s="26"/>
      <c r="Q249" s="26"/>
      <c r="R249" s="26"/>
      <c r="S249" s="23"/>
      <c r="T249" s="26"/>
      <c r="U249" s="26" t="str">
        <f t="shared" si="30"/>
        <v/>
      </c>
      <c r="V249" s="27"/>
      <c r="W249" s="122"/>
      <c r="X249" s="123">
        <f t="shared" si="31"/>
        <v>0</v>
      </c>
      <c r="Y249" s="124" t="e">
        <f t="shared" si="32"/>
        <v>#DIV/0!</v>
      </c>
      <c r="Z249" s="124"/>
      <c r="AA249" s="124" t="e">
        <f t="shared" si="33"/>
        <v>#DIV/0!</v>
      </c>
      <c r="AB249" s="125" t="e">
        <f t="shared" si="34"/>
        <v>#DIV/0!</v>
      </c>
      <c r="AC249" s="31" t="e">
        <f t="shared" si="35"/>
        <v>#DIV/0!</v>
      </c>
      <c r="AD249" s="126"/>
      <c r="AE249" s="127"/>
      <c r="AF249" s="127" t="e">
        <f t="shared" si="36"/>
        <v>#DIV/0!</v>
      </c>
      <c r="AG249" s="128" t="e">
        <f t="shared" si="37"/>
        <v>#DIV/0!</v>
      </c>
      <c r="AH249" s="128" t="e">
        <f t="shared" si="38"/>
        <v>#DIV/0!</v>
      </c>
      <c r="AI249" s="127" t="e">
        <f t="shared" si="39"/>
        <v>#DIV/0!</v>
      </c>
    </row>
    <row r="250" ht="15.5" customHeight="1" spans="1:35">
      <c r="A250" s="63"/>
      <c r="B250" s="56"/>
      <c r="C250" s="56"/>
      <c r="D250" s="59"/>
      <c r="E250" s="63"/>
      <c r="F250" s="24"/>
      <c r="G250" s="63"/>
      <c r="H250" s="21"/>
      <c r="I250" s="23"/>
      <c r="J250" s="121"/>
      <c r="K250" s="121"/>
      <c r="L250" s="26"/>
      <c r="M250" s="26"/>
      <c r="N250" s="26"/>
      <c r="O250" s="26"/>
      <c r="P250" s="26"/>
      <c r="Q250" s="26"/>
      <c r="R250" s="26"/>
      <c r="S250" s="23"/>
      <c r="T250" s="26"/>
      <c r="U250" s="26" t="str">
        <f t="shared" si="30"/>
        <v/>
      </c>
      <c r="V250" s="27"/>
      <c r="W250" s="122"/>
      <c r="X250" s="123">
        <f t="shared" si="31"/>
        <v>0</v>
      </c>
      <c r="Y250" s="124" t="e">
        <f t="shared" si="32"/>
        <v>#DIV/0!</v>
      </c>
      <c r="Z250" s="124"/>
      <c r="AA250" s="124" t="e">
        <f t="shared" si="33"/>
        <v>#DIV/0!</v>
      </c>
      <c r="AB250" s="125" t="e">
        <f t="shared" si="34"/>
        <v>#DIV/0!</v>
      </c>
      <c r="AC250" s="31" t="e">
        <f t="shared" si="35"/>
        <v>#DIV/0!</v>
      </c>
      <c r="AD250" s="126"/>
      <c r="AE250" s="127"/>
      <c r="AF250" s="127" t="e">
        <f t="shared" si="36"/>
        <v>#DIV/0!</v>
      </c>
      <c r="AG250" s="128" t="e">
        <f t="shared" si="37"/>
        <v>#DIV/0!</v>
      </c>
      <c r="AH250" s="128" t="e">
        <f t="shared" si="38"/>
        <v>#DIV/0!</v>
      </c>
      <c r="AI250" s="127" t="e">
        <f t="shared" si="39"/>
        <v>#DIV/0!</v>
      </c>
    </row>
    <row r="251" ht="15.5" customHeight="1" spans="1:35">
      <c r="A251" s="63"/>
      <c r="B251" s="56"/>
      <c r="C251" s="56"/>
      <c r="D251" s="59"/>
      <c r="E251" s="63"/>
      <c r="F251" s="24"/>
      <c r="G251" s="63"/>
      <c r="H251" s="21"/>
      <c r="I251" s="23"/>
      <c r="J251" s="121"/>
      <c r="K251" s="121"/>
      <c r="L251" s="26"/>
      <c r="M251" s="26"/>
      <c r="N251" s="26"/>
      <c r="O251" s="26"/>
      <c r="P251" s="26"/>
      <c r="Q251" s="26"/>
      <c r="R251" s="26"/>
      <c r="S251" s="23"/>
      <c r="T251" s="26"/>
      <c r="U251" s="26" t="str">
        <f t="shared" si="30"/>
        <v/>
      </c>
      <c r="V251" s="27"/>
      <c r="W251" s="122"/>
      <c r="X251" s="123">
        <f t="shared" si="31"/>
        <v>0</v>
      </c>
      <c r="Y251" s="124" t="e">
        <f t="shared" si="32"/>
        <v>#DIV/0!</v>
      </c>
      <c r="Z251" s="124"/>
      <c r="AA251" s="124" t="e">
        <f t="shared" si="33"/>
        <v>#DIV/0!</v>
      </c>
      <c r="AB251" s="125" t="e">
        <f t="shared" si="34"/>
        <v>#DIV/0!</v>
      </c>
      <c r="AC251" s="31" t="e">
        <f t="shared" si="35"/>
        <v>#DIV/0!</v>
      </c>
      <c r="AD251" s="126"/>
      <c r="AE251" s="127"/>
      <c r="AF251" s="127" t="e">
        <f t="shared" si="36"/>
        <v>#DIV/0!</v>
      </c>
      <c r="AG251" s="128" t="e">
        <f t="shared" si="37"/>
        <v>#DIV/0!</v>
      </c>
      <c r="AH251" s="128" t="e">
        <f t="shared" si="38"/>
        <v>#DIV/0!</v>
      </c>
      <c r="AI251" s="127" t="e">
        <f t="shared" si="39"/>
        <v>#DIV/0!</v>
      </c>
    </row>
    <row r="252" ht="15.5" customHeight="1" spans="1:35">
      <c r="A252" s="63"/>
      <c r="B252" s="56"/>
      <c r="C252" s="56"/>
      <c r="D252" s="59"/>
      <c r="E252" s="63"/>
      <c r="F252" s="24"/>
      <c r="G252" s="63"/>
      <c r="H252" s="21"/>
      <c r="I252" s="23"/>
      <c r="J252" s="121"/>
      <c r="K252" s="121"/>
      <c r="L252" s="26"/>
      <c r="M252" s="26"/>
      <c r="N252" s="26"/>
      <c r="O252" s="26"/>
      <c r="P252" s="26"/>
      <c r="Q252" s="26"/>
      <c r="R252" s="26"/>
      <c r="S252" s="23"/>
      <c r="T252" s="26"/>
      <c r="U252" s="26" t="str">
        <f t="shared" si="30"/>
        <v/>
      </c>
      <c r="V252" s="27"/>
      <c r="W252" s="122"/>
      <c r="X252" s="123">
        <f t="shared" si="31"/>
        <v>0</v>
      </c>
      <c r="Y252" s="124" t="e">
        <f t="shared" si="32"/>
        <v>#DIV/0!</v>
      </c>
      <c r="Z252" s="124"/>
      <c r="AA252" s="124" t="e">
        <f t="shared" si="33"/>
        <v>#DIV/0!</v>
      </c>
      <c r="AB252" s="125" t="e">
        <f t="shared" si="34"/>
        <v>#DIV/0!</v>
      </c>
      <c r="AC252" s="31" t="e">
        <f t="shared" si="35"/>
        <v>#DIV/0!</v>
      </c>
      <c r="AD252" s="126"/>
      <c r="AE252" s="127"/>
      <c r="AF252" s="127" t="e">
        <f t="shared" si="36"/>
        <v>#DIV/0!</v>
      </c>
      <c r="AG252" s="128" t="e">
        <f t="shared" si="37"/>
        <v>#DIV/0!</v>
      </c>
      <c r="AH252" s="128" t="e">
        <f t="shared" si="38"/>
        <v>#DIV/0!</v>
      </c>
      <c r="AI252" s="127" t="e">
        <f t="shared" si="39"/>
        <v>#DIV/0!</v>
      </c>
    </row>
    <row r="253" ht="15.5" customHeight="1" spans="1:35">
      <c r="A253" s="63"/>
      <c r="B253" s="56"/>
      <c r="C253" s="56"/>
      <c r="D253" s="59"/>
      <c r="E253" s="63"/>
      <c r="F253" s="24"/>
      <c r="G253" s="63"/>
      <c r="H253" s="21"/>
      <c r="I253" s="23"/>
      <c r="J253" s="121"/>
      <c r="K253" s="121"/>
      <c r="L253" s="26"/>
      <c r="M253" s="26"/>
      <c r="N253" s="26"/>
      <c r="O253" s="26"/>
      <c r="P253" s="26"/>
      <c r="Q253" s="26"/>
      <c r="R253" s="26"/>
      <c r="S253" s="23"/>
      <c r="T253" s="26"/>
      <c r="U253" s="26" t="str">
        <f t="shared" si="30"/>
        <v/>
      </c>
      <c r="V253" s="27"/>
      <c r="W253" s="122"/>
      <c r="X253" s="123">
        <f t="shared" si="31"/>
        <v>0</v>
      </c>
      <c r="Y253" s="124" t="e">
        <f t="shared" si="32"/>
        <v>#DIV/0!</v>
      </c>
      <c r="Z253" s="124"/>
      <c r="AA253" s="124" t="e">
        <f t="shared" si="33"/>
        <v>#DIV/0!</v>
      </c>
      <c r="AB253" s="125" t="e">
        <f t="shared" si="34"/>
        <v>#DIV/0!</v>
      </c>
      <c r="AC253" s="31" t="e">
        <f t="shared" si="35"/>
        <v>#DIV/0!</v>
      </c>
      <c r="AD253" s="126"/>
      <c r="AE253" s="127"/>
      <c r="AF253" s="127" t="e">
        <f t="shared" si="36"/>
        <v>#DIV/0!</v>
      </c>
      <c r="AG253" s="128" t="e">
        <f t="shared" si="37"/>
        <v>#DIV/0!</v>
      </c>
      <c r="AH253" s="128" t="e">
        <f t="shared" si="38"/>
        <v>#DIV/0!</v>
      </c>
      <c r="AI253" s="127" t="e">
        <f t="shared" si="39"/>
        <v>#DIV/0!</v>
      </c>
    </row>
    <row r="254" ht="15.5" customHeight="1" spans="1:35">
      <c r="A254" s="63"/>
      <c r="B254" s="56"/>
      <c r="C254" s="56"/>
      <c r="D254" s="59"/>
      <c r="E254" s="63"/>
      <c r="F254" s="24"/>
      <c r="G254" s="63"/>
      <c r="H254" s="21"/>
      <c r="I254" s="23"/>
      <c r="J254" s="121"/>
      <c r="K254" s="121"/>
      <c r="L254" s="26"/>
      <c r="M254" s="26"/>
      <c r="N254" s="26"/>
      <c r="O254" s="26"/>
      <c r="P254" s="26"/>
      <c r="Q254" s="26"/>
      <c r="R254" s="26"/>
      <c r="S254" s="23"/>
      <c r="T254" s="26"/>
      <c r="U254" s="26" t="str">
        <f t="shared" si="30"/>
        <v/>
      </c>
      <c r="V254" s="27"/>
      <c r="W254" s="122"/>
      <c r="X254" s="123">
        <f t="shared" si="31"/>
        <v>0</v>
      </c>
      <c r="Y254" s="124" t="e">
        <f t="shared" si="32"/>
        <v>#DIV/0!</v>
      </c>
      <c r="Z254" s="124"/>
      <c r="AA254" s="124" t="e">
        <f t="shared" si="33"/>
        <v>#DIV/0!</v>
      </c>
      <c r="AB254" s="125" t="e">
        <f t="shared" si="34"/>
        <v>#DIV/0!</v>
      </c>
      <c r="AC254" s="31" t="e">
        <f t="shared" si="35"/>
        <v>#DIV/0!</v>
      </c>
      <c r="AD254" s="126"/>
      <c r="AE254" s="127"/>
      <c r="AF254" s="127" t="e">
        <f t="shared" si="36"/>
        <v>#DIV/0!</v>
      </c>
      <c r="AG254" s="128" t="e">
        <f t="shared" si="37"/>
        <v>#DIV/0!</v>
      </c>
      <c r="AH254" s="128" t="e">
        <f t="shared" si="38"/>
        <v>#DIV/0!</v>
      </c>
      <c r="AI254" s="127" t="e">
        <f t="shared" si="39"/>
        <v>#DIV/0!</v>
      </c>
    </row>
    <row r="255" ht="15.5" customHeight="1" spans="1:35">
      <c r="A255" s="63"/>
      <c r="B255" s="56"/>
      <c r="C255" s="56"/>
      <c r="D255" s="59"/>
      <c r="E255" s="63"/>
      <c r="F255" s="24"/>
      <c r="G255" s="63"/>
      <c r="H255" s="21"/>
      <c r="I255" s="23"/>
      <c r="J255" s="121"/>
      <c r="K255" s="121"/>
      <c r="L255" s="26"/>
      <c r="M255" s="26"/>
      <c r="N255" s="26"/>
      <c r="O255" s="26"/>
      <c r="P255" s="26"/>
      <c r="Q255" s="26"/>
      <c r="R255" s="26"/>
      <c r="S255" s="23"/>
      <c r="T255" s="26"/>
      <c r="U255" s="26" t="str">
        <f t="shared" si="30"/>
        <v/>
      </c>
      <c r="V255" s="27"/>
      <c r="W255" s="122"/>
      <c r="X255" s="123">
        <f t="shared" si="31"/>
        <v>0</v>
      </c>
      <c r="Y255" s="124" t="e">
        <f t="shared" si="32"/>
        <v>#DIV/0!</v>
      </c>
      <c r="Z255" s="124"/>
      <c r="AA255" s="124" t="e">
        <f t="shared" si="33"/>
        <v>#DIV/0!</v>
      </c>
      <c r="AB255" s="125" t="e">
        <f t="shared" si="34"/>
        <v>#DIV/0!</v>
      </c>
      <c r="AC255" s="31" t="e">
        <f t="shared" si="35"/>
        <v>#DIV/0!</v>
      </c>
      <c r="AD255" s="126"/>
      <c r="AE255" s="127"/>
      <c r="AF255" s="127" t="e">
        <f t="shared" si="36"/>
        <v>#DIV/0!</v>
      </c>
      <c r="AG255" s="128" t="e">
        <f t="shared" si="37"/>
        <v>#DIV/0!</v>
      </c>
      <c r="AH255" s="128" t="e">
        <f t="shared" si="38"/>
        <v>#DIV/0!</v>
      </c>
      <c r="AI255" s="127" t="e">
        <f t="shared" si="39"/>
        <v>#DIV/0!</v>
      </c>
    </row>
    <row r="256" ht="15.5" customHeight="1" spans="1:35">
      <c r="A256" s="63"/>
      <c r="B256" s="56"/>
      <c r="C256" s="56"/>
      <c r="D256" s="59"/>
      <c r="E256" s="63"/>
      <c r="F256" s="24"/>
      <c r="G256" s="63"/>
      <c r="H256" s="21"/>
      <c r="I256" s="23"/>
      <c r="J256" s="121"/>
      <c r="K256" s="121"/>
      <c r="L256" s="26"/>
      <c r="M256" s="26"/>
      <c r="N256" s="26"/>
      <c r="O256" s="26"/>
      <c r="P256" s="26"/>
      <c r="Q256" s="26"/>
      <c r="R256" s="26"/>
      <c r="S256" s="23"/>
      <c r="T256" s="26"/>
      <c r="U256" s="26" t="str">
        <f t="shared" si="30"/>
        <v/>
      </c>
      <c r="V256" s="27"/>
      <c r="W256" s="122"/>
      <c r="X256" s="123">
        <f t="shared" si="31"/>
        <v>0</v>
      </c>
      <c r="Y256" s="124" t="e">
        <f t="shared" si="32"/>
        <v>#DIV/0!</v>
      </c>
      <c r="Z256" s="124"/>
      <c r="AA256" s="124" t="e">
        <f t="shared" si="33"/>
        <v>#DIV/0!</v>
      </c>
      <c r="AB256" s="125" t="e">
        <f t="shared" si="34"/>
        <v>#DIV/0!</v>
      </c>
      <c r="AC256" s="31" t="e">
        <f t="shared" si="35"/>
        <v>#DIV/0!</v>
      </c>
      <c r="AD256" s="126"/>
      <c r="AE256" s="127"/>
      <c r="AF256" s="127" t="e">
        <f t="shared" si="36"/>
        <v>#DIV/0!</v>
      </c>
      <c r="AG256" s="128" t="e">
        <f t="shared" si="37"/>
        <v>#DIV/0!</v>
      </c>
      <c r="AH256" s="128" t="e">
        <f t="shared" si="38"/>
        <v>#DIV/0!</v>
      </c>
      <c r="AI256" s="127" t="e">
        <f t="shared" si="39"/>
        <v>#DIV/0!</v>
      </c>
    </row>
    <row r="257" ht="15.5" customHeight="1" spans="1:35">
      <c r="A257" s="63"/>
      <c r="B257" s="56"/>
      <c r="C257" s="56"/>
      <c r="D257" s="59"/>
      <c r="E257" s="63"/>
      <c r="F257" s="24"/>
      <c r="G257" s="63"/>
      <c r="H257" s="21"/>
      <c r="I257" s="23"/>
      <c r="J257" s="121"/>
      <c r="K257" s="121"/>
      <c r="L257" s="26"/>
      <c r="M257" s="26"/>
      <c r="N257" s="26"/>
      <c r="O257" s="26"/>
      <c r="P257" s="26"/>
      <c r="Q257" s="26"/>
      <c r="R257" s="26"/>
      <c r="S257" s="23"/>
      <c r="T257" s="26"/>
      <c r="U257" s="26" t="str">
        <f t="shared" si="30"/>
        <v/>
      </c>
      <c r="V257" s="27"/>
      <c r="W257" s="122"/>
      <c r="X257" s="123">
        <f t="shared" si="31"/>
        <v>0</v>
      </c>
      <c r="Y257" s="124" t="e">
        <f t="shared" si="32"/>
        <v>#DIV/0!</v>
      </c>
      <c r="Z257" s="124"/>
      <c r="AA257" s="124" t="e">
        <f t="shared" si="33"/>
        <v>#DIV/0!</v>
      </c>
      <c r="AB257" s="125" t="e">
        <f t="shared" si="34"/>
        <v>#DIV/0!</v>
      </c>
      <c r="AC257" s="31" t="e">
        <f t="shared" si="35"/>
        <v>#DIV/0!</v>
      </c>
      <c r="AD257" s="126"/>
      <c r="AE257" s="127"/>
      <c r="AF257" s="127" t="e">
        <f t="shared" si="36"/>
        <v>#DIV/0!</v>
      </c>
      <c r="AG257" s="128" t="e">
        <f t="shared" si="37"/>
        <v>#DIV/0!</v>
      </c>
      <c r="AH257" s="128" t="e">
        <f t="shared" si="38"/>
        <v>#DIV/0!</v>
      </c>
      <c r="AI257" s="127" t="e">
        <f t="shared" si="39"/>
        <v>#DIV/0!</v>
      </c>
    </row>
    <row r="258" ht="15.5" customHeight="1" spans="1:35">
      <c r="A258" s="63"/>
      <c r="B258" s="56"/>
      <c r="C258" s="56"/>
      <c r="D258" s="59"/>
      <c r="E258" s="63"/>
      <c r="F258" s="24"/>
      <c r="G258" s="63"/>
      <c r="H258" s="21"/>
      <c r="I258" s="23"/>
      <c r="J258" s="121"/>
      <c r="K258" s="121"/>
      <c r="L258" s="26"/>
      <c r="M258" s="26"/>
      <c r="N258" s="26"/>
      <c r="O258" s="26"/>
      <c r="P258" s="26"/>
      <c r="Q258" s="26"/>
      <c r="R258" s="26"/>
      <c r="S258" s="23"/>
      <c r="T258" s="26"/>
      <c r="U258" s="26" t="str">
        <f t="shared" si="30"/>
        <v/>
      </c>
      <c r="V258" s="27"/>
      <c r="W258" s="122"/>
      <c r="X258" s="123">
        <f t="shared" si="31"/>
        <v>0</v>
      </c>
      <c r="Y258" s="124" t="e">
        <f t="shared" si="32"/>
        <v>#DIV/0!</v>
      </c>
      <c r="Z258" s="124"/>
      <c r="AA258" s="124" t="e">
        <f t="shared" si="33"/>
        <v>#DIV/0!</v>
      </c>
      <c r="AB258" s="125" t="e">
        <f t="shared" si="34"/>
        <v>#DIV/0!</v>
      </c>
      <c r="AC258" s="31" t="e">
        <f t="shared" si="35"/>
        <v>#DIV/0!</v>
      </c>
      <c r="AD258" s="126"/>
      <c r="AE258" s="127"/>
      <c r="AF258" s="127" t="e">
        <f t="shared" si="36"/>
        <v>#DIV/0!</v>
      </c>
      <c r="AG258" s="128" t="e">
        <f t="shared" si="37"/>
        <v>#DIV/0!</v>
      </c>
      <c r="AH258" s="128" t="e">
        <f t="shared" si="38"/>
        <v>#DIV/0!</v>
      </c>
      <c r="AI258" s="127" t="e">
        <f t="shared" si="39"/>
        <v>#DIV/0!</v>
      </c>
    </row>
    <row r="259" ht="15.5" customHeight="1" spans="1:35">
      <c r="A259" s="63"/>
      <c r="B259" s="56"/>
      <c r="C259" s="56"/>
      <c r="D259" s="59"/>
      <c r="E259" s="63"/>
      <c r="F259" s="24"/>
      <c r="G259" s="63"/>
      <c r="H259" s="21"/>
      <c r="I259" s="23"/>
      <c r="J259" s="121"/>
      <c r="K259" s="121"/>
      <c r="L259" s="26"/>
      <c r="M259" s="26"/>
      <c r="N259" s="26"/>
      <c r="O259" s="26"/>
      <c r="P259" s="26"/>
      <c r="Q259" s="26"/>
      <c r="R259" s="26"/>
      <c r="S259" s="23"/>
      <c r="T259" s="26"/>
      <c r="U259" s="26" t="str">
        <f t="shared" si="30"/>
        <v/>
      </c>
      <c r="V259" s="27"/>
      <c r="W259" s="122"/>
      <c r="X259" s="123">
        <f t="shared" si="31"/>
        <v>0</v>
      </c>
      <c r="Y259" s="124" t="e">
        <f t="shared" si="32"/>
        <v>#DIV/0!</v>
      </c>
      <c r="Z259" s="124"/>
      <c r="AA259" s="124" t="e">
        <f t="shared" si="33"/>
        <v>#DIV/0!</v>
      </c>
      <c r="AB259" s="125" t="e">
        <f t="shared" si="34"/>
        <v>#DIV/0!</v>
      </c>
      <c r="AC259" s="31" t="e">
        <f t="shared" si="35"/>
        <v>#DIV/0!</v>
      </c>
      <c r="AD259" s="126"/>
      <c r="AE259" s="127"/>
      <c r="AF259" s="127" t="e">
        <f t="shared" si="36"/>
        <v>#DIV/0!</v>
      </c>
      <c r="AG259" s="128" t="e">
        <f t="shared" si="37"/>
        <v>#DIV/0!</v>
      </c>
      <c r="AH259" s="128" t="e">
        <f t="shared" si="38"/>
        <v>#DIV/0!</v>
      </c>
      <c r="AI259" s="127" t="e">
        <f t="shared" si="39"/>
        <v>#DIV/0!</v>
      </c>
    </row>
    <row r="260" ht="15.5" customHeight="1" spans="1:35">
      <c r="A260" s="63"/>
      <c r="B260" s="56"/>
      <c r="C260" s="56"/>
      <c r="D260" s="59"/>
      <c r="E260" s="63"/>
      <c r="F260" s="24"/>
      <c r="G260" s="63"/>
      <c r="H260" s="21"/>
      <c r="I260" s="23"/>
      <c r="J260" s="121"/>
      <c r="K260" s="121"/>
      <c r="L260" s="26"/>
      <c r="M260" s="26"/>
      <c r="N260" s="26"/>
      <c r="O260" s="26"/>
      <c r="P260" s="26"/>
      <c r="Q260" s="26"/>
      <c r="R260" s="26"/>
      <c r="S260" s="23"/>
      <c r="T260" s="26"/>
      <c r="U260" s="26" t="str">
        <f t="shared" si="30"/>
        <v/>
      </c>
      <c r="V260" s="27"/>
      <c r="W260" s="122"/>
      <c r="X260" s="123">
        <f t="shared" si="31"/>
        <v>0</v>
      </c>
      <c r="Y260" s="124" t="e">
        <f t="shared" si="32"/>
        <v>#DIV/0!</v>
      </c>
      <c r="Z260" s="124"/>
      <c r="AA260" s="124" t="e">
        <f t="shared" si="33"/>
        <v>#DIV/0!</v>
      </c>
      <c r="AB260" s="125" t="e">
        <f t="shared" si="34"/>
        <v>#DIV/0!</v>
      </c>
      <c r="AC260" s="31" t="e">
        <f t="shared" si="35"/>
        <v>#DIV/0!</v>
      </c>
      <c r="AD260" s="126"/>
      <c r="AE260" s="127"/>
      <c r="AF260" s="127" t="e">
        <f t="shared" si="36"/>
        <v>#DIV/0!</v>
      </c>
      <c r="AG260" s="128" t="e">
        <f t="shared" si="37"/>
        <v>#DIV/0!</v>
      </c>
      <c r="AH260" s="128" t="e">
        <f t="shared" si="38"/>
        <v>#DIV/0!</v>
      </c>
      <c r="AI260" s="127" t="e">
        <f t="shared" si="39"/>
        <v>#DIV/0!</v>
      </c>
    </row>
    <row r="261" ht="15.5" customHeight="1" spans="1:35">
      <c r="A261" s="63"/>
      <c r="B261" s="56"/>
      <c r="C261" s="56"/>
      <c r="D261" s="59"/>
      <c r="E261" s="63"/>
      <c r="F261" s="24"/>
      <c r="G261" s="63"/>
      <c r="H261" s="21"/>
      <c r="I261" s="23"/>
      <c r="J261" s="121"/>
      <c r="K261" s="121"/>
      <c r="L261" s="26"/>
      <c r="M261" s="26"/>
      <c r="N261" s="26"/>
      <c r="O261" s="26"/>
      <c r="P261" s="26"/>
      <c r="Q261" s="26"/>
      <c r="R261" s="26"/>
      <c r="S261" s="23"/>
      <c r="T261" s="26"/>
      <c r="U261" s="26" t="str">
        <f t="shared" si="30"/>
        <v/>
      </c>
      <c r="V261" s="27"/>
      <c r="W261" s="122"/>
      <c r="X261" s="123">
        <f t="shared" si="31"/>
        <v>0</v>
      </c>
      <c r="Y261" s="124" t="e">
        <f t="shared" si="32"/>
        <v>#DIV/0!</v>
      </c>
      <c r="Z261" s="124"/>
      <c r="AA261" s="124" t="e">
        <f t="shared" si="33"/>
        <v>#DIV/0!</v>
      </c>
      <c r="AB261" s="125" t="e">
        <f t="shared" si="34"/>
        <v>#DIV/0!</v>
      </c>
      <c r="AC261" s="31" t="e">
        <f t="shared" si="35"/>
        <v>#DIV/0!</v>
      </c>
      <c r="AD261" s="126"/>
      <c r="AE261" s="127"/>
      <c r="AF261" s="127" t="e">
        <f t="shared" si="36"/>
        <v>#DIV/0!</v>
      </c>
      <c r="AG261" s="128" t="e">
        <f t="shared" si="37"/>
        <v>#DIV/0!</v>
      </c>
      <c r="AH261" s="128" t="e">
        <f t="shared" si="38"/>
        <v>#DIV/0!</v>
      </c>
      <c r="AI261" s="127" t="e">
        <f t="shared" si="39"/>
        <v>#DIV/0!</v>
      </c>
    </row>
    <row r="262" ht="15.5" customHeight="1" spans="1:35">
      <c r="A262" s="63"/>
      <c r="B262" s="56"/>
      <c r="C262" s="56"/>
      <c r="D262" s="59"/>
      <c r="E262" s="63"/>
      <c r="F262" s="24"/>
      <c r="G262" s="63"/>
      <c r="H262" s="21"/>
      <c r="I262" s="23"/>
      <c r="J262" s="121"/>
      <c r="K262" s="121"/>
      <c r="L262" s="26"/>
      <c r="M262" s="26"/>
      <c r="N262" s="26"/>
      <c r="O262" s="26"/>
      <c r="P262" s="26"/>
      <c r="Q262" s="26"/>
      <c r="R262" s="26"/>
      <c r="S262" s="23"/>
      <c r="T262" s="26"/>
      <c r="U262" s="26" t="str">
        <f t="shared" si="30"/>
        <v/>
      </c>
      <c r="V262" s="27"/>
      <c r="W262" s="122"/>
      <c r="X262" s="123">
        <f t="shared" si="31"/>
        <v>0</v>
      </c>
      <c r="Y262" s="124" t="e">
        <f t="shared" si="32"/>
        <v>#DIV/0!</v>
      </c>
      <c r="Z262" s="124"/>
      <c r="AA262" s="124" t="e">
        <f t="shared" si="33"/>
        <v>#DIV/0!</v>
      </c>
      <c r="AB262" s="125" t="e">
        <f t="shared" si="34"/>
        <v>#DIV/0!</v>
      </c>
      <c r="AC262" s="31" t="e">
        <f t="shared" si="35"/>
        <v>#DIV/0!</v>
      </c>
      <c r="AD262" s="126"/>
      <c r="AE262" s="127"/>
      <c r="AF262" s="127" t="e">
        <f t="shared" si="36"/>
        <v>#DIV/0!</v>
      </c>
      <c r="AG262" s="128" t="e">
        <f t="shared" si="37"/>
        <v>#DIV/0!</v>
      </c>
      <c r="AH262" s="128" t="e">
        <f t="shared" si="38"/>
        <v>#DIV/0!</v>
      </c>
      <c r="AI262" s="127" t="e">
        <f t="shared" si="39"/>
        <v>#DIV/0!</v>
      </c>
    </row>
    <row r="263" ht="15.5" customHeight="1" spans="1:35">
      <c r="A263" s="63"/>
      <c r="B263" s="56"/>
      <c r="C263" s="56"/>
      <c r="D263" s="59"/>
      <c r="E263" s="63"/>
      <c r="F263" s="24"/>
      <c r="G263" s="63"/>
      <c r="H263" s="21"/>
      <c r="I263" s="23"/>
      <c r="J263" s="121"/>
      <c r="K263" s="121"/>
      <c r="L263" s="26"/>
      <c r="M263" s="26"/>
      <c r="N263" s="26"/>
      <c r="O263" s="26"/>
      <c r="P263" s="26"/>
      <c r="Q263" s="26"/>
      <c r="R263" s="26"/>
      <c r="S263" s="23"/>
      <c r="T263" s="26"/>
      <c r="U263" s="26" t="str">
        <f t="shared" ref="U263:U326" si="40">IF(Q263=0,"",(T263-Q263)/Q263*100)</f>
        <v/>
      </c>
      <c r="V263" s="27"/>
      <c r="W263" s="122"/>
      <c r="X263" s="123">
        <f t="shared" ref="X263:X326" si="41">($W$5-K263)/365</f>
        <v>0</v>
      </c>
      <c r="Y263" s="124" t="e">
        <f t="shared" ref="Y263:Y326" si="42">(W263-X263)/W263</f>
        <v>#DIV/0!</v>
      </c>
      <c r="Z263" s="124"/>
      <c r="AA263" s="124" t="e">
        <f t="shared" ref="AA263:AA326" si="43">Y263/2+Z263/2</f>
        <v>#DIV/0!</v>
      </c>
      <c r="AB263" s="125" t="e">
        <f t="shared" ref="AB263:AB326" si="44">P263/I263</f>
        <v>#DIV/0!</v>
      </c>
      <c r="AC263" s="31" t="e">
        <f t="shared" ref="AC263:AC326" si="45">AB263*AD263</f>
        <v>#DIV/0!</v>
      </c>
      <c r="AD263" s="126"/>
      <c r="AE263" s="127"/>
      <c r="AF263" s="127" t="e">
        <f t="shared" ref="AF263:AF326" si="46">AC263*0.13/(1+0.13)</f>
        <v>#DIV/0!</v>
      </c>
      <c r="AG263" s="128" t="e">
        <f t="shared" ref="AG263:AG326" si="47">AC263-AF263</f>
        <v>#DIV/0!</v>
      </c>
      <c r="AH263" s="128" t="e">
        <f t="shared" ref="AH263:AH326" si="48">AC263*I263</f>
        <v>#DIV/0!</v>
      </c>
      <c r="AI263" s="127" t="e">
        <f t="shared" ref="AI263:AI326" si="49">ROUND(AG263*I263,-1)</f>
        <v>#DIV/0!</v>
      </c>
    </row>
    <row r="264" ht="15.5" customHeight="1" spans="1:35">
      <c r="A264" s="63"/>
      <c r="B264" s="56"/>
      <c r="C264" s="56"/>
      <c r="D264" s="59"/>
      <c r="E264" s="63"/>
      <c r="F264" s="24"/>
      <c r="G264" s="63"/>
      <c r="H264" s="21"/>
      <c r="I264" s="23"/>
      <c r="J264" s="121"/>
      <c r="K264" s="121"/>
      <c r="L264" s="26"/>
      <c r="M264" s="26"/>
      <c r="N264" s="26"/>
      <c r="O264" s="26"/>
      <c r="P264" s="26"/>
      <c r="Q264" s="26"/>
      <c r="R264" s="26"/>
      <c r="S264" s="23"/>
      <c r="T264" s="26"/>
      <c r="U264" s="26" t="str">
        <f t="shared" si="40"/>
        <v/>
      </c>
      <c r="V264" s="27"/>
      <c r="W264" s="122"/>
      <c r="X264" s="123">
        <f t="shared" si="41"/>
        <v>0</v>
      </c>
      <c r="Y264" s="124" t="e">
        <f t="shared" si="42"/>
        <v>#DIV/0!</v>
      </c>
      <c r="Z264" s="124"/>
      <c r="AA264" s="124" t="e">
        <f t="shared" si="43"/>
        <v>#DIV/0!</v>
      </c>
      <c r="AB264" s="125" t="e">
        <f t="shared" si="44"/>
        <v>#DIV/0!</v>
      </c>
      <c r="AC264" s="31" t="e">
        <f t="shared" si="45"/>
        <v>#DIV/0!</v>
      </c>
      <c r="AD264" s="126"/>
      <c r="AE264" s="127"/>
      <c r="AF264" s="127" t="e">
        <f t="shared" si="46"/>
        <v>#DIV/0!</v>
      </c>
      <c r="AG264" s="128" t="e">
        <f t="shared" si="47"/>
        <v>#DIV/0!</v>
      </c>
      <c r="AH264" s="128" t="e">
        <f t="shared" si="48"/>
        <v>#DIV/0!</v>
      </c>
      <c r="AI264" s="127" t="e">
        <f t="shared" si="49"/>
        <v>#DIV/0!</v>
      </c>
    </row>
    <row r="265" ht="15.5" customHeight="1" spans="1:35">
      <c r="A265" s="63"/>
      <c r="B265" s="56"/>
      <c r="C265" s="56"/>
      <c r="D265" s="59"/>
      <c r="E265" s="63"/>
      <c r="F265" s="24"/>
      <c r="G265" s="63"/>
      <c r="H265" s="21"/>
      <c r="I265" s="23"/>
      <c r="J265" s="121"/>
      <c r="K265" s="121"/>
      <c r="L265" s="26"/>
      <c r="M265" s="26"/>
      <c r="N265" s="26"/>
      <c r="O265" s="26"/>
      <c r="P265" s="26"/>
      <c r="Q265" s="26"/>
      <c r="R265" s="26"/>
      <c r="S265" s="23"/>
      <c r="T265" s="26"/>
      <c r="U265" s="26" t="str">
        <f t="shared" si="40"/>
        <v/>
      </c>
      <c r="V265" s="27"/>
      <c r="W265" s="122"/>
      <c r="X265" s="123">
        <f t="shared" si="41"/>
        <v>0</v>
      </c>
      <c r="Y265" s="124" t="e">
        <f t="shared" si="42"/>
        <v>#DIV/0!</v>
      </c>
      <c r="Z265" s="124"/>
      <c r="AA265" s="124" t="e">
        <f t="shared" si="43"/>
        <v>#DIV/0!</v>
      </c>
      <c r="AB265" s="125" t="e">
        <f t="shared" si="44"/>
        <v>#DIV/0!</v>
      </c>
      <c r="AC265" s="31" t="e">
        <f t="shared" si="45"/>
        <v>#DIV/0!</v>
      </c>
      <c r="AD265" s="126"/>
      <c r="AE265" s="127"/>
      <c r="AF265" s="127" t="e">
        <f t="shared" si="46"/>
        <v>#DIV/0!</v>
      </c>
      <c r="AG265" s="128" t="e">
        <f t="shared" si="47"/>
        <v>#DIV/0!</v>
      </c>
      <c r="AH265" s="128" t="e">
        <f t="shared" si="48"/>
        <v>#DIV/0!</v>
      </c>
      <c r="AI265" s="127" t="e">
        <f t="shared" si="49"/>
        <v>#DIV/0!</v>
      </c>
    </row>
    <row r="266" ht="15.5" customHeight="1" spans="1:35">
      <c r="A266" s="63"/>
      <c r="B266" s="56"/>
      <c r="C266" s="56"/>
      <c r="D266" s="59"/>
      <c r="E266" s="63"/>
      <c r="F266" s="24"/>
      <c r="G266" s="63"/>
      <c r="H266" s="21"/>
      <c r="I266" s="23"/>
      <c r="J266" s="121"/>
      <c r="K266" s="121"/>
      <c r="L266" s="26"/>
      <c r="M266" s="26"/>
      <c r="N266" s="26"/>
      <c r="O266" s="26"/>
      <c r="P266" s="26"/>
      <c r="Q266" s="26"/>
      <c r="R266" s="26"/>
      <c r="S266" s="23"/>
      <c r="T266" s="26"/>
      <c r="U266" s="26" t="str">
        <f t="shared" si="40"/>
        <v/>
      </c>
      <c r="V266" s="27"/>
      <c r="W266" s="122"/>
      <c r="X266" s="123">
        <f t="shared" si="41"/>
        <v>0</v>
      </c>
      <c r="Y266" s="124" t="e">
        <f t="shared" si="42"/>
        <v>#DIV/0!</v>
      </c>
      <c r="Z266" s="124"/>
      <c r="AA266" s="124" t="e">
        <f t="shared" si="43"/>
        <v>#DIV/0!</v>
      </c>
      <c r="AB266" s="125" t="e">
        <f t="shared" si="44"/>
        <v>#DIV/0!</v>
      </c>
      <c r="AC266" s="31" t="e">
        <f t="shared" si="45"/>
        <v>#DIV/0!</v>
      </c>
      <c r="AD266" s="126"/>
      <c r="AE266" s="127"/>
      <c r="AF266" s="127" t="e">
        <f t="shared" si="46"/>
        <v>#DIV/0!</v>
      </c>
      <c r="AG266" s="128" t="e">
        <f t="shared" si="47"/>
        <v>#DIV/0!</v>
      </c>
      <c r="AH266" s="128" t="e">
        <f t="shared" si="48"/>
        <v>#DIV/0!</v>
      </c>
      <c r="AI266" s="127" t="e">
        <f t="shared" si="49"/>
        <v>#DIV/0!</v>
      </c>
    </row>
    <row r="267" ht="15.5" customHeight="1" spans="1:35">
      <c r="A267" s="63"/>
      <c r="B267" s="56"/>
      <c r="C267" s="56"/>
      <c r="D267" s="59"/>
      <c r="E267" s="63"/>
      <c r="F267" s="24"/>
      <c r="G267" s="63"/>
      <c r="H267" s="21"/>
      <c r="I267" s="23"/>
      <c r="J267" s="121"/>
      <c r="K267" s="121"/>
      <c r="L267" s="26"/>
      <c r="M267" s="26"/>
      <c r="N267" s="26"/>
      <c r="O267" s="26"/>
      <c r="P267" s="26"/>
      <c r="Q267" s="26"/>
      <c r="R267" s="26"/>
      <c r="S267" s="23"/>
      <c r="T267" s="26"/>
      <c r="U267" s="26" t="str">
        <f t="shared" si="40"/>
        <v/>
      </c>
      <c r="V267" s="27"/>
      <c r="W267" s="122"/>
      <c r="X267" s="123">
        <f t="shared" si="41"/>
        <v>0</v>
      </c>
      <c r="Y267" s="124" t="e">
        <f t="shared" si="42"/>
        <v>#DIV/0!</v>
      </c>
      <c r="Z267" s="124"/>
      <c r="AA267" s="124" t="e">
        <f t="shared" si="43"/>
        <v>#DIV/0!</v>
      </c>
      <c r="AB267" s="125" t="e">
        <f t="shared" si="44"/>
        <v>#DIV/0!</v>
      </c>
      <c r="AC267" s="31" t="e">
        <f t="shared" si="45"/>
        <v>#DIV/0!</v>
      </c>
      <c r="AD267" s="126"/>
      <c r="AE267" s="127"/>
      <c r="AF267" s="127" t="e">
        <f t="shared" si="46"/>
        <v>#DIV/0!</v>
      </c>
      <c r="AG267" s="128" t="e">
        <f t="shared" si="47"/>
        <v>#DIV/0!</v>
      </c>
      <c r="AH267" s="128" t="e">
        <f t="shared" si="48"/>
        <v>#DIV/0!</v>
      </c>
      <c r="AI267" s="127" t="e">
        <f t="shared" si="49"/>
        <v>#DIV/0!</v>
      </c>
    </row>
    <row r="268" ht="15.5" customHeight="1" spans="1:35">
      <c r="A268" s="63"/>
      <c r="B268" s="56"/>
      <c r="C268" s="56"/>
      <c r="D268" s="59"/>
      <c r="E268" s="63"/>
      <c r="F268" s="24"/>
      <c r="G268" s="63"/>
      <c r="H268" s="21"/>
      <c r="I268" s="23"/>
      <c r="J268" s="121"/>
      <c r="K268" s="121"/>
      <c r="L268" s="26"/>
      <c r="M268" s="26"/>
      <c r="N268" s="26"/>
      <c r="O268" s="26"/>
      <c r="P268" s="26"/>
      <c r="Q268" s="26"/>
      <c r="R268" s="26"/>
      <c r="S268" s="23"/>
      <c r="T268" s="26"/>
      <c r="U268" s="26" t="str">
        <f t="shared" si="40"/>
        <v/>
      </c>
      <c r="V268" s="27"/>
      <c r="W268" s="122"/>
      <c r="X268" s="123">
        <f t="shared" si="41"/>
        <v>0</v>
      </c>
      <c r="Y268" s="124" t="e">
        <f t="shared" si="42"/>
        <v>#DIV/0!</v>
      </c>
      <c r="Z268" s="124"/>
      <c r="AA268" s="124" t="e">
        <f t="shared" si="43"/>
        <v>#DIV/0!</v>
      </c>
      <c r="AB268" s="125" t="e">
        <f t="shared" si="44"/>
        <v>#DIV/0!</v>
      </c>
      <c r="AC268" s="31" t="e">
        <f t="shared" si="45"/>
        <v>#DIV/0!</v>
      </c>
      <c r="AD268" s="126"/>
      <c r="AE268" s="127"/>
      <c r="AF268" s="127" t="e">
        <f t="shared" si="46"/>
        <v>#DIV/0!</v>
      </c>
      <c r="AG268" s="128" t="e">
        <f t="shared" si="47"/>
        <v>#DIV/0!</v>
      </c>
      <c r="AH268" s="128" t="e">
        <f t="shared" si="48"/>
        <v>#DIV/0!</v>
      </c>
      <c r="AI268" s="127" t="e">
        <f t="shared" si="49"/>
        <v>#DIV/0!</v>
      </c>
    </row>
    <row r="269" ht="15.5" customHeight="1" spans="1:35">
      <c r="A269" s="63"/>
      <c r="B269" s="56"/>
      <c r="C269" s="56"/>
      <c r="D269" s="59"/>
      <c r="E269" s="63"/>
      <c r="F269" s="24"/>
      <c r="G269" s="63"/>
      <c r="H269" s="21"/>
      <c r="I269" s="23"/>
      <c r="J269" s="121"/>
      <c r="K269" s="121"/>
      <c r="L269" s="26"/>
      <c r="M269" s="26"/>
      <c r="N269" s="26"/>
      <c r="O269" s="26"/>
      <c r="P269" s="26"/>
      <c r="Q269" s="26"/>
      <c r="R269" s="26"/>
      <c r="S269" s="23"/>
      <c r="T269" s="26"/>
      <c r="U269" s="26" t="str">
        <f t="shared" si="40"/>
        <v/>
      </c>
      <c r="V269" s="27"/>
      <c r="W269" s="122"/>
      <c r="X269" s="123">
        <f t="shared" si="41"/>
        <v>0</v>
      </c>
      <c r="Y269" s="124" t="e">
        <f t="shared" si="42"/>
        <v>#DIV/0!</v>
      </c>
      <c r="Z269" s="124"/>
      <c r="AA269" s="124" t="e">
        <f t="shared" si="43"/>
        <v>#DIV/0!</v>
      </c>
      <c r="AB269" s="125" t="e">
        <f t="shared" si="44"/>
        <v>#DIV/0!</v>
      </c>
      <c r="AC269" s="31" t="e">
        <f t="shared" si="45"/>
        <v>#DIV/0!</v>
      </c>
      <c r="AD269" s="126"/>
      <c r="AE269" s="127"/>
      <c r="AF269" s="127" t="e">
        <f t="shared" si="46"/>
        <v>#DIV/0!</v>
      </c>
      <c r="AG269" s="128" t="e">
        <f t="shared" si="47"/>
        <v>#DIV/0!</v>
      </c>
      <c r="AH269" s="128" t="e">
        <f t="shared" si="48"/>
        <v>#DIV/0!</v>
      </c>
      <c r="AI269" s="127" t="e">
        <f t="shared" si="49"/>
        <v>#DIV/0!</v>
      </c>
    </row>
    <row r="270" ht="15.5" customHeight="1" spans="1:35">
      <c r="A270" s="63"/>
      <c r="B270" s="56"/>
      <c r="C270" s="56"/>
      <c r="D270" s="59"/>
      <c r="E270" s="63"/>
      <c r="F270" s="24"/>
      <c r="G270" s="63"/>
      <c r="H270" s="21"/>
      <c r="I270" s="23"/>
      <c r="J270" s="121"/>
      <c r="K270" s="121"/>
      <c r="L270" s="26"/>
      <c r="M270" s="26"/>
      <c r="N270" s="26"/>
      <c r="O270" s="26"/>
      <c r="P270" s="26"/>
      <c r="Q270" s="26"/>
      <c r="R270" s="26"/>
      <c r="S270" s="23"/>
      <c r="T270" s="26"/>
      <c r="U270" s="26" t="str">
        <f t="shared" si="40"/>
        <v/>
      </c>
      <c r="V270" s="27"/>
      <c r="W270" s="122"/>
      <c r="X270" s="123">
        <f t="shared" si="41"/>
        <v>0</v>
      </c>
      <c r="Y270" s="124" t="e">
        <f t="shared" si="42"/>
        <v>#DIV/0!</v>
      </c>
      <c r="Z270" s="124"/>
      <c r="AA270" s="124" t="e">
        <f t="shared" si="43"/>
        <v>#DIV/0!</v>
      </c>
      <c r="AB270" s="125" t="e">
        <f t="shared" si="44"/>
        <v>#DIV/0!</v>
      </c>
      <c r="AC270" s="31" t="e">
        <f t="shared" si="45"/>
        <v>#DIV/0!</v>
      </c>
      <c r="AD270" s="126"/>
      <c r="AE270" s="127"/>
      <c r="AF270" s="127" t="e">
        <f t="shared" si="46"/>
        <v>#DIV/0!</v>
      </c>
      <c r="AG270" s="128" t="e">
        <f t="shared" si="47"/>
        <v>#DIV/0!</v>
      </c>
      <c r="AH270" s="128" t="e">
        <f t="shared" si="48"/>
        <v>#DIV/0!</v>
      </c>
      <c r="AI270" s="127" t="e">
        <f t="shared" si="49"/>
        <v>#DIV/0!</v>
      </c>
    </row>
    <row r="271" ht="15.5" customHeight="1" spans="1:35">
      <c r="A271" s="63"/>
      <c r="B271" s="56"/>
      <c r="C271" s="56"/>
      <c r="D271" s="59"/>
      <c r="E271" s="63"/>
      <c r="F271" s="24"/>
      <c r="G271" s="63"/>
      <c r="H271" s="21"/>
      <c r="I271" s="23"/>
      <c r="J271" s="121"/>
      <c r="K271" s="121"/>
      <c r="L271" s="26"/>
      <c r="M271" s="26"/>
      <c r="N271" s="26"/>
      <c r="O271" s="26"/>
      <c r="P271" s="26"/>
      <c r="Q271" s="26"/>
      <c r="R271" s="26"/>
      <c r="S271" s="23"/>
      <c r="T271" s="26"/>
      <c r="U271" s="26" t="str">
        <f t="shared" si="40"/>
        <v/>
      </c>
      <c r="V271" s="27"/>
      <c r="W271" s="122"/>
      <c r="X271" s="123">
        <f t="shared" si="41"/>
        <v>0</v>
      </c>
      <c r="Y271" s="124" t="e">
        <f t="shared" si="42"/>
        <v>#DIV/0!</v>
      </c>
      <c r="Z271" s="124"/>
      <c r="AA271" s="124" t="e">
        <f t="shared" si="43"/>
        <v>#DIV/0!</v>
      </c>
      <c r="AB271" s="125" t="e">
        <f t="shared" si="44"/>
        <v>#DIV/0!</v>
      </c>
      <c r="AC271" s="31" t="e">
        <f t="shared" si="45"/>
        <v>#DIV/0!</v>
      </c>
      <c r="AD271" s="126"/>
      <c r="AE271" s="127"/>
      <c r="AF271" s="127" t="e">
        <f t="shared" si="46"/>
        <v>#DIV/0!</v>
      </c>
      <c r="AG271" s="128" t="e">
        <f t="shared" si="47"/>
        <v>#DIV/0!</v>
      </c>
      <c r="AH271" s="128" t="e">
        <f t="shared" si="48"/>
        <v>#DIV/0!</v>
      </c>
      <c r="AI271" s="127" t="e">
        <f t="shared" si="49"/>
        <v>#DIV/0!</v>
      </c>
    </row>
    <row r="272" ht="15.5" customHeight="1" spans="1:35">
      <c r="A272" s="63"/>
      <c r="B272" s="56"/>
      <c r="C272" s="56"/>
      <c r="D272" s="59"/>
      <c r="E272" s="63"/>
      <c r="F272" s="24"/>
      <c r="G272" s="63"/>
      <c r="H272" s="21"/>
      <c r="I272" s="23"/>
      <c r="J272" s="121"/>
      <c r="K272" s="121"/>
      <c r="L272" s="26"/>
      <c r="M272" s="26"/>
      <c r="N272" s="26"/>
      <c r="O272" s="26"/>
      <c r="P272" s="26"/>
      <c r="Q272" s="26"/>
      <c r="R272" s="26"/>
      <c r="S272" s="23"/>
      <c r="T272" s="26"/>
      <c r="U272" s="26" t="str">
        <f t="shared" si="40"/>
        <v/>
      </c>
      <c r="V272" s="27"/>
      <c r="W272" s="122"/>
      <c r="X272" s="123">
        <f t="shared" si="41"/>
        <v>0</v>
      </c>
      <c r="Y272" s="124" t="e">
        <f t="shared" si="42"/>
        <v>#DIV/0!</v>
      </c>
      <c r="Z272" s="124"/>
      <c r="AA272" s="124" t="e">
        <f t="shared" si="43"/>
        <v>#DIV/0!</v>
      </c>
      <c r="AB272" s="125" t="e">
        <f t="shared" si="44"/>
        <v>#DIV/0!</v>
      </c>
      <c r="AC272" s="31" t="e">
        <f t="shared" si="45"/>
        <v>#DIV/0!</v>
      </c>
      <c r="AD272" s="126"/>
      <c r="AE272" s="127"/>
      <c r="AF272" s="127" t="e">
        <f t="shared" si="46"/>
        <v>#DIV/0!</v>
      </c>
      <c r="AG272" s="128" t="e">
        <f t="shared" si="47"/>
        <v>#DIV/0!</v>
      </c>
      <c r="AH272" s="128" t="e">
        <f t="shared" si="48"/>
        <v>#DIV/0!</v>
      </c>
      <c r="AI272" s="127" t="e">
        <f t="shared" si="49"/>
        <v>#DIV/0!</v>
      </c>
    </row>
    <row r="273" ht="15.5" customHeight="1" spans="1:35">
      <c r="A273" s="63"/>
      <c r="B273" s="56"/>
      <c r="C273" s="56"/>
      <c r="D273" s="59"/>
      <c r="E273" s="63"/>
      <c r="F273" s="24"/>
      <c r="G273" s="63"/>
      <c r="H273" s="21"/>
      <c r="I273" s="23"/>
      <c r="J273" s="121"/>
      <c r="K273" s="121"/>
      <c r="L273" s="26"/>
      <c r="M273" s="26"/>
      <c r="N273" s="26"/>
      <c r="O273" s="26"/>
      <c r="P273" s="26"/>
      <c r="Q273" s="26"/>
      <c r="R273" s="26"/>
      <c r="S273" s="23"/>
      <c r="T273" s="26"/>
      <c r="U273" s="26" t="str">
        <f t="shared" si="40"/>
        <v/>
      </c>
      <c r="V273" s="27"/>
      <c r="W273" s="122"/>
      <c r="X273" s="123">
        <f t="shared" si="41"/>
        <v>0</v>
      </c>
      <c r="Y273" s="124" t="e">
        <f t="shared" si="42"/>
        <v>#DIV/0!</v>
      </c>
      <c r="Z273" s="124"/>
      <c r="AA273" s="124" t="e">
        <f t="shared" si="43"/>
        <v>#DIV/0!</v>
      </c>
      <c r="AB273" s="125" t="e">
        <f t="shared" si="44"/>
        <v>#DIV/0!</v>
      </c>
      <c r="AC273" s="31" t="e">
        <f t="shared" si="45"/>
        <v>#DIV/0!</v>
      </c>
      <c r="AD273" s="126"/>
      <c r="AE273" s="127"/>
      <c r="AF273" s="127" t="e">
        <f t="shared" si="46"/>
        <v>#DIV/0!</v>
      </c>
      <c r="AG273" s="128" t="e">
        <f t="shared" si="47"/>
        <v>#DIV/0!</v>
      </c>
      <c r="AH273" s="128" t="e">
        <f t="shared" si="48"/>
        <v>#DIV/0!</v>
      </c>
      <c r="AI273" s="127" t="e">
        <f t="shared" si="49"/>
        <v>#DIV/0!</v>
      </c>
    </row>
    <row r="274" ht="15.5" customHeight="1" spans="1:35">
      <c r="A274" s="63"/>
      <c r="B274" s="56"/>
      <c r="C274" s="56"/>
      <c r="D274" s="59"/>
      <c r="E274" s="63"/>
      <c r="F274" s="24"/>
      <c r="G274" s="63"/>
      <c r="H274" s="21"/>
      <c r="I274" s="23"/>
      <c r="J274" s="121"/>
      <c r="K274" s="121"/>
      <c r="L274" s="26"/>
      <c r="M274" s="26"/>
      <c r="N274" s="26"/>
      <c r="O274" s="26"/>
      <c r="P274" s="26"/>
      <c r="Q274" s="26"/>
      <c r="R274" s="26"/>
      <c r="S274" s="23"/>
      <c r="T274" s="26"/>
      <c r="U274" s="26" t="str">
        <f t="shared" si="40"/>
        <v/>
      </c>
      <c r="V274" s="27"/>
      <c r="W274" s="122"/>
      <c r="X274" s="123">
        <f t="shared" si="41"/>
        <v>0</v>
      </c>
      <c r="Y274" s="124" t="e">
        <f t="shared" si="42"/>
        <v>#DIV/0!</v>
      </c>
      <c r="Z274" s="124"/>
      <c r="AA274" s="124" t="e">
        <f t="shared" si="43"/>
        <v>#DIV/0!</v>
      </c>
      <c r="AB274" s="125" t="e">
        <f t="shared" si="44"/>
        <v>#DIV/0!</v>
      </c>
      <c r="AC274" s="31" t="e">
        <f t="shared" si="45"/>
        <v>#DIV/0!</v>
      </c>
      <c r="AD274" s="126"/>
      <c r="AE274" s="127"/>
      <c r="AF274" s="127" t="e">
        <f t="shared" si="46"/>
        <v>#DIV/0!</v>
      </c>
      <c r="AG274" s="128" t="e">
        <f t="shared" si="47"/>
        <v>#DIV/0!</v>
      </c>
      <c r="AH274" s="128" t="e">
        <f t="shared" si="48"/>
        <v>#DIV/0!</v>
      </c>
      <c r="AI274" s="127" t="e">
        <f t="shared" si="49"/>
        <v>#DIV/0!</v>
      </c>
    </row>
    <row r="275" ht="15.5" customHeight="1" spans="1:35">
      <c r="A275" s="63"/>
      <c r="B275" s="56"/>
      <c r="C275" s="56"/>
      <c r="D275" s="59"/>
      <c r="E275" s="63"/>
      <c r="F275" s="24"/>
      <c r="G275" s="63"/>
      <c r="H275" s="21"/>
      <c r="I275" s="23"/>
      <c r="J275" s="121"/>
      <c r="K275" s="121"/>
      <c r="L275" s="26"/>
      <c r="M275" s="26"/>
      <c r="N275" s="26"/>
      <c r="O275" s="26"/>
      <c r="P275" s="26"/>
      <c r="Q275" s="26"/>
      <c r="R275" s="26"/>
      <c r="S275" s="23"/>
      <c r="T275" s="26"/>
      <c r="U275" s="26" t="str">
        <f t="shared" si="40"/>
        <v/>
      </c>
      <c r="V275" s="27"/>
      <c r="W275" s="122"/>
      <c r="X275" s="123">
        <f t="shared" si="41"/>
        <v>0</v>
      </c>
      <c r="Y275" s="124" t="e">
        <f t="shared" si="42"/>
        <v>#DIV/0!</v>
      </c>
      <c r="Z275" s="124"/>
      <c r="AA275" s="124" t="e">
        <f t="shared" si="43"/>
        <v>#DIV/0!</v>
      </c>
      <c r="AB275" s="125" t="e">
        <f t="shared" si="44"/>
        <v>#DIV/0!</v>
      </c>
      <c r="AC275" s="31" t="e">
        <f t="shared" si="45"/>
        <v>#DIV/0!</v>
      </c>
      <c r="AD275" s="126"/>
      <c r="AE275" s="127"/>
      <c r="AF275" s="127" t="e">
        <f t="shared" si="46"/>
        <v>#DIV/0!</v>
      </c>
      <c r="AG275" s="128" t="e">
        <f t="shared" si="47"/>
        <v>#DIV/0!</v>
      </c>
      <c r="AH275" s="128" t="e">
        <f t="shared" si="48"/>
        <v>#DIV/0!</v>
      </c>
      <c r="AI275" s="127" t="e">
        <f t="shared" si="49"/>
        <v>#DIV/0!</v>
      </c>
    </row>
    <row r="276" ht="15.5" customHeight="1" spans="1:35">
      <c r="A276" s="63"/>
      <c r="B276" s="56"/>
      <c r="C276" s="56"/>
      <c r="D276" s="59"/>
      <c r="E276" s="63"/>
      <c r="F276" s="24"/>
      <c r="G276" s="63"/>
      <c r="H276" s="21"/>
      <c r="I276" s="23"/>
      <c r="J276" s="121"/>
      <c r="K276" s="121"/>
      <c r="L276" s="26"/>
      <c r="M276" s="26"/>
      <c r="N276" s="26"/>
      <c r="O276" s="26"/>
      <c r="P276" s="26"/>
      <c r="Q276" s="26"/>
      <c r="R276" s="26"/>
      <c r="S276" s="23"/>
      <c r="T276" s="26"/>
      <c r="U276" s="26" t="str">
        <f t="shared" si="40"/>
        <v/>
      </c>
      <c r="V276" s="27"/>
      <c r="W276" s="122"/>
      <c r="X276" s="123">
        <f t="shared" si="41"/>
        <v>0</v>
      </c>
      <c r="Y276" s="124" t="e">
        <f t="shared" si="42"/>
        <v>#DIV/0!</v>
      </c>
      <c r="Z276" s="124"/>
      <c r="AA276" s="124" t="e">
        <f t="shared" si="43"/>
        <v>#DIV/0!</v>
      </c>
      <c r="AB276" s="125" t="e">
        <f t="shared" si="44"/>
        <v>#DIV/0!</v>
      </c>
      <c r="AC276" s="31" t="e">
        <f t="shared" si="45"/>
        <v>#DIV/0!</v>
      </c>
      <c r="AD276" s="126"/>
      <c r="AE276" s="127"/>
      <c r="AF276" s="127" t="e">
        <f t="shared" si="46"/>
        <v>#DIV/0!</v>
      </c>
      <c r="AG276" s="128" t="e">
        <f t="shared" si="47"/>
        <v>#DIV/0!</v>
      </c>
      <c r="AH276" s="128" t="e">
        <f t="shared" si="48"/>
        <v>#DIV/0!</v>
      </c>
      <c r="AI276" s="127" t="e">
        <f t="shared" si="49"/>
        <v>#DIV/0!</v>
      </c>
    </row>
    <row r="277" ht="15.5" customHeight="1" spans="1:35">
      <c r="A277" s="63"/>
      <c r="B277" s="56"/>
      <c r="C277" s="56"/>
      <c r="D277" s="59"/>
      <c r="E277" s="63"/>
      <c r="F277" s="24"/>
      <c r="G277" s="63"/>
      <c r="H277" s="21"/>
      <c r="I277" s="23"/>
      <c r="J277" s="121"/>
      <c r="K277" s="121"/>
      <c r="L277" s="26"/>
      <c r="M277" s="26"/>
      <c r="N277" s="26"/>
      <c r="O277" s="26"/>
      <c r="P277" s="26"/>
      <c r="Q277" s="26"/>
      <c r="R277" s="26"/>
      <c r="S277" s="23"/>
      <c r="T277" s="26"/>
      <c r="U277" s="26" t="str">
        <f t="shared" si="40"/>
        <v/>
      </c>
      <c r="V277" s="27"/>
      <c r="W277" s="122"/>
      <c r="X277" s="123">
        <f t="shared" si="41"/>
        <v>0</v>
      </c>
      <c r="Y277" s="124" t="e">
        <f t="shared" si="42"/>
        <v>#DIV/0!</v>
      </c>
      <c r="Z277" s="124"/>
      <c r="AA277" s="124" t="e">
        <f t="shared" si="43"/>
        <v>#DIV/0!</v>
      </c>
      <c r="AB277" s="125" t="e">
        <f t="shared" si="44"/>
        <v>#DIV/0!</v>
      </c>
      <c r="AC277" s="31" t="e">
        <f t="shared" si="45"/>
        <v>#DIV/0!</v>
      </c>
      <c r="AD277" s="126"/>
      <c r="AE277" s="127"/>
      <c r="AF277" s="127" t="e">
        <f t="shared" si="46"/>
        <v>#DIV/0!</v>
      </c>
      <c r="AG277" s="128" t="e">
        <f t="shared" si="47"/>
        <v>#DIV/0!</v>
      </c>
      <c r="AH277" s="128" t="e">
        <f t="shared" si="48"/>
        <v>#DIV/0!</v>
      </c>
      <c r="AI277" s="127" t="e">
        <f t="shared" si="49"/>
        <v>#DIV/0!</v>
      </c>
    </row>
    <row r="278" ht="15.5" customHeight="1" spans="1:35">
      <c r="A278" s="63"/>
      <c r="B278" s="56"/>
      <c r="C278" s="56"/>
      <c r="D278" s="59"/>
      <c r="E278" s="63"/>
      <c r="F278" s="24"/>
      <c r="G278" s="63"/>
      <c r="H278" s="21"/>
      <c r="I278" s="23"/>
      <c r="J278" s="121"/>
      <c r="K278" s="121"/>
      <c r="L278" s="26"/>
      <c r="M278" s="26"/>
      <c r="N278" s="26"/>
      <c r="O278" s="26"/>
      <c r="P278" s="26"/>
      <c r="Q278" s="26"/>
      <c r="R278" s="26"/>
      <c r="S278" s="23"/>
      <c r="T278" s="26"/>
      <c r="U278" s="26" t="str">
        <f t="shared" si="40"/>
        <v/>
      </c>
      <c r="V278" s="27"/>
      <c r="W278" s="122"/>
      <c r="X278" s="123">
        <f t="shared" si="41"/>
        <v>0</v>
      </c>
      <c r="Y278" s="124" t="e">
        <f t="shared" si="42"/>
        <v>#DIV/0!</v>
      </c>
      <c r="Z278" s="124"/>
      <c r="AA278" s="124" t="e">
        <f t="shared" si="43"/>
        <v>#DIV/0!</v>
      </c>
      <c r="AB278" s="125" t="e">
        <f t="shared" si="44"/>
        <v>#DIV/0!</v>
      </c>
      <c r="AC278" s="31" t="e">
        <f t="shared" si="45"/>
        <v>#DIV/0!</v>
      </c>
      <c r="AD278" s="126"/>
      <c r="AE278" s="127"/>
      <c r="AF278" s="127" t="e">
        <f t="shared" si="46"/>
        <v>#DIV/0!</v>
      </c>
      <c r="AG278" s="128" t="e">
        <f t="shared" si="47"/>
        <v>#DIV/0!</v>
      </c>
      <c r="AH278" s="128" t="e">
        <f t="shared" si="48"/>
        <v>#DIV/0!</v>
      </c>
      <c r="AI278" s="127" t="e">
        <f t="shared" si="49"/>
        <v>#DIV/0!</v>
      </c>
    </row>
    <row r="279" ht="15.5" customHeight="1" spans="1:35">
      <c r="A279" s="63"/>
      <c r="B279" s="56"/>
      <c r="C279" s="56"/>
      <c r="D279" s="59"/>
      <c r="E279" s="63"/>
      <c r="F279" s="24"/>
      <c r="G279" s="63"/>
      <c r="H279" s="21"/>
      <c r="I279" s="23"/>
      <c r="J279" s="121"/>
      <c r="K279" s="121"/>
      <c r="L279" s="26"/>
      <c r="M279" s="26"/>
      <c r="N279" s="26"/>
      <c r="O279" s="26"/>
      <c r="P279" s="26"/>
      <c r="Q279" s="26"/>
      <c r="R279" s="26"/>
      <c r="S279" s="23"/>
      <c r="T279" s="26"/>
      <c r="U279" s="26" t="str">
        <f t="shared" si="40"/>
        <v/>
      </c>
      <c r="V279" s="27"/>
      <c r="W279" s="122"/>
      <c r="X279" s="123">
        <f t="shared" si="41"/>
        <v>0</v>
      </c>
      <c r="Y279" s="124" t="e">
        <f t="shared" si="42"/>
        <v>#DIV/0!</v>
      </c>
      <c r="Z279" s="124"/>
      <c r="AA279" s="124" t="e">
        <f t="shared" si="43"/>
        <v>#DIV/0!</v>
      </c>
      <c r="AB279" s="125" t="e">
        <f t="shared" si="44"/>
        <v>#DIV/0!</v>
      </c>
      <c r="AC279" s="31" t="e">
        <f t="shared" si="45"/>
        <v>#DIV/0!</v>
      </c>
      <c r="AD279" s="126"/>
      <c r="AE279" s="127"/>
      <c r="AF279" s="127" t="e">
        <f t="shared" si="46"/>
        <v>#DIV/0!</v>
      </c>
      <c r="AG279" s="128" t="e">
        <f t="shared" si="47"/>
        <v>#DIV/0!</v>
      </c>
      <c r="AH279" s="128" t="e">
        <f t="shared" si="48"/>
        <v>#DIV/0!</v>
      </c>
      <c r="AI279" s="127" t="e">
        <f t="shared" si="49"/>
        <v>#DIV/0!</v>
      </c>
    </row>
    <row r="280" ht="15.5" customHeight="1" spans="1:35">
      <c r="A280" s="63"/>
      <c r="B280" s="56"/>
      <c r="C280" s="56"/>
      <c r="D280" s="59"/>
      <c r="E280" s="63"/>
      <c r="F280" s="24"/>
      <c r="G280" s="63"/>
      <c r="H280" s="21"/>
      <c r="I280" s="23"/>
      <c r="J280" s="121"/>
      <c r="K280" s="121"/>
      <c r="L280" s="26"/>
      <c r="M280" s="26"/>
      <c r="N280" s="26"/>
      <c r="O280" s="26"/>
      <c r="P280" s="26"/>
      <c r="Q280" s="26"/>
      <c r="R280" s="26"/>
      <c r="S280" s="23"/>
      <c r="T280" s="26"/>
      <c r="U280" s="26" t="str">
        <f t="shared" si="40"/>
        <v/>
      </c>
      <c r="V280" s="27"/>
      <c r="W280" s="122"/>
      <c r="X280" s="123">
        <f t="shared" si="41"/>
        <v>0</v>
      </c>
      <c r="Y280" s="124" t="e">
        <f t="shared" si="42"/>
        <v>#DIV/0!</v>
      </c>
      <c r="Z280" s="124"/>
      <c r="AA280" s="124" t="e">
        <f t="shared" si="43"/>
        <v>#DIV/0!</v>
      </c>
      <c r="AB280" s="125" t="e">
        <f t="shared" si="44"/>
        <v>#DIV/0!</v>
      </c>
      <c r="AC280" s="31" t="e">
        <f t="shared" si="45"/>
        <v>#DIV/0!</v>
      </c>
      <c r="AD280" s="126"/>
      <c r="AE280" s="127"/>
      <c r="AF280" s="127" t="e">
        <f t="shared" si="46"/>
        <v>#DIV/0!</v>
      </c>
      <c r="AG280" s="128" t="e">
        <f t="shared" si="47"/>
        <v>#DIV/0!</v>
      </c>
      <c r="AH280" s="128" t="e">
        <f t="shared" si="48"/>
        <v>#DIV/0!</v>
      </c>
      <c r="AI280" s="127" t="e">
        <f t="shared" si="49"/>
        <v>#DIV/0!</v>
      </c>
    </row>
    <row r="281" ht="15.5" customHeight="1" spans="1:35">
      <c r="A281" s="63"/>
      <c r="B281" s="56"/>
      <c r="C281" s="56"/>
      <c r="D281" s="59"/>
      <c r="E281" s="63"/>
      <c r="F281" s="24"/>
      <c r="G281" s="63"/>
      <c r="H281" s="21"/>
      <c r="I281" s="23"/>
      <c r="J281" s="121"/>
      <c r="K281" s="121"/>
      <c r="L281" s="26"/>
      <c r="M281" s="26"/>
      <c r="N281" s="26"/>
      <c r="O281" s="26"/>
      <c r="P281" s="26"/>
      <c r="Q281" s="26"/>
      <c r="R281" s="26"/>
      <c r="S281" s="23"/>
      <c r="T281" s="26"/>
      <c r="U281" s="26" t="str">
        <f t="shared" si="40"/>
        <v/>
      </c>
      <c r="V281" s="27"/>
      <c r="W281" s="122"/>
      <c r="X281" s="123">
        <f t="shared" si="41"/>
        <v>0</v>
      </c>
      <c r="Y281" s="124" t="e">
        <f t="shared" si="42"/>
        <v>#DIV/0!</v>
      </c>
      <c r="Z281" s="124"/>
      <c r="AA281" s="124" t="e">
        <f t="shared" si="43"/>
        <v>#DIV/0!</v>
      </c>
      <c r="AB281" s="125" t="e">
        <f t="shared" si="44"/>
        <v>#DIV/0!</v>
      </c>
      <c r="AC281" s="31" t="e">
        <f t="shared" si="45"/>
        <v>#DIV/0!</v>
      </c>
      <c r="AD281" s="126"/>
      <c r="AE281" s="127"/>
      <c r="AF281" s="127" t="e">
        <f t="shared" si="46"/>
        <v>#DIV/0!</v>
      </c>
      <c r="AG281" s="128" t="e">
        <f t="shared" si="47"/>
        <v>#DIV/0!</v>
      </c>
      <c r="AH281" s="128" t="e">
        <f t="shared" si="48"/>
        <v>#DIV/0!</v>
      </c>
      <c r="AI281" s="127" t="e">
        <f t="shared" si="49"/>
        <v>#DIV/0!</v>
      </c>
    </row>
    <row r="282" ht="15.5" customHeight="1" spans="1:35">
      <c r="A282" s="63"/>
      <c r="B282" s="56"/>
      <c r="C282" s="56"/>
      <c r="D282" s="59"/>
      <c r="E282" s="63"/>
      <c r="F282" s="24"/>
      <c r="G282" s="63"/>
      <c r="H282" s="21"/>
      <c r="I282" s="23"/>
      <c r="J282" s="121"/>
      <c r="K282" s="121"/>
      <c r="L282" s="26"/>
      <c r="M282" s="26"/>
      <c r="N282" s="26"/>
      <c r="O282" s="26"/>
      <c r="P282" s="26"/>
      <c r="Q282" s="26"/>
      <c r="R282" s="26"/>
      <c r="S282" s="23"/>
      <c r="T282" s="26"/>
      <c r="U282" s="26" t="str">
        <f t="shared" si="40"/>
        <v/>
      </c>
      <c r="V282" s="27"/>
      <c r="W282" s="122"/>
      <c r="X282" s="123">
        <f t="shared" si="41"/>
        <v>0</v>
      </c>
      <c r="Y282" s="124" t="e">
        <f t="shared" si="42"/>
        <v>#DIV/0!</v>
      </c>
      <c r="Z282" s="124"/>
      <c r="AA282" s="124" t="e">
        <f t="shared" si="43"/>
        <v>#DIV/0!</v>
      </c>
      <c r="AB282" s="125" t="e">
        <f t="shared" si="44"/>
        <v>#DIV/0!</v>
      </c>
      <c r="AC282" s="31" t="e">
        <f t="shared" si="45"/>
        <v>#DIV/0!</v>
      </c>
      <c r="AD282" s="126"/>
      <c r="AE282" s="127"/>
      <c r="AF282" s="127" t="e">
        <f t="shared" si="46"/>
        <v>#DIV/0!</v>
      </c>
      <c r="AG282" s="128" t="e">
        <f t="shared" si="47"/>
        <v>#DIV/0!</v>
      </c>
      <c r="AH282" s="128" t="e">
        <f t="shared" si="48"/>
        <v>#DIV/0!</v>
      </c>
      <c r="AI282" s="127" t="e">
        <f t="shared" si="49"/>
        <v>#DIV/0!</v>
      </c>
    </row>
    <row r="283" ht="15.5" customHeight="1" spans="1:35">
      <c r="A283" s="63"/>
      <c r="B283" s="56"/>
      <c r="C283" s="56"/>
      <c r="D283" s="59"/>
      <c r="E283" s="63"/>
      <c r="F283" s="24"/>
      <c r="G283" s="63"/>
      <c r="H283" s="21"/>
      <c r="I283" s="23"/>
      <c r="J283" s="121"/>
      <c r="K283" s="121"/>
      <c r="L283" s="26"/>
      <c r="M283" s="26"/>
      <c r="N283" s="26"/>
      <c r="O283" s="26"/>
      <c r="P283" s="26"/>
      <c r="Q283" s="26"/>
      <c r="R283" s="26"/>
      <c r="S283" s="23"/>
      <c r="T283" s="26"/>
      <c r="U283" s="26" t="str">
        <f t="shared" si="40"/>
        <v/>
      </c>
      <c r="V283" s="27"/>
      <c r="W283" s="122"/>
      <c r="X283" s="123">
        <f t="shared" si="41"/>
        <v>0</v>
      </c>
      <c r="Y283" s="124" t="e">
        <f t="shared" si="42"/>
        <v>#DIV/0!</v>
      </c>
      <c r="Z283" s="124"/>
      <c r="AA283" s="124" t="e">
        <f t="shared" si="43"/>
        <v>#DIV/0!</v>
      </c>
      <c r="AB283" s="125" t="e">
        <f t="shared" si="44"/>
        <v>#DIV/0!</v>
      </c>
      <c r="AC283" s="31" t="e">
        <f t="shared" si="45"/>
        <v>#DIV/0!</v>
      </c>
      <c r="AD283" s="126"/>
      <c r="AE283" s="127"/>
      <c r="AF283" s="127" t="e">
        <f t="shared" si="46"/>
        <v>#DIV/0!</v>
      </c>
      <c r="AG283" s="128" t="e">
        <f t="shared" si="47"/>
        <v>#DIV/0!</v>
      </c>
      <c r="AH283" s="128" t="e">
        <f t="shared" si="48"/>
        <v>#DIV/0!</v>
      </c>
      <c r="AI283" s="127" t="e">
        <f t="shared" si="49"/>
        <v>#DIV/0!</v>
      </c>
    </row>
    <row r="284" ht="15.5" customHeight="1" spans="1:35">
      <c r="A284" s="63"/>
      <c r="B284" s="56"/>
      <c r="C284" s="56"/>
      <c r="D284" s="59"/>
      <c r="E284" s="63"/>
      <c r="F284" s="24"/>
      <c r="G284" s="63"/>
      <c r="H284" s="21"/>
      <c r="I284" s="23"/>
      <c r="J284" s="121"/>
      <c r="K284" s="121"/>
      <c r="L284" s="26"/>
      <c r="M284" s="26"/>
      <c r="N284" s="26"/>
      <c r="O284" s="26"/>
      <c r="P284" s="26"/>
      <c r="Q284" s="26"/>
      <c r="R284" s="26"/>
      <c r="S284" s="23"/>
      <c r="T284" s="26"/>
      <c r="U284" s="26" t="str">
        <f t="shared" si="40"/>
        <v/>
      </c>
      <c r="V284" s="27"/>
      <c r="W284" s="122"/>
      <c r="X284" s="123">
        <f t="shared" si="41"/>
        <v>0</v>
      </c>
      <c r="Y284" s="124" t="e">
        <f t="shared" si="42"/>
        <v>#DIV/0!</v>
      </c>
      <c r="Z284" s="124"/>
      <c r="AA284" s="124" t="e">
        <f t="shared" si="43"/>
        <v>#DIV/0!</v>
      </c>
      <c r="AB284" s="125" t="e">
        <f t="shared" si="44"/>
        <v>#DIV/0!</v>
      </c>
      <c r="AC284" s="31" t="e">
        <f t="shared" si="45"/>
        <v>#DIV/0!</v>
      </c>
      <c r="AD284" s="126"/>
      <c r="AE284" s="127"/>
      <c r="AF284" s="127" t="e">
        <f t="shared" si="46"/>
        <v>#DIV/0!</v>
      </c>
      <c r="AG284" s="128" t="e">
        <f t="shared" si="47"/>
        <v>#DIV/0!</v>
      </c>
      <c r="AH284" s="128" t="e">
        <f t="shared" si="48"/>
        <v>#DIV/0!</v>
      </c>
      <c r="AI284" s="127" t="e">
        <f t="shared" si="49"/>
        <v>#DIV/0!</v>
      </c>
    </row>
    <row r="285" ht="15.5" customHeight="1" spans="1:35">
      <c r="A285" s="63"/>
      <c r="B285" s="56"/>
      <c r="C285" s="56"/>
      <c r="D285" s="59"/>
      <c r="E285" s="63"/>
      <c r="F285" s="24"/>
      <c r="G285" s="63"/>
      <c r="H285" s="21"/>
      <c r="I285" s="23"/>
      <c r="J285" s="121"/>
      <c r="K285" s="121"/>
      <c r="L285" s="26"/>
      <c r="M285" s="26"/>
      <c r="N285" s="26"/>
      <c r="O285" s="26"/>
      <c r="P285" s="26"/>
      <c r="Q285" s="26"/>
      <c r="R285" s="26"/>
      <c r="S285" s="23"/>
      <c r="T285" s="26"/>
      <c r="U285" s="26" t="str">
        <f t="shared" si="40"/>
        <v/>
      </c>
      <c r="V285" s="27"/>
      <c r="W285" s="122"/>
      <c r="X285" s="123">
        <f t="shared" si="41"/>
        <v>0</v>
      </c>
      <c r="Y285" s="124" t="e">
        <f t="shared" si="42"/>
        <v>#DIV/0!</v>
      </c>
      <c r="Z285" s="124"/>
      <c r="AA285" s="124" t="e">
        <f t="shared" si="43"/>
        <v>#DIV/0!</v>
      </c>
      <c r="AB285" s="125" t="e">
        <f t="shared" si="44"/>
        <v>#DIV/0!</v>
      </c>
      <c r="AC285" s="31" t="e">
        <f t="shared" si="45"/>
        <v>#DIV/0!</v>
      </c>
      <c r="AD285" s="126"/>
      <c r="AE285" s="127"/>
      <c r="AF285" s="127" t="e">
        <f t="shared" si="46"/>
        <v>#DIV/0!</v>
      </c>
      <c r="AG285" s="128" t="e">
        <f t="shared" si="47"/>
        <v>#DIV/0!</v>
      </c>
      <c r="AH285" s="128" t="e">
        <f t="shared" si="48"/>
        <v>#DIV/0!</v>
      </c>
      <c r="AI285" s="127" t="e">
        <f t="shared" si="49"/>
        <v>#DIV/0!</v>
      </c>
    </row>
    <row r="286" ht="15.5" customHeight="1" spans="1:35">
      <c r="A286" s="63"/>
      <c r="B286" s="56"/>
      <c r="C286" s="56"/>
      <c r="D286" s="59"/>
      <c r="E286" s="63"/>
      <c r="F286" s="24"/>
      <c r="G286" s="63"/>
      <c r="H286" s="21"/>
      <c r="I286" s="23"/>
      <c r="J286" s="121"/>
      <c r="K286" s="121"/>
      <c r="L286" s="26"/>
      <c r="M286" s="26"/>
      <c r="N286" s="26"/>
      <c r="O286" s="26"/>
      <c r="P286" s="26"/>
      <c r="Q286" s="26"/>
      <c r="R286" s="26"/>
      <c r="S286" s="23"/>
      <c r="T286" s="26"/>
      <c r="U286" s="26" t="str">
        <f t="shared" si="40"/>
        <v/>
      </c>
      <c r="V286" s="27"/>
      <c r="W286" s="122"/>
      <c r="X286" s="123">
        <f t="shared" si="41"/>
        <v>0</v>
      </c>
      <c r="Y286" s="124" t="e">
        <f t="shared" si="42"/>
        <v>#DIV/0!</v>
      </c>
      <c r="Z286" s="124"/>
      <c r="AA286" s="124" t="e">
        <f t="shared" si="43"/>
        <v>#DIV/0!</v>
      </c>
      <c r="AB286" s="125" t="e">
        <f t="shared" si="44"/>
        <v>#DIV/0!</v>
      </c>
      <c r="AC286" s="31" t="e">
        <f t="shared" si="45"/>
        <v>#DIV/0!</v>
      </c>
      <c r="AD286" s="126"/>
      <c r="AE286" s="127"/>
      <c r="AF286" s="127" t="e">
        <f t="shared" si="46"/>
        <v>#DIV/0!</v>
      </c>
      <c r="AG286" s="128" t="e">
        <f t="shared" si="47"/>
        <v>#DIV/0!</v>
      </c>
      <c r="AH286" s="128" t="e">
        <f t="shared" si="48"/>
        <v>#DIV/0!</v>
      </c>
      <c r="AI286" s="127" t="e">
        <f t="shared" si="49"/>
        <v>#DIV/0!</v>
      </c>
    </row>
    <row r="287" ht="15.5" customHeight="1" spans="1:35">
      <c r="A287" s="63"/>
      <c r="B287" s="56"/>
      <c r="C287" s="56"/>
      <c r="D287" s="59"/>
      <c r="E287" s="63"/>
      <c r="F287" s="24"/>
      <c r="G287" s="63"/>
      <c r="H287" s="21"/>
      <c r="I287" s="23"/>
      <c r="J287" s="121"/>
      <c r="K287" s="121"/>
      <c r="L287" s="26"/>
      <c r="M287" s="26"/>
      <c r="N287" s="26"/>
      <c r="O287" s="26"/>
      <c r="P287" s="26"/>
      <c r="Q287" s="26"/>
      <c r="R287" s="26"/>
      <c r="S287" s="23"/>
      <c r="T287" s="26"/>
      <c r="U287" s="26" t="str">
        <f t="shared" si="40"/>
        <v/>
      </c>
      <c r="V287" s="27"/>
      <c r="W287" s="122"/>
      <c r="X287" s="123">
        <f t="shared" si="41"/>
        <v>0</v>
      </c>
      <c r="Y287" s="124" t="e">
        <f t="shared" si="42"/>
        <v>#DIV/0!</v>
      </c>
      <c r="Z287" s="124"/>
      <c r="AA287" s="124" t="e">
        <f t="shared" si="43"/>
        <v>#DIV/0!</v>
      </c>
      <c r="AB287" s="125" t="e">
        <f t="shared" si="44"/>
        <v>#DIV/0!</v>
      </c>
      <c r="AC287" s="31" t="e">
        <f t="shared" si="45"/>
        <v>#DIV/0!</v>
      </c>
      <c r="AD287" s="126"/>
      <c r="AE287" s="127"/>
      <c r="AF287" s="127" t="e">
        <f t="shared" si="46"/>
        <v>#DIV/0!</v>
      </c>
      <c r="AG287" s="128" t="e">
        <f t="shared" si="47"/>
        <v>#DIV/0!</v>
      </c>
      <c r="AH287" s="128" t="e">
        <f t="shared" si="48"/>
        <v>#DIV/0!</v>
      </c>
      <c r="AI287" s="127" t="e">
        <f t="shared" si="49"/>
        <v>#DIV/0!</v>
      </c>
    </row>
    <row r="288" ht="15.5" customHeight="1" spans="1:35">
      <c r="A288" s="63"/>
      <c r="B288" s="56"/>
      <c r="C288" s="56"/>
      <c r="D288" s="59"/>
      <c r="E288" s="63"/>
      <c r="F288" s="24"/>
      <c r="G288" s="63"/>
      <c r="H288" s="21"/>
      <c r="I288" s="23"/>
      <c r="J288" s="121"/>
      <c r="K288" s="121"/>
      <c r="L288" s="26"/>
      <c r="M288" s="26"/>
      <c r="N288" s="26"/>
      <c r="O288" s="26"/>
      <c r="P288" s="26"/>
      <c r="Q288" s="26"/>
      <c r="R288" s="26"/>
      <c r="S288" s="23"/>
      <c r="T288" s="26"/>
      <c r="U288" s="26" t="str">
        <f t="shared" si="40"/>
        <v/>
      </c>
      <c r="V288" s="27"/>
      <c r="W288" s="122"/>
      <c r="X288" s="123">
        <f t="shared" si="41"/>
        <v>0</v>
      </c>
      <c r="Y288" s="124" t="e">
        <f t="shared" si="42"/>
        <v>#DIV/0!</v>
      </c>
      <c r="Z288" s="124"/>
      <c r="AA288" s="124" t="e">
        <f t="shared" si="43"/>
        <v>#DIV/0!</v>
      </c>
      <c r="AB288" s="125" t="e">
        <f t="shared" si="44"/>
        <v>#DIV/0!</v>
      </c>
      <c r="AC288" s="31" t="e">
        <f t="shared" si="45"/>
        <v>#DIV/0!</v>
      </c>
      <c r="AD288" s="126"/>
      <c r="AE288" s="127"/>
      <c r="AF288" s="127" t="e">
        <f t="shared" si="46"/>
        <v>#DIV/0!</v>
      </c>
      <c r="AG288" s="128" t="e">
        <f t="shared" si="47"/>
        <v>#DIV/0!</v>
      </c>
      <c r="AH288" s="128" t="e">
        <f t="shared" si="48"/>
        <v>#DIV/0!</v>
      </c>
      <c r="AI288" s="127" t="e">
        <f t="shared" si="49"/>
        <v>#DIV/0!</v>
      </c>
    </row>
    <row r="289" ht="15.5" customHeight="1" spans="1:35">
      <c r="A289" s="63"/>
      <c r="B289" s="56"/>
      <c r="C289" s="56"/>
      <c r="D289" s="59"/>
      <c r="E289" s="63"/>
      <c r="F289" s="24"/>
      <c r="G289" s="63"/>
      <c r="H289" s="21"/>
      <c r="I289" s="23"/>
      <c r="J289" s="121"/>
      <c r="K289" s="121"/>
      <c r="L289" s="26"/>
      <c r="M289" s="26"/>
      <c r="N289" s="26"/>
      <c r="O289" s="26"/>
      <c r="P289" s="26"/>
      <c r="Q289" s="26"/>
      <c r="R289" s="26"/>
      <c r="S289" s="23"/>
      <c r="T289" s="26"/>
      <c r="U289" s="26" t="str">
        <f t="shared" si="40"/>
        <v/>
      </c>
      <c r="V289" s="27"/>
      <c r="W289" s="122"/>
      <c r="X289" s="123">
        <f t="shared" si="41"/>
        <v>0</v>
      </c>
      <c r="Y289" s="124" t="e">
        <f t="shared" si="42"/>
        <v>#DIV/0!</v>
      </c>
      <c r="Z289" s="124"/>
      <c r="AA289" s="124" t="e">
        <f t="shared" si="43"/>
        <v>#DIV/0!</v>
      </c>
      <c r="AB289" s="125" t="e">
        <f t="shared" si="44"/>
        <v>#DIV/0!</v>
      </c>
      <c r="AC289" s="31" t="e">
        <f t="shared" si="45"/>
        <v>#DIV/0!</v>
      </c>
      <c r="AD289" s="126"/>
      <c r="AE289" s="127"/>
      <c r="AF289" s="127" t="e">
        <f t="shared" si="46"/>
        <v>#DIV/0!</v>
      </c>
      <c r="AG289" s="128" t="e">
        <f t="shared" si="47"/>
        <v>#DIV/0!</v>
      </c>
      <c r="AH289" s="128" t="e">
        <f t="shared" si="48"/>
        <v>#DIV/0!</v>
      </c>
      <c r="AI289" s="127" t="e">
        <f t="shared" si="49"/>
        <v>#DIV/0!</v>
      </c>
    </row>
    <row r="290" ht="15.5" customHeight="1" spans="1:35">
      <c r="A290" s="63"/>
      <c r="B290" s="56"/>
      <c r="C290" s="56"/>
      <c r="D290" s="59"/>
      <c r="E290" s="63"/>
      <c r="F290" s="24"/>
      <c r="G290" s="63"/>
      <c r="H290" s="21"/>
      <c r="I290" s="23"/>
      <c r="J290" s="121"/>
      <c r="K290" s="121"/>
      <c r="L290" s="26"/>
      <c r="M290" s="26"/>
      <c r="N290" s="26"/>
      <c r="O290" s="26"/>
      <c r="P290" s="26"/>
      <c r="Q290" s="26"/>
      <c r="R290" s="26"/>
      <c r="S290" s="23"/>
      <c r="T290" s="26"/>
      <c r="U290" s="26" t="str">
        <f t="shared" si="40"/>
        <v/>
      </c>
      <c r="V290" s="27"/>
      <c r="W290" s="122"/>
      <c r="X290" s="123">
        <f t="shared" si="41"/>
        <v>0</v>
      </c>
      <c r="Y290" s="124" t="e">
        <f t="shared" si="42"/>
        <v>#DIV/0!</v>
      </c>
      <c r="Z290" s="124"/>
      <c r="AA290" s="124" t="e">
        <f t="shared" si="43"/>
        <v>#DIV/0!</v>
      </c>
      <c r="AB290" s="125" t="e">
        <f t="shared" si="44"/>
        <v>#DIV/0!</v>
      </c>
      <c r="AC290" s="31" t="e">
        <f t="shared" si="45"/>
        <v>#DIV/0!</v>
      </c>
      <c r="AD290" s="126"/>
      <c r="AE290" s="127"/>
      <c r="AF290" s="127" t="e">
        <f t="shared" si="46"/>
        <v>#DIV/0!</v>
      </c>
      <c r="AG290" s="128" t="e">
        <f t="shared" si="47"/>
        <v>#DIV/0!</v>
      </c>
      <c r="AH290" s="128" t="e">
        <f t="shared" si="48"/>
        <v>#DIV/0!</v>
      </c>
      <c r="AI290" s="127" t="e">
        <f t="shared" si="49"/>
        <v>#DIV/0!</v>
      </c>
    </row>
    <row r="291" ht="15.5" customHeight="1" spans="1:35">
      <c r="A291" s="63"/>
      <c r="B291" s="56"/>
      <c r="C291" s="56"/>
      <c r="D291" s="59"/>
      <c r="E291" s="63"/>
      <c r="F291" s="24"/>
      <c r="G291" s="63"/>
      <c r="H291" s="21"/>
      <c r="I291" s="23"/>
      <c r="J291" s="121"/>
      <c r="K291" s="121"/>
      <c r="L291" s="26"/>
      <c r="M291" s="26"/>
      <c r="N291" s="26"/>
      <c r="O291" s="26"/>
      <c r="P291" s="26"/>
      <c r="Q291" s="26"/>
      <c r="R291" s="26"/>
      <c r="S291" s="23"/>
      <c r="T291" s="26"/>
      <c r="U291" s="26" t="str">
        <f t="shared" si="40"/>
        <v/>
      </c>
      <c r="V291" s="27"/>
      <c r="W291" s="122"/>
      <c r="X291" s="123">
        <f t="shared" si="41"/>
        <v>0</v>
      </c>
      <c r="Y291" s="124" t="e">
        <f t="shared" si="42"/>
        <v>#DIV/0!</v>
      </c>
      <c r="Z291" s="124"/>
      <c r="AA291" s="124" t="e">
        <f t="shared" si="43"/>
        <v>#DIV/0!</v>
      </c>
      <c r="AB291" s="125" t="e">
        <f t="shared" si="44"/>
        <v>#DIV/0!</v>
      </c>
      <c r="AC291" s="31" t="e">
        <f t="shared" si="45"/>
        <v>#DIV/0!</v>
      </c>
      <c r="AD291" s="126"/>
      <c r="AE291" s="127"/>
      <c r="AF291" s="127" t="e">
        <f t="shared" si="46"/>
        <v>#DIV/0!</v>
      </c>
      <c r="AG291" s="128" t="e">
        <f t="shared" si="47"/>
        <v>#DIV/0!</v>
      </c>
      <c r="AH291" s="128" t="e">
        <f t="shared" si="48"/>
        <v>#DIV/0!</v>
      </c>
      <c r="AI291" s="127" t="e">
        <f t="shared" si="49"/>
        <v>#DIV/0!</v>
      </c>
    </row>
    <row r="292" ht="15.5" customHeight="1" spans="1:35">
      <c r="A292" s="63"/>
      <c r="B292" s="56"/>
      <c r="C292" s="56"/>
      <c r="D292" s="59"/>
      <c r="E292" s="63"/>
      <c r="F292" s="24"/>
      <c r="G292" s="63"/>
      <c r="H292" s="21"/>
      <c r="I292" s="23"/>
      <c r="J292" s="121"/>
      <c r="K292" s="121"/>
      <c r="L292" s="26"/>
      <c r="M292" s="26"/>
      <c r="N292" s="26"/>
      <c r="O292" s="26"/>
      <c r="P292" s="26"/>
      <c r="Q292" s="26"/>
      <c r="R292" s="26"/>
      <c r="S292" s="23"/>
      <c r="T292" s="26"/>
      <c r="U292" s="26" t="str">
        <f t="shared" si="40"/>
        <v/>
      </c>
      <c r="V292" s="27"/>
      <c r="W292" s="122"/>
      <c r="X292" s="123">
        <f t="shared" si="41"/>
        <v>0</v>
      </c>
      <c r="Y292" s="124" t="e">
        <f t="shared" si="42"/>
        <v>#DIV/0!</v>
      </c>
      <c r="Z292" s="124"/>
      <c r="AA292" s="124" t="e">
        <f t="shared" si="43"/>
        <v>#DIV/0!</v>
      </c>
      <c r="AB292" s="125" t="e">
        <f t="shared" si="44"/>
        <v>#DIV/0!</v>
      </c>
      <c r="AC292" s="31" t="e">
        <f t="shared" si="45"/>
        <v>#DIV/0!</v>
      </c>
      <c r="AD292" s="126"/>
      <c r="AE292" s="127"/>
      <c r="AF292" s="127" t="e">
        <f t="shared" si="46"/>
        <v>#DIV/0!</v>
      </c>
      <c r="AG292" s="128" t="e">
        <f t="shared" si="47"/>
        <v>#DIV/0!</v>
      </c>
      <c r="AH292" s="128" t="e">
        <f t="shared" si="48"/>
        <v>#DIV/0!</v>
      </c>
      <c r="AI292" s="127" t="e">
        <f t="shared" si="49"/>
        <v>#DIV/0!</v>
      </c>
    </row>
    <row r="293" ht="15.5" customHeight="1" spans="1:35">
      <c r="A293" s="63"/>
      <c r="B293" s="56"/>
      <c r="C293" s="56"/>
      <c r="D293" s="59"/>
      <c r="E293" s="63"/>
      <c r="F293" s="24"/>
      <c r="G293" s="63"/>
      <c r="H293" s="21"/>
      <c r="I293" s="23"/>
      <c r="J293" s="121"/>
      <c r="K293" s="121"/>
      <c r="L293" s="26"/>
      <c r="M293" s="26"/>
      <c r="N293" s="26"/>
      <c r="O293" s="26"/>
      <c r="P293" s="26"/>
      <c r="Q293" s="26"/>
      <c r="R293" s="26"/>
      <c r="S293" s="23"/>
      <c r="T293" s="26"/>
      <c r="U293" s="26" t="str">
        <f t="shared" si="40"/>
        <v/>
      </c>
      <c r="V293" s="27"/>
      <c r="W293" s="122"/>
      <c r="X293" s="123">
        <f t="shared" si="41"/>
        <v>0</v>
      </c>
      <c r="Y293" s="124" t="e">
        <f t="shared" si="42"/>
        <v>#DIV/0!</v>
      </c>
      <c r="Z293" s="124"/>
      <c r="AA293" s="124" t="e">
        <f t="shared" si="43"/>
        <v>#DIV/0!</v>
      </c>
      <c r="AB293" s="125" t="e">
        <f t="shared" si="44"/>
        <v>#DIV/0!</v>
      </c>
      <c r="AC293" s="31" t="e">
        <f t="shared" si="45"/>
        <v>#DIV/0!</v>
      </c>
      <c r="AD293" s="126"/>
      <c r="AE293" s="127"/>
      <c r="AF293" s="127" t="e">
        <f t="shared" si="46"/>
        <v>#DIV/0!</v>
      </c>
      <c r="AG293" s="128" t="e">
        <f t="shared" si="47"/>
        <v>#DIV/0!</v>
      </c>
      <c r="AH293" s="128" t="e">
        <f t="shared" si="48"/>
        <v>#DIV/0!</v>
      </c>
      <c r="AI293" s="127" t="e">
        <f t="shared" si="49"/>
        <v>#DIV/0!</v>
      </c>
    </row>
    <row r="294" ht="15.5" customHeight="1" spans="1:35">
      <c r="A294" s="63"/>
      <c r="B294" s="56"/>
      <c r="C294" s="56"/>
      <c r="D294" s="59"/>
      <c r="E294" s="63"/>
      <c r="F294" s="24"/>
      <c r="G294" s="63"/>
      <c r="H294" s="21"/>
      <c r="I294" s="23"/>
      <c r="J294" s="121"/>
      <c r="K294" s="121"/>
      <c r="L294" s="26"/>
      <c r="M294" s="26"/>
      <c r="N294" s="26"/>
      <c r="O294" s="26"/>
      <c r="P294" s="26"/>
      <c r="Q294" s="26"/>
      <c r="R294" s="26"/>
      <c r="S294" s="23"/>
      <c r="T294" s="26"/>
      <c r="U294" s="26" t="str">
        <f t="shared" si="40"/>
        <v/>
      </c>
      <c r="V294" s="27"/>
      <c r="W294" s="122"/>
      <c r="X294" s="123">
        <f t="shared" si="41"/>
        <v>0</v>
      </c>
      <c r="Y294" s="124" t="e">
        <f t="shared" si="42"/>
        <v>#DIV/0!</v>
      </c>
      <c r="Z294" s="124"/>
      <c r="AA294" s="124" t="e">
        <f t="shared" si="43"/>
        <v>#DIV/0!</v>
      </c>
      <c r="AB294" s="125" t="e">
        <f t="shared" si="44"/>
        <v>#DIV/0!</v>
      </c>
      <c r="AC294" s="31" t="e">
        <f t="shared" si="45"/>
        <v>#DIV/0!</v>
      </c>
      <c r="AD294" s="126"/>
      <c r="AE294" s="127"/>
      <c r="AF294" s="127" t="e">
        <f t="shared" si="46"/>
        <v>#DIV/0!</v>
      </c>
      <c r="AG294" s="128" t="e">
        <f t="shared" si="47"/>
        <v>#DIV/0!</v>
      </c>
      <c r="AH294" s="128" t="e">
        <f t="shared" si="48"/>
        <v>#DIV/0!</v>
      </c>
      <c r="AI294" s="127" t="e">
        <f t="shared" si="49"/>
        <v>#DIV/0!</v>
      </c>
    </row>
    <row r="295" ht="15.5" customHeight="1" spans="1:35">
      <c r="A295" s="63"/>
      <c r="B295" s="56"/>
      <c r="C295" s="56"/>
      <c r="D295" s="59"/>
      <c r="E295" s="63"/>
      <c r="F295" s="24"/>
      <c r="G295" s="63"/>
      <c r="H295" s="21"/>
      <c r="I295" s="23"/>
      <c r="J295" s="121"/>
      <c r="K295" s="121"/>
      <c r="L295" s="26"/>
      <c r="M295" s="26"/>
      <c r="N295" s="26"/>
      <c r="O295" s="26"/>
      <c r="P295" s="26"/>
      <c r="Q295" s="26"/>
      <c r="R295" s="26"/>
      <c r="S295" s="23"/>
      <c r="T295" s="26"/>
      <c r="U295" s="26" t="str">
        <f t="shared" si="40"/>
        <v/>
      </c>
      <c r="V295" s="27"/>
      <c r="W295" s="122"/>
      <c r="X295" s="123">
        <f t="shared" si="41"/>
        <v>0</v>
      </c>
      <c r="Y295" s="124" t="e">
        <f t="shared" si="42"/>
        <v>#DIV/0!</v>
      </c>
      <c r="Z295" s="124"/>
      <c r="AA295" s="124" t="e">
        <f t="shared" si="43"/>
        <v>#DIV/0!</v>
      </c>
      <c r="AB295" s="125" t="e">
        <f t="shared" si="44"/>
        <v>#DIV/0!</v>
      </c>
      <c r="AC295" s="31" t="e">
        <f t="shared" si="45"/>
        <v>#DIV/0!</v>
      </c>
      <c r="AD295" s="126"/>
      <c r="AE295" s="127"/>
      <c r="AF295" s="127" t="e">
        <f t="shared" si="46"/>
        <v>#DIV/0!</v>
      </c>
      <c r="AG295" s="128" t="e">
        <f t="shared" si="47"/>
        <v>#DIV/0!</v>
      </c>
      <c r="AH295" s="128" t="e">
        <f t="shared" si="48"/>
        <v>#DIV/0!</v>
      </c>
      <c r="AI295" s="127" t="e">
        <f t="shared" si="49"/>
        <v>#DIV/0!</v>
      </c>
    </row>
    <row r="296" ht="15.5" customHeight="1" spans="1:35">
      <c r="A296" s="63"/>
      <c r="B296" s="56"/>
      <c r="C296" s="56"/>
      <c r="D296" s="59"/>
      <c r="E296" s="63"/>
      <c r="F296" s="24"/>
      <c r="G296" s="63"/>
      <c r="H296" s="21"/>
      <c r="I296" s="23"/>
      <c r="J296" s="121"/>
      <c r="K296" s="121"/>
      <c r="L296" s="26"/>
      <c r="M296" s="26"/>
      <c r="N296" s="26"/>
      <c r="O296" s="26"/>
      <c r="P296" s="26"/>
      <c r="Q296" s="26"/>
      <c r="R296" s="26"/>
      <c r="S296" s="23"/>
      <c r="T296" s="26"/>
      <c r="U296" s="26" t="str">
        <f t="shared" si="40"/>
        <v/>
      </c>
      <c r="V296" s="27"/>
      <c r="W296" s="122"/>
      <c r="X296" s="123">
        <f t="shared" si="41"/>
        <v>0</v>
      </c>
      <c r="Y296" s="124" t="e">
        <f t="shared" si="42"/>
        <v>#DIV/0!</v>
      </c>
      <c r="Z296" s="124"/>
      <c r="AA296" s="124" t="e">
        <f t="shared" si="43"/>
        <v>#DIV/0!</v>
      </c>
      <c r="AB296" s="125" t="e">
        <f t="shared" si="44"/>
        <v>#DIV/0!</v>
      </c>
      <c r="AC296" s="31" t="e">
        <f t="shared" si="45"/>
        <v>#DIV/0!</v>
      </c>
      <c r="AD296" s="126"/>
      <c r="AE296" s="127"/>
      <c r="AF296" s="127" t="e">
        <f t="shared" si="46"/>
        <v>#DIV/0!</v>
      </c>
      <c r="AG296" s="128" t="e">
        <f t="shared" si="47"/>
        <v>#DIV/0!</v>
      </c>
      <c r="AH296" s="128" t="e">
        <f t="shared" si="48"/>
        <v>#DIV/0!</v>
      </c>
      <c r="AI296" s="127" t="e">
        <f t="shared" si="49"/>
        <v>#DIV/0!</v>
      </c>
    </row>
    <row r="297" ht="15.5" customHeight="1" spans="1:35">
      <c r="A297" s="63"/>
      <c r="B297" s="56"/>
      <c r="C297" s="56"/>
      <c r="D297" s="59"/>
      <c r="E297" s="63"/>
      <c r="F297" s="24"/>
      <c r="G297" s="63"/>
      <c r="H297" s="21"/>
      <c r="I297" s="23"/>
      <c r="J297" s="121"/>
      <c r="K297" s="121"/>
      <c r="L297" s="26"/>
      <c r="M297" s="26"/>
      <c r="N297" s="26"/>
      <c r="O297" s="26"/>
      <c r="P297" s="26"/>
      <c r="Q297" s="26"/>
      <c r="R297" s="26"/>
      <c r="S297" s="23"/>
      <c r="T297" s="26"/>
      <c r="U297" s="26" t="str">
        <f t="shared" si="40"/>
        <v/>
      </c>
      <c r="V297" s="27"/>
      <c r="W297" s="122"/>
      <c r="X297" s="123">
        <f t="shared" si="41"/>
        <v>0</v>
      </c>
      <c r="Y297" s="124" t="e">
        <f t="shared" si="42"/>
        <v>#DIV/0!</v>
      </c>
      <c r="Z297" s="124"/>
      <c r="AA297" s="124" t="e">
        <f t="shared" si="43"/>
        <v>#DIV/0!</v>
      </c>
      <c r="AB297" s="125" t="e">
        <f t="shared" si="44"/>
        <v>#DIV/0!</v>
      </c>
      <c r="AC297" s="31" t="e">
        <f t="shared" si="45"/>
        <v>#DIV/0!</v>
      </c>
      <c r="AD297" s="126"/>
      <c r="AE297" s="127"/>
      <c r="AF297" s="127" t="e">
        <f t="shared" si="46"/>
        <v>#DIV/0!</v>
      </c>
      <c r="AG297" s="128" t="e">
        <f t="shared" si="47"/>
        <v>#DIV/0!</v>
      </c>
      <c r="AH297" s="128" t="e">
        <f t="shared" si="48"/>
        <v>#DIV/0!</v>
      </c>
      <c r="AI297" s="127" t="e">
        <f t="shared" si="49"/>
        <v>#DIV/0!</v>
      </c>
    </row>
    <row r="298" ht="15.5" customHeight="1" spans="1:35">
      <c r="A298" s="63"/>
      <c r="B298" s="56"/>
      <c r="C298" s="56"/>
      <c r="D298" s="59"/>
      <c r="E298" s="63"/>
      <c r="F298" s="24"/>
      <c r="G298" s="63"/>
      <c r="H298" s="21"/>
      <c r="I298" s="23"/>
      <c r="J298" s="121"/>
      <c r="K298" s="121"/>
      <c r="L298" s="26"/>
      <c r="M298" s="26"/>
      <c r="N298" s="26"/>
      <c r="O298" s="26"/>
      <c r="P298" s="26"/>
      <c r="Q298" s="26"/>
      <c r="R298" s="26"/>
      <c r="S298" s="23"/>
      <c r="T298" s="26"/>
      <c r="U298" s="26" t="str">
        <f t="shared" si="40"/>
        <v/>
      </c>
      <c r="V298" s="27"/>
      <c r="W298" s="122"/>
      <c r="X298" s="123">
        <f t="shared" si="41"/>
        <v>0</v>
      </c>
      <c r="Y298" s="124" t="e">
        <f t="shared" si="42"/>
        <v>#DIV/0!</v>
      </c>
      <c r="Z298" s="124"/>
      <c r="AA298" s="124" t="e">
        <f t="shared" si="43"/>
        <v>#DIV/0!</v>
      </c>
      <c r="AB298" s="125" t="e">
        <f t="shared" si="44"/>
        <v>#DIV/0!</v>
      </c>
      <c r="AC298" s="31" t="e">
        <f t="shared" si="45"/>
        <v>#DIV/0!</v>
      </c>
      <c r="AD298" s="126"/>
      <c r="AE298" s="127"/>
      <c r="AF298" s="127" t="e">
        <f t="shared" si="46"/>
        <v>#DIV/0!</v>
      </c>
      <c r="AG298" s="128" t="e">
        <f t="shared" si="47"/>
        <v>#DIV/0!</v>
      </c>
      <c r="AH298" s="128" t="e">
        <f t="shared" si="48"/>
        <v>#DIV/0!</v>
      </c>
      <c r="AI298" s="127" t="e">
        <f t="shared" si="49"/>
        <v>#DIV/0!</v>
      </c>
    </row>
    <row r="299" ht="15.5" customHeight="1" spans="1:35">
      <c r="A299" s="63"/>
      <c r="B299" s="56"/>
      <c r="C299" s="56"/>
      <c r="D299" s="59"/>
      <c r="E299" s="63"/>
      <c r="F299" s="24"/>
      <c r="G299" s="63"/>
      <c r="H299" s="21"/>
      <c r="I299" s="23"/>
      <c r="J299" s="121"/>
      <c r="K299" s="121"/>
      <c r="L299" s="26"/>
      <c r="M299" s="26"/>
      <c r="N299" s="26"/>
      <c r="O299" s="26"/>
      <c r="P299" s="26"/>
      <c r="Q299" s="26"/>
      <c r="R299" s="26"/>
      <c r="S299" s="23"/>
      <c r="T299" s="26"/>
      <c r="U299" s="26" t="str">
        <f t="shared" si="40"/>
        <v/>
      </c>
      <c r="V299" s="27"/>
      <c r="W299" s="122"/>
      <c r="X299" s="123">
        <f t="shared" si="41"/>
        <v>0</v>
      </c>
      <c r="Y299" s="124" t="e">
        <f t="shared" si="42"/>
        <v>#DIV/0!</v>
      </c>
      <c r="Z299" s="124"/>
      <c r="AA299" s="124" t="e">
        <f t="shared" si="43"/>
        <v>#DIV/0!</v>
      </c>
      <c r="AB299" s="125" t="e">
        <f t="shared" si="44"/>
        <v>#DIV/0!</v>
      </c>
      <c r="AC299" s="31" t="e">
        <f t="shared" si="45"/>
        <v>#DIV/0!</v>
      </c>
      <c r="AD299" s="126"/>
      <c r="AE299" s="127"/>
      <c r="AF299" s="127" t="e">
        <f t="shared" si="46"/>
        <v>#DIV/0!</v>
      </c>
      <c r="AG299" s="128" t="e">
        <f t="shared" si="47"/>
        <v>#DIV/0!</v>
      </c>
      <c r="AH299" s="128" t="e">
        <f t="shared" si="48"/>
        <v>#DIV/0!</v>
      </c>
      <c r="AI299" s="127" t="e">
        <f t="shared" si="49"/>
        <v>#DIV/0!</v>
      </c>
    </row>
    <row r="300" ht="15.5" customHeight="1" spans="1:35">
      <c r="A300" s="63"/>
      <c r="B300" s="56"/>
      <c r="C300" s="56"/>
      <c r="D300" s="59"/>
      <c r="E300" s="63"/>
      <c r="F300" s="24"/>
      <c r="G300" s="63"/>
      <c r="H300" s="21"/>
      <c r="I300" s="23"/>
      <c r="J300" s="121"/>
      <c r="K300" s="121"/>
      <c r="L300" s="26"/>
      <c r="M300" s="26"/>
      <c r="N300" s="26"/>
      <c r="O300" s="26"/>
      <c r="P300" s="26"/>
      <c r="Q300" s="26"/>
      <c r="R300" s="26"/>
      <c r="S300" s="23"/>
      <c r="T300" s="26"/>
      <c r="U300" s="26" t="str">
        <f t="shared" si="40"/>
        <v/>
      </c>
      <c r="V300" s="27"/>
      <c r="W300" s="122"/>
      <c r="X300" s="123">
        <f t="shared" si="41"/>
        <v>0</v>
      </c>
      <c r="Y300" s="124" t="e">
        <f t="shared" si="42"/>
        <v>#DIV/0!</v>
      </c>
      <c r="Z300" s="124"/>
      <c r="AA300" s="124" t="e">
        <f t="shared" si="43"/>
        <v>#DIV/0!</v>
      </c>
      <c r="AB300" s="125" t="e">
        <f t="shared" si="44"/>
        <v>#DIV/0!</v>
      </c>
      <c r="AC300" s="31" t="e">
        <f t="shared" si="45"/>
        <v>#DIV/0!</v>
      </c>
      <c r="AD300" s="126"/>
      <c r="AE300" s="127"/>
      <c r="AF300" s="127" t="e">
        <f t="shared" si="46"/>
        <v>#DIV/0!</v>
      </c>
      <c r="AG300" s="128" t="e">
        <f t="shared" si="47"/>
        <v>#DIV/0!</v>
      </c>
      <c r="AH300" s="128" t="e">
        <f t="shared" si="48"/>
        <v>#DIV/0!</v>
      </c>
      <c r="AI300" s="127" t="e">
        <f t="shared" si="49"/>
        <v>#DIV/0!</v>
      </c>
    </row>
    <row r="301" ht="15.5" customHeight="1" spans="1:35">
      <c r="A301" s="63"/>
      <c r="B301" s="56"/>
      <c r="C301" s="56"/>
      <c r="D301" s="59"/>
      <c r="E301" s="63"/>
      <c r="F301" s="24"/>
      <c r="G301" s="63"/>
      <c r="H301" s="21"/>
      <c r="I301" s="23"/>
      <c r="J301" s="121"/>
      <c r="K301" s="121"/>
      <c r="L301" s="26"/>
      <c r="M301" s="26"/>
      <c r="N301" s="26"/>
      <c r="O301" s="26"/>
      <c r="P301" s="26"/>
      <c r="Q301" s="26"/>
      <c r="R301" s="26"/>
      <c r="S301" s="23"/>
      <c r="T301" s="26"/>
      <c r="U301" s="26" t="str">
        <f t="shared" si="40"/>
        <v/>
      </c>
      <c r="V301" s="27"/>
      <c r="W301" s="122"/>
      <c r="X301" s="123">
        <f t="shared" si="41"/>
        <v>0</v>
      </c>
      <c r="Y301" s="124" t="e">
        <f t="shared" si="42"/>
        <v>#DIV/0!</v>
      </c>
      <c r="Z301" s="124"/>
      <c r="AA301" s="124" t="e">
        <f t="shared" si="43"/>
        <v>#DIV/0!</v>
      </c>
      <c r="AB301" s="125" t="e">
        <f t="shared" si="44"/>
        <v>#DIV/0!</v>
      </c>
      <c r="AC301" s="31" t="e">
        <f t="shared" si="45"/>
        <v>#DIV/0!</v>
      </c>
      <c r="AD301" s="126"/>
      <c r="AE301" s="127"/>
      <c r="AF301" s="127" t="e">
        <f t="shared" si="46"/>
        <v>#DIV/0!</v>
      </c>
      <c r="AG301" s="128" t="e">
        <f t="shared" si="47"/>
        <v>#DIV/0!</v>
      </c>
      <c r="AH301" s="128" t="e">
        <f t="shared" si="48"/>
        <v>#DIV/0!</v>
      </c>
      <c r="AI301" s="127" t="e">
        <f t="shared" si="49"/>
        <v>#DIV/0!</v>
      </c>
    </row>
    <row r="302" ht="15.5" customHeight="1" spans="1:35">
      <c r="A302" s="63"/>
      <c r="B302" s="56"/>
      <c r="C302" s="56"/>
      <c r="D302" s="59"/>
      <c r="E302" s="63"/>
      <c r="F302" s="24"/>
      <c r="G302" s="63"/>
      <c r="H302" s="21"/>
      <c r="I302" s="23"/>
      <c r="J302" s="121"/>
      <c r="K302" s="121"/>
      <c r="L302" s="26"/>
      <c r="M302" s="26"/>
      <c r="N302" s="26"/>
      <c r="O302" s="26"/>
      <c r="P302" s="26"/>
      <c r="Q302" s="26"/>
      <c r="R302" s="26"/>
      <c r="S302" s="23"/>
      <c r="T302" s="26"/>
      <c r="U302" s="26" t="str">
        <f t="shared" si="40"/>
        <v/>
      </c>
      <c r="V302" s="27"/>
      <c r="W302" s="122"/>
      <c r="X302" s="123">
        <f t="shared" si="41"/>
        <v>0</v>
      </c>
      <c r="Y302" s="124" t="e">
        <f t="shared" si="42"/>
        <v>#DIV/0!</v>
      </c>
      <c r="Z302" s="124"/>
      <c r="AA302" s="124" t="e">
        <f t="shared" si="43"/>
        <v>#DIV/0!</v>
      </c>
      <c r="AB302" s="125" t="e">
        <f t="shared" si="44"/>
        <v>#DIV/0!</v>
      </c>
      <c r="AC302" s="31" t="e">
        <f t="shared" si="45"/>
        <v>#DIV/0!</v>
      </c>
      <c r="AD302" s="126"/>
      <c r="AE302" s="127"/>
      <c r="AF302" s="127" t="e">
        <f t="shared" si="46"/>
        <v>#DIV/0!</v>
      </c>
      <c r="AG302" s="128" t="e">
        <f t="shared" si="47"/>
        <v>#DIV/0!</v>
      </c>
      <c r="AH302" s="128" t="e">
        <f t="shared" si="48"/>
        <v>#DIV/0!</v>
      </c>
      <c r="AI302" s="127" t="e">
        <f t="shared" si="49"/>
        <v>#DIV/0!</v>
      </c>
    </row>
    <row r="303" ht="15.5" customHeight="1" spans="1:35">
      <c r="A303" s="63"/>
      <c r="B303" s="56"/>
      <c r="C303" s="56"/>
      <c r="D303" s="59"/>
      <c r="E303" s="63"/>
      <c r="F303" s="24"/>
      <c r="G303" s="63"/>
      <c r="H303" s="21"/>
      <c r="I303" s="23"/>
      <c r="J303" s="121"/>
      <c r="K303" s="121"/>
      <c r="L303" s="26"/>
      <c r="M303" s="26"/>
      <c r="N303" s="26"/>
      <c r="O303" s="26"/>
      <c r="P303" s="26"/>
      <c r="Q303" s="26"/>
      <c r="R303" s="26"/>
      <c r="S303" s="23"/>
      <c r="T303" s="26"/>
      <c r="U303" s="26" t="str">
        <f t="shared" si="40"/>
        <v/>
      </c>
      <c r="V303" s="27"/>
      <c r="W303" s="122"/>
      <c r="X303" s="123">
        <f t="shared" si="41"/>
        <v>0</v>
      </c>
      <c r="Y303" s="124" t="e">
        <f t="shared" si="42"/>
        <v>#DIV/0!</v>
      </c>
      <c r="Z303" s="124"/>
      <c r="AA303" s="124" t="e">
        <f t="shared" si="43"/>
        <v>#DIV/0!</v>
      </c>
      <c r="AB303" s="125" t="e">
        <f t="shared" si="44"/>
        <v>#DIV/0!</v>
      </c>
      <c r="AC303" s="31" t="e">
        <f t="shared" si="45"/>
        <v>#DIV/0!</v>
      </c>
      <c r="AD303" s="126"/>
      <c r="AE303" s="127"/>
      <c r="AF303" s="127" t="e">
        <f t="shared" si="46"/>
        <v>#DIV/0!</v>
      </c>
      <c r="AG303" s="128" t="e">
        <f t="shared" si="47"/>
        <v>#DIV/0!</v>
      </c>
      <c r="AH303" s="128" t="e">
        <f t="shared" si="48"/>
        <v>#DIV/0!</v>
      </c>
      <c r="AI303" s="127" t="e">
        <f t="shared" si="49"/>
        <v>#DIV/0!</v>
      </c>
    </row>
    <row r="304" ht="15.5" customHeight="1" spans="1:35">
      <c r="A304" s="63"/>
      <c r="B304" s="56"/>
      <c r="C304" s="56"/>
      <c r="D304" s="59"/>
      <c r="E304" s="63"/>
      <c r="F304" s="24"/>
      <c r="G304" s="63"/>
      <c r="H304" s="21"/>
      <c r="I304" s="23"/>
      <c r="J304" s="121"/>
      <c r="K304" s="121"/>
      <c r="L304" s="26"/>
      <c r="M304" s="26"/>
      <c r="N304" s="26"/>
      <c r="O304" s="26"/>
      <c r="P304" s="26"/>
      <c r="Q304" s="26"/>
      <c r="R304" s="26"/>
      <c r="S304" s="23"/>
      <c r="T304" s="26"/>
      <c r="U304" s="26" t="str">
        <f t="shared" si="40"/>
        <v/>
      </c>
      <c r="V304" s="27"/>
      <c r="W304" s="122"/>
      <c r="X304" s="123">
        <f t="shared" si="41"/>
        <v>0</v>
      </c>
      <c r="Y304" s="124" t="e">
        <f t="shared" si="42"/>
        <v>#DIV/0!</v>
      </c>
      <c r="Z304" s="124"/>
      <c r="AA304" s="124" t="e">
        <f t="shared" si="43"/>
        <v>#DIV/0!</v>
      </c>
      <c r="AB304" s="125" t="e">
        <f t="shared" si="44"/>
        <v>#DIV/0!</v>
      </c>
      <c r="AC304" s="31" t="e">
        <f t="shared" si="45"/>
        <v>#DIV/0!</v>
      </c>
      <c r="AD304" s="126"/>
      <c r="AE304" s="127"/>
      <c r="AF304" s="127" t="e">
        <f t="shared" si="46"/>
        <v>#DIV/0!</v>
      </c>
      <c r="AG304" s="128" t="e">
        <f t="shared" si="47"/>
        <v>#DIV/0!</v>
      </c>
      <c r="AH304" s="128" t="e">
        <f t="shared" si="48"/>
        <v>#DIV/0!</v>
      </c>
      <c r="AI304" s="127" t="e">
        <f t="shared" si="49"/>
        <v>#DIV/0!</v>
      </c>
    </row>
    <row r="305" ht="15.5" customHeight="1" spans="1:35">
      <c r="A305" s="63"/>
      <c r="B305" s="56"/>
      <c r="C305" s="56"/>
      <c r="D305" s="59"/>
      <c r="E305" s="63"/>
      <c r="F305" s="24"/>
      <c r="G305" s="63"/>
      <c r="H305" s="21"/>
      <c r="I305" s="23"/>
      <c r="J305" s="121"/>
      <c r="K305" s="121"/>
      <c r="L305" s="26"/>
      <c r="M305" s="26"/>
      <c r="N305" s="26"/>
      <c r="O305" s="26"/>
      <c r="P305" s="26"/>
      <c r="Q305" s="26"/>
      <c r="R305" s="26"/>
      <c r="S305" s="23"/>
      <c r="T305" s="26"/>
      <c r="U305" s="26" t="str">
        <f t="shared" si="40"/>
        <v/>
      </c>
      <c r="V305" s="27"/>
      <c r="W305" s="122"/>
      <c r="X305" s="123">
        <f t="shared" si="41"/>
        <v>0</v>
      </c>
      <c r="Y305" s="124" t="e">
        <f t="shared" si="42"/>
        <v>#DIV/0!</v>
      </c>
      <c r="Z305" s="124"/>
      <c r="AA305" s="124" t="e">
        <f t="shared" si="43"/>
        <v>#DIV/0!</v>
      </c>
      <c r="AB305" s="125" t="e">
        <f t="shared" si="44"/>
        <v>#DIV/0!</v>
      </c>
      <c r="AC305" s="31" t="e">
        <f t="shared" si="45"/>
        <v>#DIV/0!</v>
      </c>
      <c r="AD305" s="126"/>
      <c r="AE305" s="127"/>
      <c r="AF305" s="127" t="e">
        <f t="shared" si="46"/>
        <v>#DIV/0!</v>
      </c>
      <c r="AG305" s="128" t="e">
        <f t="shared" si="47"/>
        <v>#DIV/0!</v>
      </c>
      <c r="AH305" s="128" t="e">
        <f t="shared" si="48"/>
        <v>#DIV/0!</v>
      </c>
      <c r="AI305" s="127" t="e">
        <f t="shared" si="49"/>
        <v>#DIV/0!</v>
      </c>
    </row>
    <row r="306" ht="15.5" customHeight="1" spans="1:35">
      <c r="A306" s="63"/>
      <c r="B306" s="56"/>
      <c r="C306" s="56"/>
      <c r="D306" s="59"/>
      <c r="E306" s="63"/>
      <c r="F306" s="24"/>
      <c r="G306" s="63"/>
      <c r="H306" s="21"/>
      <c r="I306" s="23"/>
      <c r="J306" s="121"/>
      <c r="K306" s="121"/>
      <c r="L306" s="26"/>
      <c r="M306" s="26"/>
      <c r="N306" s="26"/>
      <c r="O306" s="26"/>
      <c r="P306" s="26"/>
      <c r="Q306" s="26"/>
      <c r="R306" s="26"/>
      <c r="S306" s="23"/>
      <c r="T306" s="26"/>
      <c r="U306" s="26" t="str">
        <f t="shared" si="40"/>
        <v/>
      </c>
      <c r="V306" s="27"/>
      <c r="W306" s="122"/>
      <c r="X306" s="123">
        <f t="shared" si="41"/>
        <v>0</v>
      </c>
      <c r="Y306" s="124" t="e">
        <f t="shared" si="42"/>
        <v>#DIV/0!</v>
      </c>
      <c r="Z306" s="124"/>
      <c r="AA306" s="124" t="e">
        <f t="shared" si="43"/>
        <v>#DIV/0!</v>
      </c>
      <c r="AB306" s="125" t="e">
        <f t="shared" si="44"/>
        <v>#DIV/0!</v>
      </c>
      <c r="AC306" s="31" t="e">
        <f t="shared" si="45"/>
        <v>#DIV/0!</v>
      </c>
      <c r="AD306" s="126"/>
      <c r="AE306" s="127"/>
      <c r="AF306" s="127" t="e">
        <f t="shared" si="46"/>
        <v>#DIV/0!</v>
      </c>
      <c r="AG306" s="128" t="e">
        <f t="shared" si="47"/>
        <v>#DIV/0!</v>
      </c>
      <c r="AH306" s="128" t="e">
        <f t="shared" si="48"/>
        <v>#DIV/0!</v>
      </c>
      <c r="AI306" s="127" t="e">
        <f t="shared" si="49"/>
        <v>#DIV/0!</v>
      </c>
    </row>
    <row r="307" ht="15.5" customHeight="1" spans="1:35">
      <c r="A307" s="63"/>
      <c r="B307" s="56"/>
      <c r="C307" s="56"/>
      <c r="D307" s="59"/>
      <c r="E307" s="63"/>
      <c r="F307" s="24"/>
      <c r="G307" s="63"/>
      <c r="H307" s="21"/>
      <c r="I307" s="23"/>
      <c r="J307" s="121"/>
      <c r="K307" s="121"/>
      <c r="L307" s="26"/>
      <c r="M307" s="26"/>
      <c r="N307" s="26"/>
      <c r="O307" s="26"/>
      <c r="P307" s="26"/>
      <c r="Q307" s="26"/>
      <c r="R307" s="26"/>
      <c r="S307" s="23"/>
      <c r="T307" s="26"/>
      <c r="U307" s="26" t="str">
        <f t="shared" si="40"/>
        <v/>
      </c>
      <c r="V307" s="27"/>
      <c r="W307" s="122"/>
      <c r="X307" s="123">
        <f t="shared" si="41"/>
        <v>0</v>
      </c>
      <c r="Y307" s="124" t="e">
        <f t="shared" si="42"/>
        <v>#DIV/0!</v>
      </c>
      <c r="Z307" s="124"/>
      <c r="AA307" s="124" t="e">
        <f t="shared" si="43"/>
        <v>#DIV/0!</v>
      </c>
      <c r="AB307" s="125" t="e">
        <f t="shared" si="44"/>
        <v>#DIV/0!</v>
      </c>
      <c r="AC307" s="31" t="e">
        <f t="shared" si="45"/>
        <v>#DIV/0!</v>
      </c>
      <c r="AD307" s="126"/>
      <c r="AE307" s="127"/>
      <c r="AF307" s="127" t="e">
        <f t="shared" si="46"/>
        <v>#DIV/0!</v>
      </c>
      <c r="AG307" s="128" t="e">
        <f t="shared" si="47"/>
        <v>#DIV/0!</v>
      </c>
      <c r="AH307" s="128" t="e">
        <f t="shared" si="48"/>
        <v>#DIV/0!</v>
      </c>
      <c r="AI307" s="127" t="e">
        <f t="shared" si="49"/>
        <v>#DIV/0!</v>
      </c>
    </row>
    <row r="308" ht="15.5" customHeight="1" spans="1:35">
      <c r="A308" s="63"/>
      <c r="B308" s="56"/>
      <c r="C308" s="56"/>
      <c r="D308" s="59"/>
      <c r="E308" s="63"/>
      <c r="F308" s="24"/>
      <c r="G308" s="63"/>
      <c r="H308" s="21"/>
      <c r="I308" s="23"/>
      <c r="J308" s="121"/>
      <c r="K308" s="121"/>
      <c r="L308" s="26"/>
      <c r="M308" s="26"/>
      <c r="N308" s="26"/>
      <c r="O308" s="26"/>
      <c r="P308" s="26"/>
      <c r="Q308" s="26"/>
      <c r="R308" s="26"/>
      <c r="S308" s="23"/>
      <c r="T308" s="26"/>
      <c r="U308" s="26" t="str">
        <f t="shared" si="40"/>
        <v/>
      </c>
      <c r="V308" s="27"/>
      <c r="W308" s="122"/>
      <c r="X308" s="123">
        <f t="shared" si="41"/>
        <v>0</v>
      </c>
      <c r="Y308" s="124" t="e">
        <f t="shared" si="42"/>
        <v>#DIV/0!</v>
      </c>
      <c r="Z308" s="124"/>
      <c r="AA308" s="124" t="e">
        <f t="shared" si="43"/>
        <v>#DIV/0!</v>
      </c>
      <c r="AB308" s="125" t="e">
        <f t="shared" si="44"/>
        <v>#DIV/0!</v>
      </c>
      <c r="AC308" s="31" t="e">
        <f t="shared" si="45"/>
        <v>#DIV/0!</v>
      </c>
      <c r="AD308" s="126"/>
      <c r="AE308" s="127"/>
      <c r="AF308" s="127" t="e">
        <f t="shared" si="46"/>
        <v>#DIV/0!</v>
      </c>
      <c r="AG308" s="128" t="e">
        <f t="shared" si="47"/>
        <v>#DIV/0!</v>
      </c>
      <c r="AH308" s="128" t="e">
        <f t="shared" si="48"/>
        <v>#DIV/0!</v>
      </c>
      <c r="AI308" s="127" t="e">
        <f t="shared" si="49"/>
        <v>#DIV/0!</v>
      </c>
    </row>
    <row r="309" ht="15.5" customHeight="1" spans="1:35">
      <c r="A309" s="63"/>
      <c r="B309" s="56"/>
      <c r="C309" s="56"/>
      <c r="D309" s="59"/>
      <c r="E309" s="63"/>
      <c r="F309" s="24"/>
      <c r="G309" s="63"/>
      <c r="H309" s="21"/>
      <c r="I309" s="23"/>
      <c r="J309" s="121"/>
      <c r="K309" s="121"/>
      <c r="L309" s="26"/>
      <c r="M309" s="26"/>
      <c r="N309" s="26"/>
      <c r="O309" s="26"/>
      <c r="P309" s="26"/>
      <c r="Q309" s="26"/>
      <c r="R309" s="26"/>
      <c r="S309" s="23"/>
      <c r="T309" s="26"/>
      <c r="U309" s="26" t="str">
        <f t="shared" si="40"/>
        <v/>
      </c>
      <c r="V309" s="27"/>
      <c r="W309" s="122"/>
      <c r="X309" s="123">
        <f t="shared" si="41"/>
        <v>0</v>
      </c>
      <c r="Y309" s="124" t="e">
        <f t="shared" si="42"/>
        <v>#DIV/0!</v>
      </c>
      <c r="Z309" s="124"/>
      <c r="AA309" s="124" t="e">
        <f t="shared" si="43"/>
        <v>#DIV/0!</v>
      </c>
      <c r="AB309" s="125" t="e">
        <f t="shared" si="44"/>
        <v>#DIV/0!</v>
      </c>
      <c r="AC309" s="31" t="e">
        <f t="shared" si="45"/>
        <v>#DIV/0!</v>
      </c>
      <c r="AD309" s="126"/>
      <c r="AE309" s="127"/>
      <c r="AF309" s="127" t="e">
        <f t="shared" si="46"/>
        <v>#DIV/0!</v>
      </c>
      <c r="AG309" s="128" t="e">
        <f t="shared" si="47"/>
        <v>#DIV/0!</v>
      </c>
      <c r="AH309" s="128" t="e">
        <f t="shared" si="48"/>
        <v>#DIV/0!</v>
      </c>
      <c r="AI309" s="127" t="e">
        <f t="shared" si="49"/>
        <v>#DIV/0!</v>
      </c>
    </row>
    <row r="310" ht="15.5" customHeight="1" spans="1:35">
      <c r="A310" s="63"/>
      <c r="B310" s="56"/>
      <c r="C310" s="56"/>
      <c r="D310" s="59"/>
      <c r="E310" s="63"/>
      <c r="F310" s="24"/>
      <c r="G310" s="63"/>
      <c r="H310" s="21"/>
      <c r="I310" s="23"/>
      <c r="J310" s="121"/>
      <c r="K310" s="121"/>
      <c r="L310" s="26"/>
      <c r="M310" s="26"/>
      <c r="N310" s="26"/>
      <c r="O310" s="26"/>
      <c r="P310" s="26"/>
      <c r="Q310" s="26"/>
      <c r="R310" s="26"/>
      <c r="S310" s="23"/>
      <c r="T310" s="26"/>
      <c r="U310" s="26" t="str">
        <f t="shared" si="40"/>
        <v/>
      </c>
      <c r="V310" s="27"/>
      <c r="W310" s="122"/>
      <c r="X310" s="123">
        <f t="shared" si="41"/>
        <v>0</v>
      </c>
      <c r="Y310" s="124" t="e">
        <f t="shared" si="42"/>
        <v>#DIV/0!</v>
      </c>
      <c r="Z310" s="124"/>
      <c r="AA310" s="124" t="e">
        <f t="shared" si="43"/>
        <v>#DIV/0!</v>
      </c>
      <c r="AB310" s="125" t="e">
        <f t="shared" si="44"/>
        <v>#DIV/0!</v>
      </c>
      <c r="AC310" s="31" t="e">
        <f t="shared" si="45"/>
        <v>#DIV/0!</v>
      </c>
      <c r="AD310" s="126"/>
      <c r="AE310" s="127"/>
      <c r="AF310" s="127" t="e">
        <f t="shared" si="46"/>
        <v>#DIV/0!</v>
      </c>
      <c r="AG310" s="128" t="e">
        <f t="shared" si="47"/>
        <v>#DIV/0!</v>
      </c>
      <c r="AH310" s="128" t="e">
        <f t="shared" si="48"/>
        <v>#DIV/0!</v>
      </c>
      <c r="AI310" s="127" t="e">
        <f t="shared" si="49"/>
        <v>#DIV/0!</v>
      </c>
    </row>
    <row r="311" ht="15.5" customHeight="1" spans="1:35">
      <c r="A311" s="63"/>
      <c r="B311" s="56"/>
      <c r="C311" s="56"/>
      <c r="D311" s="59"/>
      <c r="E311" s="63"/>
      <c r="F311" s="24"/>
      <c r="G311" s="63"/>
      <c r="H311" s="21"/>
      <c r="I311" s="23"/>
      <c r="J311" s="121"/>
      <c r="K311" s="121"/>
      <c r="L311" s="26"/>
      <c r="M311" s="26"/>
      <c r="N311" s="26"/>
      <c r="O311" s="26"/>
      <c r="P311" s="26"/>
      <c r="Q311" s="26"/>
      <c r="R311" s="26"/>
      <c r="S311" s="23"/>
      <c r="T311" s="26"/>
      <c r="U311" s="26" t="str">
        <f t="shared" si="40"/>
        <v/>
      </c>
      <c r="V311" s="27"/>
      <c r="W311" s="122"/>
      <c r="X311" s="123">
        <f t="shared" si="41"/>
        <v>0</v>
      </c>
      <c r="Y311" s="124" t="e">
        <f t="shared" si="42"/>
        <v>#DIV/0!</v>
      </c>
      <c r="Z311" s="124"/>
      <c r="AA311" s="124" t="e">
        <f t="shared" si="43"/>
        <v>#DIV/0!</v>
      </c>
      <c r="AB311" s="125" t="e">
        <f t="shared" si="44"/>
        <v>#DIV/0!</v>
      </c>
      <c r="AC311" s="31" t="e">
        <f t="shared" si="45"/>
        <v>#DIV/0!</v>
      </c>
      <c r="AD311" s="126"/>
      <c r="AE311" s="127"/>
      <c r="AF311" s="127" t="e">
        <f t="shared" si="46"/>
        <v>#DIV/0!</v>
      </c>
      <c r="AG311" s="128" t="e">
        <f t="shared" si="47"/>
        <v>#DIV/0!</v>
      </c>
      <c r="AH311" s="128" t="e">
        <f t="shared" si="48"/>
        <v>#DIV/0!</v>
      </c>
      <c r="AI311" s="127" t="e">
        <f t="shared" si="49"/>
        <v>#DIV/0!</v>
      </c>
    </row>
    <row r="312" ht="15.5" customHeight="1" spans="1:35">
      <c r="A312" s="63"/>
      <c r="B312" s="56"/>
      <c r="C312" s="56"/>
      <c r="D312" s="59"/>
      <c r="E312" s="63"/>
      <c r="F312" s="24"/>
      <c r="G312" s="63"/>
      <c r="H312" s="21"/>
      <c r="I312" s="23"/>
      <c r="J312" s="121"/>
      <c r="K312" s="121"/>
      <c r="L312" s="26"/>
      <c r="M312" s="26"/>
      <c r="N312" s="26"/>
      <c r="O312" s="26"/>
      <c r="P312" s="26"/>
      <c r="Q312" s="26"/>
      <c r="R312" s="26"/>
      <c r="S312" s="23"/>
      <c r="T312" s="26"/>
      <c r="U312" s="26" t="str">
        <f t="shared" si="40"/>
        <v/>
      </c>
      <c r="V312" s="27"/>
      <c r="W312" s="122"/>
      <c r="X312" s="123">
        <f t="shared" si="41"/>
        <v>0</v>
      </c>
      <c r="Y312" s="124" t="e">
        <f t="shared" si="42"/>
        <v>#DIV/0!</v>
      </c>
      <c r="Z312" s="124"/>
      <c r="AA312" s="124" t="e">
        <f t="shared" si="43"/>
        <v>#DIV/0!</v>
      </c>
      <c r="AB312" s="125" t="e">
        <f t="shared" si="44"/>
        <v>#DIV/0!</v>
      </c>
      <c r="AC312" s="31" t="e">
        <f t="shared" si="45"/>
        <v>#DIV/0!</v>
      </c>
      <c r="AD312" s="126"/>
      <c r="AE312" s="127"/>
      <c r="AF312" s="127" t="e">
        <f t="shared" si="46"/>
        <v>#DIV/0!</v>
      </c>
      <c r="AG312" s="128" t="e">
        <f t="shared" si="47"/>
        <v>#DIV/0!</v>
      </c>
      <c r="AH312" s="128" t="e">
        <f t="shared" si="48"/>
        <v>#DIV/0!</v>
      </c>
      <c r="AI312" s="127" t="e">
        <f t="shared" si="49"/>
        <v>#DIV/0!</v>
      </c>
    </row>
    <row r="313" ht="15.5" customHeight="1" spans="1:35">
      <c r="A313" s="63"/>
      <c r="B313" s="56"/>
      <c r="C313" s="56"/>
      <c r="D313" s="59"/>
      <c r="E313" s="63"/>
      <c r="F313" s="24"/>
      <c r="G313" s="63"/>
      <c r="H313" s="21"/>
      <c r="I313" s="23"/>
      <c r="J313" s="121"/>
      <c r="K313" s="121"/>
      <c r="L313" s="26"/>
      <c r="M313" s="26"/>
      <c r="N313" s="26"/>
      <c r="O313" s="26"/>
      <c r="P313" s="26"/>
      <c r="Q313" s="26"/>
      <c r="R313" s="26"/>
      <c r="S313" s="23"/>
      <c r="T313" s="26"/>
      <c r="U313" s="26" t="str">
        <f t="shared" si="40"/>
        <v/>
      </c>
      <c r="V313" s="27"/>
      <c r="W313" s="122"/>
      <c r="X313" s="123">
        <f t="shared" si="41"/>
        <v>0</v>
      </c>
      <c r="Y313" s="124" t="e">
        <f t="shared" si="42"/>
        <v>#DIV/0!</v>
      </c>
      <c r="Z313" s="124"/>
      <c r="AA313" s="124" t="e">
        <f t="shared" si="43"/>
        <v>#DIV/0!</v>
      </c>
      <c r="AB313" s="125" t="e">
        <f t="shared" si="44"/>
        <v>#DIV/0!</v>
      </c>
      <c r="AC313" s="31" t="e">
        <f t="shared" si="45"/>
        <v>#DIV/0!</v>
      </c>
      <c r="AD313" s="126"/>
      <c r="AE313" s="127"/>
      <c r="AF313" s="127" t="e">
        <f t="shared" si="46"/>
        <v>#DIV/0!</v>
      </c>
      <c r="AG313" s="128" t="e">
        <f t="shared" si="47"/>
        <v>#DIV/0!</v>
      </c>
      <c r="AH313" s="128" t="e">
        <f t="shared" si="48"/>
        <v>#DIV/0!</v>
      </c>
      <c r="AI313" s="127" t="e">
        <f t="shared" si="49"/>
        <v>#DIV/0!</v>
      </c>
    </row>
    <row r="314" ht="15.5" customHeight="1" spans="1:35">
      <c r="A314" s="63"/>
      <c r="B314" s="56"/>
      <c r="C314" s="56"/>
      <c r="D314" s="59"/>
      <c r="E314" s="63"/>
      <c r="F314" s="24"/>
      <c r="G314" s="63"/>
      <c r="H314" s="21"/>
      <c r="I314" s="23"/>
      <c r="J314" s="121"/>
      <c r="K314" s="121"/>
      <c r="L314" s="26"/>
      <c r="M314" s="26"/>
      <c r="N314" s="26"/>
      <c r="O314" s="26"/>
      <c r="P314" s="26"/>
      <c r="Q314" s="26"/>
      <c r="R314" s="26"/>
      <c r="S314" s="23"/>
      <c r="T314" s="26"/>
      <c r="U314" s="26" t="str">
        <f t="shared" si="40"/>
        <v/>
      </c>
      <c r="V314" s="27"/>
      <c r="W314" s="122"/>
      <c r="X314" s="123">
        <f t="shared" si="41"/>
        <v>0</v>
      </c>
      <c r="Y314" s="124" t="e">
        <f t="shared" si="42"/>
        <v>#DIV/0!</v>
      </c>
      <c r="Z314" s="124"/>
      <c r="AA314" s="124" t="e">
        <f t="shared" si="43"/>
        <v>#DIV/0!</v>
      </c>
      <c r="AB314" s="125" t="e">
        <f t="shared" si="44"/>
        <v>#DIV/0!</v>
      </c>
      <c r="AC314" s="31" t="e">
        <f t="shared" si="45"/>
        <v>#DIV/0!</v>
      </c>
      <c r="AD314" s="126"/>
      <c r="AE314" s="127"/>
      <c r="AF314" s="127" t="e">
        <f t="shared" si="46"/>
        <v>#DIV/0!</v>
      </c>
      <c r="AG314" s="128" t="e">
        <f t="shared" si="47"/>
        <v>#DIV/0!</v>
      </c>
      <c r="AH314" s="128" t="e">
        <f t="shared" si="48"/>
        <v>#DIV/0!</v>
      </c>
      <c r="AI314" s="127" t="e">
        <f t="shared" si="49"/>
        <v>#DIV/0!</v>
      </c>
    </row>
    <row r="315" ht="15.5" customHeight="1" spans="1:35">
      <c r="A315" s="63"/>
      <c r="B315" s="56"/>
      <c r="C315" s="56"/>
      <c r="D315" s="59"/>
      <c r="E315" s="63"/>
      <c r="F315" s="24"/>
      <c r="G315" s="63"/>
      <c r="H315" s="21"/>
      <c r="I315" s="23"/>
      <c r="J315" s="121"/>
      <c r="K315" s="121"/>
      <c r="L315" s="26"/>
      <c r="M315" s="26"/>
      <c r="N315" s="26"/>
      <c r="O315" s="26"/>
      <c r="P315" s="26"/>
      <c r="Q315" s="26"/>
      <c r="R315" s="26"/>
      <c r="S315" s="23"/>
      <c r="T315" s="26"/>
      <c r="U315" s="26" t="str">
        <f t="shared" si="40"/>
        <v/>
      </c>
      <c r="V315" s="27"/>
      <c r="W315" s="122"/>
      <c r="X315" s="123">
        <f t="shared" si="41"/>
        <v>0</v>
      </c>
      <c r="Y315" s="124" t="e">
        <f t="shared" si="42"/>
        <v>#DIV/0!</v>
      </c>
      <c r="Z315" s="124"/>
      <c r="AA315" s="124" t="e">
        <f t="shared" si="43"/>
        <v>#DIV/0!</v>
      </c>
      <c r="AB315" s="125" t="e">
        <f t="shared" si="44"/>
        <v>#DIV/0!</v>
      </c>
      <c r="AC315" s="31" t="e">
        <f t="shared" si="45"/>
        <v>#DIV/0!</v>
      </c>
      <c r="AD315" s="126"/>
      <c r="AE315" s="127"/>
      <c r="AF315" s="127" t="e">
        <f t="shared" si="46"/>
        <v>#DIV/0!</v>
      </c>
      <c r="AG315" s="128" t="e">
        <f t="shared" si="47"/>
        <v>#DIV/0!</v>
      </c>
      <c r="AH315" s="128" t="e">
        <f t="shared" si="48"/>
        <v>#DIV/0!</v>
      </c>
      <c r="AI315" s="127" t="e">
        <f t="shared" si="49"/>
        <v>#DIV/0!</v>
      </c>
    </row>
    <row r="316" ht="15.5" customHeight="1" spans="1:35">
      <c r="A316" s="63"/>
      <c r="B316" s="56"/>
      <c r="C316" s="56"/>
      <c r="D316" s="59"/>
      <c r="E316" s="63"/>
      <c r="F316" s="24"/>
      <c r="G316" s="63"/>
      <c r="H316" s="21"/>
      <c r="I316" s="23"/>
      <c r="J316" s="121"/>
      <c r="K316" s="121"/>
      <c r="L316" s="26"/>
      <c r="M316" s="26"/>
      <c r="N316" s="26"/>
      <c r="O316" s="26"/>
      <c r="P316" s="26"/>
      <c r="Q316" s="26"/>
      <c r="R316" s="26"/>
      <c r="S316" s="23"/>
      <c r="T316" s="26"/>
      <c r="U316" s="26" t="str">
        <f t="shared" si="40"/>
        <v/>
      </c>
      <c r="V316" s="27"/>
      <c r="W316" s="122"/>
      <c r="X316" s="123">
        <f t="shared" si="41"/>
        <v>0</v>
      </c>
      <c r="Y316" s="124" t="e">
        <f t="shared" si="42"/>
        <v>#DIV/0!</v>
      </c>
      <c r="Z316" s="124"/>
      <c r="AA316" s="124" t="e">
        <f t="shared" si="43"/>
        <v>#DIV/0!</v>
      </c>
      <c r="AB316" s="125" t="e">
        <f t="shared" si="44"/>
        <v>#DIV/0!</v>
      </c>
      <c r="AC316" s="31" t="e">
        <f t="shared" si="45"/>
        <v>#DIV/0!</v>
      </c>
      <c r="AD316" s="126"/>
      <c r="AE316" s="127"/>
      <c r="AF316" s="127" t="e">
        <f t="shared" si="46"/>
        <v>#DIV/0!</v>
      </c>
      <c r="AG316" s="128" t="e">
        <f t="shared" si="47"/>
        <v>#DIV/0!</v>
      </c>
      <c r="AH316" s="128" t="e">
        <f t="shared" si="48"/>
        <v>#DIV/0!</v>
      </c>
      <c r="AI316" s="127" t="e">
        <f t="shared" si="49"/>
        <v>#DIV/0!</v>
      </c>
    </row>
    <row r="317" ht="15.5" customHeight="1" spans="1:35">
      <c r="A317" s="63"/>
      <c r="B317" s="56"/>
      <c r="C317" s="56"/>
      <c r="D317" s="59"/>
      <c r="E317" s="63"/>
      <c r="F317" s="24"/>
      <c r="G317" s="63"/>
      <c r="H317" s="21"/>
      <c r="I317" s="23"/>
      <c r="J317" s="121"/>
      <c r="K317" s="121"/>
      <c r="L317" s="26"/>
      <c r="M317" s="26"/>
      <c r="N317" s="26"/>
      <c r="O317" s="26"/>
      <c r="P317" s="26"/>
      <c r="Q317" s="26"/>
      <c r="R317" s="26"/>
      <c r="S317" s="23"/>
      <c r="T317" s="26"/>
      <c r="U317" s="26" t="str">
        <f t="shared" si="40"/>
        <v/>
      </c>
      <c r="V317" s="27"/>
      <c r="W317" s="122"/>
      <c r="X317" s="123">
        <f t="shared" si="41"/>
        <v>0</v>
      </c>
      <c r="Y317" s="124" t="e">
        <f t="shared" si="42"/>
        <v>#DIV/0!</v>
      </c>
      <c r="Z317" s="124"/>
      <c r="AA317" s="124" t="e">
        <f t="shared" si="43"/>
        <v>#DIV/0!</v>
      </c>
      <c r="AB317" s="125" t="e">
        <f t="shared" si="44"/>
        <v>#DIV/0!</v>
      </c>
      <c r="AC317" s="31" t="e">
        <f t="shared" si="45"/>
        <v>#DIV/0!</v>
      </c>
      <c r="AD317" s="126"/>
      <c r="AE317" s="127"/>
      <c r="AF317" s="127" t="e">
        <f t="shared" si="46"/>
        <v>#DIV/0!</v>
      </c>
      <c r="AG317" s="128" t="e">
        <f t="shared" si="47"/>
        <v>#DIV/0!</v>
      </c>
      <c r="AH317" s="128" t="e">
        <f t="shared" si="48"/>
        <v>#DIV/0!</v>
      </c>
      <c r="AI317" s="127" t="e">
        <f t="shared" si="49"/>
        <v>#DIV/0!</v>
      </c>
    </row>
    <row r="318" ht="15.5" customHeight="1" spans="1:35">
      <c r="A318" s="63"/>
      <c r="B318" s="56"/>
      <c r="C318" s="56"/>
      <c r="D318" s="59"/>
      <c r="E318" s="63"/>
      <c r="F318" s="24"/>
      <c r="G318" s="63"/>
      <c r="H318" s="21"/>
      <c r="I318" s="23"/>
      <c r="J318" s="121"/>
      <c r="K318" s="121"/>
      <c r="L318" s="26"/>
      <c r="M318" s="26"/>
      <c r="N318" s="26"/>
      <c r="O318" s="26"/>
      <c r="P318" s="26"/>
      <c r="Q318" s="26"/>
      <c r="R318" s="26"/>
      <c r="S318" s="23"/>
      <c r="T318" s="26"/>
      <c r="U318" s="26" t="str">
        <f t="shared" si="40"/>
        <v/>
      </c>
      <c r="V318" s="27"/>
      <c r="W318" s="122"/>
      <c r="X318" s="123">
        <f t="shared" si="41"/>
        <v>0</v>
      </c>
      <c r="Y318" s="124" t="e">
        <f t="shared" si="42"/>
        <v>#DIV/0!</v>
      </c>
      <c r="Z318" s="124"/>
      <c r="AA318" s="124" t="e">
        <f t="shared" si="43"/>
        <v>#DIV/0!</v>
      </c>
      <c r="AB318" s="125" t="e">
        <f t="shared" si="44"/>
        <v>#DIV/0!</v>
      </c>
      <c r="AC318" s="31" t="e">
        <f t="shared" si="45"/>
        <v>#DIV/0!</v>
      </c>
      <c r="AD318" s="126"/>
      <c r="AE318" s="127"/>
      <c r="AF318" s="127" t="e">
        <f t="shared" si="46"/>
        <v>#DIV/0!</v>
      </c>
      <c r="AG318" s="128" t="e">
        <f t="shared" si="47"/>
        <v>#DIV/0!</v>
      </c>
      <c r="AH318" s="128" t="e">
        <f t="shared" si="48"/>
        <v>#DIV/0!</v>
      </c>
      <c r="AI318" s="127" t="e">
        <f t="shared" si="49"/>
        <v>#DIV/0!</v>
      </c>
    </row>
    <row r="319" ht="15.5" customHeight="1" spans="1:35">
      <c r="A319" s="63"/>
      <c r="B319" s="56"/>
      <c r="C319" s="56"/>
      <c r="D319" s="59"/>
      <c r="E319" s="63"/>
      <c r="F319" s="24"/>
      <c r="G319" s="63"/>
      <c r="H319" s="21"/>
      <c r="I319" s="23"/>
      <c r="J319" s="121"/>
      <c r="K319" s="121"/>
      <c r="L319" s="26"/>
      <c r="M319" s="26"/>
      <c r="N319" s="26"/>
      <c r="O319" s="26"/>
      <c r="P319" s="26"/>
      <c r="Q319" s="26"/>
      <c r="R319" s="26"/>
      <c r="S319" s="23"/>
      <c r="T319" s="26"/>
      <c r="U319" s="26" t="str">
        <f t="shared" si="40"/>
        <v/>
      </c>
      <c r="V319" s="27"/>
      <c r="W319" s="122"/>
      <c r="X319" s="123">
        <f t="shared" si="41"/>
        <v>0</v>
      </c>
      <c r="Y319" s="124" t="e">
        <f t="shared" si="42"/>
        <v>#DIV/0!</v>
      </c>
      <c r="Z319" s="124"/>
      <c r="AA319" s="124" t="e">
        <f t="shared" si="43"/>
        <v>#DIV/0!</v>
      </c>
      <c r="AB319" s="125" t="e">
        <f t="shared" si="44"/>
        <v>#DIV/0!</v>
      </c>
      <c r="AC319" s="31" t="e">
        <f t="shared" si="45"/>
        <v>#DIV/0!</v>
      </c>
      <c r="AD319" s="126"/>
      <c r="AE319" s="127"/>
      <c r="AF319" s="127" t="e">
        <f t="shared" si="46"/>
        <v>#DIV/0!</v>
      </c>
      <c r="AG319" s="128" t="e">
        <f t="shared" si="47"/>
        <v>#DIV/0!</v>
      </c>
      <c r="AH319" s="128" t="e">
        <f t="shared" si="48"/>
        <v>#DIV/0!</v>
      </c>
      <c r="AI319" s="127" t="e">
        <f t="shared" si="49"/>
        <v>#DIV/0!</v>
      </c>
    </row>
    <row r="320" ht="15.5" customHeight="1" spans="1:35">
      <c r="A320" s="63"/>
      <c r="B320" s="56"/>
      <c r="C320" s="56"/>
      <c r="D320" s="59"/>
      <c r="E320" s="63"/>
      <c r="F320" s="24"/>
      <c r="G320" s="63"/>
      <c r="H320" s="21"/>
      <c r="I320" s="23"/>
      <c r="J320" s="121"/>
      <c r="K320" s="121"/>
      <c r="L320" s="26"/>
      <c r="M320" s="26"/>
      <c r="N320" s="26"/>
      <c r="O320" s="26"/>
      <c r="P320" s="26"/>
      <c r="Q320" s="26"/>
      <c r="R320" s="26"/>
      <c r="S320" s="23"/>
      <c r="T320" s="26"/>
      <c r="U320" s="26" t="str">
        <f t="shared" si="40"/>
        <v/>
      </c>
      <c r="V320" s="27"/>
      <c r="W320" s="122"/>
      <c r="X320" s="123">
        <f t="shared" si="41"/>
        <v>0</v>
      </c>
      <c r="Y320" s="124" t="e">
        <f t="shared" si="42"/>
        <v>#DIV/0!</v>
      </c>
      <c r="Z320" s="124"/>
      <c r="AA320" s="124" t="e">
        <f t="shared" si="43"/>
        <v>#DIV/0!</v>
      </c>
      <c r="AB320" s="125" t="e">
        <f t="shared" si="44"/>
        <v>#DIV/0!</v>
      </c>
      <c r="AC320" s="31" t="e">
        <f t="shared" si="45"/>
        <v>#DIV/0!</v>
      </c>
      <c r="AD320" s="126"/>
      <c r="AE320" s="127"/>
      <c r="AF320" s="127" t="e">
        <f t="shared" si="46"/>
        <v>#DIV/0!</v>
      </c>
      <c r="AG320" s="128" t="e">
        <f t="shared" si="47"/>
        <v>#DIV/0!</v>
      </c>
      <c r="AH320" s="128" t="e">
        <f t="shared" si="48"/>
        <v>#DIV/0!</v>
      </c>
      <c r="AI320" s="127" t="e">
        <f t="shared" si="49"/>
        <v>#DIV/0!</v>
      </c>
    </row>
    <row r="321" ht="15.5" customHeight="1" spans="1:35">
      <c r="A321" s="63"/>
      <c r="B321" s="56"/>
      <c r="C321" s="56"/>
      <c r="D321" s="59"/>
      <c r="E321" s="63"/>
      <c r="F321" s="24"/>
      <c r="G321" s="63"/>
      <c r="H321" s="21"/>
      <c r="I321" s="23"/>
      <c r="J321" s="121"/>
      <c r="K321" s="121"/>
      <c r="L321" s="26"/>
      <c r="M321" s="26"/>
      <c r="N321" s="26"/>
      <c r="O321" s="26"/>
      <c r="P321" s="26"/>
      <c r="Q321" s="26"/>
      <c r="R321" s="26"/>
      <c r="S321" s="23"/>
      <c r="T321" s="26"/>
      <c r="U321" s="26" t="str">
        <f t="shared" si="40"/>
        <v/>
      </c>
      <c r="V321" s="27"/>
      <c r="W321" s="122"/>
      <c r="X321" s="123">
        <f t="shared" si="41"/>
        <v>0</v>
      </c>
      <c r="Y321" s="124" t="e">
        <f t="shared" si="42"/>
        <v>#DIV/0!</v>
      </c>
      <c r="Z321" s="124"/>
      <c r="AA321" s="124" t="e">
        <f t="shared" si="43"/>
        <v>#DIV/0!</v>
      </c>
      <c r="AB321" s="125" t="e">
        <f t="shared" si="44"/>
        <v>#DIV/0!</v>
      </c>
      <c r="AC321" s="31" t="e">
        <f t="shared" si="45"/>
        <v>#DIV/0!</v>
      </c>
      <c r="AD321" s="126"/>
      <c r="AE321" s="127"/>
      <c r="AF321" s="127" t="e">
        <f t="shared" si="46"/>
        <v>#DIV/0!</v>
      </c>
      <c r="AG321" s="128" t="e">
        <f t="shared" si="47"/>
        <v>#DIV/0!</v>
      </c>
      <c r="AH321" s="128" t="e">
        <f t="shared" si="48"/>
        <v>#DIV/0!</v>
      </c>
      <c r="AI321" s="127" t="e">
        <f t="shared" si="49"/>
        <v>#DIV/0!</v>
      </c>
    </row>
    <row r="322" ht="15.5" customHeight="1" spans="1:35">
      <c r="A322" s="63"/>
      <c r="B322" s="56"/>
      <c r="C322" s="56"/>
      <c r="D322" s="59"/>
      <c r="E322" s="63"/>
      <c r="F322" s="24"/>
      <c r="G322" s="63"/>
      <c r="H322" s="21"/>
      <c r="I322" s="23"/>
      <c r="J322" s="121"/>
      <c r="K322" s="121"/>
      <c r="L322" s="26"/>
      <c r="M322" s="26"/>
      <c r="N322" s="26"/>
      <c r="O322" s="26"/>
      <c r="P322" s="26"/>
      <c r="Q322" s="26"/>
      <c r="R322" s="26"/>
      <c r="S322" s="23"/>
      <c r="T322" s="26"/>
      <c r="U322" s="26" t="str">
        <f t="shared" si="40"/>
        <v/>
      </c>
      <c r="V322" s="27"/>
      <c r="W322" s="122"/>
      <c r="X322" s="123">
        <f t="shared" si="41"/>
        <v>0</v>
      </c>
      <c r="Y322" s="124" t="e">
        <f t="shared" si="42"/>
        <v>#DIV/0!</v>
      </c>
      <c r="Z322" s="124"/>
      <c r="AA322" s="124" t="e">
        <f t="shared" si="43"/>
        <v>#DIV/0!</v>
      </c>
      <c r="AB322" s="125" t="e">
        <f t="shared" si="44"/>
        <v>#DIV/0!</v>
      </c>
      <c r="AC322" s="31" t="e">
        <f t="shared" si="45"/>
        <v>#DIV/0!</v>
      </c>
      <c r="AD322" s="126"/>
      <c r="AE322" s="127"/>
      <c r="AF322" s="127" t="e">
        <f t="shared" si="46"/>
        <v>#DIV/0!</v>
      </c>
      <c r="AG322" s="128" t="e">
        <f t="shared" si="47"/>
        <v>#DIV/0!</v>
      </c>
      <c r="AH322" s="128" t="e">
        <f t="shared" si="48"/>
        <v>#DIV/0!</v>
      </c>
      <c r="AI322" s="127" t="e">
        <f t="shared" si="49"/>
        <v>#DIV/0!</v>
      </c>
    </row>
    <row r="323" ht="15.5" customHeight="1" spans="1:35">
      <c r="A323" s="63"/>
      <c r="B323" s="56"/>
      <c r="C323" s="56"/>
      <c r="D323" s="59"/>
      <c r="E323" s="63"/>
      <c r="F323" s="24"/>
      <c r="G323" s="63"/>
      <c r="H323" s="21"/>
      <c r="I323" s="23"/>
      <c r="J323" s="121"/>
      <c r="K323" s="121"/>
      <c r="L323" s="26"/>
      <c r="M323" s="26"/>
      <c r="N323" s="26"/>
      <c r="O323" s="26"/>
      <c r="P323" s="26"/>
      <c r="Q323" s="26"/>
      <c r="R323" s="26"/>
      <c r="S323" s="23"/>
      <c r="T323" s="26"/>
      <c r="U323" s="26" t="str">
        <f t="shared" si="40"/>
        <v/>
      </c>
      <c r="V323" s="27"/>
      <c r="W323" s="122"/>
      <c r="X323" s="123">
        <f t="shared" si="41"/>
        <v>0</v>
      </c>
      <c r="Y323" s="124" t="e">
        <f t="shared" si="42"/>
        <v>#DIV/0!</v>
      </c>
      <c r="Z323" s="124"/>
      <c r="AA323" s="124" t="e">
        <f t="shared" si="43"/>
        <v>#DIV/0!</v>
      </c>
      <c r="AB323" s="125" t="e">
        <f t="shared" si="44"/>
        <v>#DIV/0!</v>
      </c>
      <c r="AC323" s="31" t="e">
        <f t="shared" si="45"/>
        <v>#DIV/0!</v>
      </c>
      <c r="AD323" s="126"/>
      <c r="AE323" s="127"/>
      <c r="AF323" s="127" t="e">
        <f t="shared" si="46"/>
        <v>#DIV/0!</v>
      </c>
      <c r="AG323" s="128" t="e">
        <f t="shared" si="47"/>
        <v>#DIV/0!</v>
      </c>
      <c r="AH323" s="128" t="e">
        <f t="shared" si="48"/>
        <v>#DIV/0!</v>
      </c>
      <c r="AI323" s="127" t="e">
        <f t="shared" si="49"/>
        <v>#DIV/0!</v>
      </c>
    </row>
    <row r="324" ht="15.5" customHeight="1" spans="1:35">
      <c r="A324" s="63"/>
      <c r="B324" s="56"/>
      <c r="C324" s="56"/>
      <c r="D324" s="59"/>
      <c r="E324" s="63"/>
      <c r="F324" s="24"/>
      <c r="G324" s="63"/>
      <c r="H324" s="21"/>
      <c r="I324" s="23"/>
      <c r="J324" s="121"/>
      <c r="K324" s="121"/>
      <c r="L324" s="26"/>
      <c r="M324" s="26"/>
      <c r="N324" s="26"/>
      <c r="O324" s="26"/>
      <c r="P324" s="26"/>
      <c r="Q324" s="26"/>
      <c r="R324" s="26"/>
      <c r="S324" s="23"/>
      <c r="T324" s="26"/>
      <c r="U324" s="26" t="str">
        <f t="shared" si="40"/>
        <v/>
      </c>
      <c r="V324" s="27"/>
      <c r="W324" s="122"/>
      <c r="X324" s="123">
        <f t="shared" si="41"/>
        <v>0</v>
      </c>
      <c r="Y324" s="124" t="e">
        <f t="shared" si="42"/>
        <v>#DIV/0!</v>
      </c>
      <c r="Z324" s="124"/>
      <c r="AA324" s="124" t="e">
        <f t="shared" si="43"/>
        <v>#DIV/0!</v>
      </c>
      <c r="AB324" s="125" t="e">
        <f t="shared" si="44"/>
        <v>#DIV/0!</v>
      </c>
      <c r="AC324" s="31" t="e">
        <f t="shared" si="45"/>
        <v>#DIV/0!</v>
      </c>
      <c r="AD324" s="126"/>
      <c r="AE324" s="127"/>
      <c r="AF324" s="127" t="e">
        <f t="shared" si="46"/>
        <v>#DIV/0!</v>
      </c>
      <c r="AG324" s="128" t="e">
        <f t="shared" si="47"/>
        <v>#DIV/0!</v>
      </c>
      <c r="AH324" s="128" t="e">
        <f t="shared" si="48"/>
        <v>#DIV/0!</v>
      </c>
      <c r="AI324" s="127" t="e">
        <f t="shared" si="49"/>
        <v>#DIV/0!</v>
      </c>
    </row>
    <row r="325" ht="15.5" customHeight="1" spans="1:35">
      <c r="A325" s="63"/>
      <c r="B325" s="56"/>
      <c r="C325" s="56"/>
      <c r="D325" s="59"/>
      <c r="E325" s="63"/>
      <c r="F325" s="24"/>
      <c r="G325" s="63"/>
      <c r="H325" s="21"/>
      <c r="I325" s="23"/>
      <c r="J325" s="121"/>
      <c r="K325" s="121"/>
      <c r="L325" s="26"/>
      <c r="M325" s="26"/>
      <c r="N325" s="26"/>
      <c r="O325" s="26"/>
      <c r="P325" s="26"/>
      <c r="Q325" s="26"/>
      <c r="R325" s="26"/>
      <c r="S325" s="23"/>
      <c r="T325" s="26"/>
      <c r="U325" s="26" t="str">
        <f t="shared" si="40"/>
        <v/>
      </c>
      <c r="V325" s="27"/>
      <c r="W325" s="122"/>
      <c r="X325" s="123">
        <f t="shared" si="41"/>
        <v>0</v>
      </c>
      <c r="Y325" s="124" t="e">
        <f t="shared" si="42"/>
        <v>#DIV/0!</v>
      </c>
      <c r="Z325" s="124"/>
      <c r="AA325" s="124" t="e">
        <f t="shared" si="43"/>
        <v>#DIV/0!</v>
      </c>
      <c r="AB325" s="125" t="e">
        <f t="shared" si="44"/>
        <v>#DIV/0!</v>
      </c>
      <c r="AC325" s="31" t="e">
        <f t="shared" si="45"/>
        <v>#DIV/0!</v>
      </c>
      <c r="AD325" s="126"/>
      <c r="AE325" s="127"/>
      <c r="AF325" s="127" t="e">
        <f t="shared" si="46"/>
        <v>#DIV/0!</v>
      </c>
      <c r="AG325" s="128" t="e">
        <f t="shared" si="47"/>
        <v>#DIV/0!</v>
      </c>
      <c r="AH325" s="128" t="e">
        <f t="shared" si="48"/>
        <v>#DIV/0!</v>
      </c>
      <c r="AI325" s="127" t="e">
        <f t="shared" si="49"/>
        <v>#DIV/0!</v>
      </c>
    </row>
    <row r="326" ht="15.5" customHeight="1" spans="1:35">
      <c r="A326" s="63"/>
      <c r="B326" s="56"/>
      <c r="C326" s="56"/>
      <c r="D326" s="59"/>
      <c r="E326" s="63"/>
      <c r="F326" s="24"/>
      <c r="G326" s="63"/>
      <c r="H326" s="21"/>
      <c r="I326" s="23"/>
      <c r="J326" s="121"/>
      <c r="K326" s="121"/>
      <c r="L326" s="26"/>
      <c r="M326" s="26"/>
      <c r="N326" s="26"/>
      <c r="O326" s="26"/>
      <c r="P326" s="26"/>
      <c r="Q326" s="26"/>
      <c r="R326" s="26"/>
      <c r="S326" s="23"/>
      <c r="T326" s="26"/>
      <c r="U326" s="26" t="str">
        <f t="shared" si="40"/>
        <v/>
      </c>
      <c r="V326" s="27"/>
      <c r="W326" s="122"/>
      <c r="X326" s="123">
        <f t="shared" si="41"/>
        <v>0</v>
      </c>
      <c r="Y326" s="124" t="e">
        <f t="shared" si="42"/>
        <v>#DIV/0!</v>
      </c>
      <c r="Z326" s="124"/>
      <c r="AA326" s="124" t="e">
        <f t="shared" si="43"/>
        <v>#DIV/0!</v>
      </c>
      <c r="AB326" s="125" t="e">
        <f t="shared" si="44"/>
        <v>#DIV/0!</v>
      </c>
      <c r="AC326" s="31" t="e">
        <f t="shared" si="45"/>
        <v>#DIV/0!</v>
      </c>
      <c r="AD326" s="126"/>
      <c r="AE326" s="127"/>
      <c r="AF326" s="127" t="e">
        <f t="shared" si="46"/>
        <v>#DIV/0!</v>
      </c>
      <c r="AG326" s="128" t="e">
        <f t="shared" si="47"/>
        <v>#DIV/0!</v>
      </c>
      <c r="AH326" s="128" t="e">
        <f t="shared" si="48"/>
        <v>#DIV/0!</v>
      </c>
      <c r="AI326" s="127" t="e">
        <f t="shared" si="49"/>
        <v>#DIV/0!</v>
      </c>
    </row>
    <row r="327" ht="15.5" customHeight="1" spans="1:35">
      <c r="A327" s="63"/>
      <c r="B327" s="56"/>
      <c r="C327" s="56"/>
      <c r="D327" s="59"/>
      <c r="E327" s="63"/>
      <c r="F327" s="24"/>
      <c r="G327" s="63"/>
      <c r="H327" s="21"/>
      <c r="I327" s="23"/>
      <c r="J327" s="121"/>
      <c r="K327" s="121"/>
      <c r="L327" s="26"/>
      <c r="M327" s="26"/>
      <c r="N327" s="26"/>
      <c r="O327" s="26"/>
      <c r="P327" s="26"/>
      <c r="Q327" s="26"/>
      <c r="R327" s="26"/>
      <c r="S327" s="23"/>
      <c r="T327" s="26"/>
      <c r="U327" s="26" t="str">
        <f t="shared" ref="U327:U390" si="50">IF(Q327=0,"",(T327-Q327)/Q327*100)</f>
        <v/>
      </c>
      <c r="V327" s="27"/>
      <c r="W327" s="122"/>
      <c r="X327" s="123">
        <f t="shared" ref="X327:X390" si="51">($W$5-K327)/365</f>
        <v>0</v>
      </c>
      <c r="Y327" s="124" t="e">
        <f t="shared" ref="Y327:Y390" si="52">(W327-X327)/W327</f>
        <v>#DIV/0!</v>
      </c>
      <c r="Z327" s="124"/>
      <c r="AA327" s="124" t="e">
        <f t="shared" ref="AA327:AA390" si="53">Y327/2+Z327/2</f>
        <v>#DIV/0!</v>
      </c>
      <c r="AB327" s="125" t="e">
        <f t="shared" ref="AB327:AB390" si="54">P327/I327</f>
        <v>#DIV/0!</v>
      </c>
      <c r="AC327" s="31" t="e">
        <f t="shared" ref="AC327:AC390" si="55">AB327*AD327</f>
        <v>#DIV/0!</v>
      </c>
      <c r="AD327" s="126"/>
      <c r="AE327" s="127"/>
      <c r="AF327" s="127" t="e">
        <f t="shared" ref="AF327:AF390" si="56">AC327*0.13/(1+0.13)</f>
        <v>#DIV/0!</v>
      </c>
      <c r="AG327" s="128" t="e">
        <f t="shared" ref="AG327:AG390" si="57">AC327-AF327</f>
        <v>#DIV/0!</v>
      </c>
      <c r="AH327" s="128" t="e">
        <f t="shared" ref="AH327:AH390" si="58">AC327*I327</f>
        <v>#DIV/0!</v>
      </c>
      <c r="AI327" s="127" t="e">
        <f t="shared" ref="AI327:AI390" si="59">ROUND(AG327*I327,-1)</f>
        <v>#DIV/0!</v>
      </c>
    </row>
    <row r="328" ht="15.5" customHeight="1" spans="1:35">
      <c r="A328" s="63"/>
      <c r="B328" s="56"/>
      <c r="C328" s="56"/>
      <c r="D328" s="59"/>
      <c r="E328" s="63"/>
      <c r="F328" s="24"/>
      <c r="G328" s="63"/>
      <c r="H328" s="21"/>
      <c r="I328" s="23"/>
      <c r="J328" s="121"/>
      <c r="K328" s="121"/>
      <c r="L328" s="26"/>
      <c r="M328" s="26"/>
      <c r="N328" s="26"/>
      <c r="O328" s="26"/>
      <c r="P328" s="26"/>
      <c r="Q328" s="26"/>
      <c r="R328" s="26"/>
      <c r="S328" s="23"/>
      <c r="T328" s="26"/>
      <c r="U328" s="26" t="str">
        <f t="shared" si="50"/>
        <v/>
      </c>
      <c r="V328" s="27"/>
      <c r="W328" s="122"/>
      <c r="X328" s="123">
        <f t="shared" si="51"/>
        <v>0</v>
      </c>
      <c r="Y328" s="124" t="e">
        <f t="shared" si="52"/>
        <v>#DIV/0!</v>
      </c>
      <c r="Z328" s="124"/>
      <c r="AA328" s="124" t="e">
        <f t="shared" si="53"/>
        <v>#DIV/0!</v>
      </c>
      <c r="AB328" s="125" t="e">
        <f t="shared" si="54"/>
        <v>#DIV/0!</v>
      </c>
      <c r="AC328" s="31" t="e">
        <f t="shared" si="55"/>
        <v>#DIV/0!</v>
      </c>
      <c r="AD328" s="126"/>
      <c r="AE328" s="127"/>
      <c r="AF328" s="127" t="e">
        <f t="shared" si="56"/>
        <v>#DIV/0!</v>
      </c>
      <c r="AG328" s="128" t="e">
        <f t="shared" si="57"/>
        <v>#DIV/0!</v>
      </c>
      <c r="AH328" s="128" t="e">
        <f t="shared" si="58"/>
        <v>#DIV/0!</v>
      </c>
      <c r="AI328" s="127" t="e">
        <f t="shared" si="59"/>
        <v>#DIV/0!</v>
      </c>
    </row>
    <row r="329" ht="15.5" customHeight="1" spans="1:35">
      <c r="A329" s="63"/>
      <c r="B329" s="56"/>
      <c r="C329" s="56"/>
      <c r="D329" s="59"/>
      <c r="E329" s="63"/>
      <c r="F329" s="24"/>
      <c r="G329" s="63"/>
      <c r="H329" s="21"/>
      <c r="I329" s="23"/>
      <c r="J329" s="121"/>
      <c r="K329" s="121"/>
      <c r="L329" s="26"/>
      <c r="M329" s="26"/>
      <c r="N329" s="26"/>
      <c r="O329" s="26"/>
      <c r="P329" s="26"/>
      <c r="Q329" s="26"/>
      <c r="R329" s="26"/>
      <c r="S329" s="23"/>
      <c r="T329" s="26"/>
      <c r="U329" s="26" t="str">
        <f t="shared" si="50"/>
        <v/>
      </c>
      <c r="V329" s="27"/>
      <c r="W329" s="122"/>
      <c r="X329" s="123">
        <f t="shared" si="51"/>
        <v>0</v>
      </c>
      <c r="Y329" s="124" t="e">
        <f t="shared" si="52"/>
        <v>#DIV/0!</v>
      </c>
      <c r="Z329" s="124"/>
      <c r="AA329" s="124" t="e">
        <f t="shared" si="53"/>
        <v>#DIV/0!</v>
      </c>
      <c r="AB329" s="125" t="e">
        <f t="shared" si="54"/>
        <v>#DIV/0!</v>
      </c>
      <c r="AC329" s="31" t="e">
        <f t="shared" si="55"/>
        <v>#DIV/0!</v>
      </c>
      <c r="AD329" s="126"/>
      <c r="AE329" s="127"/>
      <c r="AF329" s="127" t="e">
        <f t="shared" si="56"/>
        <v>#DIV/0!</v>
      </c>
      <c r="AG329" s="128" t="e">
        <f t="shared" si="57"/>
        <v>#DIV/0!</v>
      </c>
      <c r="AH329" s="128" t="e">
        <f t="shared" si="58"/>
        <v>#DIV/0!</v>
      </c>
      <c r="AI329" s="127" t="e">
        <f t="shared" si="59"/>
        <v>#DIV/0!</v>
      </c>
    </row>
    <row r="330" ht="15.5" customHeight="1" spans="1:35">
      <c r="A330" s="63"/>
      <c r="B330" s="56"/>
      <c r="C330" s="56"/>
      <c r="D330" s="59"/>
      <c r="E330" s="63"/>
      <c r="F330" s="24"/>
      <c r="G330" s="63"/>
      <c r="H330" s="21"/>
      <c r="I330" s="23"/>
      <c r="J330" s="121"/>
      <c r="K330" s="121"/>
      <c r="L330" s="26"/>
      <c r="M330" s="26"/>
      <c r="N330" s="26"/>
      <c r="O330" s="26"/>
      <c r="P330" s="26"/>
      <c r="Q330" s="26"/>
      <c r="R330" s="26"/>
      <c r="S330" s="23"/>
      <c r="T330" s="26"/>
      <c r="U330" s="26" t="str">
        <f t="shared" si="50"/>
        <v/>
      </c>
      <c r="V330" s="27"/>
      <c r="W330" s="122"/>
      <c r="X330" s="123">
        <f t="shared" si="51"/>
        <v>0</v>
      </c>
      <c r="Y330" s="124" t="e">
        <f t="shared" si="52"/>
        <v>#DIV/0!</v>
      </c>
      <c r="Z330" s="124"/>
      <c r="AA330" s="124" t="e">
        <f t="shared" si="53"/>
        <v>#DIV/0!</v>
      </c>
      <c r="AB330" s="125" t="e">
        <f t="shared" si="54"/>
        <v>#DIV/0!</v>
      </c>
      <c r="AC330" s="31" t="e">
        <f t="shared" si="55"/>
        <v>#DIV/0!</v>
      </c>
      <c r="AD330" s="126"/>
      <c r="AE330" s="127"/>
      <c r="AF330" s="127" t="e">
        <f t="shared" si="56"/>
        <v>#DIV/0!</v>
      </c>
      <c r="AG330" s="128" t="e">
        <f t="shared" si="57"/>
        <v>#DIV/0!</v>
      </c>
      <c r="AH330" s="128" t="e">
        <f t="shared" si="58"/>
        <v>#DIV/0!</v>
      </c>
      <c r="AI330" s="127" t="e">
        <f t="shared" si="59"/>
        <v>#DIV/0!</v>
      </c>
    </row>
    <row r="331" ht="15.5" customHeight="1" spans="1:35">
      <c r="A331" s="63"/>
      <c r="B331" s="56"/>
      <c r="C331" s="56"/>
      <c r="D331" s="59"/>
      <c r="E331" s="63"/>
      <c r="F331" s="24"/>
      <c r="G331" s="63"/>
      <c r="H331" s="21"/>
      <c r="I331" s="23"/>
      <c r="J331" s="121"/>
      <c r="K331" s="121"/>
      <c r="L331" s="26"/>
      <c r="M331" s="26"/>
      <c r="N331" s="26"/>
      <c r="O331" s="26"/>
      <c r="P331" s="26"/>
      <c r="Q331" s="26"/>
      <c r="R331" s="26"/>
      <c r="S331" s="23"/>
      <c r="T331" s="26"/>
      <c r="U331" s="26" t="str">
        <f t="shared" si="50"/>
        <v/>
      </c>
      <c r="V331" s="27"/>
      <c r="W331" s="122"/>
      <c r="X331" s="123">
        <f t="shared" si="51"/>
        <v>0</v>
      </c>
      <c r="Y331" s="124" t="e">
        <f t="shared" si="52"/>
        <v>#DIV/0!</v>
      </c>
      <c r="Z331" s="124"/>
      <c r="AA331" s="124" t="e">
        <f t="shared" si="53"/>
        <v>#DIV/0!</v>
      </c>
      <c r="AB331" s="125" t="e">
        <f t="shared" si="54"/>
        <v>#DIV/0!</v>
      </c>
      <c r="AC331" s="31" t="e">
        <f t="shared" si="55"/>
        <v>#DIV/0!</v>
      </c>
      <c r="AD331" s="126"/>
      <c r="AE331" s="127"/>
      <c r="AF331" s="127" t="e">
        <f t="shared" si="56"/>
        <v>#DIV/0!</v>
      </c>
      <c r="AG331" s="128" t="e">
        <f t="shared" si="57"/>
        <v>#DIV/0!</v>
      </c>
      <c r="AH331" s="128" t="e">
        <f t="shared" si="58"/>
        <v>#DIV/0!</v>
      </c>
      <c r="AI331" s="127" t="e">
        <f t="shared" si="59"/>
        <v>#DIV/0!</v>
      </c>
    </row>
    <row r="332" ht="15.5" customHeight="1" spans="1:35">
      <c r="A332" s="63"/>
      <c r="B332" s="56"/>
      <c r="C332" s="56"/>
      <c r="D332" s="59"/>
      <c r="E332" s="63"/>
      <c r="F332" s="24"/>
      <c r="G332" s="63"/>
      <c r="H332" s="21"/>
      <c r="I332" s="23"/>
      <c r="J332" s="121"/>
      <c r="K332" s="121"/>
      <c r="L332" s="26"/>
      <c r="M332" s="26"/>
      <c r="N332" s="26"/>
      <c r="O332" s="26"/>
      <c r="P332" s="26"/>
      <c r="Q332" s="26"/>
      <c r="R332" s="26"/>
      <c r="S332" s="23"/>
      <c r="T332" s="26"/>
      <c r="U332" s="26" t="str">
        <f t="shared" si="50"/>
        <v/>
      </c>
      <c r="V332" s="27"/>
      <c r="W332" s="122"/>
      <c r="X332" s="123">
        <f t="shared" si="51"/>
        <v>0</v>
      </c>
      <c r="Y332" s="124" t="e">
        <f t="shared" si="52"/>
        <v>#DIV/0!</v>
      </c>
      <c r="Z332" s="124"/>
      <c r="AA332" s="124" t="e">
        <f t="shared" si="53"/>
        <v>#DIV/0!</v>
      </c>
      <c r="AB332" s="125" t="e">
        <f t="shared" si="54"/>
        <v>#DIV/0!</v>
      </c>
      <c r="AC332" s="31" t="e">
        <f t="shared" si="55"/>
        <v>#DIV/0!</v>
      </c>
      <c r="AD332" s="126"/>
      <c r="AE332" s="127"/>
      <c r="AF332" s="127" t="e">
        <f t="shared" si="56"/>
        <v>#DIV/0!</v>
      </c>
      <c r="AG332" s="128" t="e">
        <f t="shared" si="57"/>
        <v>#DIV/0!</v>
      </c>
      <c r="AH332" s="128" t="e">
        <f t="shared" si="58"/>
        <v>#DIV/0!</v>
      </c>
      <c r="AI332" s="127" t="e">
        <f t="shared" si="59"/>
        <v>#DIV/0!</v>
      </c>
    </row>
    <row r="333" ht="15.5" customHeight="1" spans="1:35">
      <c r="A333" s="63"/>
      <c r="B333" s="56"/>
      <c r="C333" s="56"/>
      <c r="D333" s="59"/>
      <c r="E333" s="63"/>
      <c r="F333" s="24"/>
      <c r="G333" s="63"/>
      <c r="H333" s="21"/>
      <c r="I333" s="23"/>
      <c r="J333" s="121"/>
      <c r="K333" s="121"/>
      <c r="L333" s="26"/>
      <c r="M333" s="26"/>
      <c r="N333" s="26"/>
      <c r="O333" s="26"/>
      <c r="P333" s="26"/>
      <c r="Q333" s="26"/>
      <c r="R333" s="26"/>
      <c r="S333" s="23"/>
      <c r="T333" s="26"/>
      <c r="U333" s="26" t="str">
        <f t="shared" si="50"/>
        <v/>
      </c>
      <c r="V333" s="27"/>
      <c r="W333" s="122"/>
      <c r="X333" s="123">
        <f t="shared" si="51"/>
        <v>0</v>
      </c>
      <c r="Y333" s="124" t="e">
        <f t="shared" si="52"/>
        <v>#DIV/0!</v>
      </c>
      <c r="Z333" s="124"/>
      <c r="AA333" s="124" t="e">
        <f t="shared" si="53"/>
        <v>#DIV/0!</v>
      </c>
      <c r="AB333" s="125" t="e">
        <f t="shared" si="54"/>
        <v>#DIV/0!</v>
      </c>
      <c r="AC333" s="31" t="e">
        <f t="shared" si="55"/>
        <v>#DIV/0!</v>
      </c>
      <c r="AD333" s="126"/>
      <c r="AE333" s="127"/>
      <c r="AF333" s="127" t="e">
        <f t="shared" si="56"/>
        <v>#DIV/0!</v>
      </c>
      <c r="AG333" s="128" t="e">
        <f t="shared" si="57"/>
        <v>#DIV/0!</v>
      </c>
      <c r="AH333" s="128" t="e">
        <f t="shared" si="58"/>
        <v>#DIV/0!</v>
      </c>
      <c r="AI333" s="127" t="e">
        <f t="shared" si="59"/>
        <v>#DIV/0!</v>
      </c>
    </row>
    <row r="334" ht="15.5" customHeight="1" spans="1:35">
      <c r="A334" s="63"/>
      <c r="B334" s="56"/>
      <c r="C334" s="56"/>
      <c r="D334" s="59"/>
      <c r="E334" s="63"/>
      <c r="F334" s="24"/>
      <c r="G334" s="63"/>
      <c r="H334" s="21"/>
      <c r="I334" s="23"/>
      <c r="J334" s="121"/>
      <c r="K334" s="121"/>
      <c r="L334" s="26"/>
      <c r="M334" s="26"/>
      <c r="N334" s="26"/>
      <c r="O334" s="26"/>
      <c r="P334" s="26"/>
      <c r="Q334" s="26"/>
      <c r="R334" s="26"/>
      <c r="S334" s="23"/>
      <c r="T334" s="26"/>
      <c r="U334" s="26" t="str">
        <f t="shared" si="50"/>
        <v/>
      </c>
      <c r="V334" s="27"/>
      <c r="W334" s="122"/>
      <c r="X334" s="123">
        <f t="shared" si="51"/>
        <v>0</v>
      </c>
      <c r="Y334" s="124" t="e">
        <f t="shared" si="52"/>
        <v>#DIV/0!</v>
      </c>
      <c r="Z334" s="124"/>
      <c r="AA334" s="124" t="e">
        <f t="shared" si="53"/>
        <v>#DIV/0!</v>
      </c>
      <c r="AB334" s="125" t="e">
        <f t="shared" si="54"/>
        <v>#DIV/0!</v>
      </c>
      <c r="AC334" s="31" t="e">
        <f t="shared" si="55"/>
        <v>#DIV/0!</v>
      </c>
      <c r="AD334" s="126"/>
      <c r="AE334" s="127"/>
      <c r="AF334" s="127" t="e">
        <f t="shared" si="56"/>
        <v>#DIV/0!</v>
      </c>
      <c r="AG334" s="128" t="e">
        <f t="shared" si="57"/>
        <v>#DIV/0!</v>
      </c>
      <c r="AH334" s="128" t="e">
        <f t="shared" si="58"/>
        <v>#DIV/0!</v>
      </c>
      <c r="AI334" s="127" t="e">
        <f t="shared" si="59"/>
        <v>#DIV/0!</v>
      </c>
    </row>
    <row r="335" ht="15.5" customHeight="1" spans="1:35">
      <c r="A335" s="63"/>
      <c r="B335" s="56"/>
      <c r="C335" s="56"/>
      <c r="D335" s="59"/>
      <c r="E335" s="63"/>
      <c r="F335" s="24"/>
      <c r="G335" s="63"/>
      <c r="H335" s="21"/>
      <c r="I335" s="23"/>
      <c r="J335" s="121"/>
      <c r="K335" s="121"/>
      <c r="L335" s="26"/>
      <c r="M335" s="26"/>
      <c r="N335" s="26"/>
      <c r="O335" s="26"/>
      <c r="P335" s="26"/>
      <c r="Q335" s="26"/>
      <c r="R335" s="26"/>
      <c r="S335" s="23"/>
      <c r="T335" s="26"/>
      <c r="U335" s="26" t="str">
        <f t="shared" si="50"/>
        <v/>
      </c>
      <c r="V335" s="27"/>
      <c r="W335" s="122"/>
      <c r="X335" s="123">
        <f t="shared" si="51"/>
        <v>0</v>
      </c>
      <c r="Y335" s="124" t="e">
        <f t="shared" si="52"/>
        <v>#DIV/0!</v>
      </c>
      <c r="Z335" s="124"/>
      <c r="AA335" s="124" t="e">
        <f t="shared" si="53"/>
        <v>#DIV/0!</v>
      </c>
      <c r="AB335" s="125" t="e">
        <f t="shared" si="54"/>
        <v>#DIV/0!</v>
      </c>
      <c r="AC335" s="31" t="e">
        <f t="shared" si="55"/>
        <v>#DIV/0!</v>
      </c>
      <c r="AD335" s="126"/>
      <c r="AE335" s="127"/>
      <c r="AF335" s="127" t="e">
        <f t="shared" si="56"/>
        <v>#DIV/0!</v>
      </c>
      <c r="AG335" s="128" t="e">
        <f t="shared" si="57"/>
        <v>#DIV/0!</v>
      </c>
      <c r="AH335" s="128" t="e">
        <f t="shared" si="58"/>
        <v>#DIV/0!</v>
      </c>
      <c r="AI335" s="127" t="e">
        <f t="shared" si="59"/>
        <v>#DIV/0!</v>
      </c>
    </row>
    <row r="336" ht="15.5" customHeight="1" spans="1:35">
      <c r="A336" s="63"/>
      <c r="B336" s="56"/>
      <c r="C336" s="56"/>
      <c r="D336" s="59"/>
      <c r="E336" s="63"/>
      <c r="F336" s="24"/>
      <c r="G336" s="63"/>
      <c r="H336" s="21"/>
      <c r="I336" s="23"/>
      <c r="J336" s="121"/>
      <c r="K336" s="121"/>
      <c r="L336" s="26"/>
      <c r="M336" s="26"/>
      <c r="N336" s="26"/>
      <c r="O336" s="26"/>
      <c r="P336" s="26"/>
      <c r="Q336" s="26"/>
      <c r="R336" s="26"/>
      <c r="S336" s="23"/>
      <c r="T336" s="26"/>
      <c r="U336" s="26" t="str">
        <f t="shared" si="50"/>
        <v/>
      </c>
      <c r="V336" s="27"/>
      <c r="W336" s="122"/>
      <c r="X336" s="123">
        <f t="shared" si="51"/>
        <v>0</v>
      </c>
      <c r="Y336" s="124" t="e">
        <f t="shared" si="52"/>
        <v>#DIV/0!</v>
      </c>
      <c r="Z336" s="124"/>
      <c r="AA336" s="124" t="e">
        <f t="shared" si="53"/>
        <v>#DIV/0!</v>
      </c>
      <c r="AB336" s="125" t="e">
        <f t="shared" si="54"/>
        <v>#DIV/0!</v>
      </c>
      <c r="AC336" s="31" t="e">
        <f t="shared" si="55"/>
        <v>#DIV/0!</v>
      </c>
      <c r="AD336" s="126"/>
      <c r="AE336" s="127"/>
      <c r="AF336" s="127" t="e">
        <f t="shared" si="56"/>
        <v>#DIV/0!</v>
      </c>
      <c r="AG336" s="128" t="e">
        <f t="shared" si="57"/>
        <v>#DIV/0!</v>
      </c>
      <c r="AH336" s="128" t="e">
        <f t="shared" si="58"/>
        <v>#DIV/0!</v>
      </c>
      <c r="AI336" s="127" t="e">
        <f t="shared" si="59"/>
        <v>#DIV/0!</v>
      </c>
    </row>
    <row r="337" ht="15.5" customHeight="1" spans="1:35">
      <c r="A337" s="63"/>
      <c r="B337" s="56"/>
      <c r="C337" s="56"/>
      <c r="D337" s="59"/>
      <c r="E337" s="63"/>
      <c r="F337" s="24"/>
      <c r="G337" s="63"/>
      <c r="H337" s="21"/>
      <c r="I337" s="23"/>
      <c r="J337" s="121"/>
      <c r="K337" s="121"/>
      <c r="L337" s="26"/>
      <c r="M337" s="26"/>
      <c r="N337" s="26"/>
      <c r="O337" s="26"/>
      <c r="P337" s="26"/>
      <c r="Q337" s="26"/>
      <c r="R337" s="26"/>
      <c r="S337" s="23"/>
      <c r="T337" s="26"/>
      <c r="U337" s="26" t="str">
        <f t="shared" si="50"/>
        <v/>
      </c>
      <c r="V337" s="27"/>
      <c r="W337" s="122"/>
      <c r="X337" s="123">
        <f t="shared" si="51"/>
        <v>0</v>
      </c>
      <c r="Y337" s="124" t="e">
        <f t="shared" si="52"/>
        <v>#DIV/0!</v>
      </c>
      <c r="Z337" s="124"/>
      <c r="AA337" s="124" t="e">
        <f t="shared" si="53"/>
        <v>#DIV/0!</v>
      </c>
      <c r="AB337" s="125" t="e">
        <f t="shared" si="54"/>
        <v>#DIV/0!</v>
      </c>
      <c r="AC337" s="31" t="e">
        <f t="shared" si="55"/>
        <v>#DIV/0!</v>
      </c>
      <c r="AD337" s="126"/>
      <c r="AE337" s="127"/>
      <c r="AF337" s="127" t="e">
        <f t="shared" si="56"/>
        <v>#DIV/0!</v>
      </c>
      <c r="AG337" s="128" t="e">
        <f t="shared" si="57"/>
        <v>#DIV/0!</v>
      </c>
      <c r="AH337" s="128" t="e">
        <f t="shared" si="58"/>
        <v>#DIV/0!</v>
      </c>
      <c r="AI337" s="127" t="e">
        <f t="shared" si="59"/>
        <v>#DIV/0!</v>
      </c>
    </row>
    <row r="338" ht="15.5" customHeight="1" spans="1:35">
      <c r="A338" s="63"/>
      <c r="B338" s="56"/>
      <c r="C338" s="56"/>
      <c r="D338" s="59"/>
      <c r="E338" s="63"/>
      <c r="F338" s="24"/>
      <c r="G338" s="63"/>
      <c r="H338" s="21"/>
      <c r="I338" s="23"/>
      <c r="J338" s="121"/>
      <c r="K338" s="121"/>
      <c r="L338" s="26"/>
      <c r="M338" s="26"/>
      <c r="N338" s="26"/>
      <c r="O338" s="26"/>
      <c r="P338" s="26"/>
      <c r="Q338" s="26"/>
      <c r="R338" s="26"/>
      <c r="S338" s="23"/>
      <c r="T338" s="26"/>
      <c r="U338" s="26" t="str">
        <f t="shared" si="50"/>
        <v/>
      </c>
      <c r="V338" s="27"/>
      <c r="W338" s="122"/>
      <c r="X338" s="123">
        <f t="shared" si="51"/>
        <v>0</v>
      </c>
      <c r="Y338" s="124" t="e">
        <f t="shared" si="52"/>
        <v>#DIV/0!</v>
      </c>
      <c r="Z338" s="124"/>
      <c r="AA338" s="124" t="e">
        <f t="shared" si="53"/>
        <v>#DIV/0!</v>
      </c>
      <c r="AB338" s="125" t="e">
        <f t="shared" si="54"/>
        <v>#DIV/0!</v>
      </c>
      <c r="AC338" s="31" t="e">
        <f t="shared" si="55"/>
        <v>#DIV/0!</v>
      </c>
      <c r="AD338" s="126"/>
      <c r="AE338" s="127"/>
      <c r="AF338" s="127" t="e">
        <f t="shared" si="56"/>
        <v>#DIV/0!</v>
      </c>
      <c r="AG338" s="128" t="e">
        <f t="shared" si="57"/>
        <v>#DIV/0!</v>
      </c>
      <c r="AH338" s="128" t="e">
        <f t="shared" si="58"/>
        <v>#DIV/0!</v>
      </c>
      <c r="AI338" s="127" t="e">
        <f t="shared" si="59"/>
        <v>#DIV/0!</v>
      </c>
    </row>
    <row r="339" ht="15.5" customHeight="1" spans="1:35">
      <c r="A339" s="63"/>
      <c r="B339" s="56"/>
      <c r="C339" s="56"/>
      <c r="D339" s="59"/>
      <c r="E339" s="63"/>
      <c r="F339" s="24"/>
      <c r="G339" s="63"/>
      <c r="H339" s="21"/>
      <c r="I339" s="23"/>
      <c r="J339" s="121"/>
      <c r="K339" s="121"/>
      <c r="L339" s="26"/>
      <c r="M339" s="26"/>
      <c r="N339" s="26"/>
      <c r="O339" s="26"/>
      <c r="P339" s="26"/>
      <c r="Q339" s="26"/>
      <c r="R339" s="26"/>
      <c r="S339" s="23"/>
      <c r="T339" s="26"/>
      <c r="U339" s="26" t="str">
        <f t="shared" si="50"/>
        <v/>
      </c>
      <c r="V339" s="27"/>
      <c r="W339" s="122"/>
      <c r="X339" s="123">
        <f t="shared" si="51"/>
        <v>0</v>
      </c>
      <c r="Y339" s="124" t="e">
        <f t="shared" si="52"/>
        <v>#DIV/0!</v>
      </c>
      <c r="Z339" s="124"/>
      <c r="AA339" s="124" t="e">
        <f t="shared" si="53"/>
        <v>#DIV/0!</v>
      </c>
      <c r="AB339" s="125" t="e">
        <f t="shared" si="54"/>
        <v>#DIV/0!</v>
      </c>
      <c r="AC339" s="31" t="e">
        <f t="shared" si="55"/>
        <v>#DIV/0!</v>
      </c>
      <c r="AD339" s="126"/>
      <c r="AE339" s="127"/>
      <c r="AF339" s="127" t="e">
        <f t="shared" si="56"/>
        <v>#DIV/0!</v>
      </c>
      <c r="AG339" s="128" t="e">
        <f t="shared" si="57"/>
        <v>#DIV/0!</v>
      </c>
      <c r="AH339" s="128" t="e">
        <f t="shared" si="58"/>
        <v>#DIV/0!</v>
      </c>
      <c r="AI339" s="127" t="e">
        <f t="shared" si="59"/>
        <v>#DIV/0!</v>
      </c>
    </row>
    <row r="340" ht="15.5" customHeight="1" spans="1:35">
      <c r="A340" s="63"/>
      <c r="B340" s="56"/>
      <c r="C340" s="56"/>
      <c r="D340" s="59"/>
      <c r="E340" s="63"/>
      <c r="F340" s="24"/>
      <c r="G340" s="63"/>
      <c r="H340" s="21"/>
      <c r="I340" s="23"/>
      <c r="J340" s="121"/>
      <c r="K340" s="121"/>
      <c r="L340" s="26"/>
      <c r="M340" s="26"/>
      <c r="N340" s="26"/>
      <c r="O340" s="26"/>
      <c r="P340" s="26"/>
      <c r="Q340" s="26"/>
      <c r="R340" s="26"/>
      <c r="S340" s="23"/>
      <c r="T340" s="26"/>
      <c r="U340" s="26" t="str">
        <f t="shared" si="50"/>
        <v/>
      </c>
      <c r="V340" s="27"/>
      <c r="W340" s="122"/>
      <c r="X340" s="123">
        <f t="shared" si="51"/>
        <v>0</v>
      </c>
      <c r="Y340" s="124" t="e">
        <f t="shared" si="52"/>
        <v>#DIV/0!</v>
      </c>
      <c r="Z340" s="124"/>
      <c r="AA340" s="124" t="e">
        <f t="shared" si="53"/>
        <v>#DIV/0!</v>
      </c>
      <c r="AB340" s="125" t="e">
        <f t="shared" si="54"/>
        <v>#DIV/0!</v>
      </c>
      <c r="AC340" s="31" t="e">
        <f t="shared" si="55"/>
        <v>#DIV/0!</v>
      </c>
      <c r="AD340" s="126"/>
      <c r="AE340" s="127"/>
      <c r="AF340" s="127" t="e">
        <f t="shared" si="56"/>
        <v>#DIV/0!</v>
      </c>
      <c r="AG340" s="128" t="e">
        <f t="shared" si="57"/>
        <v>#DIV/0!</v>
      </c>
      <c r="AH340" s="128" t="e">
        <f t="shared" si="58"/>
        <v>#DIV/0!</v>
      </c>
      <c r="AI340" s="127" t="e">
        <f t="shared" si="59"/>
        <v>#DIV/0!</v>
      </c>
    </row>
    <row r="341" ht="15.5" customHeight="1" spans="1:35">
      <c r="A341" s="63"/>
      <c r="B341" s="56"/>
      <c r="C341" s="56"/>
      <c r="D341" s="59"/>
      <c r="E341" s="63"/>
      <c r="F341" s="24"/>
      <c r="G341" s="63"/>
      <c r="H341" s="21"/>
      <c r="I341" s="23"/>
      <c r="J341" s="121"/>
      <c r="K341" s="121"/>
      <c r="L341" s="26"/>
      <c r="M341" s="26"/>
      <c r="N341" s="26"/>
      <c r="O341" s="26"/>
      <c r="P341" s="26"/>
      <c r="Q341" s="26"/>
      <c r="R341" s="26"/>
      <c r="S341" s="23"/>
      <c r="T341" s="26"/>
      <c r="U341" s="26" t="str">
        <f t="shared" si="50"/>
        <v/>
      </c>
      <c r="V341" s="27"/>
      <c r="W341" s="122"/>
      <c r="X341" s="123">
        <f t="shared" si="51"/>
        <v>0</v>
      </c>
      <c r="Y341" s="124" t="e">
        <f t="shared" si="52"/>
        <v>#DIV/0!</v>
      </c>
      <c r="Z341" s="124"/>
      <c r="AA341" s="124" t="e">
        <f t="shared" si="53"/>
        <v>#DIV/0!</v>
      </c>
      <c r="AB341" s="125" t="e">
        <f t="shared" si="54"/>
        <v>#DIV/0!</v>
      </c>
      <c r="AC341" s="31" t="e">
        <f t="shared" si="55"/>
        <v>#DIV/0!</v>
      </c>
      <c r="AD341" s="126"/>
      <c r="AE341" s="127"/>
      <c r="AF341" s="127" t="e">
        <f t="shared" si="56"/>
        <v>#DIV/0!</v>
      </c>
      <c r="AG341" s="128" t="e">
        <f t="shared" si="57"/>
        <v>#DIV/0!</v>
      </c>
      <c r="AH341" s="128" t="e">
        <f t="shared" si="58"/>
        <v>#DIV/0!</v>
      </c>
      <c r="AI341" s="127" t="e">
        <f t="shared" si="59"/>
        <v>#DIV/0!</v>
      </c>
    </row>
    <row r="342" ht="15.5" customHeight="1" spans="1:35">
      <c r="A342" s="63"/>
      <c r="B342" s="56"/>
      <c r="C342" s="56"/>
      <c r="D342" s="59"/>
      <c r="E342" s="63"/>
      <c r="F342" s="24"/>
      <c r="G342" s="63"/>
      <c r="H342" s="21"/>
      <c r="I342" s="23"/>
      <c r="J342" s="121"/>
      <c r="K342" s="121"/>
      <c r="L342" s="26"/>
      <c r="M342" s="26"/>
      <c r="N342" s="26"/>
      <c r="O342" s="26"/>
      <c r="P342" s="26"/>
      <c r="Q342" s="26"/>
      <c r="R342" s="26"/>
      <c r="S342" s="23"/>
      <c r="T342" s="26"/>
      <c r="U342" s="26" t="str">
        <f t="shared" si="50"/>
        <v/>
      </c>
      <c r="V342" s="27"/>
      <c r="W342" s="122"/>
      <c r="X342" s="123">
        <f t="shared" si="51"/>
        <v>0</v>
      </c>
      <c r="Y342" s="124" t="e">
        <f t="shared" si="52"/>
        <v>#DIV/0!</v>
      </c>
      <c r="Z342" s="124"/>
      <c r="AA342" s="124" t="e">
        <f t="shared" si="53"/>
        <v>#DIV/0!</v>
      </c>
      <c r="AB342" s="125" t="e">
        <f t="shared" si="54"/>
        <v>#DIV/0!</v>
      </c>
      <c r="AC342" s="31" t="e">
        <f t="shared" si="55"/>
        <v>#DIV/0!</v>
      </c>
      <c r="AD342" s="126"/>
      <c r="AE342" s="127"/>
      <c r="AF342" s="127" t="e">
        <f t="shared" si="56"/>
        <v>#DIV/0!</v>
      </c>
      <c r="AG342" s="128" t="e">
        <f t="shared" si="57"/>
        <v>#DIV/0!</v>
      </c>
      <c r="AH342" s="128" t="e">
        <f t="shared" si="58"/>
        <v>#DIV/0!</v>
      </c>
      <c r="AI342" s="127" t="e">
        <f t="shared" si="59"/>
        <v>#DIV/0!</v>
      </c>
    </row>
    <row r="343" ht="15.5" customHeight="1" spans="1:35">
      <c r="A343" s="63"/>
      <c r="B343" s="56"/>
      <c r="C343" s="56"/>
      <c r="D343" s="59"/>
      <c r="E343" s="63"/>
      <c r="F343" s="24"/>
      <c r="G343" s="63"/>
      <c r="H343" s="21"/>
      <c r="I343" s="23"/>
      <c r="J343" s="121"/>
      <c r="K343" s="121"/>
      <c r="L343" s="26"/>
      <c r="M343" s="26"/>
      <c r="N343" s="26"/>
      <c r="O343" s="26"/>
      <c r="P343" s="26"/>
      <c r="Q343" s="26"/>
      <c r="R343" s="26"/>
      <c r="S343" s="23"/>
      <c r="T343" s="26"/>
      <c r="U343" s="26" t="str">
        <f t="shared" si="50"/>
        <v/>
      </c>
      <c r="V343" s="27"/>
      <c r="W343" s="122"/>
      <c r="X343" s="123">
        <f t="shared" si="51"/>
        <v>0</v>
      </c>
      <c r="Y343" s="124" t="e">
        <f t="shared" si="52"/>
        <v>#DIV/0!</v>
      </c>
      <c r="Z343" s="124"/>
      <c r="AA343" s="124" t="e">
        <f t="shared" si="53"/>
        <v>#DIV/0!</v>
      </c>
      <c r="AB343" s="125" t="e">
        <f t="shared" si="54"/>
        <v>#DIV/0!</v>
      </c>
      <c r="AC343" s="31" t="e">
        <f t="shared" si="55"/>
        <v>#DIV/0!</v>
      </c>
      <c r="AD343" s="126"/>
      <c r="AE343" s="127"/>
      <c r="AF343" s="127" t="e">
        <f t="shared" si="56"/>
        <v>#DIV/0!</v>
      </c>
      <c r="AG343" s="128" t="e">
        <f t="shared" si="57"/>
        <v>#DIV/0!</v>
      </c>
      <c r="AH343" s="128" t="e">
        <f t="shared" si="58"/>
        <v>#DIV/0!</v>
      </c>
      <c r="AI343" s="127" t="e">
        <f t="shared" si="59"/>
        <v>#DIV/0!</v>
      </c>
    </row>
    <row r="344" ht="15.5" customHeight="1" spans="1:35">
      <c r="A344" s="63"/>
      <c r="B344" s="56"/>
      <c r="C344" s="56"/>
      <c r="D344" s="59"/>
      <c r="E344" s="63"/>
      <c r="F344" s="24"/>
      <c r="G344" s="63"/>
      <c r="H344" s="21"/>
      <c r="I344" s="23"/>
      <c r="J344" s="121"/>
      <c r="K344" s="121"/>
      <c r="L344" s="26"/>
      <c r="M344" s="26"/>
      <c r="N344" s="26"/>
      <c r="O344" s="26"/>
      <c r="P344" s="26"/>
      <c r="Q344" s="26"/>
      <c r="R344" s="26"/>
      <c r="S344" s="23"/>
      <c r="T344" s="26"/>
      <c r="U344" s="26" t="str">
        <f t="shared" si="50"/>
        <v/>
      </c>
      <c r="V344" s="27"/>
      <c r="W344" s="122"/>
      <c r="X344" s="123">
        <f t="shared" si="51"/>
        <v>0</v>
      </c>
      <c r="Y344" s="124" t="e">
        <f t="shared" si="52"/>
        <v>#DIV/0!</v>
      </c>
      <c r="Z344" s="124"/>
      <c r="AA344" s="124" t="e">
        <f t="shared" si="53"/>
        <v>#DIV/0!</v>
      </c>
      <c r="AB344" s="125" t="e">
        <f t="shared" si="54"/>
        <v>#DIV/0!</v>
      </c>
      <c r="AC344" s="31" t="e">
        <f t="shared" si="55"/>
        <v>#DIV/0!</v>
      </c>
      <c r="AD344" s="126"/>
      <c r="AE344" s="127"/>
      <c r="AF344" s="127" t="e">
        <f t="shared" si="56"/>
        <v>#DIV/0!</v>
      </c>
      <c r="AG344" s="128" t="e">
        <f t="shared" si="57"/>
        <v>#DIV/0!</v>
      </c>
      <c r="AH344" s="128" t="e">
        <f t="shared" si="58"/>
        <v>#DIV/0!</v>
      </c>
      <c r="AI344" s="127" t="e">
        <f t="shared" si="59"/>
        <v>#DIV/0!</v>
      </c>
    </row>
    <row r="345" ht="15.5" customHeight="1" spans="1:35">
      <c r="A345" s="63"/>
      <c r="B345" s="56"/>
      <c r="C345" s="56"/>
      <c r="D345" s="59"/>
      <c r="E345" s="63"/>
      <c r="F345" s="24"/>
      <c r="G345" s="63"/>
      <c r="H345" s="21"/>
      <c r="I345" s="23"/>
      <c r="J345" s="121"/>
      <c r="K345" s="121"/>
      <c r="L345" s="26"/>
      <c r="M345" s="26"/>
      <c r="N345" s="26"/>
      <c r="O345" s="26"/>
      <c r="P345" s="26"/>
      <c r="Q345" s="26"/>
      <c r="R345" s="26"/>
      <c r="S345" s="23"/>
      <c r="T345" s="26"/>
      <c r="U345" s="26" t="str">
        <f t="shared" si="50"/>
        <v/>
      </c>
      <c r="V345" s="27"/>
      <c r="W345" s="122"/>
      <c r="X345" s="123">
        <f t="shared" si="51"/>
        <v>0</v>
      </c>
      <c r="Y345" s="124" t="e">
        <f t="shared" si="52"/>
        <v>#DIV/0!</v>
      </c>
      <c r="Z345" s="124"/>
      <c r="AA345" s="124" t="e">
        <f t="shared" si="53"/>
        <v>#DIV/0!</v>
      </c>
      <c r="AB345" s="125" t="e">
        <f t="shared" si="54"/>
        <v>#DIV/0!</v>
      </c>
      <c r="AC345" s="31" t="e">
        <f t="shared" si="55"/>
        <v>#DIV/0!</v>
      </c>
      <c r="AD345" s="126"/>
      <c r="AE345" s="127"/>
      <c r="AF345" s="127" t="e">
        <f t="shared" si="56"/>
        <v>#DIV/0!</v>
      </c>
      <c r="AG345" s="128" t="e">
        <f t="shared" si="57"/>
        <v>#DIV/0!</v>
      </c>
      <c r="AH345" s="128" t="e">
        <f t="shared" si="58"/>
        <v>#DIV/0!</v>
      </c>
      <c r="AI345" s="127" t="e">
        <f t="shared" si="59"/>
        <v>#DIV/0!</v>
      </c>
    </row>
    <row r="346" ht="15.5" customHeight="1" spans="1:35">
      <c r="A346" s="63"/>
      <c r="B346" s="56"/>
      <c r="C346" s="56"/>
      <c r="D346" s="59"/>
      <c r="E346" s="63"/>
      <c r="F346" s="24"/>
      <c r="G346" s="63"/>
      <c r="H346" s="21"/>
      <c r="I346" s="23"/>
      <c r="J346" s="121"/>
      <c r="K346" s="121"/>
      <c r="L346" s="26"/>
      <c r="M346" s="26"/>
      <c r="N346" s="26"/>
      <c r="O346" s="26"/>
      <c r="P346" s="26"/>
      <c r="Q346" s="26"/>
      <c r="R346" s="26"/>
      <c r="S346" s="23"/>
      <c r="T346" s="26"/>
      <c r="U346" s="26" t="str">
        <f t="shared" si="50"/>
        <v/>
      </c>
      <c r="V346" s="27"/>
      <c r="W346" s="122"/>
      <c r="X346" s="123">
        <f t="shared" si="51"/>
        <v>0</v>
      </c>
      <c r="Y346" s="124" t="e">
        <f t="shared" si="52"/>
        <v>#DIV/0!</v>
      </c>
      <c r="Z346" s="124"/>
      <c r="AA346" s="124" t="e">
        <f t="shared" si="53"/>
        <v>#DIV/0!</v>
      </c>
      <c r="AB346" s="125" t="e">
        <f t="shared" si="54"/>
        <v>#DIV/0!</v>
      </c>
      <c r="AC346" s="31" t="e">
        <f t="shared" si="55"/>
        <v>#DIV/0!</v>
      </c>
      <c r="AD346" s="126"/>
      <c r="AE346" s="127"/>
      <c r="AF346" s="127" t="e">
        <f t="shared" si="56"/>
        <v>#DIV/0!</v>
      </c>
      <c r="AG346" s="128" t="e">
        <f t="shared" si="57"/>
        <v>#DIV/0!</v>
      </c>
      <c r="AH346" s="128" t="e">
        <f t="shared" si="58"/>
        <v>#DIV/0!</v>
      </c>
      <c r="AI346" s="127" t="e">
        <f t="shared" si="59"/>
        <v>#DIV/0!</v>
      </c>
    </row>
    <row r="347" ht="15.5" customHeight="1" spans="1:35">
      <c r="A347" s="63"/>
      <c r="B347" s="56"/>
      <c r="C347" s="56"/>
      <c r="D347" s="59"/>
      <c r="E347" s="63"/>
      <c r="F347" s="24"/>
      <c r="G347" s="63"/>
      <c r="H347" s="21"/>
      <c r="I347" s="23"/>
      <c r="J347" s="121"/>
      <c r="K347" s="121"/>
      <c r="L347" s="26"/>
      <c r="M347" s="26"/>
      <c r="N347" s="26"/>
      <c r="O347" s="26"/>
      <c r="P347" s="26"/>
      <c r="Q347" s="26"/>
      <c r="R347" s="26"/>
      <c r="S347" s="23"/>
      <c r="T347" s="26"/>
      <c r="U347" s="26" t="str">
        <f t="shared" si="50"/>
        <v/>
      </c>
      <c r="V347" s="27"/>
      <c r="W347" s="122"/>
      <c r="X347" s="123">
        <f t="shared" si="51"/>
        <v>0</v>
      </c>
      <c r="Y347" s="124" t="e">
        <f t="shared" si="52"/>
        <v>#DIV/0!</v>
      </c>
      <c r="Z347" s="124"/>
      <c r="AA347" s="124" t="e">
        <f t="shared" si="53"/>
        <v>#DIV/0!</v>
      </c>
      <c r="AB347" s="125" t="e">
        <f t="shared" si="54"/>
        <v>#DIV/0!</v>
      </c>
      <c r="AC347" s="31" t="e">
        <f t="shared" si="55"/>
        <v>#DIV/0!</v>
      </c>
      <c r="AD347" s="126"/>
      <c r="AE347" s="127"/>
      <c r="AF347" s="127" t="e">
        <f t="shared" si="56"/>
        <v>#DIV/0!</v>
      </c>
      <c r="AG347" s="128" t="e">
        <f t="shared" si="57"/>
        <v>#DIV/0!</v>
      </c>
      <c r="AH347" s="128" t="e">
        <f t="shared" si="58"/>
        <v>#DIV/0!</v>
      </c>
      <c r="AI347" s="127" t="e">
        <f t="shared" si="59"/>
        <v>#DIV/0!</v>
      </c>
    </row>
    <row r="348" ht="15.5" customHeight="1" spans="1:35">
      <c r="A348" s="63"/>
      <c r="B348" s="56"/>
      <c r="C348" s="56"/>
      <c r="D348" s="59"/>
      <c r="E348" s="63"/>
      <c r="F348" s="24"/>
      <c r="G348" s="63"/>
      <c r="H348" s="21"/>
      <c r="I348" s="23"/>
      <c r="J348" s="121"/>
      <c r="K348" s="121"/>
      <c r="L348" s="26"/>
      <c r="M348" s="26"/>
      <c r="N348" s="26"/>
      <c r="O348" s="26"/>
      <c r="P348" s="26"/>
      <c r="Q348" s="26"/>
      <c r="R348" s="26"/>
      <c r="S348" s="23"/>
      <c r="T348" s="26"/>
      <c r="U348" s="26" t="str">
        <f t="shared" si="50"/>
        <v/>
      </c>
      <c r="V348" s="27"/>
      <c r="W348" s="122"/>
      <c r="X348" s="123">
        <f t="shared" si="51"/>
        <v>0</v>
      </c>
      <c r="Y348" s="124" t="e">
        <f t="shared" si="52"/>
        <v>#DIV/0!</v>
      </c>
      <c r="Z348" s="124"/>
      <c r="AA348" s="124" t="e">
        <f t="shared" si="53"/>
        <v>#DIV/0!</v>
      </c>
      <c r="AB348" s="125" t="e">
        <f t="shared" si="54"/>
        <v>#DIV/0!</v>
      </c>
      <c r="AC348" s="31" t="e">
        <f t="shared" si="55"/>
        <v>#DIV/0!</v>
      </c>
      <c r="AD348" s="126"/>
      <c r="AE348" s="127"/>
      <c r="AF348" s="127" t="e">
        <f t="shared" si="56"/>
        <v>#DIV/0!</v>
      </c>
      <c r="AG348" s="128" t="e">
        <f t="shared" si="57"/>
        <v>#DIV/0!</v>
      </c>
      <c r="AH348" s="128" t="e">
        <f t="shared" si="58"/>
        <v>#DIV/0!</v>
      </c>
      <c r="AI348" s="127" t="e">
        <f t="shared" si="59"/>
        <v>#DIV/0!</v>
      </c>
    </row>
    <row r="349" ht="15.5" customHeight="1" spans="1:35">
      <c r="A349" s="63"/>
      <c r="B349" s="56"/>
      <c r="C349" s="56"/>
      <c r="D349" s="59"/>
      <c r="E349" s="63"/>
      <c r="F349" s="24"/>
      <c r="G349" s="63"/>
      <c r="H349" s="21"/>
      <c r="I349" s="23"/>
      <c r="J349" s="121"/>
      <c r="K349" s="121"/>
      <c r="L349" s="26"/>
      <c r="M349" s="26"/>
      <c r="N349" s="26"/>
      <c r="O349" s="26"/>
      <c r="P349" s="26"/>
      <c r="Q349" s="26"/>
      <c r="R349" s="26"/>
      <c r="S349" s="23"/>
      <c r="T349" s="26"/>
      <c r="U349" s="26" t="str">
        <f t="shared" si="50"/>
        <v/>
      </c>
      <c r="V349" s="27"/>
      <c r="W349" s="122"/>
      <c r="X349" s="123">
        <f t="shared" si="51"/>
        <v>0</v>
      </c>
      <c r="Y349" s="124" t="e">
        <f t="shared" si="52"/>
        <v>#DIV/0!</v>
      </c>
      <c r="Z349" s="124"/>
      <c r="AA349" s="124" t="e">
        <f t="shared" si="53"/>
        <v>#DIV/0!</v>
      </c>
      <c r="AB349" s="125" t="e">
        <f t="shared" si="54"/>
        <v>#DIV/0!</v>
      </c>
      <c r="AC349" s="31" t="e">
        <f t="shared" si="55"/>
        <v>#DIV/0!</v>
      </c>
      <c r="AD349" s="126"/>
      <c r="AE349" s="127"/>
      <c r="AF349" s="127" t="e">
        <f t="shared" si="56"/>
        <v>#DIV/0!</v>
      </c>
      <c r="AG349" s="128" t="e">
        <f t="shared" si="57"/>
        <v>#DIV/0!</v>
      </c>
      <c r="AH349" s="128" t="e">
        <f t="shared" si="58"/>
        <v>#DIV/0!</v>
      </c>
      <c r="AI349" s="127" t="e">
        <f t="shared" si="59"/>
        <v>#DIV/0!</v>
      </c>
    </row>
    <row r="350" ht="15.5" customHeight="1" spans="1:35">
      <c r="A350" s="63"/>
      <c r="B350" s="56"/>
      <c r="C350" s="56"/>
      <c r="D350" s="59"/>
      <c r="E350" s="63"/>
      <c r="F350" s="24"/>
      <c r="G350" s="63"/>
      <c r="H350" s="21"/>
      <c r="I350" s="23"/>
      <c r="J350" s="121"/>
      <c r="K350" s="121"/>
      <c r="L350" s="26"/>
      <c r="M350" s="26"/>
      <c r="N350" s="26"/>
      <c r="O350" s="26"/>
      <c r="P350" s="26"/>
      <c r="Q350" s="26"/>
      <c r="R350" s="26"/>
      <c r="S350" s="23"/>
      <c r="T350" s="26"/>
      <c r="U350" s="26" t="str">
        <f t="shared" si="50"/>
        <v/>
      </c>
      <c r="V350" s="27"/>
      <c r="W350" s="122"/>
      <c r="X350" s="123">
        <f t="shared" si="51"/>
        <v>0</v>
      </c>
      <c r="Y350" s="124" t="e">
        <f t="shared" si="52"/>
        <v>#DIV/0!</v>
      </c>
      <c r="Z350" s="124"/>
      <c r="AA350" s="124" t="e">
        <f t="shared" si="53"/>
        <v>#DIV/0!</v>
      </c>
      <c r="AB350" s="125" t="e">
        <f t="shared" si="54"/>
        <v>#DIV/0!</v>
      </c>
      <c r="AC350" s="31" t="e">
        <f t="shared" si="55"/>
        <v>#DIV/0!</v>
      </c>
      <c r="AD350" s="126"/>
      <c r="AE350" s="127"/>
      <c r="AF350" s="127" t="e">
        <f t="shared" si="56"/>
        <v>#DIV/0!</v>
      </c>
      <c r="AG350" s="128" t="e">
        <f t="shared" si="57"/>
        <v>#DIV/0!</v>
      </c>
      <c r="AH350" s="128" t="e">
        <f t="shared" si="58"/>
        <v>#DIV/0!</v>
      </c>
      <c r="AI350" s="127" t="e">
        <f t="shared" si="59"/>
        <v>#DIV/0!</v>
      </c>
    </row>
    <row r="351" ht="15.5" customHeight="1" spans="1:35">
      <c r="A351" s="63"/>
      <c r="B351" s="56"/>
      <c r="C351" s="56"/>
      <c r="D351" s="59"/>
      <c r="E351" s="63"/>
      <c r="F351" s="24"/>
      <c r="G351" s="63"/>
      <c r="H351" s="21"/>
      <c r="I351" s="23"/>
      <c r="J351" s="121"/>
      <c r="K351" s="121"/>
      <c r="L351" s="26"/>
      <c r="M351" s="26"/>
      <c r="N351" s="26"/>
      <c r="O351" s="26"/>
      <c r="P351" s="26"/>
      <c r="Q351" s="26"/>
      <c r="R351" s="26"/>
      <c r="S351" s="23"/>
      <c r="T351" s="26"/>
      <c r="U351" s="26" t="str">
        <f t="shared" si="50"/>
        <v/>
      </c>
      <c r="V351" s="27"/>
      <c r="W351" s="122"/>
      <c r="X351" s="123">
        <f t="shared" si="51"/>
        <v>0</v>
      </c>
      <c r="Y351" s="124" t="e">
        <f t="shared" si="52"/>
        <v>#DIV/0!</v>
      </c>
      <c r="Z351" s="124"/>
      <c r="AA351" s="124" t="e">
        <f t="shared" si="53"/>
        <v>#DIV/0!</v>
      </c>
      <c r="AB351" s="125" t="e">
        <f t="shared" si="54"/>
        <v>#DIV/0!</v>
      </c>
      <c r="AC351" s="31" t="e">
        <f t="shared" si="55"/>
        <v>#DIV/0!</v>
      </c>
      <c r="AD351" s="126"/>
      <c r="AE351" s="127"/>
      <c r="AF351" s="127" t="e">
        <f t="shared" si="56"/>
        <v>#DIV/0!</v>
      </c>
      <c r="AG351" s="128" t="e">
        <f t="shared" si="57"/>
        <v>#DIV/0!</v>
      </c>
      <c r="AH351" s="128" t="e">
        <f t="shared" si="58"/>
        <v>#DIV/0!</v>
      </c>
      <c r="AI351" s="127" t="e">
        <f t="shared" si="59"/>
        <v>#DIV/0!</v>
      </c>
    </row>
    <row r="352" ht="15.5" customHeight="1" spans="1:35">
      <c r="A352" s="63"/>
      <c r="B352" s="56"/>
      <c r="C352" s="56"/>
      <c r="D352" s="59"/>
      <c r="E352" s="63"/>
      <c r="F352" s="24"/>
      <c r="G352" s="63"/>
      <c r="H352" s="21"/>
      <c r="I352" s="23"/>
      <c r="J352" s="121"/>
      <c r="K352" s="121"/>
      <c r="L352" s="26"/>
      <c r="M352" s="26"/>
      <c r="N352" s="26"/>
      <c r="O352" s="26"/>
      <c r="P352" s="26"/>
      <c r="Q352" s="26"/>
      <c r="R352" s="26"/>
      <c r="S352" s="23"/>
      <c r="T352" s="26"/>
      <c r="U352" s="26" t="str">
        <f t="shared" si="50"/>
        <v/>
      </c>
      <c r="V352" s="27"/>
      <c r="W352" s="122"/>
      <c r="X352" s="123">
        <f t="shared" si="51"/>
        <v>0</v>
      </c>
      <c r="Y352" s="124" t="e">
        <f t="shared" si="52"/>
        <v>#DIV/0!</v>
      </c>
      <c r="Z352" s="124"/>
      <c r="AA352" s="124" t="e">
        <f t="shared" si="53"/>
        <v>#DIV/0!</v>
      </c>
      <c r="AB352" s="125" t="e">
        <f t="shared" si="54"/>
        <v>#DIV/0!</v>
      </c>
      <c r="AC352" s="31" t="e">
        <f t="shared" si="55"/>
        <v>#DIV/0!</v>
      </c>
      <c r="AD352" s="126"/>
      <c r="AE352" s="127"/>
      <c r="AF352" s="127" t="e">
        <f t="shared" si="56"/>
        <v>#DIV/0!</v>
      </c>
      <c r="AG352" s="128" t="e">
        <f t="shared" si="57"/>
        <v>#DIV/0!</v>
      </c>
      <c r="AH352" s="128" t="e">
        <f t="shared" si="58"/>
        <v>#DIV/0!</v>
      </c>
      <c r="AI352" s="127" t="e">
        <f t="shared" si="59"/>
        <v>#DIV/0!</v>
      </c>
    </row>
    <row r="353" ht="15.5" customHeight="1" spans="1:35">
      <c r="A353" s="63"/>
      <c r="B353" s="56"/>
      <c r="C353" s="56"/>
      <c r="D353" s="59"/>
      <c r="E353" s="63"/>
      <c r="F353" s="24"/>
      <c r="G353" s="63"/>
      <c r="H353" s="21"/>
      <c r="I353" s="23"/>
      <c r="J353" s="121"/>
      <c r="K353" s="121"/>
      <c r="L353" s="26"/>
      <c r="M353" s="26"/>
      <c r="N353" s="26"/>
      <c r="O353" s="26"/>
      <c r="P353" s="26"/>
      <c r="Q353" s="26"/>
      <c r="R353" s="26"/>
      <c r="S353" s="23"/>
      <c r="T353" s="26"/>
      <c r="U353" s="26" t="str">
        <f t="shared" si="50"/>
        <v/>
      </c>
      <c r="V353" s="27"/>
      <c r="W353" s="122"/>
      <c r="X353" s="123">
        <f t="shared" si="51"/>
        <v>0</v>
      </c>
      <c r="Y353" s="124" t="e">
        <f t="shared" si="52"/>
        <v>#DIV/0!</v>
      </c>
      <c r="Z353" s="124"/>
      <c r="AA353" s="124" t="e">
        <f t="shared" si="53"/>
        <v>#DIV/0!</v>
      </c>
      <c r="AB353" s="125" t="e">
        <f t="shared" si="54"/>
        <v>#DIV/0!</v>
      </c>
      <c r="AC353" s="31" t="e">
        <f t="shared" si="55"/>
        <v>#DIV/0!</v>
      </c>
      <c r="AD353" s="126"/>
      <c r="AE353" s="127"/>
      <c r="AF353" s="127" t="e">
        <f t="shared" si="56"/>
        <v>#DIV/0!</v>
      </c>
      <c r="AG353" s="128" t="e">
        <f t="shared" si="57"/>
        <v>#DIV/0!</v>
      </c>
      <c r="AH353" s="128" t="e">
        <f t="shared" si="58"/>
        <v>#DIV/0!</v>
      </c>
      <c r="AI353" s="127" t="e">
        <f t="shared" si="59"/>
        <v>#DIV/0!</v>
      </c>
    </row>
    <row r="354" ht="15.5" customHeight="1" spans="1:35">
      <c r="A354" s="63"/>
      <c r="B354" s="56"/>
      <c r="C354" s="56"/>
      <c r="D354" s="59"/>
      <c r="E354" s="63"/>
      <c r="F354" s="24"/>
      <c r="G354" s="63"/>
      <c r="H354" s="21"/>
      <c r="I354" s="23"/>
      <c r="J354" s="121"/>
      <c r="K354" s="121"/>
      <c r="L354" s="26"/>
      <c r="M354" s="26"/>
      <c r="N354" s="26"/>
      <c r="O354" s="26"/>
      <c r="P354" s="26"/>
      <c r="Q354" s="26"/>
      <c r="R354" s="26"/>
      <c r="S354" s="23"/>
      <c r="T354" s="26"/>
      <c r="U354" s="26" t="str">
        <f t="shared" si="50"/>
        <v/>
      </c>
      <c r="V354" s="27"/>
      <c r="W354" s="122"/>
      <c r="X354" s="123">
        <f t="shared" si="51"/>
        <v>0</v>
      </c>
      <c r="Y354" s="124" t="e">
        <f t="shared" si="52"/>
        <v>#DIV/0!</v>
      </c>
      <c r="Z354" s="124"/>
      <c r="AA354" s="124" t="e">
        <f t="shared" si="53"/>
        <v>#DIV/0!</v>
      </c>
      <c r="AB354" s="125" t="e">
        <f t="shared" si="54"/>
        <v>#DIV/0!</v>
      </c>
      <c r="AC354" s="31" t="e">
        <f t="shared" si="55"/>
        <v>#DIV/0!</v>
      </c>
      <c r="AD354" s="126"/>
      <c r="AE354" s="127"/>
      <c r="AF354" s="127" t="e">
        <f t="shared" si="56"/>
        <v>#DIV/0!</v>
      </c>
      <c r="AG354" s="128" t="e">
        <f t="shared" si="57"/>
        <v>#DIV/0!</v>
      </c>
      <c r="AH354" s="128" t="e">
        <f t="shared" si="58"/>
        <v>#DIV/0!</v>
      </c>
      <c r="AI354" s="127" t="e">
        <f t="shared" si="59"/>
        <v>#DIV/0!</v>
      </c>
    </row>
    <row r="355" ht="15.5" customHeight="1" spans="1:35">
      <c r="A355" s="63"/>
      <c r="B355" s="56"/>
      <c r="C355" s="56"/>
      <c r="D355" s="59"/>
      <c r="E355" s="63"/>
      <c r="F355" s="24"/>
      <c r="G355" s="63"/>
      <c r="H355" s="21"/>
      <c r="I355" s="23"/>
      <c r="J355" s="121"/>
      <c r="K355" s="121"/>
      <c r="L355" s="26"/>
      <c r="M355" s="26"/>
      <c r="N355" s="26"/>
      <c r="O355" s="26"/>
      <c r="P355" s="26"/>
      <c r="Q355" s="26"/>
      <c r="R355" s="26"/>
      <c r="S355" s="23"/>
      <c r="T355" s="26"/>
      <c r="U355" s="26" t="str">
        <f t="shared" si="50"/>
        <v/>
      </c>
      <c r="V355" s="27"/>
      <c r="W355" s="122"/>
      <c r="X355" s="123">
        <f t="shared" si="51"/>
        <v>0</v>
      </c>
      <c r="Y355" s="124" t="e">
        <f t="shared" si="52"/>
        <v>#DIV/0!</v>
      </c>
      <c r="Z355" s="124"/>
      <c r="AA355" s="124" t="e">
        <f t="shared" si="53"/>
        <v>#DIV/0!</v>
      </c>
      <c r="AB355" s="125" t="e">
        <f t="shared" si="54"/>
        <v>#DIV/0!</v>
      </c>
      <c r="AC355" s="31" t="e">
        <f t="shared" si="55"/>
        <v>#DIV/0!</v>
      </c>
      <c r="AD355" s="126"/>
      <c r="AE355" s="127"/>
      <c r="AF355" s="127" t="e">
        <f t="shared" si="56"/>
        <v>#DIV/0!</v>
      </c>
      <c r="AG355" s="128" t="e">
        <f t="shared" si="57"/>
        <v>#DIV/0!</v>
      </c>
      <c r="AH355" s="128" t="e">
        <f t="shared" si="58"/>
        <v>#DIV/0!</v>
      </c>
      <c r="AI355" s="127" t="e">
        <f t="shared" si="59"/>
        <v>#DIV/0!</v>
      </c>
    </row>
    <row r="356" ht="15.5" customHeight="1" spans="1:35">
      <c r="A356" s="63"/>
      <c r="B356" s="56"/>
      <c r="C356" s="56"/>
      <c r="D356" s="59"/>
      <c r="E356" s="63"/>
      <c r="F356" s="24"/>
      <c r="G356" s="63"/>
      <c r="H356" s="21"/>
      <c r="I356" s="23"/>
      <c r="J356" s="121"/>
      <c r="K356" s="121"/>
      <c r="L356" s="26"/>
      <c r="M356" s="26"/>
      <c r="N356" s="26"/>
      <c r="O356" s="26"/>
      <c r="P356" s="26"/>
      <c r="Q356" s="26"/>
      <c r="R356" s="26"/>
      <c r="S356" s="23"/>
      <c r="T356" s="26"/>
      <c r="U356" s="26" t="str">
        <f t="shared" si="50"/>
        <v/>
      </c>
      <c r="V356" s="27"/>
      <c r="W356" s="122"/>
      <c r="X356" s="123">
        <f t="shared" si="51"/>
        <v>0</v>
      </c>
      <c r="Y356" s="124" t="e">
        <f t="shared" si="52"/>
        <v>#DIV/0!</v>
      </c>
      <c r="Z356" s="124"/>
      <c r="AA356" s="124" t="e">
        <f t="shared" si="53"/>
        <v>#DIV/0!</v>
      </c>
      <c r="AB356" s="125" t="e">
        <f t="shared" si="54"/>
        <v>#DIV/0!</v>
      </c>
      <c r="AC356" s="31" t="e">
        <f t="shared" si="55"/>
        <v>#DIV/0!</v>
      </c>
      <c r="AD356" s="126"/>
      <c r="AE356" s="127"/>
      <c r="AF356" s="127" t="e">
        <f t="shared" si="56"/>
        <v>#DIV/0!</v>
      </c>
      <c r="AG356" s="128" t="e">
        <f t="shared" si="57"/>
        <v>#DIV/0!</v>
      </c>
      <c r="AH356" s="128" t="e">
        <f t="shared" si="58"/>
        <v>#DIV/0!</v>
      </c>
      <c r="AI356" s="127" t="e">
        <f t="shared" si="59"/>
        <v>#DIV/0!</v>
      </c>
    </row>
    <row r="357" ht="15.5" customHeight="1" spans="1:35">
      <c r="A357" s="63"/>
      <c r="B357" s="56"/>
      <c r="C357" s="56"/>
      <c r="D357" s="59"/>
      <c r="E357" s="63"/>
      <c r="F357" s="24"/>
      <c r="G357" s="63"/>
      <c r="H357" s="21"/>
      <c r="I357" s="23"/>
      <c r="J357" s="121"/>
      <c r="K357" s="121"/>
      <c r="L357" s="26"/>
      <c r="M357" s="26"/>
      <c r="N357" s="26"/>
      <c r="O357" s="26"/>
      <c r="P357" s="26"/>
      <c r="Q357" s="26"/>
      <c r="R357" s="26"/>
      <c r="S357" s="23"/>
      <c r="T357" s="26"/>
      <c r="U357" s="26" t="str">
        <f t="shared" si="50"/>
        <v/>
      </c>
      <c r="V357" s="27"/>
      <c r="W357" s="122"/>
      <c r="X357" s="123">
        <f t="shared" si="51"/>
        <v>0</v>
      </c>
      <c r="Y357" s="124" t="e">
        <f t="shared" si="52"/>
        <v>#DIV/0!</v>
      </c>
      <c r="Z357" s="124"/>
      <c r="AA357" s="124" t="e">
        <f t="shared" si="53"/>
        <v>#DIV/0!</v>
      </c>
      <c r="AB357" s="125" t="e">
        <f t="shared" si="54"/>
        <v>#DIV/0!</v>
      </c>
      <c r="AC357" s="31" t="e">
        <f t="shared" si="55"/>
        <v>#DIV/0!</v>
      </c>
      <c r="AD357" s="126"/>
      <c r="AE357" s="127"/>
      <c r="AF357" s="127" t="e">
        <f t="shared" si="56"/>
        <v>#DIV/0!</v>
      </c>
      <c r="AG357" s="128" t="e">
        <f t="shared" si="57"/>
        <v>#DIV/0!</v>
      </c>
      <c r="AH357" s="128" t="e">
        <f t="shared" si="58"/>
        <v>#DIV/0!</v>
      </c>
      <c r="AI357" s="127" t="e">
        <f t="shared" si="59"/>
        <v>#DIV/0!</v>
      </c>
    </row>
    <row r="358" ht="15.5" customHeight="1" spans="1:35">
      <c r="A358" s="63"/>
      <c r="B358" s="56"/>
      <c r="C358" s="56"/>
      <c r="D358" s="59"/>
      <c r="E358" s="63"/>
      <c r="F358" s="24"/>
      <c r="G358" s="63"/>
      <c r="H358" s="21"/>
      <c r="I358" s="23"/>
      <c r="J358" s="121"/>
      <c r="K358" s="121"/>
      <c r="L358" s="26"/>
      <c r="M358" s="26"/>
      <c r="N358" s="26"/>
      <c r="O358" s="26"/>
      <c r="P358" s="26"/>
      <c r="Q358" s="26"/>
      <c r="R358" s="26"/>
      <c r="S358" s="23"/>
      <c r="T358" s="26"/>
      <c r="U358" s="26" t="str">
        <f t="shared" si="50"/>
        <v/>
      </c>
      <c r="V358" s="27"/>
      <c r="W358" s="122"/>
      <c r="X358" s="123">
        <f t="shared" si="51"/>
        <v>0</v>
      </c>
      <c r="Y358" s="124" t="e">
        <f t="shared" si="52"/>
        <v>#DIV/0!</v>
      </c>
      <c r="Z358" s="124"/>
      <c r="AA358" s="124" t="e">
        <f t="shared" si="53"/>
        <v>#DIV/0!</v>
      </c>
      <c r="AB358" s="125" t="e">
        <f t="shared" si="54"/>
        <v>#DIV/0!</v>
      </c>
      <c r="AC358" s="31" t="e">
        <f t="shared" si="55"/>
        <v>#DIV/0!</v>
      </c>
      <c r="AD358" s="126"/>
      <c r="AE358" s="127"/>
      <c r="AF358" s="127" t="e">
        <f t="shared" si="56"/>
        <v>#DIV/0!</v>
      </c>
      <c r="AG358" s="128" t="e">
        <f t="shared" si="57"/>
        <v>#DIV/0!</v>
      </c>
      <c r="AH358" s="128" t="e">
        <f t="shared" si="58"/>
        <v>#DIV/0!</v>
      </c>
      <c r="AI358" s="127" t="e">
        <f t="shared" si="59"/>
        <v>#DIV/0!</v>
      </c>
    </row>
    <row r="359" ht="15.5" customHeight="1" spans="1:35">
      <c r="A359" s="63"/>
      <c r="B359" s="56"/>
      <c r="C359" s="56"/>
      <c r="D359" s="59"/>
      <c r="E359" s="63"/>
      <c r="F359" s="24"/>
      <c r="G359" s="63"/>
      <c r="H359" s="21"/>
      <c r="I359" s="23"/>
      <c r="J359" s="121"/>
      <c r="K359" s="121"/>
      <c r="L359" s="26"/>
      <c r="M359" s="26"/>
      <c r="N359" s="26"/>
      <c r="O359" s="26"/>
      <c r="P359" s="26"/>
      <c r="Q359" s="26"/>
      <c r="R359" s="26"/>
      <c r="S359" s="23"/>
      <c r="T359" s="26"/>
      <c r="U359" s="26" t="str">
        <f t="shared" si="50"/>
        <v/>
      </c>
      <c r="V359" s="27"/>
      <c r="W359" s="122"/>
      <c r="X359" s="123">
        <f t="shared" si="51"/>
        <v>0</v>
      </c>
      <c r="Y359" s="124" t="e">
        <f t="shared" si="52"/>
        <v>#DIV/0!</v>
      </c>
      <c r="Z359" s="124"/>
      <c r="AA359" s="124" t="e">
        <f t="shared" si="53"/>
        <v>#DIV/0!</v>
      </c>
      <c r="AB359" s="125" t="e">
        <f t="shared" si="54"/>
        <v>#DIV/0!</v>
      </c>
      <c r="AC359" s="31" t="e">
        <f t="shared" si="55"/>
        <v>#DIV/0!</v>
      </c>
      <c r="AD359" s="126"/>
      <c r="AE359" s="127"/>
      <c r="AF359" s="127" t="e">
        <f t="shared" si="56"/>
        <v>#DIV/0!</v>
      </c>
      <c r="AG359" s="128" t="e">
        <f t="shared" si="57"/>
        <v>#DIV/0!</v>
      </c>
      <c r="AH359" s="128" t="e">
        <f t="shared" si="58"/>
        <v>#DIV/0!</v>
      </c>
      <c r="AI359" s="127" t="e">
        <f t="shared" si="59"/>
        <v>#DIV/0!</v>
      </c>
    </row>
    <row r="360" ht="15.5" customHeight="1" spans="1:35">
      <c r="A360" s="63"/>
      <c r="B360" s="56"/>
      <c r="C360" s="56"/>
      <c r="D360" s="59"/>
      <c r="E360" s="63"/>
      <c r="F360" s="24"/>
      <c r="G360" s="63"/>
      <c r="H360" s="21"/>
      <c r="I360" s="23"/>
      <c r="J360" s="121"/>
      <c r="K360" s="121"/>
      <c r="L360" s="26"/>
      <c r="M360" s="26"/>
      <c r="N360" s="26"/>
      <c r="O360" s="26"/>
      <c r="P360" s="26"/>
      <c r="Q360" s="26"/>
      <c r="R360" s="26"/>
      <c r="S360" s="23"/>
      <c r="T360" s="26"/>
      <c r="U360" s="26" t="str">
        <f t="shared" si="50"/>
        <v/>
      </c>
      <c r="V360" s="27"/>
      <c r="W360" s="122"/>
      <c r="X360" s="123">
        <f t="shared" si="51"/>
        <v>0</v>
      </c>
      <c r="Y360" s="124" t="e">
        <f t="shared" si="52"/>
        <v>#DIV/0!</v>
      </c>
      <c r="Z360" s="124"/>
      <c r="AA360" s="124" t="e">
        <f t="shared" si="53"/>
        <v>#DIV/0!</v>
      </c>
      <c r="AB360" s="125" t="e">
        <f t="shared" si="54"/>
        <v>#DIV/0!</v>
      </c>
      <c r="AC360" s="31" t="e">
        <f t="shared" si="55"/>
        <v>#DIV/0!</v>
      </c>
      <c r="AD360" s="126"/>
      <c r="AE360" s="127"/>
      <c r="AF360" s="127" t="e">
        <f t="shared" si="56"/>
        <v>#DIV/0!</v>
      </c>
      <c r="AG360" s="128" t="e">
        <f t="shared" si="57"/>
        <v>#DIV/0!</v>
      </c>
      <c r="AH360" s="128" t="e">
        <f t="shared" si="58"/>
        <v>#DIV/0!</v>
      </c>
      <c r="AI360" s="127" t="e">
        <f t="shared" si="59"/>
        <v>#DIV/0!</v>
      </c>
    </row>
    <row r="361" ht="15.5" customHeight="1" spans="1:35">
      <c r="A361" s="63"/>
      <c r="B361" s="56"/>
      <c r="C361" s="56"/>
      <c r="D361" s="59"/>
      <c r="E361" s="63"/>
      <c r="F361" s="24"/>
      <c r="G361" s="63"/>
      <c r="H361" s="21"/>
      <c r="I361" s="23"/>
      <c r="J361" s="121"/>
      <c r="K361" s="121"/>
      <c r="L361" s="26"/>
      <c r="M361" s="26"/>
      <c r="N361" s="26"/>
      <c r="O361" s="26"/>
      <c r="P361" s="26"/>
      <c r="Q361" s="26"/>
      <c r="R361" s="26"/>
      <c r="S361" s="23"/>
      <c r="T361" s="26"/>
      <c r="U361" s="26" t="str">
        <f t="shared" si="50"/>
        <v/>
      </c>
      <c r="V361" s="27"/>
      <c r="W361" s="122"/>
      <c r="X361" s="123">
        <f t="shared" si="51"/>
        <v>0</v>
      </c>
      <c r="Y361" s="124" t="e">
        <f t="shared" si="52"/>
        <v>#DIV/0!</v>
      </c>
      <c r="Z361" s="124"/>
      <c r="AA361" s="124" t="e">
        <f t="shared" si="53"/>
        <v>#DIV/0!</v>
      </c>
      <c r="AB361" s="125" t="e">
        <f t="shared" si="54"/>
        <v>#DIV/0!</v>
      </c>
      <c r="AC361" s="31" t="e">
        <f t="shared" si="55"/>
        <v>#DIV/0!</v>
      </c>
      <c r="AD361" s="126"/>
      <c r="AE361" s="127"/>
      <c r="AF361" s="127" t="e">
        <f t="shared" si="56"/>
        <v>#DIV/0!</v>
      </c>
      <c r="AG361" s="128" t="e">
        <f t="shared" si="57"/>
        <v>#DIV/0!</v>
      </c>
      <c r="AH361" s="128" t="e">
        <f t="shared" si="58"/>
        <v>#DIV/0!</v>
      </c>
      <c r="AI361" s="127" t="e">
        <f t="shared" si="59"/>
        <v>#DIV/0!</v>
      </c>
    </row>
    <row r="362" ht="15.5" customHeight="1" spans="1:35">
      <c r="A362" s="63"/>
      <c r="B362" s="56"/>
      <c r="C362" s="56"/>
      <c r="D362" s="59"/>
      <c r="E362" s="63"/>
      <c r="F362" s="24"/>
      <c r="G362" s="63"/>
      <c r="H362" s="21"/>
      <c r="I362" s="23"/>
      <c r="J362" s="121"/>
      <c r="K362" s="121"/>
      <c r="L362" s="26"/>
      <c r="M362" s="26"/>
      <c r="N362" s="26"/>
      <c r="O362" s="26"/>
      <c r="P362" s="26"/>
      <c r="Q362" s="26"/>
      <c r="R362" s="26"/>
      <c r="S362" s="23"/>
      <c r="T362" s="26"/>
      <c r="U362" s="26" t="str">
        <f t="shared" si="50"/>
        <v/>
      </c>
      <c r="V362" s="27"/>
      <c r="W362" s="122"/>
      <c r="X362" s="123">
        <f t="shared" si="51"/>
        <v>0</v>
      </c>
      <c r="Y362" s="124" t="e">
        <f t="shared" si="52"/>
        <v>#DIV/0!</v>
      </c>
      <c r="Z362" s="124"/>
      <c r="AA362" s="124" t="e">
        <f t="shared" si="53"/>
        <v>#DIV/0!</v>
      </c>
      <c r="AB362" s="125" t="e">
        <f t="shared" si="54"/>
        <v>#DIV/0!</v>
      </c>
      <c r="AC362" s="31" t="e">
        <f t="shared" si="55"/>
        <v>#DIV/0!</v>
      </c>
      <c r="AD362" s="126"/>
      <c r="AE362" s="127"/>
      <c r="AF362" s="127" t="e">
        <f t="shared" si="56"/>
        <v>#DIV/0!</v>
      </c>
      <c r="AG362" s="128" t="e">
        <f t="shared" si="57"/>
        <v>#DIV/0!</v>
      </c>
      <c r="AH362" s="128" t="e">
        <f t="shared" si="58"/>
        <v>#DIV/0!</v>
      </c>
      <c r="AI362" s="127" t="e">
        <f t="shared" si="59"/>
        <v>#DIV/0!</v>
      </c>
    </row>
    <row r="363" ht="15.5" customHeight="1" spans="1:35">
      <c r="A363" s="63"/>
      <c r="B363" s="56"/>
      <c r="C363" s="56"/>
      <c r="D363" s="59"/>
      <c r="E363" s="63"/>
      <c r="F363" s="24"/>
      <c r="G363" s="63"/>
      <c r="H363" s="21"/>
      <c r="I363" s="23"/>
      <c r="J363" s="121"/>
      <c r="K363" s="121"/>
      <c r="L363" s="26"/>
      <c r="M363" s="26"/>
      <c r="N363" s="26"/>
      <c r="O363" s="26"/>
      <c r="P363" s="26"/>
      <c r="Q363" s="26"/>
      <c r="R363" s="26"/>
      <c r="S363" s="23"/>
      <c r="T363" s="26"/>
      <c r="U363" s="26" t="str">
        <f t="shared" si="50"/>
        <v/>
      </c>
      <c r="V363" s="27"/>
      <c r="W363" s="122"/>
      <c r="X363" s="123">
        <f t="shared" si="51"/>
        <v>0</v>
      </c>
      <c r="Y363" s="124" t="e">
        <f t="shared" si="52"/>
        <v>#DIV/0!</v>
      </c>
      <c r="Z363" s="124"/>
      <c r="AA363" s="124" t="e">
        <f t="shared" si="53"/>
        <v>#DIV/0!</v>
      </c>
      <c r="AB363" s="125" t="e">
        <f t="shared" si="54"/>
        <v>#DIV/0!</v>
      </c>
      <c r="AC363" s="31" t="e">
        <f t="shared" si="55"/>
        <v>#DIV/0!</v>
      </c>
      <c r="AD363" s="126"/>
      <c r="AE363" s="127"/>
      <c r="AF363" s="127" t="e">
        <f t="shared" si="56"/>
        <v>#DIV/0!</v>
      </c>
      <c r="AG363" s="128" t="e">
        <f t="shared" si="57"/>
        <v>#DIV/0!</v>
      </c>
      <c r="AH363" s="128" t="e">
        <f t="shared" si="58"/>
        <v>#DIV/0!</v>
      </c>
      <c r="AI363" s="127" t="e">
        <f t="shared" si="59"/>
        <v>#DIV/0!</v>
      </c>
    </row>
    <row r="364" ht="15.5" customHeight="1" spans="1:35">
      <c r="A364" s="63"/>
      <c r="B364" s="56"/>
      <c r="C364" s="56"/>
      <c r="D364" s="59"/>
      <c r="E364" s="63"/>
      <c r="F364" s="24"/>
      <c r="G364" s="63"/>
      <c r="H364" s="21"/>
      <c r="I364" s="23"/>
      <c r="J364" s="121"/>
      <c r="K364" s="121"/>
      <c r="L364" s="26"/>
      <c r="M364" s="26"/>
      <c r="N364" s="26"/>
      <c r="O364" s="26"/>
      <c r="P364" s="26"/>
      <c r="Q364" s="26"/>
      <c r="R364" s="26"/>
      <c r="S364" s="23"/>
      <c r="T364" s="26"/>
      <c r="U364" s="26" t="str">
        <f t="shared" si="50"/>
        <v/>
      </c>
      <c r="V364" s="27"/>
      <c r="W364" s="122"/>
      <c r="X364" s="123">
        <f t="shared" si="51"/>
        <v>0</v>
      </c>
      <c r="Y364" s="124" t="e">
        <f t="shared" si="52"/>
        <v>#DIV/0!</v>
      </c>
      <c r="Z364" s="124"/>
      <c r="AA364" s="124" t="e">
        <f t="shared" si="53"/>
        <v>#DIV/0!</v>
      </c>
      <c r="AB364" s="125" t="e">
        <f t="shared" si="54"/>
        <v>#DIV/0!</v>
      </c>
      <c r="AC364" s="31" t="e">
        <f t="shared" si="55"/>
        <v>#DIV/0!</v>
      </c>
      <c r="AD364" s="126"/>
      <c r="AE364" s="127"/>
      <c r="AF364" s="127" t="e">
        <f t="shared" si="56"/>
        <v>#DIV/0!</v>
      </c>
      <c r="AG364" s="128" t="e">
        <f t="shared" si="57"/>
        <v>#DIV/0!</v>
      </c>
      <c r="AH364" s="128" t="e">
        <f t="shared" si="58"/>
        <v>#DIV/0!</v>
      </c>
      <c r="AI364" s="127" t="e">
        <f t="shared" si="59"/>
        <v>#DIV/0!</v>
      </c>
    </row>
    <row r="365" ht="15.5" customHeight="1" spans="1:35">
      <c r="A365" s="63"/>
      <c r="B365" s="56"/>
      <c r="C365" s="56"/>
      <c r="D365" s="59"/>
      <c r="E365" s="63"/>
      <c r="F365" s="24"/>
      <c r="G365" s="63"/>
      <c r="H365" s="21"/>
      <c r="I365" s="23"/>
      <c r="J365" s="121"/>
      <c r="K365" s="121"/>
      <c r="L365" s="26"/>
      <c r="M365" s="26"/>
      <c r="N365" s="26"/>
      <c r="O365" s="26"/>
      <c r="P365" s="26"/>
      <c r="Q365" s="26"/>
      <c r="R365" s="26"/>
      <c r="S365" s="23"/>
      <c r="T365" s="26"/>
      <c r="U365" s="26" t="str">
        <f t="shared" si="50"/>
        <v/>
      </c>
      <c r="V365" s="27"/>
      <c r="W365" s="122"/>
      <c r="X365" s="123">
        <f t="shared" si="51"/>
        <v>0</v>
      </c>
      <c r="Y365" s="124" t="e">
        <f t="shared" si="52"/>
        <v>#DIV/0!</v>
      </c>
      <c r="Z365" s="124"/>
      <c r="AA365" s="124" t="e">
        <f t="shared" si="53"/>
        <v>#DIV/0!</v>
      </c>
      <c r="AB365" s="125" t="e">
        <f t="shared" si="54"/>
        <v>#DIV/0!</v>
      </c>
      <c r="AC365" s="31" t="e">
        <f t="shared" si="55"/>
        <v>#DIV/0!</v>
      </c>
      <c r="AD365" s="126"/>
      <c r="AE365" s="127"/>
      <c r="AF365" s="127" t="e">
        <f t="shared" si="56"/>
        <v>#DIV/0!</v>
      </c>
      <c r="AG365" s="128" t="e">
        <f t="shared" si="57"/>
        <v>#DIV/0!</v>
      </c>
      <c r="AH365" s="128" t="e">
        <f t="shared" si="58"/>
        <v>#DIV/0!</v>
      </c>
      <c r="AI365" s="127" t="e">
        <f t="shared" si="59"/>
        <v>#DIV/0!</v>
      </c>
    </row>
    <row r="366" ht="15.5" customHeight="1" spans="1:35">
      <c r="A366" s="63"/>
      <c r="B366" s="56"/>
      <c r="C366" s="56"/>
      <c r="D366" s="59"/>
      <c r="E366" s="63"/>
      <c r="F366" s="24"/>
      <c r="G366" s="63"/>
      <c r="H366" s="21"/>
      <c r="I366" s="23"/>
      <c r="J366" s="121"/>
      <c r="K366" s="121"/>
      <c r="L366" s="26"/>
      <c r="M366" s="26"/>
      <c r="N366" s="26"/>
      <c r="O366" s="26"/>
      <c r="P366" s="26"/>
      <c r="Q366" s="26"/>
      <c r="R366" s="26"/>
      <c r="S366" s="23"/>
      <c r="T366" s="26"/>
      <c r="U366" s="26" t="str">
        <f t="shared" si="50"/>
        <v/>
      </c>
      <c r="V366" s="27"/>
      <c r="W366" s="122"/>
      <c r="X366" s="123">
        <f t="shared" si="51"/>
        <v>0</v>
      </c>
      <c r="Y366" s="124" t="e">
        <f t="shared" si="52"/>
        <v>#DIV/0!</v>
      </c>
      <c r="Z366" s="124"/>
      <c r="AA366" s="124" t="e">
        <f t="shared" si="53"/>
        <v>#DIV/0!</v>
      </c>
      <c r="AB366" s="125" t="e">
        <f t="shared" si="54"/>
        <v>#DIV/0!</v>
      </c>
      <c r="AC366" s="31" t="e">
        <f t="shared" si="55"/>
        <v>#DIV/0!</v>
      </c>
      <c r="AD366" s="126"/>
      <c r="AE366" s="127"/>
      <c r="AF366" s="127" t="e">
        <f t="shared" si="56"/>
        <v>#DIV/0!</v>
      </c>
      <c r="AG366" s="128" t="e">
        <f t="shared" si="57"/>
        <v>#DIV/0!</v>
      </c>
      <c r="AH366" s="128" t="e">
        <f t="shared" si="58"/>
        <v>#DIV/0!</v>
      </c>
      <c r="AI366" s="127" t="e">
        <f t="shared" si="59"/>
        <v>#DIV/0!</v>
      </c>
    </row>
    <row r="367" ht="15.5" customHeight="1" spans="1:35">
      <c r="A367" s="63"/>
      <c r="B367" s="56"/>
      <c r="C367" s="56"/>
      <c r="D367" s="59"/>
      <c r="E367" s="63"/>
      <c r="F367" s="24"/>
      <c r="G367" s="63"/>
      <c r="H367" s="21"/>
      <c r="I367" s="23"/>
      <c r="J367" s="121"/>
      <c r="K367" s="121"/>
      <c r="L367" s="26"/>
      <c r="M367" s="26"/>
      <c r="N367" s="26"/>
      <c r="O367" s="26"/>
      <c r="P367" s="26"/>
      <c r="Q367" s="26"/>
      <c r="R367" s="26"/>
      <c r="S367" s="23"/>
      <c r="T367" s="26"/>
      <c r="U367" s="26" t="str">
        <f t="shared" si="50"/>
        <v/>
      </c>
      <c r="V367" s="27"/>
      <c r="W367" s="122"/>
      <c r="X367" s="123">
        <f t="shared" si="51"/>
        <v>0</v>
      </c>
      <c r="Y367" s="124" t="e">
        <f t="shared" si="52"/>
        <v>#DIV/0!</v>
      </c>
      <c r="Z367" s="124"/>
      <c r="AA367" s="124" t="e">
        <f t="shared" si="53"/>
        <v>#DIV/0!</v>
      </c>
      <c r="AB367" s="125" t="e">
        <f t="shared" si="54"/>
        <v>#DIV/0!</v>
      </c>
      <c r="AC367" s="31" t="e">
        <f t="shared" si="55"/>
        <v>#DIV/0!</v>
      </c>
      <c r="AD367" s="126"/>
      <c r="AE367" s="127"/>
      <c r="AF367" s="127" t="e">
        <f t="shared" si="56"/>
        <v>#DIV/0!</v>
      </c>
      <c r="AG367" s="128" t="e">
        <f t="shared" si="57"/>
        <v>#DIV/0!</v>
      </c>
      <c r="AH367" s="128" t="e">
        <f t="shared" si="58"/>
        <v>#DIV/0!</v>
      </c>
      <c r="AI367" s="127" t="e">
        <f t="shared" si="59"/>
        <v>#DIV/0!</v>
      </c>
    </row>
    <row r="368" ht="15.5" customHeight="1" spans="1:35">
      <c r="A368" s="63"/>
      <c r="B368" s="56"/>
      <c r="C368" s="56"/>
      <c r="D368" s="59"/>
      <c r="E368" s="63"/>
      <c r="F368" s="24"/>
      <c r="G368" s="63"/>
      <c r="H368" s="21"/>
      <c r="I368" s="23"/>
      <c r="J368" s="121"/>
      <c r="K368" s="121"/>
      <c r="L368" s="26"/>
      <c r="M368" s="26"/>
      <c r="N368" s="26"/>
      <c r="O368" s="26"/>
      <c r="P368" s="26"/>
      <c r="Q368" s="26"/>
      <c r="R368" s="26"/>
      <c r="S368" s="23"/>
      <c r="T368" s="26"/>
      <c r="U368" s="26" t="str">
        <f t="shared" si="50"/>
        <v/>
      </c>
      <c r="V368" s="27"/>
      <c r="W368" s="122"/>
      <c r="X368" s="123">
        <f t="shared" si="51"/>
        <v>0</v>
      </c>
      <c r="Y368" s="124" t="e">
        <f t="shared" si="52"/>
        <v>#DIV/0!</v>
      </c>
      <c r="Z368" s="124"/>
      <c r="AA368" s="124" t="e">
        <f t="shared" si="53"/>
        <v>#DIV/0!</v>
      </c>
      <c r="AB368" s="125" t="e">
        <f t="shared" si="54"/>
        <v>#DIV/0!</v>
      </c>
      <c r="AC368" s="31" t="e">
        <f t="shared" si="55"/>
        <v>#DIV/0!</v>
      </c>
      <c r="AD368" s="126"/>
      <c r="AE368" s="127"/>
      <c r="AF368" s="127" t="e">
        <f t="shared" si="56"/>
        <v>#DIV/0!</v>
      </c>
      <c r="AG368" s="128" t="e">
        <f t="shared" si="57"/>
        <v>#DIV/0!</v>
      </c>
      <c r="AH368" s="128" t="e">
        <f t="shared" si="58"/>
        <v>#DIV/0!</v>
      </c>
      <c r="AI368" s="127" t="e">
        <f t="shared" si="59"/>
        <v>#DIV/0!</v>
      </c>
    </row>
    <row r="369" ht="15.5" customHeight="1" spans="1:35">
      <c r="A369" s="63"/>
      <c r="B369" s="56"/>
      <c r="C369" s="56"/>
      <c r="D369" s="59"/>
      <c r="E369" s="63"/>
      <c r="F369" s="24"/>
      <c r="G369" s="63"/>
      <c r="H369" s="21"/>
      <c r="I369" s="23"/>
      <c r="J369" s="121"/>
      <c r="K369" s="121"/>
      <c r="L369" s="26"/>
      <c r="M369" s="26"/>
      <c r="N369" s="26"/>
      <c r="O369" s="26"/>
      <c r="P369" s="26"/>
      <c r="Q369" s="26"/>
      <c r="R369" s="26"/>
      <c r="S369" s="23"/>
      <c r="T369" s="26"/>
      <c r="U369" s="26" t="str">
        <f t="shared" si="50"/>
        <v/>
      </c>
      <c r="V369" s="27"/>
      <c r="W369" s="122"/>
      <c r="X369" s="123">
        <f t="shared" si="51"/>
        <v>0</v>
      </c>
      <c r="Y369" s="124" t="e">
        <f t="shared" si="52"/>
        <v>#DIV/0!</v>
      </c>
      <c r="Z369" s="124"/>
      <c r="AA369" s="124" t="e">
        <f t="shared" si="53"/>
        <v>#DIV/0!</v>
      </c>
      <c r="AB369" s="125" t="e">
        <f t="shared" si="54"/>
        <v>#DIV/0!</v>
      </c>
      <c r="AC369" s="31" t="e">
        <f t="shared" si="55"/>
        <v>#DIV/0!</v>
      </c>
      <c r="AD369" s="126"/>
      <c r="AE369" s="127"/>
      <c r="AF369" s="127" t="e">
        <f t="shared" si="56"/>
        <v>#DIV/0!</v>
      </c>
      <c r="AG369" s="128" t="e">
        <f t="shared" si="57"/>
        <v>#DIV/0!</v>
      </c>
      <c r="AH369" s="128" t="e">
        <f t="shared" si="58"/>
        <v>#DIV/0!</v>
      </c>
      <c r="AI369" s="127" t="e">
        <f t="shared" si="59"/>
        <v>#DIV/0!</v>
      </c>
    </row>
    <row r="370" ht="15.5" customHeight="1" spans="1:35">
      <c r="A370" s="63"/>
      <c r="B370" s="56"/>
      <c r="C370" s="56"/>
      <c r="D370" s="59"/>
      <c r="E370" s="63"/>
      <c r="F370" s="24"/>
      <c r="G370" s="63"/>
      <c r="H370" s="21"/>
      <c r="I370" s="23"/>
      <c r="J370" s="121"/>
      <c r="K370" s="121"/>
      <c r="L370" s="26"/>
      <c r="M370" s="26"/>
      <c r="N370" s="26"/>
      <c r="O370" s="26"/>
      <c r="P370" s="26"/>
      <c r="Q370" s="26"/>
      <c r="R370" s="26"/>
      <c r="S370" s="23"/>
      <c r="T370" s="26"/>
      <c r="U370" s="26" t="str">
        <f t="shared" si="50"/>
        <v/>
      </c>
      <c r="V370" s="27"/>
      <c r="W370" s="122"/>
      <c r="X370" s="123">
        <f t="shared" si="51"/>
        <v>0</v>
      </c>
      <c r="Y370" s="124" t="e">
        <f t="shared" si="52"/>
        <v>#DIV/0!</v>
      </c>
      <c r="Z370" s="124"/>
      <c r="AA370" s="124" t="e">
        <f t="shared" si="53"/>
        <v>#DIV/0!</v>
      </c>
      <c r="AB370" s="125" t="e">
        <f t="shared" si="54"/>
        <v>#DIV/0!</v>
      </c>
      <c r="AC370" s="31" t="e">
        <f t="shared" si="55"/>
        <v>#DIV/0!</v>
      </c>
      <c r="AD370" s="126"/>
      <c r="AE370" s="127"/>
      <c r="AF370" s="127" t="e">
        <f t="shared" si="56"/>
        <v>#DIV/0!</v>
      </c>
      <c r="AG370" s="128" t="e">
        <f t="shared" si="57"/>
        <v>#DIV/0!</v>
      </c>
      <c r="AH370" s="128" t="e">
        <f t="shared" si="58"/>
        <v>#DIV/0!</v>
      </c>
      <c r="AI370" s="127" t="e">
        <f t="shared" si="59"/>
        <v>#DIV/0!</v>
      </c>
    </row>
    <row r="371" ht="15.5" customHeight="1" spans="1:35">
      <c r="A371" s="63"/>
      <c r="B371" s="56"/>
      <c r="C371" s="56"/>
      <c r="D371" s="59"/>
      <c r="E371" s="63"/>
      <c r="F371" s="24"/>
      <c r="G371" s="63"/>
      <c r="H371" s="21"/>
      <c r="I371" s="23"/>
      <c r="J371" s="121"/>
      <c r="K371" s="121"/>
      <c r="L371" s="26"/>
      <c r="M371" s="26"/>
      <c r="N371" s="26"/>
      <c r="O371" s="26"/>
      <c r="P371" s="26"/>
      <c r="Q371" s="26"/>
      <c r="R371" s="26"/>
      <c r="S371" s="23"/>
      <c r="T371" s="26"/>
      <c r="U371" s="26" t="str">
        <f t="shared" si="50"/>
        <v/>
      </c>
      <c r="V371" s="27"/>
      <c r="W371" s="122"/>
      <c r="X371" s="123">
        <f t="shared" si="51"/>
        <v>0</v>
      </c>
      <c r="Y371" s="124" t="e">
        <f t="shared" si="52"/>
        <v>#DIV/0!</v>
      </c>
      <c r="Z371" s="124"/>
      <c r="AA371" s="124" t="e">
        <f t="shared" si="53"/>
        <v>#DIV/0!</v>
      </c>
      <c r="AB371" s="125" t="e">
        <f t="shared" si="54"/>
        <v>#DIV/0!</v>
      </c>
      <c r="AC371" s="31" t="e">
        <f t="shared" si="55"/>
        <v>#DIV/0!</v>
      </c>
      <c r="AD371" s="126"/>
      <c r="AE371" s="127"/>
      <c r="AF371" s="127" t="e">
        <f t="shared" si="56"/>
        <v>#DIV/0!</v>
      </c>
      <c r="AG371" s="128" t="e">
        <f t="shared" si="57"/>
        <v>#DIV/0!</v>
      </c>
      <c r="AH371" s="128" t="e">
        <f t="shared" si="58"/>
        <v>#DIV/0!</v>
      </c>
      <c r="AI371" s="127" t="e">
        <f t="shared" si="59"/>
        <v>#DIV/0!</v>
      </c>
    </row>
    <row r="372" ht="15.5" customHeight="1" spans="1:35">
      <c r="A372" s="63"/>
      <c r="B372" s="56"/>
      <c r="C372" s="56"/>
      <c r="D372" s="59"/>
      <c r="E372" s="63"/>
      <c r="F372" s="24"/>
      <c r="G372" s="63"/>
      <c r="H372" s="21"/>
      <c r="I372" s="23"/>
      <c r="J372" s="121"/>
      <c r="K372" s="121"/>
      <c r="L372" s="26"/>
      <c r="M372" s="26"/>
      <c r="N372" s="26"/>
      <c r="O372" s="26"/>
      <c r="P372" s="26"/>
      <c r="Q372" s="26"/>
      <c r="R372" s="26"/>
      <c r="S372" s="23"/>
      <c r="T372" s="26"/>
      <c r="U372" s="26" t="str">
        <f t="shared" si="50"/>
        <v/>
      </c>
      <c r="V372" s="27"/>
      <c r="W372" s="122"/>
      <c r="X372" s="123">
        <f t="shared" si="51"/>
        <v>0</v>
      </c>
      <c r="Y372" s="124" t="e">
        <f t="shared" si="52"/>
        <v>#DIV/0!</v>
      </c>
      <c r="Z372" s="124"/>
      <c r="AA372" s="124" t="e">
        <f t="shared" si="53"/>
        <v>#DIV/0!</v>
      </c>
      <c r="AB372" s="125" t="e">
        <f t="shared" si="54"/>
        <v>#DIV/0!</v>
      </c>
      <c r="AC372" s="31" t="e">
        <f t="shared" si="55"/>
        <v>#DIV/0!</v>
      </c>
      <c r="AD372" s="126"/>
      <c r="AE372" s="127"/>
      <c r="AF372" s="127" t="e">
        <f t="shared" si="56"/>
        <v>#DIV/0!</v>
      </c>
      <c r="AG372" s="128" t="e">
        <f t="shared" si="57"/>
        <v>#DIV/0!</v>
      </c>
      <c r="AH372" s="128" t="e">
        <f t="shared" si="58"/>
        <v>#DIV/0!</v>
      </c>
      <c r="AI372" s="127" t="e">
        <f t="shared" si="59"/>
        <v>#DIV/0!</v>
      </c>
    </row>
    <row r="373" ht="15.5" customHeight="1" spans="1:35">
      <c r="A373" s="63"/>
      <c r="B373" s="56"/>
      <c r="C373" s="56"/>
      <c r="D373" s="59"/>
      <c r="E373" s="63"/>
      <c r="F373" s="24"/>
      <c r="G373" s="63"/>
      <c r="H373" s="21"/>
      <c r="I373" s="23"/>
      <c r="J373" s="121"/>
      <c r="K373" s="121"/>
      <c r="L373" s="26"/>
      <c r="M373" s="26"/>
      <c r="N373" s="26"/>
      <c r="O373" s="26"/>
      <c r="P373" s="26"/>
      <c r="Q373" s="26"/>
      <c r="R373" s="26"/>
      <c r="S373" s="23"/>
      <c r="T373" s="26"/>
      <c r="U373" s="26" t="str">
        <f t="shared" si="50"/>
        <v/>
      </c>
      <c r="V373" s="27"/>
      <c r="W373" s="122"/>
      <c r="X373" s="123">
        <f t="shared" si="51"/>
        <v>0</v>
      </c>
      <c r="Y373" s="124" t="e">
        <f t="shared" si="52"/>
        <v>#DIV/0!</v>
      </c>
      <c r="Z373" s="124"/>
      <c r="AA373" s="124" t="e">
        <f t="shared" si="53"/>
        <v>#DIV/0!</v>
      </c>
      <c r="AB373" s="125" t="e">
        <f t="shared" si="54"/>
        <v>#DIV/0!</v>
      </c>
      <c r="AC373" s="31" t="e">
        <f t="shared" si="55"/>
        <v>#DIV/0!</v>
      </c>
      <c r="AD373" s="126"/>
      <c r="AE373" s="127"/>
      <c r="AF373" s="127" t="e">
        <f t="shared" si="56"/>
        <v>#DIV/0!</v>
      </c>
      <c r="AG373" s="128" t="e">
        <f t="shared" si="57"/>
        <v>#DIV/0!</v>
      </c>
      <c r="AH373" s="128" t="e">
        <f t="shared" si="58"/>
        <v>#DIV/0!</v>
      </c>
      <c r="AI373" s="127" t="e">
        <f t="shared" si="59"/>
        <v>#DIV/0!</v>
      </c>
    </row>
    <row r="374" ht="15.5" customHeight="1" spans="1:35">
      <c r="A374" s="63"/>
      <c r="B374" s="56"/>
      <c r="C374" s="56"/>
      <c r="D374" s="59"/>
      <c r="E374" s="63"/>
      <c r="F374" s="24"/>
      <c r="G374" s="63"/>
      <c r="H374" s="21"/>
      <c r="I374" s="23"/>
      <c r="J374" s="121"/>
      <c r="K374" s="121"/>
      <c r="L374" s="26"/>
      <c r="M374" s="26"/>
      <c r="N374" s="26"/>
      <c r="O374" s="26"/>
      <c r="P374" s="26"/>
      <c r="Q374" s="26"/>
      <c r="R374" s="26"/>
      <c r="S374" s="23"/>
      <c r="T374" s="26"/>
      <c r="U374" s="26" t="str">
        <f t="shared" si="50"/>
        <v/>
      </c>
      <c r="V374" s="27"/>
      <c r="W374" s="122"/>
      <c r="X374" s="123">
        <f t="shared" si="51"/>
        <v>0</v>
      </c>
      <c r="Y374" s="124" t="e">
        <f t="shared" si="52"/>
        <v>#DIV/0!</v>
      </c>
      <c r="Z374" s="124"/>
      <c r="AA374" s="124" t="e">
        <f t="shared" si="53"/>
        <v>#DIV/0!</v>
      </c>
      <c r="AB374" s="125" t="e">
        <f t="shared" si="54"/>
        <v>#DIV/0!</v>
      </c>
      <c r="AC374" s="31" t="e">
        <f t="shared" si="55"/>
        <v>#DIV/0!</v>
      </c>
      <c r="AD374" s="126"/>
      <c r="AE374" s="127"/>
      <c r="AF374" s="127" t="e">
        <f t="shared" si="56"/>
        <v>#DIV/0!</v>
      </c>
      <c r="AG374" s="128" t="e">
        <f t="shared" si="57"/>
        <v>#DIV/0!</v>
      </c>
      <c r="AH374" s="128" t="e">
        <f t="shared" si="58"/>
        <v>#DIV/0!</v>
      </c>
      <c r="AI374" s="127" t="e">
        <f t="shared" si="59"/>
        <v>#DIV/0!</v>
      </c>
    </row>
    <row r="375" ht="15.5" customHeight="1" spans="1:35">
      <c r="A375" s="63"/>
      <c r="B375" s="56"/>
      <c r="C375" s="56"/>
      <c r="D375" s="59"/>
      <c r="E375" s="63"/>
      <c r="F375" s="24"/>
      <c r="G375" s="63"/>
      <c r="H375" s="21"/>
      <c r="I375" s="23"/>
      <c r="J375" s="121"/>
      <c r="K375" s="121"/>
      <c r="L375" s="26"/>
      <c r="M375" s="26"/>
      <c r="N375" s="26"/>
      <c r="O375" s="26"/>
      <c r="P375" s="26"/>
      <c r="Q375" s="26"/>
      <c r="R375" s="26"/>
      <c r="S375" s="23"/>
      <c r="T375" s="26"/>
      <c r="U375" s="26" t="str">
        <f t="shared" si="50"/>
        <v/>
      </c>
      <c r="V375" s="27"/>
      <c r="W375" s="122"/>
      <c r="X375" s="123">
        <f t="shared" si="51"/>
        <v>0</v>
      </c>
      <c r="Y375" s="124" t="e">
        <f t="shared" si="52"/>
        <v>#DIV/0!</v>
      </c>
      <c r="Z375" s="124"/>
      <c r="AA375" s="124" t="e">
        <f t="shared" si="53"/>
        <v>#DIV/0!</v>
      </c>
      <c r="AB375" s="125" t="e">
        <f t="shared" si="54"/>
        <v>#DIV/0!</v>
      </c>
      <c r="AC375" s="31" t="e">
        <f t="shared" si="55"/>
        <v>#DIV/0!</v>
      </c>
      <c r="AD375" s="126"/>
      <c r="AE375" s="127"/>
      <c r="AF375" s="127" t="e">
        <f t="shared" si="56"/>
        <v>#DIV/0!</v>
      </c>
      <c r="AG375" s="128" t="e">
        <f t="shared" si="57"/>
        <v>#DIV/0!</v>
      </c>
      <c r="AH375" s="128" t="e">
        <f t="shared" si="58"/>
        <v>#DIV/0!</v>
      </c>
      <c r="AI375" s="127" t="e">
        <f t="shared" si="59"/>
        <v>#DIV/0!</v>
      </c>
    </row>
    <row r="376" ht="15.5" customHeight="1" spans="1:35">
      <c r="A376" s="63"/>
      <c r="B376" s="56"/>
      <c r="C376" s="56"/>
      <c r="D376" s="59"/>
      <c r="E376" s="63"/>
      <c r="F376" s="24"/>
      <c r="G376" s="63"/>
      <c r="H376" s="21"/>
      <c r="I376" s="23"/>
      <c r="J376" s="121"/>
      <c r="K376" s="121"/>
      <c r="L376" s="26"/>
      <c r="M376" s="26"/>
      <c r="N376" s="26"/>
      <c r="O376" s="26"/>
      <c r="P376" s="26"/>
      <c r="Q376" s="26"/>
      <c r="R376" s="26"/>
      <c r="S376" s="23"/>
      <c r="T376" s="26"/>
      <c r="U376" s="26" t="str">
        <f t="shared" si="50"/>
        <v/>
      </c>
      <c r="V376" s="27"/>
      <c r="W376" s="122"/>
      <c r="X376" s="123">
        <f t="shared" si="51"/>
        <v>0</v>
      </c>
      <c r="Y376" s="124" t="e">
        <f t="shared" si="52"/>
        <v>#DIV/0!</v>
      </c>
      <c r="Z376" s="124"/>
      <c r="AA376" s="124" t="e">
        <f t="shared" si="53"/>
        <v>#DIV/0!</v>
      </c>
      <c r="AB376" s="125" t="e">
        <f t="shared" si="54"/>
        <v>#DIV/0!</v>
      </c>
      <c r="AC376" s="31" t="e">
        <f t="shared" si="55"/>
        <v>#DIV/0!</v>
      </c>
      <c r="AD376" s="126"/>
      <c r="AE376" s="127"/>
      <c r="AF376" s="127" t="e">
        <f t="shared" si="56"/>
        <v>#DIV/0!</v>
      </c>
      <c r="AG376" s="128" t="e">
        <f t="shared" si="57"/>
        <v>#DIV/0!</v>
      </c>
      <c r="AH376" s="128" t="e">
        <f t="shared" si="58"/>
        <v>#DIV/0!</v>
      </c>
      <c r="AI376" s="127" t="e">
        <f t="shared" si="59"/>
        <v>#DIV/0!</v>
      </c>
    </row>
    <row r="377" ht="15.5" customHeight="1" spans="1:35">
      <c r="A377" s="63"/>
      <c r="B377" s="56"/>
      <c r="C377" s="56"/>
      <c r="D377" s="59"/>
      <c r="E377" s="63"/>
      <c r="F377" s="24"/>
      <c r="G377" s="63"/>
      <c r="H377" s="21"/>
      <c r="I377" s="23"/>
      <c r="J377" s="121"/>
      <c r="K377" s="121"/>
      <c r="L377" s="26"/>
      <c r="M377" s="26"/>
      <c r="N377" s="26"/>
      <c r="O377" s="26"/>
      <c r="P377" s="26"/>
      <c r="Q377" s="26"/>
      <c r="R377" s="26"/>
      <c r="S377" s="23"/>
      <c r="T377" s="26"/>
      <c r="U377" s="26" t="str">
        <f t="shared" si="50"/>
        <v/>
      </c>
      <c r="V377" s="27"/>
      <c r="W377" s="122"/>
      <c r="X377" s="123">
        <f t="shared" si="51"/>
        <v>0</v>
      </c>
      <c r="Y377" s="124" t="e">
        <f t="shared" si="52"/>
        <v>#DIV/0!</v>
      </c>
      <c r="Z377" s="124"/>
      <c r="AA377" s="124" t="e">
        <f t="shared" si="53"/>
        <v>#DIV/0!</v>
      </c>
      <c r="AB377" s="125" t="e">
        <f t="shared" si="54"/>
        <v>#DIV/0!</v>
      </c>
      <c r="AC377" s="31" t="e">
        <f t="shared" si="55"/>
        <v>#DIV/0!</v>
      </c>
      <c r="AD377" s="126"/>
      <c r="AE377" s="127"/>
      <c r="AF377" s="127" t="e">
        <f t="shared" si="56"/>
        <v>#DIV/0!</v>
      </c>
      <c r="AG377" s="128" t="e">
        <f t="shared" si="57"/>
        <v>#DIV/0!</v>
      </c>
      <c r="AH377" s="128" t="e">
        <f t="shared" si="58"/>
        <v>#DIV/0!</v>
      </c>
      <c r="AI377" s="127" t="e">
        <f t="shared" si="59"/>
        <v>#DIV/0!</v>
      </c>
    </row>
    <row r="378" ht="15.5" customHeight="1" spans="1:35">
      <c r="A378" s="63"/>
      <c r="B378" s="56"/>
      <c r="C378" s="56"/>
      <c r="D378" s="59"/>
      <c r="E378" s="63"/>
      <c r="F378" s="24"/>
      <c r="G378" s="63"/>
      <c r="H378" s="21"/>
      <c r="I378" s="23"/>
      <c r="J378" s="121"/>
      <c r="K378" s="121"/>
      <c r="L378" s="26"/>
      <c r="M378" s="26"/>
      <c r="N378" s="26"/>
      <c r="O378" s="26"/>
      <c r="P378" s="26"/>
      <c r="Q378" s="26"/>
      <c r="R378" s="26"/>
      <c r="S378" s="23"/>
      <c r="T378" s="26"/>
      <c r="U378" s="26" t="str">
        <f t="shared" si="50"/>
        <v/>
      </c>
      <c r="V378" s="27"/>
      <c r="W378" s="122"/>
      <c r="X378" s="123">
        <f t="shared" si="51"/>
        <v>0</v>
      </c>
      <c r="Y378" s="124" t="e">
        <f t="shared" si="52"/>
        <v>#DIV/0!</v>
      </c>
      <c r="Z378" s="124"/>
      <c r="AA378" s="124" t="e">
        <f t="shared" si="53"/>
        <v>#DIV/0!</v>
      </c>
      <c r="AB378" s="125" t="e">
        <f t="shared" si="54"/>
        <v>#DIV/0!</v>
      </c>
      <c r="AC378" s="31" t="e">
        <f t="shared" si="55"/>
        <v>#DIV/0!</v>
      </c>
      <c r="AD378" s="126"/>
      <c r="AE378" s="127"/>
      <c r="AF378" s="127" t="e">
        <f t="shared" si="56"/>
        <v>#DIV/0!</v>
      </c>
      <c r="AG378" s="128" t="e">
        <f t="shared" si="57"/>
        <v>#DIV/0!</v>
      </c>
      <c r="AH378" s="128" t="e">
        <f t="shared" si="58"/>
        <v>#DIV/0!</v>
      </c>
      <c r="AI378" s="127" t="e">
        <f t="shared" si="59"/>
        <v>#DIV/0!</v>
      </c>
    </row>
    <row r="379" ht="15.5" customHeight="1" spans="1:35">
      <c r="A379" s="63"/>
      <c r="B379" s="56"/>
      <c r="C379" s="56"/>
      <c r="D379" s="59"/>
      <c r="E379" s="63"/>
      <c r="F379" s="24"/>
      <c r="G379" s="63"/>
      <c r="H379" s="21"/>
      <c r="I379" s="23"/>
      <c r="J379" s="121"/>
      <c r="K379" s="121"/>
      <c r="L379" s="26"/>
      <c r="M379" s="26"/>
      <c r="N379" s="26"/>
      <c r="O379" s="26"/>
      <c r="P379" s="26"/>
      <c r="Q379" s="26"/>
      <c r="R379" s="26"/>
      <c r="S379" s="23"/>
      <c r="T379" s="26"/>
      <c r="U379" s="26" t="str">
        <f t="shared" si="50"/>
        <v/>
      </c>
      <c r="V379" s="27"/>
      <c r="W379" s="122"/>
      <c r="X379" s="123">
        <f t="shared" si="51"/>
        <v>0</v>
      </c>
      <c r="Y379" s="124" t="e">
        <f t="shared" si="52"/>
        <v>#DIV/0!</v>
      </c>
      <c r="Z379" s="124"/>
      <c r="AA379" s="124" t="e">
        <f t="shared" si="53"/>
        <v>#DIV/0!</v>
      </c>
      <c r="AB379" s="125" t="e">
        <f t="shared" si="54"/>
        <v>#DIV/0!</v>
      </c>
      <c r="AC379" s="31" t="e">
        <f t="shared" si="55"/>
        <v>#DIV/0!</v>
      </c>
      <c r="AD379" s="126"/>
      <c r="AE379" s="127"/>
      <c r="AF379" s="127" t="e">
        <f t="shared" si="56"/>
        <v>#DIV/0!</v>
      </c>
      <c r="AG379" s="128" t="e">
        <f t="shared" si="57"/>
        <v>#DIV/0!</v>
      </c>
      <c r="AH379" s="128" t="e">
        <f t="shared" si="58"/>
        <v>#DIV/0!</v>
      </c>
      <c r="AI379" s="127" t="e">
        <f t="shared" si="59"/>
        <v>#DIV/0!</v>
      </c>
    </row>
    <row r="380" ht="15.5" customHeight="1" spans="1:35">
      <c r="A380" s="63"/>
      <c r="B380" s="56"/>
      <c r="C380" s="56"/>
      <c r="D380" s="59"/>
      <c r="E380" s="63"/>
      <c r="F380" s="24"/>
      <c r="G380" s="63"/>
      <c r="H380" s="21"/>
      <c r="I380" s="23"/>
      <c r="J380" s="121"/>
      <c r="K380" s="121"/>
      <c r="L380" s="26"/>
      <c r="M380" s="26"/>
      <c r="N380" s="26"/>
      <c r="O380" s="26"/>
      <c r="P380" s="26"/>
      <c r="Q380" s="26"/>
      <c r="R380" s="26"/>
      <c r="S380" s="23"/>
      <c r="T380" s="26"/>
      <c r="U380" s="26" t="str">
        <f t="shared" si="50"/>
        <v/>
      </c>
      <c r="V380" s="27"/>
      <c r="W380" s="122"/>
      <c r="X380" s="123">
        <f t="shared" si="51"/>
        <v>0</v>
      </c>
      <c r="Y380" s="124" t="e">
        <f t="shared" si="52"/>
        <v>#DIV/0!</v>
      </c>
      <c r="Z380" s="124"/>
      <c r="AA380" s="124" t="e">
        <f t="shared" si="53"/>
        <v>#DIV/0!</v>
      </c>
      <c r="AB380" s="125" t="e">
        <f t="shared" si="54"/>
        <v>#DIV/0!</v>
      </c>
      <c r="AC380" s="31" t="e">
        <f t="shared" si="55"/>
        <v>#DIV/0!</v>
      </c>
      <c r="AD380" s="126"/>
      <c r="AE380" s="127"/>
      <c r="AF380" s="127" t="e">
        <f t="shared" si="56"/>
        <v>#DIV/0!</v>
      </c>
      <c r="AG380" s="128" t="e">
        <f t="shared" si="57"/>
        <v>#DIV/0!</v>
      </c>
      <c r="AH380" s="128" t="e">
        <f t="shared" si="58"/>
        <v>#DIV/0!</v>
      </c>
      <c r="AI380" s="127" t="e">
        <f t="shared" si="59"/>
        <v>#DIV/0!</v>
      </c>
    </row>
    <row r="381" ht="15.5" customHeight="1" spans="1:35">
      <c r="A381" s="63"/>
      <c r="B381" s="56"/>
      <c r="C381" s="56"/>
      <c r="D381" s="59"/>
      <c r="E381" s="63"/>
      <c r="F381" s="24"/>
      <c r="G381" s="63"/>
      <c r="H381" s="21"/>
      <c r="I381" s="23"/>
      <c r="J381" s="121"/>
      <c r="K381" s="121"/>
      <c r="L381" s="26"/>
      <c r="M381" s="26"/>
      <c r="N381" s="26"/>
      <c r="O381" s="26"/>
      <c r="P381" s="26"/>
      <c r="Q381" s="26"/>
      <c r="R381" s="26"/>
      <c r="S381" s="23"/>
      <c r="T381" s="26"/>
      <c r="U381" s="26" t="str">
        <f t="shared" si="50"/>
        <v/>
      </c>
      <c r="V381" s="27"/>
      <c r="W381" s="122"/>
      <c r="X381" s="123">
        <f t="shared" si="51"/>
        <v>0</v>
      </c>
      <c r="Y381" s="124" t="e">
        <f t="shared" si="52"/>
        <v>#DIV/0!</v>
      </c>
      <c r="Z381" s="124"/>
      <c r="AA381" s="124" t="e">
        <f t="shared" si="53"/>
        <v>#DIV/0!</v>
      </c>
      <c r="AB381" s="125" t="e">
        <f t="shared" si="54"/>
        <v>#DIV/0!</v>
      </c>
      <c r="AC381" s="31" t="e">
        <f t="shared" si="55"/>
        <v>#DIV/0!</v>
      </c>
      <c r="AD381" s="126"/>
      <c r="AE381" s="127"/>
      <c r="AF381" s="127" t="e">
        <f t="shared" si="56"/>
        <v>#DIV/0!</v>
      </c>
      <c r="AG381" s="128" t="e">
        <f t="shared" si="57"/>
        <v>#DIV/0!</v>
      </c>
      <c r="AH381" s="128" t="e">
        <f t="shared" si="58"/>
        <v>#DIV/0!</v>
      </c>
      <c r="AI381" s="127" t="e">
        <f t="shared" si="59"/>
        <v>#DIV/0!</v>
      </c>
    </row>
    <row r="382" ht="15.5" customHeight="1" spans="1:35">
      <c r="A382" s="63"/>
      <c r="B382" s="56"/>
      <c r="C382" s="56"/>
      <c r="D382" s="59"/>
      <c r="E382" s="63"/>
      <c r="F382" s="24"/>
      <c r="G382" s="63"/>
      <c r="H382" s="21"/>
      <c r="I382" s="23"/>
      <c r="J382" s="121"/>
      <c r="K382" s="121"/>
      <c r="L382" s="26"/>
      <c r="M382" s="26"/>
      <c r="N382" s="26"/>
      <c r="O382" s="26"/>
      <c r="P382" s="26"/>
      <c r="Q382" s="26"/>
      <c r="R382" s="26"/>
      <c r="S382" s="23"/>
      <c r="T382" s="26"/>
      <c r="U382" s="26" t="str">
        <f t="shared" si="50"/>
        <v/>
      </c>
      <c r="V382" s="27"/>
      <c r="W382" s="122"/>
      <c r="X382" s="123">
        <f t="shared" si="51"/>
        <v>0</v>
      </c>
      <c r="Y382" s="124" t="e">
        <f t="shared" si="52"/>
        <v>#DIV/0!</v>
      </c>
      <c r="Z382" s="124"/>
      <c r="AA382" s="124" t="e">
        <f t="shared" si="53"/>
        <v>#DIV/0!</v>
      </c>
      <c r="AB382" s="125" t="e">
        <f t="shared" si="54"/>
        <v>#DIV/0!</v>
      </c>
      <c r="AC382" s="31" t="e">
        <f t="shared" si="55"/>
        <v>#DIV/0!</v>
      </c>
      <c r="AD382" s="126"/>
      <c r="AE382" s="127"/>
      <c r="AF382" s="127" t="e">
        <f t="shared" si="56"/>
        <v>#DIV/0!</v>
      </c>
      <c r="AG382" s="128" t="e">
        <f t="shared" si="57"/>
        <v>#DIV/0!</v>
      </c>
      <c r="AH382" s="128" t="e">
        <f t="shared" si="58"/>
        <v>#DIV/0!</v>
      </c>
      <c r="AI382" s="127" t="e">
        <f t="shared" si="59"/>
        <v>#DIV/0!</v>
      </c>
    </row>
    <row r="383" ht="15.5" customHeight="1" spans="1:35">
      <c r="A383" s="63"/>
      <c r="B383" s="56"/>
      <c r="C383" s="56"/>
      <c r="D383" s="59"/>
      <c r="E383" s="63"/>
      <c r="F383" s="24"/>
      <c r="G383" s="63"/>
      <c r="H383" s="21"/>
      <c r="I383" s="23"/>
      <c r="J383" s="121"/>
      <c r="K383" s="121"/>
      <c r="L383" s="26"/>
      <c r="M383" s="26"/>
      <c r="N383" s="26"/>
      <c r="O383" s="26"/>
      <c r="P383" s="26"/>
      <c r="Q383" s="26"/>
      <c r="R383" s="26"/>
      <c r="S383" s="23"/>
      <c r="T383" s="26"/>
      <c r="U383" s="26" t="str">
        <f t="shared" si="50"/>
        <v/>
      </c>
      <c r="V383" s="27"/>
      <c r="W383" s="122"/>
      <c r="X383" s="123">
        <f t="shared" si="51"/>
        <v>0</v>
      </c>
      <c r="Y383" s="124" t="e">
        <f t="shared" si="52"/>
        <v>#DIV/0!</v>
      </c>
      <c r="Z383" s="124"/>
      <c r="AA383" s="124" t="e">
        <f t="shared" si="53"/>
        <v>#DIV/0!</v>
      </c>
      <c r="AB383" s="125" t="e">
        <f t="shared" si="54"/>
        <v>#DIV/0!</v>
      </c>
      <c r="AC383" s="31" t="e">
        <f t="shared" si="55"/>
        <v>#DIV/0!</v>
      </c>
      <c r="AD383" s="126"/>
      <c r="AE383" s="127"/>
      <c r="AF383" s="127" t="e">
        <f t="shared" si="56"/>
        <v>#DIV/0!</v>
      </c>
      <c r="AG383" s="128" t="e">
        <f t="shared" si="57"/>
        <v>#DIV/0!</v>
      </c>
      <c r="AH383" s="128" t="e">
        <f t="shared" si="58"/>
        <v>#DIV/0!</v>
      </c>
      <c r="AI383" s="127" t="e">
        <f t="shared" si="59"/>
        <v>#DIV/0!</v>
      </c>
    </row>
    <row r="384" ht="15.5" customHeight="1" spans="1:35">
      <c r="A384" s="63"/>
      <c r="B384" s="56"/>
      <c r="C384" s="56"/>
      <c r="D384" s="59"/>
      <c r="E384" s="63"/>
      <c r="F384" s="24"/>
      <c r="G384" s="63"/>
      <c r="H384" s="21"/>
      <c r="I384" s="23"/>
      <c r="J384" s="121"/>
      <c r="K384" s="121"/>
      <c r="L384" s="26"/>
      <c r="M384" s="26"/>
      <c r="N384" s="26"/>
      <c r="O384" s="26"/>
      <c r="P384" s="26"/>
      <c r="Q384" s="26"/>
      <c r="R384" s="26"/>
      <c r="S384" s="23"/>
      <c r="T384" s="26"/>
      <c r="U384" s="26" t="str">
        <f t="shared" si="50"/>
        <v/>
      </c>
      <c r="V384" s="27"/>
      <c r="W384" s="122"/>
      <c r="X384" s="123">
        <f t="shared" si="51"/>
        <v>0</v>
      </c>
      <c r="Y384" s="124" t="e">
        <f t="shared" si="52"/>
        <v>#DIV/0!</v>
      </c>
      <c r="Z384" s="124"/>
      <c r="AA384" s="124" t="e">
        <f t="shared" si="53"/>
        <v>#DIV/0!</v>
      </c>
      <c r="AB384" s="125" t="e">
        <f t="shared" si="54"/>
        <v>#DIV/0!</v>
      </c>
      <c r="AC384" s="31" t="e">
        <f t="shared" si="55"/>
        <v>#DIV/0!</v>
      </c>
      <c r="AD384" s="126"/>
      <c r="AE384" s="127"/>
      <c r="AF384" s="127" t="e">
        <f t="shared" si="56"/>
        <v>#DIV/0!</v>
      </c>
      <c r="AG384" s="128" t="e">
        <f t="shared" si="57"/>
        <v>#DIV/0!</v>
      </c>
      <c r="AH384" s="128" t="e">
        <f t="shared" si="58"/>
        <v>#DIV/0!</v>
      </c>
      <c r="AI384" s="127" t="e">
        <f t="shared" si="59"/>
        <v>#DIV/0!</v>
      </c>
    </row>
    <row r="385" ht="15.5" customHeight="1" spans="1:36">
      <c r="A385" s="63"/>
      <c r="B385" s="56"/>
      <c r="C385" s="56"/>
      <c r="D385" s="59"/>
      <c r="E385" s="63"/>
      <c r="F385" s="24"/>
      <c r="G385" s="63"/>
      <c r="H385" s="21"/>
      <c r="I385" s="23"/>
      <c r="J385" s="121"/>
      <c r="K385" s="121"/>
      <c r="L385" s="26"/>
      <c r="M385" s="26"/>
      <c r="N385" s="26"/>
      <c r="O385" s="26"/>
      <c r="P385" s="26"/>
      <c r="Q385" s="26"/>
      <c r="R385" s="26"/>
      <c r="S385" s="23"/>
      <c r="T385" s="26"/>
      <c r="U385" s="26" t="str">
        <f t="shared" si="50"/>
        <v/>
      </c>
      <c r="V385" s="27"/>
      <c r="W385" s="122"/>
      <c r="X385" s="123">
        <f t="shared" si="51"/>
        <v>0</v>
      </c>
      <c r="Y385" s="124" t="e">
        <f t="shared" si="52"/>
        <v>#DIV/0!</v>
      </c>
      <c r="Z385" s="124"/>
      <c r="AA385" s="124" t="e">
        <f t="shared" si="53"/>
        <v>#DIV/0!</v>
      </c>
      <c r="AB385" s="125" t="e">
        <f t="shared" si="54"/>
        <v>#DIV/0!</v>
      </c>
      <c r="AC385" s="31" t="e">
        <f t="shared" si="55"/>
        <v>#DIV/0!</v>
      </c>
      <c r="AD385" s="126"/>
      <c r="AE385" s="127"/>
      <c r="AF385" s="127" t="e">
        <f t="shared" si="56"/>
        <v>#DIV/0!</v>
      </c>
      <c r="AG385" s="128" t="e">
        <f t="shared" si="57"/>
        <v>#DIV/0!</v>
      </c>
      <c r="AH385" s="128" t="e">
        <f t="shared" si="58"/>
        <v>#DIV/0!</v>
      </c>
      <c r="AI385" s="127" t="e">
        <f t="shared" si="59"/>
        <v>#DIV/0!</v>
      </c>
    </row>
    <row r="386" ht="15.5" customHeight="1" spans="1:36">
      <c r="A386" s="63"/>
      <c r="B386" s="56"/>
      <c r="C386" s="56"/>
      <c r="D386" s="59"/>
      <c r="E386" s="63"/>
      <c r="F386" s="24"/>
      <c r="G386" s="63"/>
      <c r="H386" s="21"/>
      <c r="I386" s="23"/>
      <c r="J386" s="121"/>
      <c r="K386" s="121"/>
      <c r="L386" s="26"/>
      <c r="M386" s="26"/>
      <c r="N386" s="26"/>
      <c r="O386" s="26"/>
      <c r="P386" s="26"/>
      <c r="Q386" s="26"/>
      <c r="R386" s="26"/>
      <c r="S386" s="23"/>
      <c r="T386" s="26"/>
      <c r="U386" s="26" t="str">
        <f t="shared" si="50"/>
        <v/>
      </c>
      <c r="V386" s="27"/>
      <c r="W386" s="122"/>
      <c r="X386" s="123">
        <f t="shared" si="51"/>
        <v>0</v>
      </c>
      <c r="Y386" s="124" t="e">
        <f t="shared" si="52"/>
        <v>#DIV/0!</v>
      </c>
      <c r="Z386" s="124"/>
      <c r="AA386" s="124" t="e">
        <f t="shared" si="53"/>
        <v>#DIV/0!</v>
      </c>
      <c r="AB386" s="125" t="e">
        <f t="shared" si="54"/>
        <v>#DIV/0!</v>
      </c>
      <c r="AC386" s="31" t="e">
        <f t="shared" si="55"/>
        <v>#DIV/0!</v>
      </c>
      <c r="AD386" s="126"/>
      <c r="AE386" s="127"/>
      <c r="AF386" s="127" t="e">
        <f t="shared" si="56"/>
        <v>#DIV/0!</v>
      </c>
      <c r="AG386" s="128" t="e">
        <f t="shared" si="57"/>
        <v>#DIV/0!</v>
      </c>
      <c r="AH386" s="128" t="e">
        <f t="shared" si="58"/>
        <v>#DIV/0!</v>
      </c>
      <c r="AI386" s="127" t="e">
        <f t="shared" si="59"/>
        <v>#DIV/0!</v>
      </c>
    </row>
    <row r="387" ht="15.5" customHeight="1" spans="1:36">
      <c r="A387" s="63"/>
      <c r="B387" s="56"/>
      <c r="C387" s="56"/>
      <c r="D387" s="59"/>
      <c r="E387" s="63"/>
      <c r="F387" s="24"/>
      <c r="G387" s="63"/>
      <c r="H387" s="21"/>
      <c r="I387" s="23"/>
      <c r="J387" s="121"/>
      <c r="K387" s="121"/>
      <c r="L387" s="26"/>
      <c r="M387" s="26"/>
      <c r="N387" s="26"/>
      <c r="O387" s="26"/>
      <c r="P387" s="26"/>
      <c r="Q387" s="26"/>
      <c r="R387" s="26"/>
      <c r="S387" s="23"/>
      <c r="T387" s="26"/>
      <c r="U387" s="26" t="str">
        <f t="shared" si="50"/>
        <v/>
      </c>
      <c r="V387" s="27"/>
      <c r="W387" s="122"/>
      <c r="X387" s="123">
        <f t="shared" si="51"/>
        <v>0</v>
      </c>
      <c r="Y387" s="124" t="e">
        <f t="shared" si="52"/>
        <v>#DIV/0!</v>
      </c>
      <c r="Z387" s="124"/>
      <c r="AA387" s="124" t="e">
        <f t="shared" si="53"/>
        <v>#DIV/0!</v>
      </c>
      <c r="AB387" s="125" t="e">
        <f t="shared" si="54"/>
        <v>#DIV/0!</v>
      </c>
      <c r="AC387" s="31" t="e">
        <f t="shared" si="55"/>
        <v>#DIV/0!</v>
      </c>
      <c r="AD387" s="126"/>
      <c r="AE387" s="127"/>
      <c r="AF387" s="127" t="e">
        <f t="shared" si="56"/>
        <v>#DIV/0!</v>
      </c>
      <c r="AG387" s="128" t="e">
        <f t="shared" si="57"/>
        <v>#DIV/0!</v>
      </c>
      <c r="AH387" s="128" t="e">
        <f t="shared" si="58"/>
        <v>#DIV/0!</v>
      </c>
      <c r="AI387" s="127" t="e">
        <f t="shared" si="59"/>
        <v>#DIV/0!</v>
      </c>
    </row>
    <row r="388" ht="15.5" customHeight="1" spans="1:36">
      <c r="A388" s="63"/>
      <c r="B388" s="56"/>
      <c r="C388" s="56"/>
      <c r="D388" s="59"/>
      <c r="E388" s="63"/>
      <c r="F388" s="24"/>
      <c r="G388" s="63"/>
      <c r="H388" s="21"/>
      <c r="I388" s="23"/>
      <c r="J388" s="121"/>
      <c r="K388" s="121"/>
      <c r="L388" s="26"/>
      <c r="M388" s="26"/>
      <c r="N388" s="26"/>
      <c r="O388" s="26"/>
      <c r="P388" s="26"/>
      <c r="Q388" s="26"/>
      <c r="R388" s="26"/>
      <c r="S388" s="23"/>
      <c r="T388" s="26"/>
      <c r="U388" s="26" t="str">
        <f t="shared" si="50"/>
        <v/>
      </c>
      <c r="V388" s="27"/>
      <c r="W388" s="122"/>
      <c r="X388" s="123">
        <f t="shared" si="51"/>
        <v>0</v>
      </c>
      <c r="Y388" s="124" t="e">
        <f t="shared" si="52"/>
        <v>#DIV/0!</v>
      </c>
      <c r="Z388" s="124"/>
      <c r="AA388" s="124" t="e">
        <f t="shared" si="53"/>
        <v>#DIV/0!</v>
      </c>
      <c r="AB388" s="125" t="e">
        <f t="shared" si="54"/>
        <v>#DIV/0!</v>
      </c>
      <c r="AC388" s="31" t="e">
        <f t="shared" si="55"/>
        <v>#DIV/0!</v>
      </c>
      <c r="AD388" s="126"/>
      <c r="AE388" s="127"/>
      <c r="AF388" s="127" t="e">
        <f t="shared" si="56"/>
        <v>#DIV/0!</v>
      </c>
      <c r="AG388" s="128" t="e">
        <f t="shared" si="57"/>
        <v>#DIV/0!</v>
      </c>
      <c r="AH388" s="128" t="e">
        <f t="shared" si="58"/>
        <v>#DIV/0!</v>
      </c>
      <c r="AI388" s="127" t="e">
        <f t="shared" si="59"/>
        <v>#DIV/0!</v>
      </c>
    </row>
    <row r="389" ht="15.5" customHeight="1" spans="1:36">
      <c r="A389" s="63"/>
      <c r="B389" s="56"/>
      <c r="C389" s="56"/>
      <c r="D389" s="58"/>
      <c r="E389" s="63"/>
      <c r="F389" s="24"/>
      <c r="G389" s="63"/>
      <c r="H389" s="21"/>
      <c r="I389" s="23"/>
      <c r="J389" s="121"/>
      <c r="K389" s="121"/>
      <c r="L389" s="26"/>
      <c r="M389" s="26"/>
      <c r="N389" s="26"/>
      <c r="O389" s="26"/>
      <c r="P389" s="26"/>
      <c r="Q389" s="26"/>
      <c r="R389" s="26"/>
      <c r="S389" s="23"/>
      <c r="T389" s="26"/>
      <c r="U389" s="26" t="str">
        <f t="shared" si="50"/>
        <v/>
      </c>
      <c r="V389" s="27"/>
      <c r="W389" s="122"/>
      <c r="X389" s="123">
        <f t="shared" si="51"/>
        <v>0</v>
      </c>
      <c r="Y389" s="124" t="e">
        <f t="shared" si="52"/>
        <v>#DIV/0!</v>
      </c>
      <c r="Z389" s="124"/>
      <c r="AA389" s="124" t="e">
        <f t="shared" si="53"/>
        <v>#DIV/0!</v>
      </c>
      <c r="AB389" s="125" t="e">
        <f t="shared" si="54"/>
        <v>#DIV/0!</v>
      </c>
      <c r="AC389" s="31" t="e">
        <f t="shared" si="55"/>
        <v>#DIV/0!</v>
      </c>
      <c r="AD389" s="126"/>
      <c r="AE389" s="127"/>
      <c r="AF389" s="127" t="e">
        <f t="shared" si="56"/>
        <v>#DIV/0!</v>
      </c>
      <c r="AG389" s="128" t="e">
        <f t="shared" si="57"/>
        <v>#DIV/0!</v>
      </c>
      <c r="AH389" s="128" t="e">
        <f t="shared" si="58"/>
        <v>#DIV/0!</v>
      </c>
      <c r="AI389" s="127" t="e">
        <f t="shared" si="59"/>
        <v>#DIV/0!</v>
      </c>
    </row>
    <row r="390" ht="15.5" customHeight="1" spans="1:36">
      <c r="A390" s="63"/>
      <c r="B390" s="56"/>
      <c r="C390" s="56"/>
      <c r="D390" s="58"/>
      <c r="E390" s="63"/>
      <c r="F390" s="24"/>
      <c r="G390" s="63"/>
      <c r="H390" s="21"/>
      <c r="I390" s="23"/>
      <c r="J390" s="121"/>
      <c r="K390" s="121"/>
      <c r="L390" s="26"/>
      <c r="M390" s="26"/>
      <c r="N390" s="26"/>
      <c r="O390" s="26"/>
      <c r="P390" s="26"/>
      <c r="Q390" s="26"/>
      <c r="R390" s="26"/>
      <c r="S390" s="23"/>
      <c r="T390" s="26"/>
      <c r="U390" s="26" t="str">
        <f t="shared" si="50"/>
        <v/>
      </c>
      <c r="V390" s="27"/>
      <c r="W390" s="122"/>
      <c r="X390" s="123">
        <f t="shared" si="51"/>
        <v>0</v>
      </c>
      <c r="Y390" s="124" t="e">
        <f t="shared" si="52"/>
        <v>#DIV/0!</v>
      </c>
      <c r="Z390" s="124"/>
      <c r="AA390" s="124" t="e">
        <f t="shared" si="53"/>
        <v>#DIV/0!</v>
      </c>
      <c r="AB390" s="125" t="e">
        <f t="shared" si="54"/>
        <v>#DIV/0!</v>
      </c>
      <c r="AC390" s="31" t="e">
        <f t="shared" si="55"/>
        <v>#DIV/0!</v>
      </c>
      <c r="AD390" s="126"/>
      <c r="AE390" s="127"/>
      <c r="AF390" s="127" t="e">
        <f t="shared" si="56"/>
        <v>#DIV/0!</v>
      </c>
      <c r="AG390" s="128" t="e">
        <f t="shared" si="57"/>
        <v>#DIV/0!</v>
      </c>
      <c r="AH390" s="128" t="e">
        <f t="shared" si="58"/>
        <v>#DIV/0!</v>
      </c>
      <c r="AI390" s="127" t="e">
        <f t="shared" si="59"/>
        <v>#DIV/0!</v>
      </c>
    </row>
    <row r="391" ht="15.5" customHeight="1" spans="1:36">
      <c r="A391" s="63"/>
      <c r="B391" s="56"/>
      <c r="C391" s="56"/>
      <c r="D391" s="58"/>
      <c r="E391" s="63"/>
      <c r="F391" s="24"/>
      <c r="G391" s="63"/>
      <c r="H391" s="21"/>
      <c r="I391" s="23"/>
      <c r="J391" s="121"/>
      <c r="K391" s="121"/>
      <c r="L391" s="26"/>
      <c r="M391" s="26"/>
      <c r="N391" s="26"/>
      <c r="O391" s="26"/>
      <c r="P391" s="26"/>
      <c r="Q391" s="26"/>
      <c r="R391" s="26"/>
      <c r="S391" s="23"/>
      <c r="T391" s="26"/>
      <c r="U391" s="26" t="str">
        <f t="shared" ref="U391:U447" si="60">IF(Q391=0,"",(T391-Q391)/Q391*100)</f>
        <v/>
      </c>
      <c r="V391" s="27"/>
      <c r="W391" s="122"/>
      <c r="X391" s="123">
        <f t="shared" ref="X391:X447" si="61">($W$5-K391)/365</f>
        <v>0</v>
      </c>
      <c r="Y391" s="124" t="e">
        <f t="shared" ref="Y391:Y447" si="62">(W391-X391)/W391</f>
        <v>#DIV/0!</v>
      </c>
      <c r="Z391" s="124"/>
      <c r="AA391" s="124" t="e">
        <f t="shared" ref="AA391:AA447" si="63">Y391/2+Z391/2</f>
        <v>#DIV/0!</v>
      </c>
      <c r="AB391" s="125" t="e">
        <f t="shared" ref="AB391:AB447" si="64">P391/I391</f>
        <v>#DIV/0!</v>
      </c>
      <c r="AC391" s="31" t="e">
        <f>AB391*AD391</f>
        <v>#DIV/0!</v>
      </c>
      <c r="AD391" s="126"/>
      <c r="AE391" s="127"/>
      <c r="AF391" s="127" t="e">
        <f t="shared" ref="AF391:AF447" si="65">AC391*0.13/(1+0.13)</f>
        <v>#DIV/0!</v>
      </c>
      <c r="AG391" s="128" t="e">
        <f t="shared" ref="AG391:AG447" si="66">AC391-AF391</f>
        <v>#DIV/0!</v>
      </c>
      <c r="AH391" s="128" t="e">
        <f t="shared" ref="AH391:AH447" si="67">AC391*I391</f>
        <v>#DIV/0!</v>
      </c>
      <c r="AI391" s="127" t="e">
        <f t="shared" ref="AI391:AI447" si="68">ROUND(AG391*I391,-1)</f>
        <v>#DIV/0!</v>
      </c>
    </row>
    <row r="392" ht="15.5" customHeight="1" spans="1:36">
      <c r="A392" s="63"/>
      <c r="B392" s="56"/>
      <c r="C392" s="56"/>
      <c r="D392" s="58"/>
      <c r="E392" s="63"/>
      <c r="F392" s="24"/>
      <c r="G392" s="63"/>
      <c r="H392" s="21"/>
      <c r="I392" s="23"/>
      <c r="J392" s="121"/>
      <c r="K392" s="121"/>
      <c r="L392" s="26"/>
      <c r="M392" s="26"/>
      <c r="N392" s="26"/>
      <c r="O392" s="26"/>
      <c r="P392" s="26"/>
      <c r="Q392" s="26"/>
      <c r="R392" s="26"/>
      <c r="S392" s="23"/>
      <c r="T392" s="26"/>
      <c r="U392" s="26" t="str">
        <f t="shared" si="60"/>
        <v/>
      </c>
      <c r="V392" s="27"/>
      <c r="W392" s="122"/>
      <c r="X392" s="123">
        <f t="shared" si="61"/>
        <v>0</v>
      </c>
      <c r="Y392" s="124" t="e">
        <f t="shared" si="62"/>
        <v>#DIV/0!</v>
      </c>
      <c r="Z392" s="124"/>
      <c r="AA392" s="124" t="e">
        <f t="shared" si="63"/>
        <v>#DIV/0!</v>
      </c>
      <c r="AB392" s="125" t="e">
        <f t="shared" si="64"/>
        <v>#DIV/0!</v>
      </c>
      <c r="AC392" s="31" t="e">
        <f>AB392*AD392</f>
        <v>#DIV/0!</v>
      </c>
      <c r="AD392" s="126"/>
      <c r="AE392" s="127"/>
      <c r="AF392" s="127" t="e">
        <f t="shared" si="65"/>
        <v>#DIV/0!</v>
      </c>
      <c r="AG392" s="128" t="e">
        <f t="shared" si="66"/>
        <v>#DIV/0!</v>
      </c>
      <c r="AH392" s="128" t="e">
        <f t="shared" si="67"/>
        <v>#DIV/0!</v>
      </c>
      <c r="AI392" s="127" t="e">
        <f t="shared" si="68"/>
        <v>#DIV/0!</v>
      </c>
    </row>
    <row r="393" ht="15.5" customHeight="1" spans="1:36">
      <c r="A393" s="63"/>
      <c r="B393" s="56"/>
      <c r="C393" s="56"/>
      <c r="D393" s="58"/>
      <c r="E393" s="63"/>
      <c r="F393" s="24"/>
      <c r="G393" s="63"/>
      <c r="H393" s="21"/>
      <c r="I393" s="23"/>
      <c r="J393" s="121"/>
      <c r="K393" s="121"/>
      <c r="L393" s="26"/>
      <c r="M393" s="26"/>
      <c r="N393" s="26"/>
      <c r="O393" s="26"/>
      <c r="P393" s="26"/>
      <c r="Q393" s="26"/>
      <c r="R393" s="26"/>
      <c r="S393" s="23"/>
      <c r="T393" s="26"/>
      <c r="U393" s="26" t="str">
        <f t="shared" si="60"/>
        <v/>
      </c>
      <c r="V393" s="27"/>
      <c r="W393" s="122"/>
      <c r="X393" s="123">
        <f t="shared" si="61"/>
        <v>0</v>
      </c>
      <c r="Y393" s="124" t="e">
        <f t="shared" si="62"/>
        <v>#DIV/0!</v>
      </c>
      <c r="Z393" s="124"/>
      <c r="AA393" s="124" t="e">
        <f t="shared" si="63"/>
        <v>#DIV/0!</v>
      </c>
      <c r="AB393" s="125" t="e">
        <f t="shared" si="64"/>
        <v>#DIV/0!</v>
      </c>
      <c r="AC393" s="31" t="e">
        <f>AB393*AD393</f>
        <v>#DIV/0!</v>
      </c>
      <c r="AD393" s="126"/>
      <c r="AE393" s="127"/>
      <c r="AF393" s="127" t="e">
        <f t="shared" si="65"/>
        <v>#DIV/0!</v>
      </c>
      <c r="AG393" s="128" t="e">
        <f t="shared" si="66"/>
        <v>#DIV/0!</v>
      </c>
      <c r="AH393" s="128" t="e">
        <f t="shared" si="67"/>
        <v>#DIV/0!</v>
      </c>
      <c r="AI393" s="127" t="e">
        <f t="shared" si="68"/>
        <v>#DIV/0!</v>
      </c>
    </row>
    <row r="394" ht="15.5" customHeight="1" spans="1:36">
      <c r="A394" s="63"/>
      <c r="B394" s="56"/>
      <c r="C394" s="56"/>
      <c r="D394" s="59"/>
      <c r="E394" s="63"/>
      <c r="F394" s="24"/>
      <c r="G394" s="58"/>
      <c r="H394" s="21"/>
      <c r="I394" s="23"/>
      <c r="J394" s="121"/>
      <c r="K394" s="121"/>
      <c r="L394" s="26"/>
      <c r="M394" s="26"/>
      <c r="N394" s="26"/>
      <c r="O394" s="26"/>
      <c r="P394" s="26"/>
      <c r="Q394" s="26"/>
      <c r="R394" s="26"/>
      <c r="S394" s="23"/>
      <c r="T394" s="26"/>
      <c r="U394" s="26" t="str">
        <f t="shared" si="60"/>
        <v/>
      </c>
      <c r="V394" s="27"/>
      <c r="W394" s="122"/>
      <c r="X394" s="123">
        <f t="shared" si="61"/>
        <v>0</v>
      </c>
      <c r="Y394" s="124" t="e">
        <f t="shared" si="62"/>
        <v>#DIV/0!</v>
      </c>
      <c r="Z394" s="124"/>
      <c r="AA394" s="124" t="e">
        <f t="shared" si="63"/>
        <v>#DIV/0!</v>
      </c>
      <c r="AB394" s="125" t="e">
        <f t="shared" si="64"/>
        <v>#DIV/0!</v>
      </c>
      <c r="AC394" s="31" t="e">
        <f>AB394*AD394</f>
        <v>#DIV/0!</v>
      </c>
      <c r="AD394" s="126"/>
      <c r="AE394" s="127"/>
      <c r="AF394" s="127" t="e">
        <f t="shared" si="65"/>
        <v>#DIV/0!</v>
      </c>
      <c r="AG394" s="128" t="e">
        <f t="shared" si="66"/>
        <v>#DIV/0!</v>
      </c>
      <c r="AH394" s="128" t="e">
        <f t="shared" si="67"/>
        <v>#DIV/0!</v>
      </c>
      <c r="AI394" s="127" t="e">
        <f t="shared" si="68"/>
        <v>#DIV/0!</v>
      </c>
    </row>
    <row r="395" ht="15.5" customHeight="1" spans="1:36">
      <c r="A395" s="63"/>
      <c r="B395" s="56"/>
      <c r="C395" s="56"/>
      <c r="D395" s="59"/>
      <c r="E395" s="63"/>
      <c r="F395" s="24"/>
      <c r="G395" s="58"/>
      <c r="H395" s="21"/>
      <c r="I395" s="23"/>
      <c r="J395" s="121"/>
      <c r="K395" s="121"/>
      <c r="L395" s="26"/>
      <c r="M395" s="26"/>
      <c r="N395" s="26"/>
      <c r="O395" s="26"/>
      <c r="P395" s="26"/>
      <c r="Q395" s="26"/>
      <c r="R395" s="26"/>
      <c r="S395" s="23"/>
      <c r="T395" s="26"/>
      <c r="U395" s="26" t="str">
        <f t="shared" si="60"/>
        <v/>
      </c>
      <c r="V395" s="27"/>
      <c r="W395" s="122"/>
      <c r="X395" s="123">
        <f t="shared" si="61"/>
        <v>0</v>
      </c>
      <c r="Y395" s="124" t="e">
        <f t="shared" si="62"/>
        <v>#DIV/0!</v>
      </c>
      <c r="Z395" s="124"/>
      <c r="AA395" s="124" t="e">
        <f t="shared" si="63"/>
        <v>#DIV/0!</v>
      </c>
      <c r="AB395" s="125" t="e">
        <f t="shared" si="64"/>
        <v>#DIV/0!</v>
      </c>
      <c r="AC395" s="31"/>
      <c r="AD395" s="127"/>
      <c r="AE395" s="127"/>
      <c r="AF395" s="127">
        <f t="shared" si="65"/>
        <v>0</v>
      </c>
      <c r="AG395" s="128">
        <f t="shared" si="66"/>
        <v>0</v>
      </c>
      <c r="AH395" s="128">
        <f t="shared" si="67"/>
        <v>0</v>
      </c>
      <c r="AI395" s="127">
        <f t="shared" si="68"/>
        <v>0</v>
      </c>
      <c r="AJ395" s="133"/>
    </row>
    <row r="396" ht="15.5" customHeight="1" spans="1:36">
      <c r="A396" s="63"/>
      <c r="B396" s="56"/>
      <c r="C396" s="56"/>
      <c r="D396" s="59"/>
      <c r="E396" s="63"/>
      <c r="F396" s="24"/>
      <c r="G396" s="58"/>
      <c r="H396" s="21"/>
      <c r="I396" s="23"/>
      <c r="J396" s="121"/>
      <c r="K396" s="121"/>
      <c r="L396" s="26"/>
      <c r="M396" s="26"/>
      <c r="N396" s="26"/>
      <c r="O396" s="26"/>
      <c r="P396" s="26"/>
      <c r="Q396" s="26"/>
      <c r="R396" s="26"/>
      <c r="S396" s="23"/>
      <c r="T396" s="26"/>
      <c r="U396" s="26" t="str">
        <f t="shared" si="60"/>
        <v/>
      </c>
      <c r="V396" s="27"/>
      <c r="W396" s="122"/>
      <c r="X396" s="123">
        <f t="shared" si="61"/>
        <v>0</v>
      </c>
      <c r="Y396" s="124" t="e">
        <f t="shared" si="62"/>
        <v>#DIV/0!</v>
      </c>
      <c r="Z396" s="124"/>
      <c r="AA396" s="124" t="e">
        <f t="shared" si="63"/>
        <v>#DIV/0!</v>
      </c>
      <c r="AB396" s="125" t="e">
        <f t="shared" si="64"/>
        <v>#DIV/0!</v>
      </c>
      <c r="AC396" s="31"/>
      <c r="AD396" s="127"/>
      <c r="AE396" s="127"/>
      <c r="AF396" s="127">
        <f t="shared" si="65"/>
        <v>0</v>
      </c>
      <c r="AG396" s="128">
        <f t="shared" si="66"/>
        <v>0</v>
      </c>
      <c r="AH396" s="128">
        <f t="shared" si="67"/>
        <v>0</v>
      </c>
      <c r="AI396" s="127">
        <f t="shared" si="68"/>
        <v>0</v>
      </c>
      <c r="AJ396" s="133"/>
    </row>
    <row r="397" ht="15.5" customHeight="1" spans="1:36">
      <c r="A397" s="63"/>
      <c r="B397" s="56"/>
      <c r="C397" s="56"/>
      <c r="D397" s="59"/>
      <c r="E397" s="63"/>
      <c r="F397" s="24"/>
      <c r="G397" s="58"/>
      <c r="H397" s="21"/>
      <c r="I397" s="23"/>
      <c r="J397" s="121"/>
      <c r="K397" s="121"/>
      <c r="L397" s="26"/>
      <c r="M397" s="26"/>
      <c r="N397" s="26"/>
      <c r="O397" s="26"/>
      <c r="P397" s="26"/>
      <c r="Q397" s="26"/>
      <c r="R397" s="26"/>
      <c r="S397" s="23"/>
      <c r="T397" s="26"/>
      <c r="U397" s="26" t="str">
        <f t="shared" si="60"/>
        <v/>
      </c>
      <c r="V397" s="27"/>
      <c r="W397" s="122"/>
      <c r="X397" s="123">
        <f t="shared" si="61"/>
        <v>0</v>
      </c>
      <c r="Y397" s="124" t="e">
        <f t="shared" si="62"/>
        <v>#DIV/0!</v>
      </c>
      <c r="Z397" s="124"/>
      <c r="AA397" s="124" t="e">
        <f t="shared" si="63"/>
        <v>#DIV/0!</v>
      </c>
      <c r="AB397" s="125" t="e">
        <f t="shared" si="64"/>
        <v>#DIV/0!</v>
      </c>
      <c r="AC397" s="31"/>
      <c r="AD397" s="127"/>
      <c r="AE397" s="127"/>
      <c r="AF397" s="127">
        <f t="shared" si="65"/>
        <v>0</v>
      </c>
      <c r="AG397" s="128">
        <f t="shared" si="66"/>
        <v>0</v>
      </c>
      <c r="AH397" s="128">
        <f t="shared" si="67"/>
        <v>0</v>
      </c>
      <c r="AI397" s="127">
        <f t="shared" si="68"/>
        <v>0</v>
      </c>
      <c r="AJ397" s="133"/>
    </row>
    <row r="398" ht="15.5" customHeight="1" spans="1:36">
      <c r="A398" s="63"/>
      <c r="B398" s="56"/>
      <c r="C398" s="56"/>
      <c r="D398" s="59"/>
      <c r="E398" s="63"/>
      <c r="F398" s="24"/>
      <c r="G398" s="58"/>
      <c r="H398" s="21"/>
      <c r="I398" s="23"/>
      <c r="J398" s="121"/>
      <c r="K398" s="121"/>
      <c r="L398" s="26"/>
      <c r="M398" s="26"/>
      <c r="N398" s="26"/>
      <c r="O398" s="26"/>
      <c r="P398" s="26"/>
      <c r="Q398" s="26"/>
      <c r="R398" s="26"/>
      <c r="S398" s="23"/>
      <c r="T398" s="26"/>
      <c r="U398" s="26" t="str">
        <f t="shared" si="60"/>
        <v/>
      </c>
      <c r="V398" s="27"/>
      <c r="W398" s="122"/>
      <c r="X398" s="123">
        <f t="shared" si="61"/>
        <v>0</v>
      </c>
      <c r="Y398" s="124" t="e">
        <f t="shared" si="62"/>
        <v>#DIV/0!</v>
      </c>
      <c r="Z398" s="124"/>
      <c r="AA398" s="124" t="e">
        <f t="shared" si="63"/>
        <v>#DIV/0!</v>
      </c>
      <c r="AB398" s="125" t="e">
        <f t="shared" si="64"/>
        <v>#DIV/0!</v>
      </c>
      <c r="AC398" s="31"/>
      <c r="AD398" s="127"/>
      <c r="AE398" s="127"/>
      <c r="AF398" s="127">
        <f t="shared" si="65"/>
        <v>0</v>
      </c>
      <c r="AG398" s="128">
        <f t="shared" si="66"/>
        <v>0</v>
      </c>
      <c r="AH398" s="128">
        <f t="shared" si="67"/>
        <v>0</v>
      </c>
      <c r="AI398" s="127">
        <f t="shared" si="68"/>
        <v>0</v>
      </c>
      <c r="AJ398" s="133"/>
    </row>
    <row r="399" ht="15.5" customHeight="1" spans="1:36">
      <c r="A399" s="63"/>
      <c r="B399" s="56"/>
      <c r="C399" s="56"/>
      <c r="D399" s="59"/>
      <c r="E399" s="63"/>
      <c r="F399" s="24"/>
      <c r="G399" s="58"/>
      <c r="H399" s="21"/>
      <c r="I399" s="23"/>
      <c r="J399" s="121"/>
      <c r="K399" s="121"/>
      <c r="L399" s="26"/>
      <c r="M399" s="26"/>
      <c r="N399" s="26"/>
      <c r="O399" s="26"/>
      <c r="P399" s="26"/>
      <c r="Q399" s="26"/>
      <c r="R399" s="26"/>
      <c r="S399" s="23"/>
      <c r="T399" s="26"/>
      <c r="U399" s="26" t="str">
        <f t="shared" si="60"/>
        <v/>
      </c>
      <c r="V399" s="27"/>
      <c r="W399" s="122"/>
      <c r="X399" s="123">
        <f t="shared" si="61"/>
        <v>0</v>
      </c>
      <c r="Y399" s="124" t="e">
        <f t="shared" si="62"/>
        <v>#DIV/0!</v>
      </c>
      <c r="Z399" s="124"/>
      <c r="AA399" s="124" t="e">
        <f t="shared" si="63"/>
        <v>#DIV/0!</v>
      </c>
      <c r="AB399" s="125" t="e">
        <f t="shared" si="64"/>
        <v>#DIV/0!</v>
      </c>
      <c r="AC399" s="31"/>
      <c r="AD399" s="127"/>
      <c r="AE399" s="127"/>
      <c r="AF399" s="127">
        <f t="shared" si="65"/>
        <v>0</v>
      </c>
      <c r="AG399" s="128">
        <f t="shared" si="66"/>
        <v>0</v>
      </c>
      <c r="AH399" s="128">
        <f t="shared" si="67"/>
        <v>0</v>
      </c>
      <c r="AI399" s="127">
        <f t="shared" si="68"/>
        <v>0</v>
      </c>
      <c r="AJ399" s="133"/>
    </row>
    <row r="400" ht="15.5" customHeight="1" spans="1:36">
      <c r="A400" s="63"/>
      <c r="B400" s="56"/>
      <c r="C400" s="56"/>
      <c r="D400" s="59"/>
      <c r="E400" s="63"/>
      <c r="F400" s="24"/>
      <c r="G400" s="58"/>
      <c r="H400" s="21"/>
      <c r="I400" s="23"/>
      <c r="J400" s="121"/>
      <c r="K400" s="121"/>
      <c r="L400" s="26"/>
      <c r="M400" s="26"/>
      <c r="N400" s="26"/>
      <c r="O400" s="26"/>
      <c r="P400" s="26"/>
      <c r="Q400" s="26"/>
      <c r="R400" s="26"/>
      <c r="S400" s="23"/>
      <c r="T400" s="26"/>
      <c r="U400" s="26" t="str">
        <f t="shared" si="60"/>
        <v/>
      </c>
      <c r="V400" s="27"/>
      <c r="W400" s="122"/>
      <c r="X400" s="123">
        <f t="shared" si="61"/>
        <v>0</v>
      </c>
      <c r="Y400" s="124" t="e">
        <f t="shared" si="62"/>
        <v>#DIV/0!</v>
      </c>
      <c r="Z400" s="124"/>
      <c r="AA400" s="124" t="e">
        <f t="shared" si="63"/>
        <v>#DIV/0!</v>
      </c>
      <c r="AB400" s="125" t="e">
        <f t="shared" si="64"/>
        <v>#DIV/0!</v>
      </c>
      <c r="AC400" s="31"/>
      <c r="AD400" s="127"/>
      <c r="AE400" s="127"/>
      <c r="AF400" s="127">
        <f t="shared" si="65"/>
        <v>0</v>
      </c>
      <c r="AG400" s="128">
        <f t="shared" si="66"/>
        <v>0</v>
      </c>
      <c r="AH400" s="128">
        <f t="shared" si="67"/>
        <v>0</v>
      </c>
      <c r="AI400" s="127">
        <f t="shared" si="68"/>
        <v>0</v>
      </c>
      <c r="AJ400" s="133"/>
    </row>
    <row r="401" ht="15.5" customHeight="1" spans="1:36">
      <c r="A401" s="63"/>
      <c r="B401" s="56"/>
      <c r="C401" s="56"/>
      <c r="D401" s="59"/>
      <c r="E401" s="63"/>
      <c r="F401" s="24"/>
      <c r="G401" s="58"/>
      <c r="H401" s="21"/>
      <c r="I401" s="21"/>
      <c r="J401" s="121"/>
      <c r="K401" s="121"/>
      <c r="L401" s="26"/>
      <c r="M401" s="26"/>
      <c r="N401" s="26"/>
      <c r="O401" s="26"/>
      <c r="P401" s="26"/>
      <c r="Q401" s="26"/>
      <c r="R401" s="26"/>
      <c r="S401" s="23"/>
      <c r="T401" s="26"/>
      <c r="U401" s="26" t="str">
        <f t="shared" si="60"/>
        <v/>
      </c>
      <c r="V401" s="27"/>
      <c r="W401" s="122"/>
      <c r="X401" s="123">
        <f t="shared" si="61"/>
        <v>0</v>
      </c>
      <c r="Y401" s="124" t="e">
        <f t="shared" si="62"/>
        <v>#DIV/0!</v>
      </c>
      <c r="Z401" s="124"/>
      <c r="AA401" s="124" t="e">
        <f t="shared" si="63"/>
        <v>#DIV/0!</v>
      </c>
      <c r="AB401" s="125" t="e">
        <f t="shared" si="64"/>
        <v>#DIV/0!</v>
      </c>
      <c r="AC401" s="31"/>
      <c r="AD401" s="127"/>
      <c r="AE401" s="127"/>
      <c r="AF401" s="127">
        <f t="shared" si="65"/>
        <v>0</v>
      </c>
      <c r="AG401" s="128">
        <f t="shared" si="66"/>
        <v>0</v>
      </c>
      <c r="AH401" s="128">
        <f t="shared" si="67"/>
        <v>0</v>
      </c>
      <c r="AI401" s="127">
        <f t="shared" si="68"/>
        <v>0</v>
      </c>
      <c r="AJ401" s="133"/>
    </row>
    <row r="402" ht="15.5" customHeight="1" spans="1:36">
      <c r="A402" s="63"/>
      <c r="B402" s="56"/>
      <c r="C402" s="56"/>
      <c r="D402" s="59"/>
      <c r="E402" s="63"/>
      <c r="F402" s="24"/>
      <c r="G402" s="134"/>
      <c r="H402" s="21"/>
      <c r="I402" s="21"/>
      <c r="J402" s="121"/>
      <c r="K402" s="121"/>
      <c r="L402" s="26"/>
      <c r="M402" s="26"/>
      <c r="N402" s="26"/>
      <c r="O402" s="26"/>
      <c r="P402" s="26"/>
      <c r="Q402" s="26"/>
      <c r="R402" s="26"/>
      <c r="S402" s="23"/>
      <c r="T402" s="26"/>
      <c r="U402" s="26" t="str">
        <f t="shared" si="60"/>
        <v/>
      </c>
      <c r="V402" s="27"/>
      <c r="W402" s="122"/>
      <c r="X402" s="123">
        <f t="shared" si="61"/>
        <v>0</v>
      </c>
      <c r="Y402" s="124" t="e">
        <f t="shared" si="62"/>
        <v>#DIV/0!</v>
      </c>
      <c r="Z402" s="124"/>
      <c r="AA402" s="124" t="e">
        <f t="shared" si="63"/>
        <v>#DIV/0!</v>
      </c>
      <c r="AB402" s="125" t="e">
        <f t="shared" si="64"/>
        <v>#DIV/0!</v>
      </c>
      <c r="AC402" s="31" t="e">
        <f t="shared" ref="AC402:AC407" si="69">AB402*AD402</f>
        <v>#DIV/0!</v>
      </c>
      <c r="AD402" s="126"/>
      <c r="AE402" s="127"/>
      <c r="AF402" s="127" t="e">
        <f t="shared" si="65"/>
        <v>#DIV/0!</v>
      </c>
      <c r="AG402" s="128" t="e">
        <f t="shared" si="66"/>
        <v>#DIV/0!</v>
      </c>
      <c r="AH402" s="128" t="e">
        <f t="shared" si="67"/>
        <v>#DIV/0!</v>
      </c>
      <c r="AI402" s="127" t="e">
        <f t="shared" si="68"/>
        <v>#DIV/0!</v>
      </c>
    </row>
    <row r="403" ht="15.5" customHeight="1" spans="1:36">
      <c r="A403" s="63"/>
      <c r="B403" s="56"/>
      <c r="C403" s="56"/>
      <c r="D403" s="59"/>
      <c r="E403" s="63"/>
      <c r="F403" s="24"/>
      <c r="G403" s="134"/>
      <c r="H403" s="21"/>
      <c r="I403" s="21"/>
      <c r="J403" s="121"/>
      <c r="K403" s="121"/>
      <c r="L403" s="26"/>
      <c r="M403" s="26"/>
      <c r="N403" s="26"/>
      <c r="O403" s="26"/>
      <c r="P403" s="26"/>
      <c r="Q403" s="26"/>
      <c r="R403" s="26"/>
      <c r="S403" s="23"/>
      <c r="T403" s="26"/>
      <c r="U403" s="26" t="str">
        <f t="shared" si="60"/>
        <v/>
      </c>
      <c r="V403" s="27"/>
      <c r="W403" s="122"/>
      <c r="X403" s="123">
        <f t="shared" si="61"/>
        <v>0</v>
      </c>
      <c r="Y403" s="124" t="e">
        <f t="shared" si="62"/>
        <v>#DIV/0!</v>
      </c>
      <c r="Z403" s="124"/>
      <c r="AA403" s="124" t="e">
        <f t="shared" si="63"/>
        <v>#DIV/0!</v>
      </c>
      <c r="AB403" s="125" t="e">
        <f t="shared" si="64"/>
        <v>#DIV/0!</v>
      </c>
      <c r="AC403" s="31" t="e">
        <f t="shared" si="69"/>
        <v>#DIV/0!</v>
      </c>
      <c r="AD403" s="126"/>
      <c r="AE403" s="127"/>
      <c r="AF403" s="127" t="e">
        <f t="shared" si="65"/>
        <v>#DIV/0!</v>
      </c>
      <c r="AG403" s="128" t="e">
        <f t="shared" si="66"/>
        <v>#DIV/0!</v>
      </c>
      <c r="AH403" s="128" t="e">
        <f t="shared" si="67"/>
        <v>#DIV/0!</v>
      </c>
      <c r="AI403" s="127" t="e">
        <f t="shared" si="68"/>
        <v>#DIV/0!</v>
      </c>
    </row>
    <row r="404" ht="15.5" customHeight="1" spans="1:36">
      <c r="A404" s="63"/>
      <c r="B404" s="56"/>
      <c r="C404" s="56"/>
      <c r="D404" s="59"/>
      <c r="E404" s="63"/>
      <c r="F404" s="24"/>
      <c r="G404" s="134"/>
      <c r="H404" s="21"/>
      <c r="I404" s="23"/>
      <c r="J404" s="121"/>
      <c r="K404" s="121"/>
      <c r="L404" s="26"/>
      <c r="M404" s="26"/>
      <c r="N404" s="26"/>
      <c r="O404" s="26"/>
      <c r="P404" s="26"/>
      <c r="Q404" s="26"/>
      <c r="R404" s="26"/>
      <c r="S404" s="23"/>
      <c r="T404" s="26"/>
      <c r="U404" s="26" t="str">
        <f t="shared" si="60"/>
        <v/>
      </c>
      <c r="V404" s="27"/>
      <c r="W404" s="122"/>
      <c r="X404" s="123">
        <f t="shared" si="61"/>
        <v>0</v>
      </c>
      <c r="Y404" s="124" t="e">
        <f t="shared" si="62"/>
        <v>#DIV/0!</v>
      </c>
      <c r="Z404" s="124"/>
      <c r="AA404" s="124" t="e">
        <f t="shared" si="63"/>
        <v>#DIV/0!</v>
      </c>
      <c r="AB404" s="125" t="e">
        <f t="shared" si="64"/>
        <v>#DIV/0!</v>
      </c>
      <c r="AC404" s="31" t="e">
        <f t="shared" si="69"/>
        <v>#DIV/0!</v>
      </c>
      <c r="AD404" s="126"/>
      <c r="AE404" s="127"/>
      <c r="AF404" s="127" t="e">
        <f t="shared" si="65"/>
        <v>#DIV/0!</v>
      </c>
      <c r="AG404" s="128" t="e">
        <f t="shared" si="66"/>
        <v>#DIV/0!</v>
      </c>
      <c r="AH404" s="128" t="e">
        <f t="shared" si="67"/>
        <v>#DIV/0!</v>
      </c>
      <c r="AI404" s="127" t="e">
        <f t="shared" si="68"/>
        <v>#DIV/0!</v>
      </c>
    </row>
    <row r="405" ht="15.5" customHeight="1" spans="1:36">
      <c r="A405" s="63"/>
      <c r="B405" s="56"/>
      <c r="C405" s="56"/>
      <c r="D405" s="59"/>
      <c r="E405" s="63"/>
      <c r="F405" s="24"/>
      <c r="G405" s="134"/>
      <c r="H405" s="21"/>
      <c r="I405" s="21"/>
      <c r="J405" s="121"/>
      <c r="K405" s="121"/>
      <c r="L405" s="26"/>
      <c r="M405" s="26"/>
      <c r="N405" s="26"/>
      <c r="O405" s="26"/>
      <c r="P405" s="26"/>
      <c r="Q405" s="26"/>
      <c r="R405" s="26"/>
      <c r="S405" s="23"/>
      <c r="T405" s="26"/>
      <c r="U405" s="26" t="str">
        <f t="shared" si="60"/>
        <v/>
      </c>
      <c r="V405" s="27"/>
      <c r="W405" s="122"/>
      <c r="X405" s="123">
        <f t="shared" si="61"/>
        <v>0</v>
      </c>
      <c r="Y405" s="124" t="e">
        <f t="shared" si="62"/>
        <v>#DIV/0!</v>
      </c>
      <c r="Z405" s="124"/>
      <c r="AA405" s="124" t="e">
        <f t="shared" si="63"/>
        <v>#DIV/0!</v>
      </c>
      <c r="AB405" s="125" t="e">
        <f t="shared" si="64"/>
        <v>#DIV/0!</v>
      </c>
      <c r="AC405" s="31" t="e">
        <f t="shared" si="69"/>
        <v>#DIV/0!</v>
      </c>
      <c r="AD405" s="126"/>
      <c r="AE405" s="127"/>
      <c r="AF405" s="127" t="e">
        <f t="shared" si="65"/>
        <v>#DIV/0!</v>
      </c>
      <c r="AG405" s="128" t="e">
        <f t="shared" si="66"/>
        <v>#DIV/0!</v>
      </c>
      <c r="AH405" s="128" t="e">
        <f t="shared" si="67"/>
        <v>#DIV/0!</v>
      </c>
      <c r="AI405" s="127" t="e">
        <f t="shared" si="68"/>
        <v>#DIV/0!</v>
      </c>
    </row>
    <row r="406" ht="15.5" customHeight="1" spans="1:36">
      <c r="A406" s="63"/>
      <c r="B406" s="56"/>
      <c r="C406" s="56"/>
      <c r="D406" s="59"/>
      <c r="E406" s="63"/>
      <c r="F406" s="24"/>
      <c r="G406" s="63"/>
      <c r="H406" s="21"/>
      <c r="I406" s="23"/>
      <c r="J406" s="121"/>
      <c r="K406" s="121"/>
      <c r="L406" s="26"/>
      <c r="M406" s="26"/>
      <c r="N406" s="26"/>
      <c r="O406" s="26"/>
      <c r="P406" s="26"/>
      <c r="Q406" s="26"/>
      <c r="R406" s="26"/>
      <c r="S406" s="23"/>
      <c r="T406" s="26"/>
      <c r="U406" s="26" t="str">
        <f t="shared" si="60"/>
        <v/>
      </c>
      <c r="V406" s="27"/>
      <c r="W406" s="122"/>
      <c r="X406" s="123">
        <f t="shared" si="61"/>
        <v>0</v>
      </c>
      <c r="Y406" s="124" t="e">
        <f t="shared" si="62"/>
        <v>#DIV/0!</v>
      </c>
      <c r="Z406" s="124"/>
      <c r="AA406" s="124" t="e">
        <f t="shared" si="63"/>
        <v>#DIV/0!</v>
      </c>
      <c r="AB406" s="125" t="e">
        <f t="shared" si="64"/>
        <v>#DIV/0!</v>
      </c>
      <c r="AC406" s="31" t="e">
        <f t="shared" si="69"/>
        <v>#DIV/0!</v>
      </c>
      <c r="AD406" s="126"/>
      <c r="AE406" s="127"/>
      <c r="AF406" s="127" t="e">
        <f t="shared" si="65"/>
        <v>#DIV/0!</v>
      </c>
      <c r="AG406" s="128" t="e">
        <f t="shared" si="66"/>
        <v>#DIV/0!</v>
      </c>
      <c r="AH406" s="128" t="e">
        <f t="shared" si="67"/>
        <v>#DIV/0!</v>
      </c>
      <c r="AI406" s="127" t="e">
        <f t="shared" si="68"/>
        <v>#DIV/0!</v>
      </c>
    </row>
    <row r="407" ht="15.5" customHeight="1" spans="1:36">
      <c r="A407" s="63"/>
      <c r="B407" s="56"/>
      <c r="C407" s="56"/>
      <c r="D407" s="59"/>
      <c r="E407" s="63"/>
      <c r="F407" s="24"/>
      <c r="G407" s="63"/>
      <c r="H407" s="21"/>
      <c r="I407" s="23"/>
      <c r="J407" s="121"/>
      <c r="K407" s="121"/>
      <c r="L407" s="26"/>
      <c r="M407" s="26"/>
      <c r="N407" s="26"/>
      <c r="O407" s="26"/>
      <c r="P407" s="26"/>
      <c r="Q407" s="26"/>
      <c r="R407" s="26"/>
      <c r="S407" s="23"/>
      <c r="T407" s="26"/>
      <c r="U407" s="26" t="str">
        <f t="shared" si="60"/>
        <v/>
      </c>
      <c r="V407" s="27"/>
      <c r="W407" s="122"/>
      <c r="X407" s="123">
        <f t="shared" si="61"/>
        <v>0</v>
      </c>
      <c r="Y407" s="124" t="e">
        <f t="shared" si="62"/>
        <v>#DIV/0!</v>
      </c>
      <c r="Z407" s="124"/>
      <c r="AA407" s="124" t="e">
        <f t="shared" si="63"/>
        <v>#DIV/0!</v>
      </c>
      <c r="AB407" s="125" t="e">
        <f t="shared" si="64"/>
        <v>#DIV/0!</v>
      </c>
      <c r="AC407" s="31" t="e">
        <f t="shared" si="69"/>
        <v>#DIV/0!</v>
      </c>
      <c r="AD407" s="126"/>
      <c r="AE407" s="127"/>
      <c r="AF407" s="127" t="e">
        <f t="shared" si="65"/>
        <v>#DIV/0!</v>
      </c>
      <c r="AG407" s="128" t="e">
        <f t="shared" si="66"/>
        <v>#DIV/0!</v>
      </c>
      <c r="AH407" s="128" t="e">
        <f t="shared" si="67"/>
        <v>#DIV/0!</v>
      </c>
      <c r="AI407" s="127" t="e">
        <f t="shared" si="68"/>
        <v>#DIV/0!</v>
      </c>
    </row>
    <row r="408" ht="15.5" customHeight="1" spans="1:36">
      <c r="A408" s="63"/>
      <c r="B408" s="56"/>
      <c r="C408" s="56"/>
      <c r="D408" s="59"/>
      <c r="E408" s="63"/>
      <c r="F408" s="24"/>
      <c r="G408" s="58"/>
      <c r="H408" s="21"/>
      <c r="I408" s="23"/>
      <c r="J408" s="121"/>
      <c r="K408" s="121"/>
      <c r="L408" s="26"/>
      <c r="M408" s="26"/>
      <c r="N408" s="26"/>
      <c r="O408" s="26"/>
      <c r="P408" s="26"/>
      <c r="Q408" s="26"/>
      <c r="R408" s="26"/>
      <c r="S408" s="23"/>
      <c r="T408" s="26"/>
      <c r="U408" s="26" t="str">
        <f t="shared" si="60"/>
        <v/>
      </c>
      <c r="V408" s="27"/>
      <c r="W408" s="122"/>
      <c r="X408" s="123">
        <f t="shared" si="61"/>
        <v>0</v>
      </c>
      <c r="Y408" s="124" t="e">
        <f t="shared" si="62"/>
        <v>#DIV/0!</v>
      </c>
      <c r="Z408" s="124"/>
      <c r="AA408" s="124" t="e">
        <f t="shared" si="63"/>
        <v>#DIV/0!</v>
      </c>
      <c r="AB408" s="125" t="e">
        <f t="shared" si="64"/>
        <v>#DIV/0!</v>
      </c>
      <c r="AC408" s="31"/>
      <c r="AD408" s="127"/>
      <c r="AE408" s="127"/>
      <c r="AF408" s="127">
        <f t="shared" si="65"/>
        <v>0</v>
      </c>
      <c r="AG408" s="128">
        <f t="shared" si="66"/>
        <v>0</v>
      </c>
      <c r="AH408" s="128">
        <f t="shared" si="67"/>
        <v>0</v>
      </c>
      <c r="AI408" s="127">
        <f t="shared" si="68"/>
        <v>0</v>
      </c>
      <c r="AJ408" s="133"/>
    </row>
    <row r="409" ht="15.5" customHeight="1" spans="1:36">
      <c r="A409" s="63"/>
      <c r="B409" s="56"/>
      <c r="C409" s="56"/>
      <c r="D409" s="59"/>
      <c r="E409" s="63"/>
      <c r="F409" s="24"/>
      <c r="G409" s="58"/>
      <c r="H409" s="21"/>
      <c r="I409" s="23"/>
      <c r="J409" s="121"/>
      <c r="K409" s="121"/>
      <c r="L409" s="26"/>
      <c r="M409" s="26"/>
      <c r="N409" s="26"/>
      <c r="O409" s="26"/>
      <c r="P409" s="26"/>
      <c r="Q409" s="26"/>
      <c r="R409" s="26"/>
      <c r="S409" s="23"/>
      <c r="T409" s="26"/>
      <c r="U409" s="26" t="str">
        <f t="shared" si="60"/>
        <v/>
      </c>
      <c r="V409" s="27"/>
      <c r="W409" s="122"/>
      <c r="X409" s="123">
        <f t="shared" si="61"/>
        <v>0</v>
      </c>
      <c r="Y409" s="124" t="e">
        <f t="shared" si="62"/>
        <v>#DIV/0!</v>
      </c>
      <c r="Z409" s="124"/>
      <c r="AA409" s="124" t="e">
        <f t="shared" si="63"/>
        <v>#DIV/0!</v>
      </c>
      <c r="AB409" s="125" t="e">
        <f t="shared" si="64"/>
        <v>#DIV/0!</v>
      </c>
      <c r="AC409" s="31" t="e">
        <f>AB409*AD409</f>
        <v>#DIV/0!</v>
      </c>
      <c r="AD409" s="126"/>
      <c r="AE409" s="127"/>
      <c r="AF409" s="127" t="e">
        <f t="shared" si="65"/>
        <v>#DIV/0!</v>
      </c>
      <c r="AG409" s="128" t="e">
        <f t="shared" si="66"/>
        <v>#DIV/0!</v>
      </c>
      <c r="AH409" s="128" t="e">
        <f t="shared" si="67"/>
        <v>#DIV/0!</v>
      </c>
      <c r="AI409" s="127" t="e">
        <f t="shared" si="68"/>
        <v>#DIV/0!</v>
      </c>
    </row>
    <row r="410" ht="15.5" customHeight="1" spans="1:36">
      <c r="A410" s="63"/>
      <c r="B410" s="56"/>
      <c r="C410" s="56"/>
      <c r="D410" s="59"/>
      <c r="E410" s="63"/>
      <c r="F410" s="24"/>
      <c r="G410" s="58"/>
      <c r="H410" s="21"/>
      <c r="I410" s="23"/>
      <c r="J410" s="121"/>
      <c r="K410" s="121"/>
      <c r="L410" s="26"/>
      <c r="M410" s="26"/>
      <c r="N410" s="26"/>
      <c r="O410" s="26"/>
      <c r="P410" s="26"/>
      <c r="Q410" s="26"/>
      <c r="R410" s="26"/>
      <c r="S410" s="23"/>
      <c r="T410" s="26"/>
      <c r="U410" s="26" t="str">
        <f t="shared" si="60"/>
        <v/>
      </c>
      <c r="V410" s="27"/>
      <c r="W410" s="122"/>
      <c r="X410" s="123">
        <f t="shared" si="61"/>
        <v>0</v>
      </c>
      <c r="Y410" s="124" t="e">
        <f t="shared" si="62"/>
        <v>#DIV/0!</v>
      </c>
      <c r="Z410" s="124"/>
      <c r="AA410" s="124" t="e">
        <f t="shared" si="63"/>
        <v>#DIV/0!</v>
      </c>
      <c r="AB410" s="125" t="e">
        <f t="shared" si="64"/>
        <v>#DIV/0!</v>
      </c>
      <c r="AC410" s="31"/>
      <c r="AD410" s="127"/>
      <c r="AE410" s="127"/>
      <c r="AF410" s="127">
        <f t="shared" si="65"/>
        <v>0</v>
      </c>
      <c r="AG410" s="128">
        <f t="shared" si="66"/>
        <v>0</v>
      </c>
      <c r="AH410" s="128">
        <f t="shared" si="67"/>
        <v>0</v>
      </c>
      <c r="AI410" s="127">
        <f t="shared" si="68"/>
        <v>0</v>
      </c>
      <c r="AJ410" s="133"/>
    </row>
    <row r="411" ht="15.5" customHeight="1" spans="1:36">
      <c r="A411" s="63"/>
      <c r="B411" s="56"/>
      <c r="C411" s="56"/>
      <c r="D411" s="59"/>
      <c r="E411" s="63"/>
      <c r="F411" s="24"/>
      <c r="G411" s="58"/>
      <c r="H411" s="21"/>
      <c r="I411" s="23"/>
      <c r="J411" s="121"/>
      <c r="K411" s="121"/>
      <c r="L411" s="26"/>
      <c r="M411" s="26"/>
      <c r="N411" s="26"/>
      <c r="O411" s="26"/>
      <c r="P411" s="26"/>
      <c r="Q411" s="26"/>
      <c r="R411" s="26"/>
      <c r="S411" s="23"/>
      <c r="T411" s="26"/>
      <c r="U411" s="26" t="str">
        <f t="shared" si="60"/>
        <v/>
      </c>
      <c r="V411" s="27"/>
      <c r="W411" s="122"/>
      <c r="X411" s="123">
        <f t="shared" si="61"/>
        <v>0</v>
      </c>
      <c r="Y411" s="124" t="e">
        <f t="shared" si="62"/>
        <v>#DIV/0!</v>
      </c>
      <c r="Z411" s="124"/>
      <c r="AA411" s="124" t="e">
        <f t="shared" si="63"/>
        <v>#DIV/0!</v>
      </c>
      <c r="AB411" s="125" t="e">
        <f t="shared" si="64"/>
        <v>#DIV/0!</v>
      </c>
      <c r="AC411" s="31"/>
      <c r="AD411" s="127"/>
      <c r="AE411" s="127"/>
      <c r="AF411" s="127">
        <f t="shared" si="65"/>
        <v>0</v>
      </c>
      <c r="AG411" s="128">
        <f t="shared" si="66"/>
        <v>0</v>
      </c>
      <c r="AH411" s="128">
        <f t="shared" si="67"/>
        <v>0</v>
      </c>
      <c r="AI411" s="127">
        <f t="shared" si="68"/>
        <v>0</v>
      </c>
      <c r="AJ411" s="133"/>
    </row>
    <row r="412" ht="15.5" customHeight="1" spans="1:36">
      <c r="A412" s="63"/>
      <c r="B412" s="56"/>
      <c r="C412" s="56"/>
      <c r="D412" s="59"/>
      <c r="E412" s="63"/>
      <c r="F412" s="24"/>
      <c r="G412" s="63"/>
      <c r="H412" s="21"/>
      <c r="I412" s="23"/>
      <c r="J412" s="121"/>
      <c r="K412" s="121"/>
      <c r="L412" s="26"/>
      <c r="M412" s="26"/>
      <c r="N412" s="26"/>
      <c r="O412" s="26"/>
      <c r="P412" s="26"/>
      <c r="Q412" s="26"/>
      <c r="R412" s="26"/>
      <c r="S412" s="23"/>
      <c r="T412" s="26"/>
      <c r="U412" s="26" t="str">
        <f t="shared" si="60"/>
        <v/>
      </c>
      <c r="V412" s="27"/>
      <c r="W412" s="122"/>
      <c r="X412" s="123">
        <f t="shared" si="61"/>
        <v>0</v>
      </c>
      <c r="Y412" s="124" t="e">
        <f t="shared" si="62"/>
        <v>#DIV/0!</v>
      </c>
      <c r="Z412" s="124"/>
      <c r="AA412" s="124" t="e">
        <f t="shared" si="63"/>
        <v>#DIV/0!</v>
      </c>
      <c r="AB412" s="125" t="e">
        <f t="shared" si="64"/>
        <v>#DIV/0!</v>
      </c>
      <c r="AC412" s="31" t="e">
        <f t="shared" ref="AC412:AC447" si="70">AB412*AD412</f>
        <v>#DIV/0!</v>
      </c>
      <c r="AD412" s="126"/>
      <c r="AE412" s="127"/>
      <c r="AF412" s="127" t="e">
        <f t="shared" si="65"/>
        <v>#DIV/0!</v>
      </c>
      <c r="AG412" s="128" t="e">
        <f t="shared" si="66"/>
        <v>#DIV/0!</v>
      </c>
      <c r="AH412" s="128" t="e">
        <f t="shared" si="67"/>
        <v>#DIV/0!</v>
      </c>
      <c r="AI412" s="127" t="e">
        <f t="shared" si="68"/>
        <v>#DIV/0!</v>
      </c>
    </row>
    <row r="413" ht="15.5" customHeight="1" spans="1:36">
      <c r="A413" s="63"/>
      <c r="B413" s="56"/>
      <c r="C413" s="56"/>
      <c r="D413" s="59"/>
      <c r="E413" s="63"/>
      <c r="F413" s="24"/>
      <c r="G413" s="63"/>
      <c r="H413" s="21"/>
      <c r="I413" s="23"/>
      <c r="J413" s="121"/>
      <c r="K413" s="121"/>
      <c r="L413" s="26"/>
      <c r="M413" s="26"/>
      <c r="N413" s="26"/>
      <c r="O413" s="26"/>
      <c r="P413" s="26"/>
      <c r="Q413" s="26"/>
      <c r="R413" s="26"/>
      <c r="S413" s="23"/>
      <c r="T413" s="26"/>
      <c r="U413" s="26" t="str">
        <f t="shared" si="60"/>
        <v/>
      </c>
      <c r="V413" s="27"/>
      <c r="W413" s="122"/>
      <c r="X413" s="123">
        <f t="shared" si="61"/>
        <v>0</v>
      </c>
      <c r="Y413" s="124" t="e">
        <f t="shared" si="62"/>
        <v>#DIV/0!</v>
      </c>
      <c r="Z413" s="124"/>
      <c r="AA413" s="124" t="e">
        <f t="shared" si="63"/>
        <v>#DIV/0!</v>
      </c>
      <c r="AB413" s="125" t="e">
        <f t="shared" si="64"/>
        <v>#DIV/0!</v>
      </c>
      <c r="AC413" s="31" t="e">
        <f t="shared" si="70"/>
        <v>#DIV/0!</v>
      </c>
      <c r="AD413" s="126"/>
      <c r="AE413" s="127"/>
      <c r="AF413" s="127" t="e">
        <f t="shared" si="65"/>
        <v>#DIV/0!</v>
      </c>
      <c r="AG413" s="128" t="e">
        <f t="shared" si="66"/>
        <v>#DIV/0!</v>
      </c>
      <c r="AH413" s="128" t="e">
        <f t="shared" si="67"/>
        <v>#DIV/0!</v>
      </c>
      <c r="AI413" s="127" t="e">
        <f t="shared" si="68"/>
        <v>#DIV/0!</v>
      </c>
    </row>
    <row r="414" ht="15.5" customHeight="1" spans="1:36">
      <c r="A414" s="63"/>
      <c r="B414" s="56"/>
      <c r="C414" s="56"/>
      <c r="D414" s="59"/>
      <c r="E414" s="63"/>
      <c r="F414" s="24"/>
      <c r="G414" s="63"/>
      <c r="H414" s="21"/>
      <c r="I414" s="23"/>
      <c r="J414" s="121"/>
      <c r="K414" s="121"/>
      <c r="L414" s="26"/>
      <c r="M414" s="26"/>
      <c r="N414" s="26"/>
      <c r="O414" s="26"/>
      <c r="P414" s="26"/>
      <c r="Q414" s="26"/>
      <c r="R414" s="26"/>
      <c r="S414" s="23"/>
      <c r="T414" s="26"/>
      <c r="U414" s="26" t="str">
        <f t="shared" si="60"/>
        <v/>
      </c>
      <c r="V414" s="27"/>
      <c r="W414" s="122"/>
      <c r="X414" s="123">
        <f t="shared" si="61"/>
        <v>0</v>
      </c>
      <c r="Y414" s="124" t="e">
        <f t="shared" si="62"/>
        <v>#DIV/0!</v>
      </c>
      <c r="Z414" s="124"/>
      <c r="AA414" s="124" t="e">
        <f t="shared" si="63"/>
        <v>#DIV/0!</v>
      </c>
      <c r="AB414" s="125" t="e">
        <f t="shared" si="64"/>
        <v>#DIV/0!</v>
      </c>
      <c r="AC414" s="31" t="e">
        <f t="shared" si="70"/>
        <v>#DIV/0!</v>
      </c>
      <c r="AD414" s="126"/>
      <c r="AE414" s="127"/>
      <c r="AF414" s="127" t="e">
        <f t="shared" si="65"/>
        <v>#DIV/0!</v>
      </c>
      <c r="AG414" s="128" t="e">
        <f t="shared" si="66"/>
        <v>#DIV/0!</v>
      </c>
      <c r="AH414" s="128" t="e">
        <f t="shared" si="67"/>
        <v>#DIV/0!</v>
      </c>
      <c r="AI414" s="127" t="e">
        <f t="shared" si="68"/>
        <v>#DIV/0!</v>
      </c>
    </row>
    <row r="415" ht="15.5" customHeight="1" spans="1:36">
      <c r="A415" s="63"/>
      <c r="B415" s="56"/>
      <c r="C415" s="56"/>
      <c r="D415" s="59"/>
      <c r="E415" s="63"/>
      <c r="F415" s="24"/>
      <c r="G415" s="63"/>
      <c r="H415" s="21"/>
      <c r="I415" s="23"/>
      <c r="J415" s="121"/>
      <c r="K415" s="121"/>
      <c r="L415" s="26"/>
      <c r="M415" s="26"/>
      <c r="N415" s="26"/>
      <c r="O415" s="26"/>
      <c r="P415" s="26"/>
      <c r="Q415" s="26"/>
      <c r="R415" s="26"/>
      <c r="S415" s="23"/>
      <c r="T415" s="26"/>
      <c r="U415" s="26" t="str">
        <f t="shared" si="60"/>
        <v/>
      </c>
      <c r="V415" s="27"/>
      <c r="W415" s="122"/>
      <c r="X415" s="123">
        <f t="shared" si="61"/>
        <v>0</v>
      </c>
      <c r="Y415" s="124" t="e">
        <f t="shared" si="62"/>
        <v>#DIV/0!</v>
      </c>
      <c r="Z415" s="124"/>
      <c r="AA415" s="124" t="e">
        <f t="shared" si="63"/>
        <v>#DIV/0!</v>
      </c>
      <c r="AB415" s="125" t="e">
        <f t="shared" si="64"/>
        <v>#DIV/0!</v>
      </c>
      <c r="AC415" s="31" t="e">
        <f t="shared" si="70"/>
        <v>#DIV/0!</v>
      </c>
      <c r="AD415" s="126"/>
      <c r="AE415" s="127"/>
      <c r="AF415" s="127" t="e">
        <f t="shared" si="65"/>
        <v>#DIV/0!</v>
      </c>
      <c r="AG415" s="128" t="e">
        <f t="shared" si="66"/>
        <v>#DIV/0!</v>
      </c>
      <c r="AH415" s="128" t="e">
        <f t="shared" si="67"/>
        <v>#DIV/0!</v>
      </c>
      <c r="AI415" s="127" t="e">
        <f t="shared" si="68"/>
        <v>#DIV/0!</v>
      </c>
    </row>
    <row r="416" ht="15.5" customHeight="1" spans="1:36">
      <c r="A416" s="63"/>
      <c r="B416" s="56"/>
      <c r="C416" s="56"/>
      <c r="D416" s="59"/>
      <c r="E416" s="63"/>
      <c r="F416" s="24"/>
      <c r="G416" s="63"/>
      <c r="H416" s="21"/>
      <c r="I416" s="23"/>
      <c r="J416" s="121"/>
      <c r="K416" s="121"/>
      <c r="L416" s="26"/>
      <c r="M416" s="26"/>
      <c r="N416" s="26"/>
      <c r="O416" s="26"/>
      <c r="P416" s="26"/>
      <c r="Q416" s="26"/>
      <c r="R416" s="26"/>
      <c r="S416" s="23"/>
      <c r="T416" s="26"/>
      <c r="U416" s="26" t="str">
        <f t="shared" si="60"/>
        <v/>
      </c>
      <c r="V416" s="27"/>
      <c r="W416" s="122"/>
      <c r="X416" s="123">
        <f t="shared" si="61"/>
        <v>0</v>
      </c>
      <c r="Y416" s="124" t="e">
        <f t="shared" si="62"/>
        <v>#DIV/0!</v>
      </c>
      <c r="Z416" s="124"/>
      <c r="AA416" s="124" t="e">
        <f t="shared" si="63"/>
        <v>#DIV/0!</v>
      </c>
      <c r="AB416" s="125" t="e">
        <f t="shared" si="64"/>
        <v>#DIV/0!</v>
      </c>
      <c r="AC416" s="31" t="e">
        <f t="shared" si="70"/>
        <v>#DIV/0!</v>
      </c>
      <c r="AD416" s="126"/>
      <c r="AE416" s="127"/>
      <c r="AF416" s="127" t="e">
        <f t="shared" si="65"/>
        <v>#DIV/0!</v>
      </c>
      <c r="AG416" s="128" t="e">
        <f t="shared" si="66"/>
        <v>#DIV/0!</v>
      </c>
      <c r="AH416" s="128" t="e">
        <f t="shared" si="67"/>
        <v>#DIV/0!</v>
      </c>
      <c r="AI416" s="127" t="e">
        <f t="shared" si="68"/>
        <v>#DIV/0!</v>
      </c>
    </row>
    <row r="417" ht="15.5" customHeight="1" spans="1:35">
      <c r="A417" s="63"/>
      <c r="B417" s="56"/>
      <c r="C417" s="56"/>
      <c r="D417" s="59"/>
      <c r="E417" s="63"/>
      <c r="F417" s="24"/>
      <c r="G417" s="63"/>
      <c r="H417" s="21"/>
      <c r="I417" s="23"/>
      <c r="J417" s="121"/>
      <c r="K417" s="121"/>
      <c r="L417" s="26"/>
      <c r="M417" s="26"/>
      <c r="N417" s="26"/>
      <c r="O417" s="26"/>
      <c r="P417" s="26"/>
      <c r="Q417" s="26"/>
      <c r="R417" s="26"/>
      <c r="S417" s="23"/>
      <c r="T417" s="26"/>
      <c r="U417" s="26" t="str">
        <f t="shared" si="60"/>
        <v/>
      </c>
      <c r="V417" s="27"/>
      <c r="W417" s="122"/>
      <c r="X417" s="123">
        <f t="shared" si="61"/>
        <v>0</v>
      </c>
      <c r="Y417" s="124" t="e">
        <f t="shared" si="62"/>
        <v>#DIV/0!</v>
      </c>
      <c r="Z417" s="124"/>
      <c r="AA417" s="124" t="e">
        <f t="shared" si="63"/>
        <v>#DIV/0!</v>
      </c>
      <c r="AB417" s="125" t="e">
        <f t="shared" si="64"/>
        <v>#DIV/0!</v>
      </c>
      <c r="AC417" s="31" t="e">
        <f t="shared" si="70"/>
        <v>#DIV/0!</v>
      </c>
      <c r="AD417" s="126"/>
      <c r="AE417" s="127"/>
      <c r="AF417" s="127" t="e">
        <f t="shared" si="65"/>
        <v>#DIV/0!</v>
      </c>
      <c r="AG417" s="128" t="e">
        <f t="shared" si="66"/>
        <v>#DIV/0!</v>
      </c>
      <c r="AH417" s="128" t="e">
        <f t="shared" si="67"/>
        <v>#DIV/0!</v>
      </c>
      <c r="AI417" s="127" t="e">
        <f t="shared" si="68"/>
        <v>#DIV/0!</v>
      </c>
    </row>
    <row r="418" ht="15.5" customHeight="1" spans="1:35">
      <c r="A418" s="63"/>
      <c r="B418" s="56"/>
      <c r="C418" s="56"/>
      <c r="D418" s="59"/>
      <c r="E418" s="63"/>
      <c r="F418" s="24"/>
      <c r="G418" s="63"/>
      <c r="H418" s="21"/>
      <c r="I418" s="23"/>
      <c r="J418" s="121"/>
      <c r="K418" s="121"/>
      <c r="L418" s="26"/>
      <c r="M418" s="26"/>
      <c r="N418" s="26"/>
      <c r="O418" s="26"/>
      <c r="P418" s="26"/>
      <c r="Q418" s="26"/>
      <c r="R418" s="26"/>
      <c r="S418" s="23"/>
      <c r="T418" s="26"/>
      <c r="U418" s="26" t="str">
        <f t="shared" si="60"/>
        <v/>
      </c>
      <c r="V418" s="27"/>
      <c r="W418" s="122"/>
      <c r="X418" s="123">
        <f t="shared" si="61"/>
        <v>0</v>
      </c>
      <c r="Y418" s="124" t="e">
        <f t="shared" si="62"/>
        <v>#DIV/0!</v>
      </c>
      <c r="Z418" s="124"/>
      <c r="AA418" s="124" t="e">
        <f t="shared" si="63"/>
        <v>#DIV/0!</v>
      </c>
      <c r="AB418" s="125" t="e">
        <f t="shared" si="64"/>
        <v>#DIV/0!</v>
      </c>
      <c r="AC418" s="31" t="e">
        <f t="shared" si="70"/>
        <v>#DIV/0!</v>
      </c>
      <c r="AD418" s="126"/>
      <c r="AE418" s="127"/>
      <c r="AF418" s="127" t="e">
        <f t="shared" si="65"/>
        <v>#DIV/0!</v>
      </c>
      <c r="AG418" s="128" t="e">
        <f t="shared" si="66"/>
        <v>#DIV/0!</v>
      </c>
      <c r="AH418" s="128" t="e">
        <f t="shared" si="67"/>
        <v>#DIV/0!</v>
      </c>
      <c r="AI418" s="127" t="e">
        <f t="shared" si="68"/>
        <v>#DIV/0!</v>
      </c>
    </row>
    <row r="419" ht="15.5" customHeight="1" spans="1:35">
      <c r="A419" s="63"/>
      <c r="B419" s="56"/>
      <c r="C419" s="56"/>
      <c r="D419" s="59"/>
      <c r="E419" s="63"/>
      <c r="F419" s="24"/>
      <c r="G419" s="63"/>
      <c r="H419" s="21"/>
      <c r="I419" s="23"/>
      <c r="J419" s="121"/>
      <c r="K419" s="121"/>
      <c r="L419" s="26"/>
      <c r="M419" s="26"/>
      <c r="N419" s="26"/>
      <c r="O419" s="26"/>
      <c r="P419" s="26"/>
      <c r="Q419" s="26"/>
      <c r="R419" s="26"/>
      <c r="S419" s="23"/>
      <c r="T419" s="26"/>
      <c r="U419" s="26" t="str">
        <f t="shared" si="60"/>
        <v/>
      </c>
      <c r="V419" s="27"/>
      <c r="W419" s="122"/>
      <c r="X419" s="123">
        <f t="shared" si="61"/>
        <v>0</v>
      </c>
      <c r="Y419" s="124" t="e">
        <f t="shared" si="62"/>
        <v>#DIV/0!</v>
      </c>
      <c r="Z419" s="124"/>
      <c r="AA419" s="124" t="e">
        <f t="shared" si="63"/>
        <v>#DIV/0!</v>
      </c>
      <c r="AB419" s="125" t="e">
        <f t="shared" si="64"/>
        <v>#DIV/0!</v>
      </c>
      <c r="AC419" s="31" t="e">
        <f t="shared" si="70"/>
        <v>#DIV/0!</v>
      </c>
      <c r="AD419" s="126"/>
      <c r="AE419" s="127"/>
      <c r="AF419" s="127" t="e">
        <f t="shared" si="65"/>
        <v>#DIV/0!</v>
      </c>
      <c r="AG419" s="128" t="e">
        <f t="shared" si="66"/>
        <v>#DIV/0!</v>
      </c>
      <c r="AH419" s="128" t="e">
        <f t="shared" si="67"/>
        <v>#DIV/0!</v>
      </c>
      <c r="AI419" s="127" t="e">
        <f t="shared" si="68"/>
        <v>#DIV/0!</v>
      </c>
    </row>
    <row r="420" ht="15.5" customHeight="1" spans="1:35">
      <c r="A420" s="63"/>
      <c r="B420" s="56"/>
      <c r="C420" s="56"/>
      <c r="D420" s="59"/>
      <c r="E420" s="63"/>
      <c r="F420" s="24"/>
      <c r="G420" s="63"/>
      <c r="H420" s="21"/>
      <c r="I420" s="23"/>
      <c r="J420" s="121"/>
      <c r="K420" s="121"/>
      <c r="L420" s="26"/>
      <c r="M420" s="26"/>
      <c r="N420" s="26"/>
      <c r="O420" s="26"/>
      <c r="P420" s="26"/>
      <c r="Q420" s="26"/>
      <c r="R420" s="26"/>
      <c r="S420" s="23"/>
      <c r="T420" s="26"/>
      <c r="U420" s="26" t="str">
        <f t="shared" si="60"/>
        <v/>
      </c>
      <c r="V420" s="27"/>
      <c r="W420" s="122"/>
      <c r="X420" s="123">
        <f t="shared" si="61"/>
        <v>0</v>
      </c>
      <c r="Y420" s="124" t="e">
        <f t="shared" si="62"/>
        <v>#DIV/0!</v>
      </c>
      <c r="Z420" s="124"/>
      <c r="AA420" s="124" t="e">
        <f t="shared" si="63"/>
        <v>#DIV/0!</v>
      </c>
      <c r="AB420" s="125" t="e">
        <f t="shared" si="64"/>
        <v>#DIV/0!</v>
      </c>
      <c r="AC420" s="31" t="e">
        <f t="shared" si="70"/>
        <v>#DIV/0!</v>
      </c>
      <c r="AD420" s="126"/>
      <c r="AE420" s="127"/>
      <c r="AF420" s="127" t="e">
        <f t="shared" si="65"/>
        <v>#DIV/0!</v>
      </c>
      <c r="AG420" s="128" t="e">
        <f t="shared" si="66"/>
        <v>#DIV/0!</v>
      </c>
      <c r="AH420" s="128" t="e">
        <f t="shared" si="67"/>
        <v>#DIV/0!</v>
      </c>
      <c r="AI420" s="127" t="e">
        <f t="shared" si="68"/>
        <v>#DIV/0!</v>
      </c>
    </row>
    <row r="421" ht="15.5" customHeight="1" spans="1:35">
      <c r="A421" s="63"/>
      <c r="B421" s="56"/>
      <c r="C421" s="56"/>
      <c r="D421" s="59"/>
      <c r="E421" s="63"/>
      <c r="F421" s="24"/>
      <c r="G421" s="63"/>
      <c r="H421" s="21"/>
      <c r="I421" s="23"/>
      <c r="J421" s="121"/>
      <c r="K421" s="121"/>
      <c r="L421" s="26"/>
      <c r="M421" s="26"/>
      <c r="N421" s="26"/>
      <c r="O421" s="26"/>
      <c r="P421" s="26"/>
      <c r="Q421" s="26"/>
      <c r="R421" s="26"/>
      <c r="S421" s="23"/>
      <c r="T421" s="26"/>
      <c r="U421" s="26" t="str">
        <f t="shared" si="60"/>
        <v/>
      </c>
      <c r="V421" s="27"/>
      <c r="W421" s="122"/>
      <c r="X421" s="123">
        <f t="shared" si="61"/>
        <v>0</v>
      </c>
      <c r="Y421" s="124" t="e">
        <f t="shared" si="62"/>
        <v>#DIV/0!</v>
      </c>
      <c r="Z421" s="124"/>
      <c r="AA421" s="124" t="e">
        <f t="shared" si="63"/>
        <v>#DIV/0!</v>
      </c>
      <c r="AB421" s="125" t="e">
        <f t="shared" si="64"/>
        <v>#DIV/0!</v>
      </c>
      <c r="AC421" s="31" t="e">
        <f t="shared" si="70"/>
        <v>#DIV/0!</v>
      </c>
      <c r="AD421" s="126"/>
      <c r="AE421" s="127"/>
      <c r="AF421" s="127" t="e">
        <f t="shared" si="65"/>
        <v>#DIV/0!</v>
      </c>
      <c r="AG421" s="128" t="e">
        <f t="shared" si="66"/>
        <v>#DIV/0!</v>
      </c>
      <c r="AH421" s="128" t="e">
        <f t="shared" si="67"/>
        <v>#DIV/0!</v>
      </c>
      <c r="AI421" s="127" t="e">
        <f t="shared" si="68"/>
        <v>#DIV/0!</v>
      </c>
    </row>
    <row r="422" ht="15.5" customHeight="1" spans="1:35">
      <c r="A422" s="63"/>
      <c r="B422" s="56"/>
      <c r="C422" s="56"/>
      <c r="D422" s="59"/>
      <c r="E422" s="63"/>
      <c r="F422" s="24"/>
      <c r="G422" s="63"/>
      <c r="H422" s="21"/>
      <c r="I422" s="23"/>
      <c r="J422" s="121"/>
      <c r="K422" s="121"/>
      <c r="L422" s="26"/>
      <c r="M422" s="26"/>
      <c r="N422" s="26"/>
      <c r="O422" s="26"/>
      <c r="P422" s="26"/>
      <c r="Q422" s="26"/>
      <c r="R422" s="26"/>
      <c r="S422" s="23"/>
      <c r="T422" s="26"/>
      <c r="U422" s="26" t="str">
        <f t="shared" si="60"/>
        <v/>
      </c>
      <c r="V422" s="27"/>
      <c r="W422" s="122"/>
      <c r="X422" s="123">
        <f t="shared" si="61"/>
        <v>0</v>
      </c>
      <c r="Y422" s="124" t="e">
        <f t="shared" si="62"/>
        <v>#DIV/0!</v>
      </c>
      <c r="Z422" s="124"/>
      <c r="AA422" s="124" t="e">
        <f t="shared" si="63"/>
        <v>#DIV/0!</v>
      </c>
      <c r="AB422" s="125" t="e">
        <f t="shared" si="64"/>
        <v>#DIV/0!</v>
      </c>
      <c r="AC422" s="31" t="e">
        <f t="shared" si="70"/>
        <v>#DIV/0!</v>
      </c>
      <c r="AD422" s="126"/>
      <c r="AE422" s="127"/>
      <c r="AF422" s="127" t="e">
        <f t="shared" si="65"/>
        <v>#DIV/0!</v>
      </c>
      <c r="AG422" s="128" t="e">
        <f t="shared" si="66"/>
        <v>#DIV/0!</v>
      </c>
      <c r="AH422" s="128" t="e">
        <f t="shared" si="67"/>
        <v>#DIV/0!</v>
      </c>
      <c r="AI422" s="127" t="e">
        <f t="shared" si="68"/>
        <v>#DIV/0!</v>
      </c>
    </row>
    <row r="423" ht="15.5" customHeight="1" spans="1:35">
      <c r="A423" s="63"/>
      <c r="B423" s="56"/>
      <c r="C423" s="56"/>
      <c r="D423" s="59"/>
      <c r="E423" s="63"/>
      <c r="F423" s="24"/>
      <c r="G423" s="63"/>
      <c r="H423" s="21"/>
      <c r="I423" s="23"/>
      <c r="J423" s="121"/>
      <c r="K423" s="121"/>
      <c r="L423" s="26"/>
      <c r="M423" s="26"/>
      <c r="N423" s="26"/>
      <c r="O423" s="26"/>
      <c r="P423" s="26"/>
      <c r="Q423" s="26"/>
      <c r="R423" s="26"/>
      <c r="S423" s="23"/>
      <c r="T423" s="26"/>
      <c r="U423" s="26" t="str">
        <f t="shared" si="60"/>
        <v/>
      </c>
      <c r="V423" s="27"/>
      <c r="W423" s="122"/>
      <c r="X423" s="123">
        <f t="shared" si="61"/>
        <v>0</v>
      </c>
      <c r="Y423" s="124" t="e">
        <f t="shared" si="62"/>
        <v>#DIV/0!</v>
      </c>
      <c r="Z423" s="124"/>
      <c r="AA423" s="124" t="e">
        <f t="shared" si="63"/>
        <v>#DIV/0!</v>
      </c>
      <c r="AB423" s="125" t="e">
        <f t="shared" si="64"/>
        <v>#DIV/0!</v>
      </c>
      <c r="AC423" s="31" t="e">
        <f t="shared" si="70"/>
        <v>#DIV/0!</v>
      </c>
      <c r="AD423" s="126"/>
      <c r="AE423" s="127"/>
      <c r="AF423" s="127" t="e">
        <f t="shared" si="65"/>
        <v>#DIV/0!</v>
      </c>
      <c r="AG423" s="128" t="e">
        <f t="shared" si="66"/>
        <v>#DIV/0!</v>
      </c>
      <c r="AH423" s="128" t="e">
        <f t="shared" si="67"/>
        <v>#DIV/0!</v>
      </c>
      <c r="AI423" s="127" t="e">
        <f t="shared" si="68"/>
        <v>#DIV/0!</v>
      </c>
    </row>
    <row r="424" ht="15.5" customHeight="1" spans="1:35">
      <c r="A424" s="63"/>
      <c r="B424" s="56"/>
      <c r="C424" s="56"/>
      <c r="D424" s="59"/>
      <c r="E424" s="63"/>
      <c r="F424" s="24"/>
      <c r="G424" s="63"/>
      <c r="H424" s="21"/>
      <c r="I424" s="23"/>
      <c r="J424" s="121"/>
      <c r="K424" s="121"/>
      <c r="L424" s="26"/>
      <c r="M424" s="26"/>
      <c r="N424" s="26"/>
      <c r="O424" s="26"/>
      <c r="P424" s="26"/>
      <c r="Q424" s="26"/>
      <c r="R424" s="26"/>
      <c r="S424" s="23"/>
      <c r="T424" s="26"/>
      <c r="U424" s="26" t="str">
        <f t="shared" si="60"/>
        <v/>
      </c>
      <c r="V424" s="27"/>
      <c r="W424" s="122"/>
      <c r="X424" s="123">
        <f t="shared" si="61"/>
        <v>0</v>
      </c>
      <c r="Y424" s="124" t="e">
        <f t="shared" si="62"/>
        <v>#DIV/0!</v>
      </c>
      <c r="Z424" s="124"/>
      <c r="AA424" s="124" t="e">
        <f t="shared" si="63"/>
        <v>#DIV/0!</v>
      </c>
      <c r="AB424" s="125" t="e">
        <f t="shared" si="64"/>
        <v>#DIV/0!</v>
      </c>
      <c r="AC424" s="31" t="e">
        <f t="shared" si="70"/>
        <v>#DIV/0!</v>
      </c>
      <c r="AD424" s="126"/>
      <c r="AE424" s="127"/>
      <c r="AF424" s="127" t="e">
        <f t="shared" si="65"/>
        <v>#DIV/0!</v>
      </c>
      <c r="AG424" s="128" t="e">
        <f t="shared" si="66"/>
        <v>#DIV/0!</v>
      </c>
      <c r="AH424" s="128" t="e">
        <f t="shared" si="67"/>
        <v>#DIV/0!</v>
      </c>
      <c r="AI424" s="127" t="e">
        <f t="shared" si="68"/>
        <v>#DIV/0!</v>
      </c>
    </row>
    <row r="425" ht="15.5" customHeight="1" spans="1:35">
      <c r="A425" s="63"/>
      <c r="B425" s="56"/>
      <c r="C425" s="56"/>
      <c r="D425" s="59"/>
      <c r="E425" s="63"/>
      <c r="F425" s="24"/>
      <c r="G425" s="63"/>
      <c r="H425" s="21"/>
      <c r="I425" s="23"/>
      <c r="J425" s="121"/>
      <c r="K425" s="121"/>
      <c r="L425" s="26"/>
      <c r="M425" s="26"/>
      <c r="N425" s="26"/>
      <c r="O425" s="26"/>
      <c r="P425" s="26"/>
      <c r="Q425" s="26"/>
      <c r="R425" s="26"/>
      <c r="S425" s="23"/>
      <c r="T425" s="26"/>
      <c r="U425" s="26" t="str">
        <f t="shared" si="60"/>
        <v/>
      </c>
      <c r="V425" s="27"/>
      <c r="W425" s="122"/>
      <c r="X425" s="123">
        <f t="shared" si="61"/>
        <v>0</v>
      </c>
      <c r="Y425" s="124" t="e">
        <f t="shared" si="62"/>
        <v>#DIV/0!</v>
      </c>
      <c r="Z425" s="124"/>
      <c r="AA425" s="124" t="e">
        <f t="shared" si="63"/>
        <v>#DIV/0!</v>
      </c>
      <c r="AB425" s="125" t="e">
        <f t="shared" si="64"/>
        <v>#DIV/0!</v>
      </c>
      <c r="AC425" s="31" t="e">
        <f t="shared" si="70"/>
        <v>#DIV/0!</v>
      </c>
      <c r="AD425" s="126"/>
      <c r="AE425" s="127"/>
      <c r="AF425" s="127" t="e">
        <f t="shared" si="65"/>
        <v>#DIV/0!</v>
      </c>
      <c r="AG425" s="128" t="e">
        <f t="shared" si="66"/>
        <v>#DIV/0!</v>
      </c>
      <c r="AH425" s="128" t="e">
        <f t="shared" si="67"/>
        <v>#DIV/0!</v>
      </c>
      <c r="AI425" s="127" t="e">
        <f t="shared" si="68"/>
        <v>#DIV/0!</v>
      </c>
    </row>
    <row r="426" ht="15.5" customHeight="1" spans="1:35">
      <c r="A426" s="63"/>
      <c r="B426" s="56"/>
      <c r="C426" s="56"/>
      <c r="D426" s="59"/>
      <c r="E426" s="63"/>
      <c r="F426" s="24"/>
      <c r="G426" s="63"/>
      <c r="H426" s="21"/>
      <c r="I426" s="23"/>
      <c r="J426" s="121"/>
      <c r="K426" s="121"/>
      <c r="L426" s="26"/>
      <c r="M426" s="26"/>
      <c r="N426" s="26"/>
      <c r="O426" s="26"/>
      <c r="P426" s="26"/>
      <c r="Q426" s="26"/>
      <c r="R426" s="26"/>
      <c r="S426" s="23"/>
      <c r="T426" s="26"/>
      <c r="U426" s="26" t="str">
        <f t="shared" si="60"/>
        <v/>
      </c>
      <c r="V426" s="27"/>
      <c r="W426" s="122"/>
      <c r="X426" s="123">
        <f t="shared" si="61"/>
        <v>0</v>
      </c>
      <c r="Y426" s="124" t="e">
        <f t="shared" si="62"/>
        <v>#DIV/0!</v>
      </c>
      <c r="Z426" s="124"/>
      <c r="AA426" s="124" t="e">
        <f t="shared" si="63"/>
        <v>#DIV/0!</v>
      </c>
      <c r="AB426" s="125" t="e">
        <f t="shared" si="64"/>
        <v>#DIV/0!</v>
      </c>
      <c r="AC426" s="31" t="e">
        <f t="shared" si="70"/>
        <v>#DIV/0!</v>
      </c>
      <c r="AD426" s="126"/>
      <c r="AE426" s="127"/>
      <c r="AF426" s="127" t="e">
        <f t="shared" si="65"/>
        <v>#DIV/0!</v>
      </c>
      <c r="AG426" s="128" t="e">
        <f t="shared" si="66"/>
        <v>#DIV/0!</v>
      </c>
      <c r="AH426" s="128" t="e">
        <f t="shared" si="67"/>
        <v>#DIV/0!</v>
      </c>
      <c r="AI426" s="127" t="e">
        <f t="shared" si="68"/>
        <v>#DIV/0!</v>
      </c>
    </row>
    <row r="427" ht="15.5" customHeight="1" spans="1:35">
      <c r="A427" s="63"/>
      <c r="B427" s="56"/>
      <c r="C427" s="56"/>
      <c r="D427" s="59"/>
      <c r="E427" s="63"/>
      <c r="F427" s="24"/>
      <c r="G427" s="63"/>
      <c r="H427" s="21"/>
      <c r="I427" s="23"/>
      <c r="J427" s="121"/>
      <c r="K427" s="121"/>
      <c r="L427" s="26"/>
      <c r="M427" s="26"/>
      <c r="N427" s="26"/>
      <c r="O427" s="26"/>
      <c r="P427" s="26"/>
      <c r="Q427" s="26"/>
      <c r="R427" s="26"/>
      <c r="S427" s="23"/>
      <c r="T427" s="26"/>
      <c r="U427" s="26" t="str">
        <f t="shared" si="60"/>
        <v/>
      </c>
      <c r="V427" s="27"/>
      <c r="W427" s="122"/>
      <c r="X427" s="123">
        <f t="shared" si="61"/>
        <v>0</v>
      </c>
      <c r="Y427" s="124" t="e">
        <f t="shared" si="62"/>
        <v>#DIV/0!</v>
      </c>
      <c r="Z427" s="124"/>
      <c r="AA427" s="124" t="e">
        <f t="shared" si="63"/>
        <v>#DIV/0!</v>
      </c>
      <c r="AB427" s="125" t="e">
        <f t="shared" si="64"/>
        <v>#DIV/0!</v>
      </c>
      <c r="AC427" s="31" t="e">
        <f t="shared" si="70"/>
        <v>#DIV/0!</v>
      </c>
      <c r="AD427" s="126"/>
      <c r="AE427" s="127"/>
      <c r="AF427" s="127" t="e">
        <f t="shared" si="65"/>
        <v>#DIV/0!</v>
      </c>
      <c r="AG427" s="128" t="e">
        <f t="shared" si="66"/>
        <v>#DIV/0!</v>
      </c>
      <c r="AH427" s="128" t="e">
        <f t="shared" si="67"/>
        <v>#DIV/0!</v>
      </c>
      <c r="AI427" s="127" t="e">
        <f t="shared" si="68"/>
        <v>#DIV/0!</v>
      </c>
    </row>
    <row r="428" ht="15.5" customHeight="1" spans="1:35">
      <c r="A428" s="63"/>
      <c r="B428" s="56"/>
      <c r="C428" s="56"/>
      <c r="D428" s="59"/>
      <c r="E428" s="63"/>
      <c r="F428" s="24"/>
      <c r="G428" s="63"/>
      <c r="H428" s="21"/>
      <c r="I428" s="23"/>
      <c r="J428" s="121"/>
      <c r="K428" s="121"/>
      <c r="L428" s="26"/>
      <c r="M428" s="26"/>
      <c r="N428" s="26"/>
      <c r="O428" s="26"/>
      <c r="P428" s="26"/>
      <c r="Q428" s="26"/>
      <c r="R428" s="26"/>
      <c r="S428" s="23"/>
      <c r="T428" s="26"/>
      <c r="U428" s="26" t="str">
        <f t="shared" si="60"/>
        <v/>
      </c>
      <c r="V428" s="27"/>
      <c r="W428" s="122"/>
      <c r="X428" s="123">
        <f t="shared" si="61"/>
        <v>0</v>
      </c>
      <c r="Y428" s="124" t="e">
        <f t="shared" si="62"/>
        <v>#DIV/0!</v>
      </c>
      <c r="Z428" s="124"/>
      <c r="AA428" s="124" t="e">
        <f t="shared" si="63"/>
        <v>#DIV/0!</v>
      </c>
      <c r="AB428" s="125" t="e">
        <f t="shared" si="64"/>
        <v>#DIV/0!</v>
      </c>
      <c r="AC428" s="31" t="e">
        <f t="shared" si="70"/>
        <v>#DIV/0!</v>
      </c>
      <c r="AD428" s="126"/>
      <c r="AE428" s="127"/>
      <c r="AF428" s="127" t="e">
        <f t="shared" si="65"/>
        <v>#DIV/0!</v>
      </c>
      <c r="AG428" s="128" t="e">
        <f t="shared" si="66"/>
        <v>#DIV/0!</v>
      </c>
      <c r="AH428" s="128" t="e">
        <f t="shared" si="67"/>
        <v>#DIV/0!</v>
      </c>
      <c r="AI428" s="127" t="e">
        <f t="shared" si="68"/>
        <v>#DIV/0!</v>
      </c>
    </row>
    <row r="429" ht="15.5" customHeight="1" spans="1:35">
      <c r="A429" s="63"/>
      <c r="B429" s="56"/>
      <c r="C429" s="56"/>
      <c r="D429" s="59"/>
      <c r="E429" s="63"/>
      <c r="F429" s="24"/>
      <c r="G429" s="63"/>
      <c r="H429" s="21"/>
      <c r="I429" s="23"/>
      <c r="J429" s="121"/>
      <c r="K429" s="121"/>
      <c r="L429" s="26"/>
      <c r="M429" s="26"/>
      <c r="N429" s="26"/>
      <c r="O429" s="26"/>
      <c r="P429" s="26"/>
      <c r="Q429" s="26"/>
      <c r="R429" s="26"/>
      <c r="S429" s="23"/>
      <c r="T429" s="26"/>
      <c r="U429" s="26" t="str">
        <f t="shared" si="60"/>
        <v/>
      </c>
      <c r="V429" s="27"/>
      <c r="W429" s="122"/>
      <c r="X429" s="123">
        <f t="shared" si="61"/>
        <v>0</v>
      </c>
      <c r="Y429" s="124" t="e">
        <f t="shared" si="62"/>
        <v>#DIV/0!</v>
      </c>
      <c r="Z429" s="124"/>
      <c r="AA429" s="124" t="e">
        <f t="shared" si="63"/>
        <v>#DIV/0!</v>
      </c>
      <c r="AB429" s="125" t="e">
        <f t="shared" si="64"/>
        <v>#DIV/0!</v>
      </c>
      <c r="AC429" s="31" t="e">
        <f t="shared" si="70"/>
        <v>#DIV/0!</v>
      </c>
      <c r="AD429" s="126"/>
      <c r="AE429" s="127"/>
      <c r="AF429" s="127" t="e">
        <f t="shared" si="65"/>
        <v>#DIV/0!</v>
      </c>
      <c r="AG429" s="128" t="e">
        <f t="shared" si="66"/>
        <v>#DIV/0!</v>
      </c>
      <c r="AH429" s="128" t="e">
        <f t="shared" si="67"/>
        <v>#DIV/0!</v>
      </c>
      <c r="AI429" s="127" t="e">
        <f t="shared" si="68"/>
        <v>#DIV/0!</v>
      </c>
    </row>
    <row r="430" ht="15.5" customHeight="1" spans="1:35">
      <c r="A430" s="63"/>
      <c r="B430" s="56"/>
      <c r="C430" s="56"/>
      <c r="D430" s="59"/>
      <c r="E430" s="63"/>
      <c r="F430" s="24"/>
      <c r="G430" s="63"/>
      <c r="H430" s="21"/>
      <c r="I430" s="23"/>
      <c r="J430" s="121"/>
      <c r="K430" s="121"/>
      <c r="L430" s="26"/>
      <c r="M430" s="26"/>
      <c r="N430" s="26"/>
      <c r="O430" s="26"/>
      <c r="P430" s="26"/>
      <c r="Q430" s="26"/>
      <c r="R430" s="26"/>
      <c r="S430" s="23"/>
      <c r="T430" s="26"/>
      <c r="U430" s="26" t="str">
        <f t="shared" si="60"/>
        <v/>
      </c>
      <c r="V430" s="27"/>
      <c r="W430" s="122"/>
      <c r="X430" s="123">
        <f t="shared" si="61"/>
        <v>0</v>
      </c>
      <c r="Y430" s="124" t="e">
        <f t="shared" si="62"/>
        <v>#DIV/0!</v>
      </c>
      <c r="Z430" s="124"/>
      <c r="AA430" s="124" t="e">
        <f t="shared" si="63"/>
        <v>#DIV/0!</v>
      </c>
      <c r="AB430" s="125" t="e">
        <f t="shared" si="64"/>
        <v>#DIV/0!</v>
      </c>
      <c r="AC430" s="31" t="e">
        <f t="shared" si="70"/>
        <v>#DIV/0!</v>
      </c>
      <c r="AD430" s="126"/>
      <c r="AE430" s="127"/>
      <c r="AF430" s="127" t="e">
        <f t="shared" si="65"/>
        <v>#DIV/0!</v>
      </c>
      <c r="AG430" s="128" t="e">
        <f t="shared" si="66"/>
        <v>#DIV/0!</v>
      </c>
      <c r="AH430" s="128" t="e">
        <f t="shared" si="67"/>
        <v>#DIV/0!</v>
      </c>
      <c r="AI430" s="127" t="e">
        <f t="shared" si="68"/>
        <v>#DIV/0!</v>
      </c>
    </row>
    <row r="431" ht="15.5" customHeight="1" spans="1:35">
      <c r="A431" s="63"/>
      <c r="B431" s="56"/>
      <c r="C431" s="56"/>
      <c r="D431" s="59"/>
      <c r="E431" s="63"/>
      <c r="F431" s="24"/>
      <c r="G431" s="63"/>
      <c r="H431" s="21"/>
      <c r="I431" s="23"/>
      <c r="J431" s="121"/>
      <c r="K431" s="121"/>
      <c r="L431" s="26"/>
      <c r="M431" s="26"/>
      <c r="N431" s="26"/>
      <c r="O431" s="26"/>
      <c r="P431" s="26"/>
      <c r="Q431" s="26"/>
      <c r="R431" s="26"/>
      <c r="S431" s="23"/>
      <c r="T431" s="26"/>
      <c r="U431" s="26" t="str">
        <f t="shared" si="60"/>
        <v/>
      </c>
      <c r="V431" s="27"/>
      <c r="W431" s="122"/>
      <c r="X431" s="123">
        <f t="shared" si="61"/>
        <v>0</v>
      </c>
      <c r="Y431" s="124" t="e">
        <f t="shared" si="62"/>
        <v>#DIV/0!</v>
      </c>
      <c r="Z431" s="124"/>
      <c r="AA431" s="124" t="e">
        <f t="shared" si="63"/>
        <v>#DIV/0!</v>
      </c>
      <c r="AB431" s="125" t="e">
        <f t="shared" si="64"/>
        <v>#DIV/0!</v>
      </c>
      <c r="AC431" s="31" t="e">
        <f t="shared" si="70"/>
        <v>#DIV/0!</v>
      </c>
      <c r="AD431" s="126"/>
      <c r="AE431" s="127"/>
      <c r="AF431" s="127" t="e">
        <f t="shared" si="65"/>
        <v>#DIV/0!</v>
      </c>
      <c r="AG431" s="128" t="e">
        <f t="shared" si="66"/>
        <v>#DIV/0!</v>
      </c>
      <c r="AH431" s="128" t="e">
        <f t="shared" si="67"/>
        <v>#DIV/0!</v>
      </c>
      <c r="AI431" s="127" t="e">
        <f t="shared" si="68"/>
        <v>#DIV/0!</v>
      </c>
    </row>
    <row r="432" ht="15.5" customHeight="1" spans="1:35">
      <c r="A432" s="63"/>
      <c r="B432" s="56"/>
      <c r="C432" s="56"/>
      <c r="D432" s="59"/>
      <c r="E432" s="63"/>
      <c r="F432" s="24"/>
      <c r="G432" s="63"/>
      <c r="H432" s="21"/>
      <c r="I432" s="23"/>
      <c r="J432" s="121"/>
      <c r="K432" s="121"/>
      <c r="L432" s="26"/>
      <c r="M432" s="26"/>
      <c r="N432" s="26"/>
      <c r="O432" s="26"/>
      <c r="P432" s="26"/>
      <c r="Q432" s="26"/>
      <c r="R432" s="26"/>
      <c r="S432" s="23"/>
      <c r="T432" s="26"/>
      <c r="U432" s="26" t="str">
        <f t="shared" si="60"/>
        <v/>
      </c>
      <c r="V432" s="27"/>
      <c r="W432" s="122"/>
      <c r="X432" s="123">
        <f t="shared" si="61"/>
        <v>0</v>
      </c>
      <c r="Y432" s="124" t="e">
        <f t="shared" si="62"/>
        <v>#DIV/0!</v>
      </c>
      <c r="Z432" s="124"/>
      <c r="AA432" s="124" t="e">
        <f t="shared" si="63"/>
        <v>#DIV/0!</v>
      </c>
      <c r="AB432" s="125" t="e">
        <f t="shared" si="64"/>
        <v>#DIV/0!</v>
      </c>
      <c r="AC432" s="31" t="e">
        <f t="shared" si="70"/>
        <v>#DIV/0!</v>
      </c>
      <c r="AD432" s="126"/>
      <c r="AE432" s="127"/>
      <c r="AF432" s="127" t="e">
        <f t="shared" si="65"/>
        <v>#DIV/0!</v>
      </c>
      <c r="AG432" s="128" t="e">
        <f t="shared" si="66"/>
        <v>#DIV/0!</v>
      </c>
      <c r="AH432" s="128" t="e">
        <f t="shared" si="67"/>
        <v>#DIV/0!</v>
      </c>
      <c r="AI432" s="127" t="e">
        <f t="shared" si="68"/>
        <v>#DIV/0!</v>
      </c>
    </row>
    <row r="433" ht="15.5" customHeight="1" spans="1:35">
      <c r="A433" s="63"/>
      <c r="B433" s="56"/>
      <c r="C433" s="56"/>
      <c r="D433" s="59"/>
      <c r="E433" s="63"/>
      <c r="F433" s="24"/>
      <c r="G433" s="63"/>
      <c r="H433" s="21"/>
      <c r="I433" s="23"/>
      <c r="J433" s="121"/>
      <c r="K433" s="121"/>
      <c r="L433" s="26"/>
      <c r="M433" s="26"/>
      <c r="N433" s="26"/>
      <c r="O433" s="26"/>
      <c r="P433" s="26"/>
      <c r="Q433" s="26"/>
      <c r="R433" s="26"/>
      <c r="S433" s="23"/>
      <c r="T433" s="26"/>
      <c r="U433" s="26" t="str">
        <f t="shared" si="60"/>
        <v/>
      </c>
      <c r="V433" s="27"/>
      <c r="W433" s="122"/>
      <c r="X433" s="123">
        <f t="shared" si="61"/>
        <v>0</v>
      </c>
      <c r="Y433" s="124" t="e">
        <f t="shared" si="62"/>
        <v>#DIV/0!</v>
      </c>
      <c r="Z433" s="124"/>
      <c r="AA433" s="124" t="e">
        <f t="shared" si="63"/>
        <v>#DIV/0!</v>
      </c>
      <c r="AB433" s="125" t="e">
        <f t="shared" si="64"/>
        <v>#DIV/0!</v>
      </c>
      <c r="AC433" s="31" t="e">
        <f t="shared" si="70"/>
        <v>#DIV/0!</v>
      </c>
      <c r="AD433" s="126"/>
      <c r="AE433" s="127"/>
      <c r="AF433" s="127" t="e">
        <f t="shared" si="65"/>
        <v>#DIV/0!</v>
      </c>
      <c r="AG433" s="128" t="e">
        <f t="shared" si="66"/>
        <v>#DIV/0!</v>
      </c>
      <c r="AH433" s="128" t="e">
        <f t="shared" si="67"/>
        <v>#DIV/0!</v>
      </c>
      <c r="AI433" s="127" t="e">
        <f t="shared" si="68"/>
        <v>#DIV/0!</v>
      </c>
    </row>
    <row r="434" ht="15.5" customHeight="1" spans="1:35">
      <c r="A434" s="63"/>
      <c r="B434" s="56"/>
      <c r="C434" s="56"/>
      <c r="D434" s="59"/>
      <c r="E434" s="63"/>
      <c r="F434" s="24"/>
      <c r="G434" s="63"/>
      <c r="H434" s="21"/>
      <c r="I434" s="23"/>
      <c r="J434" s="121"/>
      <c r="K434" s="121"/>
      <c r="L434" s="26"/>
      <c r="M434" s="26"/>
      <c r="N434" s="26"/>
      <c r="O434" s="26"/>
      <c r="P434" s="26"/>
      <c r="Q434" s="26"/>
      <c r="R434" s="26"/>
      <c r="S434" s="23"/>
      <c r="T434" s="26"/>
      <c r="U434" s="26" t="str">
        <f t="shared" si="60"/>
        <v/>
      </c>
      <c r="V434" s="27"/>
      <c r="W434" s="122"/>
      <c r="X434" s="123">
        <f t="shared" si="61"/>
        <v>0</v>
      </c>
      <c r="Y434" s="124" t="e">
        <f t="shared" si="62"/>
        <v>#DIV/0!</v>
      </c>
      <c r="Z434" s="124"/>
      <c r="AA434" s="124" t="e">
        <f t="shared" si="63"/>
        <v>#DIV/0!</v>
      </c>
      <c r="AB434" s="125" t="e">
        <f t="shared" si="64"/>
        <v>#DIV/0!</v>
      </c>
      <c r="AC434" s="31" t="e">
        <f t="shared" si="70"/>
        <v>#DIV/0!</v>
      </c>
      <c r="AD434" s="126"/>
      <c r="AE434" s="127"/>
      <c r="AF434" s="127" t="e">
        <f t="shared" si="65"/>
        <v>#DIV/0!</v>
      </c>
      <c r="AG434" s="128" t="e">
        <f t="shared" si="66"/>
        <v>#DIV/0!</v>
      </c>
      <c r="AH434" s="128" t="e">
        <f t="shared" si="67"/>
        <v>#DIV/0!</v>
      </c>
      <c r="AI434" s="127" t="e">
        <f t="shared" si="68"/>
        <v>#DIV/0!</v>
      </c>
    </row>
    <row r="435" ht="15.5" customHeight="1" spans="1:35">
      <c r="A435" s="63"/>
      <c r="B435" s="56"/>
      <c r="C435" s="56"/>
      <c r="D435" s="59"/>
      <c r="E435" s="63"/>
      <c r="F435" s="24"/>
      <c r="G435" s="63"/>
      <c r="H435" s="21"/>
      <c r="I435" s="23"/>
      <c r="J435" s="121"/>
      <c r="K435" s="121"/>
      <c r="L435" s="26"/>
      <c r="M435" s="26"/>
      <c r="N435" s="26"/>
      <c r="O435" s="26"/>
      <c r="P435" s="26"/>
      <c r="Q435" s="26"/>
      <c r="R435" s="26"/>
      <c r="S435" s="23"/>
      <c r="T435" s="26"/>
      <c r="U435" s="26" t="str">
        <f t="shared" si="60"/>
        <v/>
      </c>
      <c r="V435" s="27"/>
      <c r="W435" s="122"/>
      <c r="X435" s="123">
        <f t="shared" si="61"/>
        <v>0</v>
      </c>
      <c r="Y435" s="124" t="e">
        <f t="shared" si="62"/>
        <v>#DIV/0!</v>
      </c>
      <c r="Z435" s="124"/>
      <c r="AA435" s="124" t="e">
        <f t="shared" si="63"/>
        <v>#DIV/0!</v>
      </c>
      <c r="AB435" s="125" t="e">
        <f t="shared" si="64"/>
        <v>#DIV/0!</v>
      </c>
      <c r="AC435" s="31" t="e">
        <f t="shared" si="70"/>
        <v>#DIV/0!</v>
      </c>
      <c r="AD435" s="126"/>
      <c r="AE435" s="127"/>
      <c r="AF435" s="127" t="e">
        <f t="shared" si="65"/>
        <v>#DIV/0!</v>
      </c>
      <c r="AG435" s="128" t="e">
        <f t="shared" si="66"/>
        <v>#DIV/0!</v>
      </c>
      <c r="AH435" s="128" t="e">
        <f t="shared" si="67"/>
        <v>#DIV/0!</v>
      </c>
      <c r="AI435" s="127" t="e">
        <f t="shared" si="68"/>
        <v>#DIV/0!</v>
      </c>
    </row>
    <row r="436" ht="15.5" customHeight="1" spans="1:35">
      <c r="A436" s="63"/>
      <c r="B436" s="56"/>
      <c r="C436" s="56"/>
      <c r="D436" s="59"/>
      <c r="E436" s="63"/>
      <c r="F436" s="24"/>
      <c r="G436" s="63"/>
      <c r="H436" s="21"/>
      <c r="I436" s="23"/>
      <c r="J436" s="121"/>
      <c r="K436" s="121"/>
      <c r="L436" s="26"/>
      <c r="M436" s="26"/>
      <c r="N436" s="26"/>
      <c r="O436" s="26"/>
      <c r="P436" s="26"/>
      <c r="Q436" s="26"/>
      <c r="R436" s="26"/>
      <c r="S436" s="23"/>
      <c r="T436" s="26"/>
      <c r="U436" s="26" t="str">
        <f t="shared" si="60"/>
        <v/>
      </c>
      <c r="V436" s="27"/>
      <c r="W436" s="122"/>
      <c r="X436" s="123">
        <f t="shared" si="61"/>
        <v>0</v>
      </c>
      <c r="Y436" s="124" t="e">
        <f t="shared" si="62"/>
        <v>#DIV/0!</v>
      </c>
      <c r="Z436" s="124"/>
      <c r="AA436" s="124" t="e">
        <f t="shared" si="63"/>
        <v>#DIV/0!</v>
      </c>
      <c r="AB436" s="125" t="e">
        <f t="shared" si="64"/>
        <v>#DIV/0!</v>
      </c>
      <c r="AC436" s="31" t="e">
        <f t="shared" si="70"/>
        <v>#DIV/0!</v>
      </c>
      <c r="AD436" s="126"/>
      <c r="AE436" s="127"/>
      <c r="AF436" s="127" t="e">
        <f t="shared" si="65"/>
        <v>#DIV/0!</v>
      </c>
      <c r="AG436" s="128" t="e">
        <f t="shared" si="66"/>
        <v>#DIV/0!</v>
      </c>
      <c r="AH436" s="128" t="e">
        <f t="shared" si="67"/>
        <v>#DIV/0!</v>
      </c>
      <c r="AI436" s="127" t="e">
        <f t="shared" si="68"/>
        <v>#DIV/0!</v>
      </c>
    </row>
    <row r="437" ht="15.5" customHeight="1" spans="1:35">
      <c r="A437" s="63"/>
      <c r="B437" s="56"/>
      <c r="C437" s="56"/>
      <c r="D437" s="59"/>
      <c r="E437" s="63"/>
      <c r="F437" s="24"/>
      <c r="G437" s="63"/>
      <c r="H437" s="21"/>
      <c r="I437" s="23"/>
      <c r="J437" s="121"/>
      <c r="K437" s="121"/>
      <c r="L437" s="26"/>
      <c r="M437" s="26"/>
      <c r="N437" s="26"/>
      <c r="O437" s="26"/>
      <c r="P437" s="26"/>
      <c r="Q437" s="26"/>
      <c r="R437" s="26"/>
      <c r="S437" s="23"/>
      <c r="T437" s="26"/>
      <c r="U437" s="26" t="str">
        <f t="shared" si="60"/>
        <v/>
      </c>
      <c r="V437" s="27"/>
      <c r="W437" s="122"/>
      <c r="X437" s="123">
        <f t="shared" si="61"/>
        <v>0</v>
      </c>
      <c r="Y437" s="124" t="e">
        <f t="shared" si="62"/>
        <v>#DIV/0!</v>
      </c>
      <c r="Z437" s="124"/>
      <c r="AA437" s="124" t="e">
        <f t="shared" si="63"/>
        <v>#DIV/0!</v>
      </c>
      <c r="AB437" s="125" t="e">
        <f t="shared" si="64"/>
        <v>#DIV/0!</v>
      </c>
      <c r="AC437" s="31" t="e">
        <f t="shared" si="70"/>
        <v>#DIV/0!</v>
      </c>
      <c r="AD437" s="126"/>
      <c r="AE437" s="127"/>
      <c r="AF437" s="127" t="e">
        <f t="shared" si="65"/>
        <v>#DIV/0!</v>
      </c>
      <c r="AG437" s="128" t="e">
        <f t="shared" si="66"/>
        <v>#DIV/0!</v>
      </c>
      <c r="AH437" s="128" t="e">
        <f t="shared" si="67"/>
        <v>#DIV/0!</v>
      </c>
      <c r="AI437" s="127" t="e">
        <f t="shared" si="68"/>
        <v>#DIV/0!</v>
      </c>
    </row>
    <row r="438" ht="15.5" customHeight="1" spans="1:35">
      <c r="A438" s="63"/>
      <c r="B438" s="56"/>
      <c r="C438" s="56"/>
      <c r="D438" s="59"/>
      <c r="E438" s="63"/>
      <c r="F438" s="24"/>
      <c r="G438" s="63"/>
      <c r="H438" s="21"/>
      <c r="I438" s="23"/>
      <c r="J438" s="121"/>
      <c r="K438" s="121"/>
      <c r="L438" s="26"/>
      <c r="M438" s="26"/>
      <c r="N438" s="26"/>
      <c r="O438" s="26"/>
      <c r="P438" s="26"/>
      <c r="Q438" s="26"/>
      <c r="R438" s="26"/>
      <c r="S438" s="23"/>
      <c r="T438" s="26"/>
      <c r="U438" s="26" t="str">
        <f t="shared" si="60"/>
        <v/>
      </c>
      <c r="V438" s="27"/>
      <c r="W438" s="122"/>
      <c r="X438" s="123">
        <f t="shared" si="61"/>
        <v>0</v>
      </c>
      <c r="Y438" s="124" t="e">
        <f t="shared" si="62"/>
        <v>#DIV/0!</v>
      </c>
      <c r="Z438" s="124"/>
      <c r="AA438" s="124" t="e">
        <f t="shared" si="63"/>
        <v>#DIV/0!</v>
      </c>
      <c r="AB438" s="125" t="e">
        <f t="shared" si="64"/>
        <v>#DIV/0!</v>
      </c>
      <c r="AC438" s="31" t="e">
        <f t="shared" si="70"/>
        <v>#DIV/0!</v>
      </c>
      <c r="AD438" s="126"/>
      <c r="AE438" s="127"/>
      <c r="AF438" s="127" t="e">
        <f t="shared" si="65"/>
        <v>#DIV/0!</v>
      </c>
      <c r="AG438" s="128" t="e">
        <f t="shared" si="66"/>
        <v>#DIV/0!</v>
      </c>
      <c r="AH438" s="128" t="e">
        <f t="shared" si="67"/>
        <v>#DIV/0!</v>
      </c>
      <c r="AI438" s="127" t="e">
        <f t="shared" si="68"/>
        <v>#DIV/0!</v>
      </c>
    </row>
    <row r="439" ht="15.5" customHeight="1" spans="1:35">
      <c r="A439" s="63"/>
      <c r="B439" s="56"/>
      <c r="C439" s="56"/>
      <c r="D439" s="59"/>
      <c r="E439" s="63"/>
      <c r="F439" s="24"/>
      <c r="G439" s="63"/>
      <c r="H439" s="21"/>
      <c r="I439" s="23"/>
      <c r="J439" s="121"/>
      <c r="K439" s="121"/>
      <c r="L439" s="26"/>
      <c r="M439" s="26"/>
      <c r="N439" s="26"/>
      <c r="O439" s="26"/>
      <c r="P439" s="26"/>
      <c r="Q439" s="26"/>
      <c r="R439" s="26"/>
      <c r="S439" s="23"/>
      <c r="T439" s="26"/>
      <c r="U439" s="26" t="str">
        <f t="shared" si="60"/>
        <v/>
      </c>
      <c r="V439" s="27"/>
      <c r="W439" s="122"/>
      <c r="X439" s="123">
        <f t="shared" si="61"/>
        <v>0</v>
      </c>
      <c r="Y439" s="124" t="e">
        <f t="shared" si="62"/>
        <v>#DIV/0!</v>
      </c>
      <c r="Z439" s="124"/>
      <c r="AA439" s="124" t="e">
        <f t="shared" si="63"/>
        <v>#DIV/0!</v>
      </c>
      <c r="AB439" s="125" t="e">
        <f t="shared" si="64"/>
        <v>#DIV/0!</v>
      </c>
      <c r="AC439" s="31" t="e">
        <f t="shared" si="70"/>
        <v>#DIV/0!</v>
      </c>
      <c r="AD439" s="126"/>
      <c r="AE439" s="127"/>
      <c r="AF439" s="127" t="e">
        <f t="shared" si="65"/>
        <v>#DIV/0!</v>
      </c>
      <c r="AG439" s="128" t="e">
        <f t="shared" si="66"/>
        <v>#DIV/0!</v>
      </c>
      <c r="AH439" s="128" t="e">
        <f t="shared" si="67"/>
        <v>#DIV/0!</v>
      </c>
      <c r="AI439" s="127" t="e">
        <f t="shared" si="68"/>
        <v>#DIV/0!</v>
      </c>
    </row>
    <row r="440" ht="15.5" customHeight="1" spans="1:35">
      <c r="A440" s="63"/>
      <c r="B440" s="56"/>
      <c r="C440" s="56"/>
      <c r="D440" s="59"/>
      <c r="E440" s="63"/>
      <c r="F440" s="24"/>
      <c r="G440" s="63"/>
      <c r="H440" s="21"/>
      <c r="I440" s="23"/>
      <c r="J440" s="121"/>
      <c r="K440" s="121"/>
      <c r="L440" s="26"/>
      <c r="M440" s="26"/>
      <c r="N440" s="26"/>
      <c r="O440" s="26"/>
      <c r="P440" s="26"/>
      <c r="Q440" s="26"/>
      <c r="R440" s="26"/>
      <c r="S440" s="23"/>
      <c r="T440" s="26"/>
      <c r="U440" s="26" t="str">
        <f t="shared" si="60"/>
        <v/>
      </c>
      <c r="V440" s="27"/>
      <c r="W440" s="122"/>
      <c r="X440" s="123">
        <f t="shared" si="61"/>
        <v>0</v>
      </c>
      <c r="Y440" s="124" t="e">
        <f t="shared" si="62"/>
        <v>#DIV/0!</v>
      </c>
      <c r="Z440" s="124"/>
      <c r="AA440" s="124" t="e">
        <f t="shared" si="63"/>
        <v>#DIV/0!</v>
      </c>
      <c r="AB440" s="125" t="e">
        <f t="shared" si="64"/>
        <v>#DIV/0!</v>
      </c>
      <c r="AC440" s="31" t="e">
        <f t="shared" si="70"/>
        <v>#DIV/0!</v>
      </c>
      <c r="AD440" s="126"/>
      <c r="AE440" s="127"/>
      <c r="AF440" s="127" t="e">
        <f t="shared" si="65"/>
        <v>#DIV/0!</v>
      </c>
      <c r="AG440" s="128" t="e">
        <f t="shared" si="66"/>
        <v>#DIV/0!</v>
      </c>
      <c r="AH440" s="128" t="e">
        <f t="shared" si="67"/>
        <v>#DIV/0!</v>
      </c>
      <c r="AI440" s="127" t="e">
        <f t="shared" si="68"/>
        <v>#DIV/0!</v>
      </c>
    </row>
    <row r="441" ht="15.5" customHeight="1" spans="1:35">
      <c r="A441" s="63"/>
      <c r="B441" s="56"/>
      <c r="C441" s="56"/>
      <c r="D441" s="59"/>
      <c r="E441" s="63"/>
      <c r="F441" s="24"/>
      <c r="G441" s="63"/>
      <c r="H441" s="21"/>
      <c r="I441" s="23"/>
      <c r="J441" s="121"/>
      <c r="K441" s="121"/>
      <c r="L441" s="26"/>
      <c r="M441" s="26"/>
      <c r="N441" s="26"/>
      <c r="O441" s="26"/>
      <c r="P441" s="26"/>
      <c r="Q441" s="26"/>
      <c r="R441" s="26"/>
      <c r="S441" s="23"/>
      <c r="T441" s="26"/>
      <c r="U441" s="26" t="str">
        <f t="shared" si="60"/>
        <v/>
      </c>
      <c r="V441" s="27"/>
      <c r="W441" s="122"/>
      <c r="X441" s="123">
        <f t="shared" si="61"/>
        <v>0</v>
      </c>
      <c r="Y441" s="124" t="e">
        <f t="shared" si="62"/>
        <v>#DIV/0!</v>
      </c>
      <c r="Z441" s="124"/>
      <c r="AA441" s="124" t="e">
        <f t="shared" si="63"/>
        <v>#DIV/0!</v>
      </c>
      <c r="AB441" s="125" t="e">
        <f t="shared" si="64"/>
        <v>#DIV/0!</v>
      </c>
      <c r="AC441" s="31" t="e">
        <f t="shared" si="70"/>
        <v>#DIV/0!</v>
      </c>
      <c r="AD441" s="126"/>
      <c r="AE441" s="127"/>
      <c r="AF441" s="127" t="e">
        <f t="shared" si="65"/>
        <v>#DIV/0!</v>
      </c>
      <c r="AG441" s="128" t="e">
        <f t="shared" si="66"/>
        <v>#DIV/0!</v>
      </c>
      <c r="AH441" s="128" t="e">
        <f t="shared" si="67"/>
        <v>#DIV/0!</v>
      </c>
      <c r="AI441" s="127" t="e">
        <f t="shared" si="68"/>
        <v>#DIV/0!</v>
      </c>
    </row>
    <row r="442" ht="15.5" customHeight="1" spans="1:35">
      <c r="A442" s="63"/>
      <c r="B442" s="56"/>
      <c r="C442" s="56"/>
      <c r="D442" s="59"/>
      <c r="E442" s="63"/>
      <c r="F442" s="24"/>
      <c r="G442" s="63"/>
      <c r="H442" s="21"/>
      <c r="I442" s="23"/>
      <c r="J442" s="121"/>
      <c r="K442" s="121"/>
      <c r="L442" s="26"/>
      <c r="M442" s="26"/>
      <c r="N442" s="26"/>
      <c r="O442" s="26"/>
      <c r="P442" s="26"/>
      <c r="Q442" s="26"/>
      <c r="R442" s="26"/>
      <c r="S442" s="23"/>
      <c r="T442" s="26"/>
      <c r="U442" s="26" t="str">
        <f t="shared" si="60"/>
        <v/>
      </c>
      <c r="V442" s="27"/>
      <c r="W442" s="122"/>
      <c r="X442" s="123">
        <f t="shared" si="61"/>
        <v>0</v>
      </c>
      <c r="Y442" s="124" t="e">
        <f t="shared" si="62"/>
        <v>#DIV/0!</v>
      </c>
      <c r="Z442" s="124"/>
      <c r="AA442" s="124" t="e">
        <f t="shared" si="63"/>
        <v>#DIV/0!</v>
      </c>
      <c r="AB442" s="125" t="e">
        <f t="shared" si="64"/>
        <v>#DIV/0!</v>
      </c>
      <c r="AC442" s="31" t="e">
        <f t="shared" si="70"/>
        <v>#DIV/0!</v>
      </c>
      <c r="AD442" s="126"/>
      <c r="AE442" s="127"/>
      <c r="AF442" s="127" t="e">
        <f t="shared" si="65"/>
        <v>#DIV/0!</v>
      </c>
      <c r="AG442" s="128" t="e">
        <f t="shared" si="66"/>
        <v>#DIV/0!</v>
      </c>
      <c r="AH442" s="128" t="e">
        <f t="shared" si="67"/>
        <v>#DIV/0!</v>
      </c>
      <c r="AI442" s="127" t="e">
        <f t="shared" si="68"/>
        <v>#DIV/0!</v>
      </c>
    </row>
    <row r="443" ht="15.5" customHeight="1" spans="1:35">
      <c r="A443" s="63"/>
      <c r="B443" s="56"/>
      <c r="C443" s="56"/>
      <c r="D443" s="59"/>
      <c r="E443" s="63"/>
      <c r="F443" s="24"/>
      <c r="G443" s="63"/>
      <c r="H443" s="21"/>
      <c r="I443" s="23"/>
      <c r="J443" s="121"/>
      <c r="K443" s="121"/>
      <c r="L443" s="26"/>
      <c r="M443" s="26"/>
      <c r="N443" s="26"/>
      <c r="O443" s="26"/>
      <c r="P443" s="26"/>
      <c r="Q443" s="26"/>
      <c r="R443" s="26"/>
      <c r="S443" s="23"/>
      <c r="T443" s="26"/>
      <c r="U443" s="26" t="str">
        <f t="shared" si="60"/>
        <v/>
      </c>
      <c r="V443" s="27"/>
      <c r="W443" s="122"/>
      <c r="X443" s="123">
        <f t="shared" si="61"/>
        <v>0</v>
      </c>
      <c r="Y443" s="124" t="e">
        <f t="shared" si="62"/>
        <v>#DIV/0!</v>
      </c>
      <c r="Z443" s="124"/>
      <c r="AA443" s="124" t="e">
        <f t="shared" si="63"/>
        <v>#DIV/0!</v>
      </c>
      <c r="AB443" s="125" t="e">
        <f t="shared" si="64"/>
        <v>#DIV/0!</v>
      </c>
      <c r="AC443" s="31" t="e">
        <f t="shared" si="70"/>
        <v>#DIV/0!</v>
      </c>
      <c r="AD443" s="126"/>
      <c r="AE443" s="127"/>
      <c r="AF443" s="127" t="e">
        <f t="shared" si="65"/>
        <v>#DIV/0!</v>
      </c>
      <c r="AG443" s="128" t="e">
        <f t="shared" si="66"/>
        <v>#DIV/0!</v>
      </c>
      <c r="AH443" s="128" t="e">
        <f t="shared" si="67"/>
        <v>#DIV/0!</v>
      </c>
      <c r="AI443" s="127" t="e">
        <f t="shared" si="68"/>
        <v>#DIV/0!</v>
      </c>
    </row>
    <row r="444" ht="15.5" customHeight="1" spans="1:35">
      <c r="A444" s="63"/>
      <c r="B444" s="56"/>
      <c r="C444" s="56"/>
      <c r="D444" s="59"/>
      <c r="E444" s="63"/>
      <c r="F444" s="24"/>
      <c r="G444" s="63"/>
      <c r="H444" s="21"/>
      <c r="I444" s="23"/>
      <c r="J444" s="121"/>
      <c r="K444" s="121"/>
      <c r="L444" s="26"/>
      <c r="M444" s="26"/>
      <c r="N444" s="26"/>
      <c r="O444" s="26"/>
      <c r="P444" s="26"/>
      <c r="Q444" s="26"/>
      <c r="R444" s="26"/>
      <c r="S444" s="23"/>
      <c r="T444" s="26"/>
      <c r="U444" s="26" t="str">
        <f t="shared" si="60"/>
        <v/>
      </c>
      <c r="V444" s="27"/>
      <c r="W444" s="122"/>
      <c r="X444" s="123">
        <f t="shared" si="61"/>
        <v>0</v>
      </c>
      <c r="Y444" s="124" t="e">
        <f t="shared" si="62"/>
        <v>#DIV/0!</v>
      </c>
      <c r="Z444" s="124"/>
      <c r="AA444" s="124" t="e">
        <f t="shared" si="63"/>
        <v>#DIV/0!</v>
      </c>
      <c r="AB444" s="125" t="e">
        <f t="shared" si="64"/>
        <v>#DIV/0!</v>
      </c>
      <c r="AC444" s="31" t="e">
        <f t="shared" si="70"/>
        <v>#DIV/0!</v>
      </c>
      <c r="AD444" s="126"/>
      <c r="AE444" s="127"/>
      <c r="AF444" s="127" t="e">
        <f t="shared" si="65"/>
        <v>#DIV/0!</v>
      </c>
      <c r="AG444" s="128" t="e">
        <f t="shared" si="66"/>
        <v>#DIV/0!</v>
      </c>
      <c r="AH444" s="128" t="e">
        <f t="shared" si="67"/>
        <v>#DIV/0!</v>
      </c>
      <c r="AI444" s="127" t="e">
        <f t="shared" si="68"/>
        <v>#DIV/0!</v>
      </c>
    </row>
    <row r="445" ht="15.5" customHeight="1" spans="1:35">
      <c r="A445" s="63"/>
      <c r="B445" s="56"/>
      <c r="C445" s="56"/>
      <c r="D445" s="59"/>
      <c r="E445" s="63"/>
      <c r="F445" s="24"/>
      <c r="G445" s="63"/>
      <c r="H445" s="21"/>
      <c r="I445" s="23"/>
      <c r="J445" s="121"/>
      <c r="K445" s="121"/>
      <c r="L445" s="26"/>
      <c r="M445" s="26"/>
      <c r="N445" s="26"/>
      <c r="O445" s="26"/>
      <c r="P445" s="26"/>
      <c r="Q445" s="26"/>
      <c r="R445" s="26"/>
      <c r="S445" s="23"/>
      <c r="T445" s="26"/>
      <c r="U445" s="26" t="str">
        <f t="shared" si="60"/>
        <v/>
      </c>
      <c r="V445" s="27"/>
      <c r="W445" s="122"/>
      <c r="X445" s="123">
        <f t="shared" si="61"/>
        <v>0</v>
      </c>
      <c r="Y445" s="124" t="e">
        <f t="shared" si="62"/>
        <v>#DIV/0!</v>
      </c>
      <c r="Z445" s="124"/>
      <c r="AA445" s="124" t="e">
        <f t="shared" si="63"/>
        <v>#DIV/0!</v>
      </c>
      <c r="AB445" s="125" t="e">
        <f t="shared" si="64"/>
        <v>#DIV/0!</v>
      </c>
      <c r="AC445" s="31" t="e">
        <f t="shared" si="70"/>
        <v>#DIV/0!</v>
      </c>
      <c r="AD445" s="126"/>
      <c r="AE445" s="127"/>
      <c r="AF445" s="127" t="e">
        <f t="shared" si="65"/>
        <v>#DIV/0!</v>
      </c>
      <c r="AG445" s="128" t="e">
        <f t="shared" si="66"/>
        <v>#DIV/0!</v>
      </c>
      <c r="AH445" s="128" t="e">
        <f t="shared" si="67"/>
        <v>#DIV/0!</v>
      </c>
      <c r="AI445" s="127" t="e">
        <f t="shared" si="68"/>
        <v>#DIV/0!</v>
      </c>
    </row>
    <row r="446" ht="15.5" customHeight="1" spans="1:35">
      <c r="A446" s="63"/>
      <c r="B446" s="56"/>
      <c r="C446" s="56"/>
      <c r="D446" s="59"/>
      <c r="E446" s="63"/>
      <c r="F446" s="24"/>
      <c r="G446" s="63"/>
      <c r="H446" s="21"/>
      <c r="I446" s="23"/>
      <c r="J446" s="121"/>
      <c r="K446" s="121"/>
      <c r="L446" s="26"/>
      <c r="M446" s="26"/>
      <c r="N446" s="26"/>
      <c r="O446" s="26"/>
      <c r="P446" s="26"/>
      <c r="Q446" s="26"/>
      <c r="R446" s="26"/>
      <c r="S446" s="23"/>
      <c r="T446" s="26"/>
      <c r="U446" s="26" t="str">
        <f t="shared" si="60"/>
        <v/>
      </c>
      <c r="V446" s="27"/>
      <c r="W446" s="122"/>
      <c r="X446" s="123">
        <f t="shared" si="61"/>
        <v>0</v>
      </c>
      <c r="Y446" s="124" t="e">
        <f t="shared" si="62"/>
        <v>#DIV/0!</v>
      </c>
      <c r="Z446" s="124"/>
      <c r="AA446" s="124" t="e">
        <f t="shared" si="63"/>
        <v>#DIV/0!</v>
      </c>
      <c r="AB446" s="125" t="e">
        <f t="shared" si="64"/>
        <v>#DIV/0!</v>
      </c>
      <c r="AC446" s="31" t="e">
        <f t="shared" si="70"/>
        <v>#DIV/0!</v>
      </c>
      <c r="AD446" s="126"/>
      <c r="AE446" s="127"/>
      <c r="AF446" s="127" t="e">
        <f t="shared" si="65"/>
        <v>#DIV/0!</v>
      </c>
      <c r="AG446" s="128" t="e">
        <f t="shared" si="66"/>
        <v>#DIV/0!</v>
      </c>
      <c r="AH446" s="128" t="e">
        <f t="shared" si="67"/>
        <v>#DIV/0!</v>
      </c>
      <c r="AI446" s="127" t="e">
        <f t="shared" si="68"/>
        <v>#DIV/0!</v>
      </c>
    </row>
    <row r="447" ht="15.5" customHeight="1" spans="1:35">
      <c r="A447" s="63"/>
      <c r="B447" s="56"/>
      <c r="C447" s="56"/>
      <c r="D447" s="59"/>
      <c r="E447" s="63"/>
      <c r="F447" s="24"/>
      <c r="G447" s="63"/>
      <c r="H447" s="21"/>
      <c r="I447" s="23"/>
      <c r="J447" s="121"/>
      <c r="K447" s="121"/>
      <c r="L447" s="26"/>
      <c r="M447" s="26"/>
      <c r="N447" s="26"/>
      <c r="O447" s="26"/>
      <c r="P447" s="26"/>
      <c r="Q447" s="26"/>
      <c r="R447" s="26"/>
      <c r="S447" s="23"/>
      <c r="T447" s="26"/>
      <c r="U447" s="26" t="str">
        <f t="shared" si="60"/>
        <v/>
      </c>
      <c r="V447" s="27"/>
      <c r="W447" s="122"/>
      <c r="X447" s="123">
        <f t="shared" si="61"/>
        <v>0</v>
      </c>
      <c r="Y447" s="124" t="e">
        <f t="shared" si="62"/>
        <v>#DIV/0!</v>
      </c>
      <c r="Z447" s="124"/>
      <c r="AA447" s="124" t="e">
        <f t="shared" si="63"/>
        <v>#DIV/0!</v>
      </c>
      <c r="AB447" s="125" t="e">
        <f t="shared" si="64"/>
        <v>#DIV/0!</v>
      </c>
      <c r="AC447" s="31" t="e">
        <f t="shared" si="70"/>
        <v>#DIV/0!</v>
      </c>
      <c r="AD447" s="126"/>
      <c r="AE447" s="127"/>
      <c r="AF447" s="127" t="e">
        <f t="shared" si="65"/>
        <v>#DIV/0!</v>
      </c>
      <c r="AG447" s="128" t="e">
        <f t="shared" si="66"/>
        <v>#DIV/0!</v>
      </c>
      <c r="AH447" s="128" t="e">
        <f t="shared" si="67"/>
        <v>#DIV/0!</v>
      </c>
      <c r="AI447" s="127" t="e">
        <f t="shared" si="68"/>
        <v>#DIV/0!</v>
      </c>
    </row>
    <row r="448" ht="15.5" customHeight="1" spans="1:35">
      <c r="A448" s="23"/>
      <c r="B448" s="23"/>
      <c r="C448" s="23"/>
      <c r="D448" s="24"/>
      <c r="E448" s="24"/>
      <c r="F448" s="103"/>
      <c r="G448" s="24"/>
      <c r="H448" s="23"/>
      <c r="I448" s="23"/>
      <c r="J448" s="25"/>
      <c r="K448" s="25"/>
      <c r="L448" s="26"/>
      <c r="M448" s="26"/>
      <c r="N448" s="26"/>
      <c r="O448" s="26"/>
      <c r="P448" s="26"/>
      <c r="Q448" s="26"/>
      <c r="R448" s="26"/>
      <c r="S448" s="23"/>
      <c r="T448" s="26"/>
      <c r="U448" s="26"/>
      <c r="V448" s="27"/>
    </row>
    <row r="449" ht="15.5" spans="1:22">
      <c r="A449" s="21" t="s">
        <v>319</v>
      </c>
      <c r="B449" s="32"/>
      <c r="C449" s="32"/>
      <c r="D449" s="28"/>
      <c r="E449" s="24"/>
      <c r="F449" s="103"/>
      <c r="G449" s="24"/>
      <c r="H449" s="23"/>
      <c r="I449" s="23"/>
      <c r="J449" s="25"/>
      <c r="K449" s="25"/>
      <c r="L449" s="26">
        <f>SUM(L7:L448)</f>
        <v>0</v>
      </c>
      <c r="M449" s="26">
        <f>SUM(M7:M448)</f>
        <v>0</v>
      </c>
      <c r="N449" s="26"/>
      <c r="O449" s="26"/>
      <c r="P449" s="26">
        <f>SUM(P7:P448)</f>
        <v>0</v>
      </c>
      <c r="Q449" s="26">
        <f>SUM(Q7:Q448)</f>
        <v>0</v>
      </c>
      <c r="R449" s="26">
        <f>SUM(R7:R448)</f>
        <v>0</v>
      </c>
      <c r="S449" s="23"/>
      <c r="T449" s="26">
        <f>SUM(T7:T448)</f>
        <v>0</v>
      </c>
      <c r="U449" s="26" t="str">
        <f>IF(Q449=0,"",(T449-Q449)/Q449*100)</f>
        <v/>
      </c>
      <c r="V449" s="27"/>
    </row>
    <row r="450" ht="15.5" spans="1:22">
      <c r="A450" s="29" t="str">
        <f>封面!D11&amp;封面!G11</f>
        <v>被评估单位填表人：</v>
      </c>
      <c r="P450" s="29" t="str">
        <f>"评估人员："&amp;封面!G26</f>
        <v>评估人员：</v>
      </c>
    </row>
    <row r="451" ht="15.5" spans="1:22">
      <c r="A451" s="29" t="str">
        <f>CONCATENATE(封面!D13,封面!F13,封面!G13,封面!H13,封面!I13,封面!J13,封面!K13)</f>
        <v>填表日期：年月日</v>
      </c>
    </row>
  </sheetData>
  <autoFilter xmlns:etc="http://www.wps.cn/officeDocument/2017/etCustomData" ref="A6:AJ447" etc:filterBottomFollowUsedRange="0">
    <extLst/>
  </autoFilter>
  <mergeCells count="30">
    <mergeCell ref="A2:V2"/>
    <mergeCell ref="A3:V3"/>
    <mergeCell ref="L5:M5"/>
    <mergeCell ref="N5:O5"/>
    <mergeCell ref="P5:Q5"/>
    <mergeCell ref="R5:T5"/>
    <mergeCell ref="A449:D449"/>
    <mergeCell ref="A5:A6"/>
    <mergeCell ref="B5:B6"/>
    <mergeCell ref="C5:C6"/>
    <mergeCell ref="D5:D6"/>
    <mergeCell ref="E5:E6"/>
    <mergeCell ref="F5:F6"/>
    <mergeCell ref="G5:G6"/>
    <mergeCell ref="H5:H6"/>
    <mergeCell ref="I5:I6"/>
    <mergeCell ref="J5:J6"/>
    <mergeCell ref="K5:K6"/>
    <mergeCell ref="U5:U6"/>
    <mergeCell ref="V5:V6"/>
    <mergeCell ref="X5:X6"/>
    <mergeCell ref="Y5:Y6"/>
    <mergeCell ref="Z5:Z6"/>
    <mergeCell ref="AA5:AA6"/>
    <mergeCell ref="AB5:AB6"/>
    <mergeCell ref="AC5:AC6"/>
    <mergeCell ref="AF5:AF6"/>
    <mergeCell ref="AG5:AG6"/>
    <mergeCell ref="AH5:AH6"/>
    <mergeCell ref="AI5:AI6"/>
  </mergeCells>
  <hyperlinks>
    <hyperlink ref="A1" location="索引目录!E40" display="返回索引页"/>
    <hyperlink ref="B1" location="固定资产汇总!B14" display="返回"/>
  </hyperlinks>
  <printOptions horizontalCentered="1"/>
  <pageMargins left="0.354330708661417" right="0.354330708661417" top="0.78740157480315" bottom="0.78740157480315" header="1.02" footer="0.511811023622047"/>
  <pageSetup paperSize="9" scale="77" fitToHeight="0" orientation="landscape"/>
  <headerFooter alignWithMargins="0">
    <oddHeader>&amp;R&amp;"宋体,常规"共&amp;"Times New Roman,常规"&amp;N&amp;"宋体,常规"页第&amp;"Times New Roman,常规"&amp;P&amp;"宋体,常规"4-6-6
页</oddHeader>
  </headerFooter>
  <legacyDrawing r:id="rId2"/>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4">
    <pageSetUpPr fitToPage="1"/>
  </sheetPr>
  <dimension ref="A1:T30"/>
  <sheetViews>
    <sheetView view="pageBreakPreview" zoomScale="130" zoomScaleNormal="100" topLeftCell="A6" workbookViewId="0">
      <selection activeCell="G451" sqref="G451"/>
    </sheetView>
  </sheetViews>
  <sheetFormatPr defaultColWidth="9" defaultRowHeight="15.75" customHeight="1"/>
  <cols>
    <col min="1" max="1" width="6.33333333333333" style="13" customWidth="1"/>
    <col min="2" max="2" width="6.83333333333333" style="13" customWidth="1"/>
    <col min="3" max="3" width="9.58333333333333" style="13" customWidth="1"/>
    <col min="4" max="4" width="10.5" style="13" customWidth="1"/>
    <col min="5" max="6" width="5.33333333333333" style="13" customWidth="1"/>
    <col min="7" max="8" width="5.08333333333333" style="13" customWidth="1"/>
    <col min="9" max="9" width="8" style="13" customWidth="1"/>
    <col min="10" max="13" width="13" style="13" hidden="1" customWidth="1" outlineLevel="1"/>
    <col min="14" max="14" width="13" style="13" customWidth="1" collapsed="1"/>
    <col min="15" max="17" width="13" style="13" customWidth="1"/>
    <col min="18" max="18" width="8.08333333333333" style="13" customWidth="1"/>
    <col min="19" max="19" width="9" style="13" customWidth="1"/>
    <col min="20" max="20" width="13.0833333333333" style="13" hidden="1" customWidth="1" outlineLevel="1"/>
    <col min="21" max="21" width="9" style="13" customWidth="1" collapsed="1"/>
    <col min="22" max="16384" width="9" style="13" customWidth="1"/>
  </cols>
  <sheetData>
    <row r="1" ht="15.5" customHeight="1" spans="1:20">
      <c r="A1" s="14" t="s">
        <v>111</v>
      </c>
      <c r="B1" s="15" t="s">
        <v>210</v>
      </c>
      <c r="C1" s="16"/>
      <c r="D1" s="16"/>
      <c r="E1" s="16"/>
      <c r="F1" s="16"/>
      <c r="G1" s="16"/>
      <c r="H1" s="16"/>
      <c r="I1" s="16"/>
      <c r="J1" s="16"/>
      <c r="K1" s="16"/>
      <c r="L1" s="16"/>
      <c r="M1" s="16"/>
      <c r="N1" s="16"/>
      <c r="O1" s="16"/>
      <c r="P1" s="16"/>
      <c r="Q1" s="16"/>
      <c r="R1" s="16"/>
      <c r="S1" s="16"/>
    </row>
    <row r="2" s="11" customFormat="1" ht="30" customHeight="1" spans="1:20">
      <c r="A2" s="17" t="s">
        <v>593</v>
      </c>
    </row>
    <row r="3" ht="14.15" customHeight="1" spans="1:20">
      <c r="A3" s="18" t="str">
        <f>CONCATENATE(封面!D9,封面!F9,封面!G9,封面!H9,封面!I9,封面!J9,封面!K9)</f>
        <v>评估基准日：年月日</v>
      </c>
    </row>
    <row r="4" ht="15.5" customHeight="1" spans="1:20">
      <c r="A4" s="19" t="str">
        <f>封面!D7&amp;封面!F7</f>
        <v>被评估单位：</v>
      </c>
      <c r="S4" s="20" t="s">
        <v>139</v>
      </c>
    </row>
    <row r="5" s="16" customFormat="1" ht="13" customHeight="1" spans="1:20">
      <c r="A5" s="22" t="s">
        <v>141</v>
      </c>
      <c r="B5" s="22" t="s">
        <v>594</v>
      </c>
      <c r="C5" s="22" t="s">
        <v>595</v>
      </c>
      <c r="D5" s="22" t="s">
        <v>596</v>
      </c>
      <c r="E5" s="22" t="s">
        <v>597</v>
      </c>
      <c r="F5" s="22" t="s">
        <v>598</v>
      </c>
      <c r="G5" s="22" t="s">
        <v>599</v>
      </c>
      <c r="H5" s="22" t="s">
        <v>600</v>
      </c>
      <c r="I5" s="22" t="s">
        <v>601</v>
      </c>
      <c r="J5" s="101" t="s">
        <v>175</v>
      </c>
      <c r="K5" s="28"/>
      <c r="L5" s="102" t="s">
        <v>281</v>
      </c>
      <c r="M5" s="28"/>
      <c r="N5" s="21" t="s">
        <v>176</v>
      </c>
      <c r="O5" s="28"/>
      <c r="P5" s="22" t="s">
        <v>177</v>
      </c>
      <c r="Q5" s="28"/>
      <c r="R5" s="22" t="s">
        <v>215</v>
      </c>
      <c r="S5" s="22" t="s">
        <v>144</v>
      </c>
      <c r="T5" s="21" t="s">
        <v>506</v>
      </c>
    </row>
    <row r="6" s="16" customFormat="1" ht="13" customHeight="1" spans="1:20">
      <c r="A6" s="36"/>
      <c r="B6" s="36"/>
      <c r="C6" s="36"/>
      <c r="D6" s="36"/>
      <c r="E6" s="36"/>
      <c r="F6" s="36"/>
      <c r="G6" s="36"/>
      <c r="H6" s="36"/>
      <c r="I6" s="36"/>
      <c r="J6" s="21" t="s">
        <v>465</v>
      </c>
      <c r="K6" s="21" t="s">
        <v>466</v>
      </c>
      <c r="L6" s="21" t="s">
        <v>465</v>
      </c>
      <c r="M6" s="21" t="s">
        <v>466</v>
      </c>
      <c r="N6" s="21" t="s">
        <v>465</v>
      </c>
      <c r="O6" s="21" t="s">
        <v>466</v>
      </c>
      <c r="P6" s="21" t="s">
        <v>465</v>
      </c>
      <c r="Q6" s="21" t="s">
        <v>466</v>
      </c>
      <c r="R6" s="36"/>
      <c r="S6" s="36"/>
      <c r="T6" s="36"/>
    </row>
    <row r="7" ht="15.5" customHeight="1" spans="1:20">
      <c r="A7" s="23">
        <v>1</v>
      </c>
      <c r="B7" s="61"/>
      <c r="C7" s="24"/>
      <c r="D7" s="24"/>
      <c r="E7" s="60"/>
      <c r="F7" s="61"/>
      <c r="G7" s="61"/>
      <c r="H7" s="61"/>
      <c r="I7" s="109"/>
      <c r="J7" s="26"/>
      <c r="K7" s="26"/>
      <c r="L7" s="26"/>
      <c r="M7" s="26"/>
      <c r="O7" s="26"/>
      <c r="P7" s="26"/>
      <c r="Q7" s="26"/>
      <c r="R7" s="26" t="str">
        <f t="shared" ref="R7:R26" si="0">IF(O7=0,"",(Q7-O7)/O7*100)</f>
        <v/>
      </c>
      <c r="S7" s="27"/>
      <c r="T7" s="27"/>
    </row>
    <row r="8" ht="15.5" customHeight="1" spans="1:20">
      <c r="A8" s="23"/>
      <c r="B8" s="23"/>
      <c r="C8" s="24"/>
      <c r="D8" s="24"/>
      <c r="E8" s="25"/>
      <c r="F8" s="23"/>
      <c r="G8" s="23"/>
      <c r="H8" s="23"/>
      <c r="I8" s="26"/>
      <c r="J8" s="26"/>
      <c r="K8" s="26"/>
      <c r="L8" s="26"/>
      <c r="M8" s="26"/>
      <c r="N8" s="26"/>
      <c r="O8" s="26"/>
      <c r="P8" s="26"/>
      <c r="Q8" s="26"/>
      <c r="R8" s="26" t="str">
        <f t="shared" si="0"/>
        <v/>
      </c>
      <c r="S8" s="27"/>
      <c r="T8" s="27"/>
    </row>
    <row r="9" ht="15.5" customHeight="1" spans="1:20">
      <c r="A9" s="23"/>
      <c r="B9" s="23"/>
      <c r="C9" s="24"/>
      <c r="D9" s="24"/>
      <c r="E9" s="25"/>
      <c r="F9" s="23"/>
      <c r="G9" s="23"/>
      <c r="H9" s="23"/>
      <c r="I9" s="26"/>
      <c r="J9" s="26"/>
      <c r="K9" s="26"/>
      <c r="L9" s="26"/>
      <c r="M9" s="26"/>
      <c r="N9" s="26"/>
      <c r="O9" s="26"/>
      <c r="P9" s="26"/>
      <c r="Q9" s="26"/>
      <c r="R9" s="26" t="str">
        <f t="shared" si="0"/>
        <v/>
      </c>
      <c r="S9" s="27"/>
      <c r="T9" s="27"/>
    </row>
    <row r="10" ht="15.5" customHeight="1" spans="1:20">
      <c r="A10" s="23"/>
      <c r="B10" s="23"/>
      <c r="C10" s="24"/>
      <c r="D10" s="24"/>
      <c r="E10" s="25"/>
      <c r="F10" s="23"/>
      <c r="G10" s="23"/>
      <c r="H10" s="23"/>
      <c r="I10" s="26"/>
      <c r="J10" s="26"/>
      <c r="K10" s="26"/>
      <c r="L10" s="26"/>
      <c r="M10" s="26"/>
      <c r="N10" s="26"/>
      <c r="O10" s="26"/>
      <c r="P10" s="26"/>
      <c r="Q10" s="26"/>
      <c r="R10" s="26" t="str">
        <f t="shared" si="0"/>
        <v/>
      </c>
      <c r="S10" s="27"/>
      <c r="T10" s="27"/>
    </row>
    <row r="11" ht="15.5" customHeight="1" spans="1:20">
      <c r="A11" s="23"/>
      <c r="B11" s="23"/>
      <c r="C11" s="24"/>
      <c r="D11" s="24"/>
      <c r="E11" s="25"/>
      <c r="F11" s="23"/>
      <c r="G11" s="23"/>
      <c r="H11" s="23"/>
      <c r="I11" s="26"/>
      <c r="J11" s="26"/>
      <c r="K11" s="26"/>
      <c r="L11" s="26"/>
      <c r="M11" s="26"/>
      <c r="N11" s="26"/>
      <c r="O11" s="26"/>
      <c r="P11" s="26"/>
      <c r="Q11" s="26"/>
      <c r="R11" s="26" t="str">
        <f t="shared" si="0"/>
        <v/>
      </c>
      <c r="S11" s="27"/>
      <c r="T11" s="27"/>
    </row>
    <row r="12" ht="15.5" customHeight="1" spans="1:20">
      <c r="A12" s="23"/>
      <c r="B12" s="23"/>
      <c r="C12" s="24"/>
      <c r="D12" s="24"/>
      <c r="E12" s="25"/>
      <c r="F12" s="23"/>
      <c r="G12" s="23"/>
      <c r="H12" s="23"/>
      <c r="I12" s="26"/>
      <c r="J12" s="26"/>
      <c r="K12" s="26"/>
      <c r="L12" s="26"/>
      <c r="M12" s="26"/>
      <c r="N12" s="26"/>
      <c r="O12" s="26"/>
      <c r="P12" s="26"/>
      <c r="Q12" s="26"/>
      <c r="R12" s="26" t="str">
        <f t="shared" si="0"/>
        <v/>
      </c>
      <c r="S12" s="27"/>
      <c r="T12" s="27"/>
    </row>
    <row r="13" ht="15.5" customHeight="1" spans="1:20">
      <c r="A13" s="23"/>
      <c r="B13" s="23"/>
      <c r="C13" s="24"/>
      <c r="D13" s="24"/>
      <c r="E13" s="25"/>
      <c r="F13" s="23"/>
      <c r="G13" s="23"/>
      <c r="H13" s="23"/>
      <c r="I13" s="26"/>
      <c r="J13" s="26"/>
      <c r="K13" s="26"/>
      <c r="L13" s="26"/>
      <c r="M13" s="26"/>
      <c r="N13" s="26"/>
      <c r="O13" s="26"/>
      <c r="P13" s="26"/>
      <c r="Q13" s="26"/>
      <c r="R13" s="26" t="str">
        <f t="shared" si="0"/>
        <v/>
      </c>
      <c r="S13" s="27"/>
      <c r="T13" s="27"/>
    </row>
    <row r="14" ht="15.5" customHeight="1" spans="1:20">
      <c r="A14" s="23"/>
      <c r="B14" s="23"/>
      <c r="C14" s="24"/>
      <c r="D14" s="24"/>
      <c r="E14" s="25"/>
      <c r="F14" s="23"/>
      <c r="G14" s="23"/>
      <c r="H14" s="23"/>
      <c r="I14" s="26"/>
      <c r="J14" s="26"/>
      <c r="K14" s="26"/>
      <c r="L14" s="26"/>
      <c r="M14" s="26"/>
      <c r="N14" s="26"/>
      <c r="O14" s="26"/>
      <c r="P14" s="26"/>
      <c r="Q14" s="26"/>
      <c r="R14" s="26" t="str">
        <f t="shared" si="0"/>
        <v/>
      </c>
      <c r="S14" s="27"/>
      <c r="T14" s="27"/>
    </row>
    <row r="15" ht="15.5" customHeight="1" spans="1:20">
      <c r="A15" s="23"/>
      <c r="B15" s="23"/>
      <c r="C15" s="24"/>
      <c r="D15" s="24"/>
      <c r="E15" s="25"/>
      <c r="F15" s="23"/>
      <c r="G15" s="23"/>
      <c r="H15" s="23"/>
      <c r="I15" s="26"/>
      <c r="J15" s="26"/>
      <c r="K15" s="26"/>
      <c r="L15" s="26"/>
      <c r="M15" s="26"/>
      <c r="N15" s="26"/>
      <c r="O15" s="26"/>
      <c r="P15" s="26"/>
      <c r="Q15" s="26"/>
      <c r="R15" s="26" t="str">
        <f t="shared" si="0"/>
        <v/>
      </c>
      <c r="S15" s="27"/>
      <c r="T15" s="27"/>
    </row>
    <row r="16" ht="15.5" customHeight="1" spans="1:20">
      <c r="A16" s="23"/>
      <c r="B16" s="23"/>
      <c r="C16" s="24"/>
      <c r="D16" s="24"/>
      <c r="E16" s="25"/>
      <c r="F16" s="23"/>
      <c r="G16" s="23"/>
      <c r="H16" s="23"/>
      <c r="I16" s="26"/>
      <c r="J16" s="26"/>
      <c r="K16" s="26"/>
      <c r="L16" s="26"/>
      <c r="M16" s="26"/>
      <c r="N16" s="26"/>
      <c r="O16" s="26"/>
      <c r="P16" s="26"/>
      <c r="Q16" s="26"/>
      <c r="R16" s="26" t="str">
        <f t="shared" si="0"/>
        <v/>
      </c>
      <c r="S16" s="27"/>
      <c r="T16" s="27"/>
    </row>
    <row r="17" ht="15.5" customHeight="1" spans="1:20">
      <c r="A17" s="23"/>
      <c r="B17" s="23"/>
      <c r="C17" s="24"/>
      <c r="D17" s="24"/>
      <c r="E17" s="25"/>
      <c r="F17" s="23"/>
      <c r="G17" s="23"/>
      <c r="H17" s="23"/>
      <c r="I17" s="26"/>
      <c r="J17" s="26"/>
      <c r="K17" s="26"/>
      <c r="L17" s="26"/>
      <c r="M17" s="26"/>
      <c r="N17" s="26"/>
      <c r="O17" s="26"/>
      <c r="P17" s="26"/>
      <c r="Q17" s="26"/>
      <c r="R17" s="26" t="str">
        <f t="shared" si="0"/>
        <v/>
      </c>
      <c r="S17" s="27"/>
      <c r="T17" s="27"/>
    </row>
    <row r="18" ht="15.5" customHeight="1" spans="1:20">
      <c r="A18" s="23"/>
      <c r="B18" s="23"/>
      <c r="C18" s="24"/>
      <c r="D18" s="24"/>
      <c r="E18" s="25"/>
      <c r="F18" s="23"/>
      <c r="G18" s="23"/>
      <c r="H18" s="23"/>
      <c r="I18" s="26"/>
      <c r="J18" s="26"/>
      <c r="K18" s="26"/>
      <c r="L18" s="26"/>
      <c r="M18" s="26"/>
      <c r="N18" s="26"/>
      <c r="O18" s="26"/>
      <c r="P18" s="26"/>
      <c r="Q18" s="26"/>
      <c r="R18" s="26" t="str">
        <f t="shared" si="0"/>
        <v/>
      </c>
      <c r="S18" s="27"/>
      <c r="T18" s="27"/>
    </row>
    <row r="19" ht="15.5" customHeight="1" spans="1:20">
      <c r="A19" s="23"/>
      <c r="B19" s="23"/>
      <c r="C19" s="24"/>
      <c r="D19" s="24"/>
      <c r="E19" s="25"/>
      <c r="F19" s="23"/>
      <c r="G19" s="23"/>
      <c r="H19" s="23"/>
      <c r="I19" s="26"/>
      <c r="J19" s="26"/>
      <c r="K19" s="26"/>
      <c r="L19" s="26"/>
      <c r="M19" s="26"/>
      <c r="N19" s="26"/>
      <c r="O19" s="26"/>
      <c r="P19" s="26"/>
      <c r="Q19" s="26"/>
      <c r="R19" s="26" t="str">
        <f t="shared" si="0"/>
        <v/>
      </c>
      <c r="S19" s="27"/>
      <c r="T19" s="27"/>
    </row>
    <row r="20" ht="15.5" customHeight="1" spans="1:20">
      <c r="A20" s="23"/>
      <c r="B20" s="23"/>
      <c r="C20" s="24"/>
      <c r="D20" s="24"/>
      <c r="E20" s="25"/>
      <c r="F20" s="23"/>
      <c r="G20" s="23"/>
      <c r="H20" s="23"/>
      <c r="I20" s="26"/>
      <c r="J20" s="26"/>
      <c r="K20" s="26"/>
      <c r="L20" s="26"/>
      <c r="M20" s="26"/>
      <c r="N20" s="26"/>
      <c r="O20" s="26"/>
      <c r="P20" s="26"/>
      <c r="Q20" s="26"/>
      <c r="R20" s="26" t="str">
        <f t="shared" si="0"/>
        <v/>
      </c>
      <c r="S20" s="27"/>
      <c r="T20" s="27"/>
    </row>
    <row r="21" ht="15.5" customHeight="1" spans="1:20">
      <c r="A21" s="23"/>
      <c r="B21" s="23"/>
      <c r="C21" s="24"/>
      <c r="D21" s="24"/>
      <c r="E21" s="25"/>
      <c r="F21" s="23"/>
      <c r="G21" s="23"/>
      <c r="H21" s="23"/>
      <c r="I21" s="26"/>
      <c r="J21" s="26"/>
      <c r="K21" s="26"/>
      <c r="L21" s="26"/>
      <c r="M21" s="26"/>
      <c r="N21" s="26"/>
      <c r="O21" s="26"/>
      <c r="P21" s="26"/>
      <c r="Q21" s="26"/>
      <c r="R21" s="26" t="str">
        <f t="shared" si="0"/>
        <v/>
      </c>
      <c r="S21" s="27"/>
      <c r="T21" s="27"/>
    </row>
    <row r="22" ht="15.5" customHeight="1" spans="1:20">
      <c r="A22" s="23"/>
      <c r="B22" s="23"/>
      <c r="C22" s="24"/>
      <c r="D22" s="24"/>
      <c r="E22" s="25"/>
      <c r="F22" s="23"/>
      <c r="G22" s="23"/>
      <c r="H22" s="23"/>
      <c r="I22" s="26"/>
      <c r="J22" s="26"/>
      <c r="K22" s="26"/>
      <c r="L22" s="26"/>
      <c r="M22" s="26"/>
      <c r="N22" s="26"/>
      <c r="O22" s="26"/>
      <c r="P22" s="26"/>
      <c r="Q22" s="26"/>
      <c r="R22" s="26" t="str">
        <f t="shared" si="0"/>
        <v/>
      </c>
      <c r="S22" s="27"/>
      <c r="T22" s="27"/>
    </row>
    <row r="23" ht="15.5" customHeight="1" spans="1:20">
      <c r="A23" s="23"/>
      <c r="B23" s="23"/>
      <c r="C23" s="24"/>
      <c r="D23" s="24"/>
      <c r="E23" s="25"/>
      <c r="F23" s="23"/>
      <c r="G23" s="23"/>
      <c r="H23" s="23"/>
      <c r="I23" s="26"/>
      <c r="J23" s="26"/>
      <c r="K23" s="26"/>
      <c r="L23" s="26"/>
      <c r="M23" s="26"/>
      <c r="N23" s="26"/>
      <c r="O23" s="26"/>
      <c r="P23" s="26"/>
      <c r="Q23" s="26"/>
      <c r="R23" s="26" t="str">
        <f t="shared" si="0"/>
        <v/>
      </c>
      <c r="S23" s="27"/>
      <c r="T23" s="27"/>
    </row>
    <row r="24" ht="15.5" customHeight="1" spans="1:20">
      <c r="A24" s="23"/>
      <c r="B24" s="23"/>
      <c r="C24" s="24"/>
      <c r="D24" s="24"/>
      <c r="E24" s="25"/>
      <c r="F24" s="23"/>
      <c r="G24" s="23"/>
      <c r="H24" s="23"/>
      <c r="I24" s="26"/>
      <c r="J24" s="26"/>
      <c r="K24" s="26"/>
      <c r="L24" s="26"/>
      <c r="M24" s="26"/>
      <c r="N24" s="26"/>
      <c r="O24" s="26"/>
      <c r="P24" s="26"/>
      <c r="Q24" s="26"/>
      <c r="R24" s="26" t="str">
        <f t="shared" si="0"/>
        <v/>
      </c>
      <c r="S24" s="27"/>
      <c r="T24" s="27"/>
    </row>
    <row r="25" ht="15.5" customHeight="1" spans="1:20">
      <c r="A25" s="23"/>
      <c r="B25" s="23"/>
      <c r="C25" s="24"/>
      <c r="D25" s="24"/>
      <c r="E25" s="25"/>
      <c r="F25" s="23"/>
      <c r="G25" s="23"/>
      <c r="H25" s="23"/>
      <c r="I25" s="26"/>
      <c r="J25" s="26"/>
      <c r="K25" s="26"/>
      <c r="L25" s="26"/>
      <c r="M25" s="26"/>
      <c r="N25" s="26"/>
      <c r="O25" s="26"/>
      <c r="P25" s="26"/>
      <c r="Q25" s="26"/>
      <c r="R25" s="26" t="str">
        <f t="shared" si="0"/>
        <v/>
      </c>
      <c r="S25" s="27"/>
      <c r="T25" s="27"/>
    </row>
    <row r="26" ht="15.5" customHeight="1" spans="1:20">
      <c r="A26" s="23"/>
      <c r="B26" s="23"/>
      <c r="C26" s="24"/>
      <c r="D26" s="24"/>
      <c r="E26" s="25"/>
      <c r="F26" s="23"/>
      <c r="G26" s="23"/>
      <c r="H26" s="23"/>
      <c r="I26" s="26"/>
      <c r="J26" s="26"/>
      <c r="K26" s="26"/>
      <c r="L26" s="26"/>
      <c r="M26" s="26"/>
      <c r="N26" s="26"/>
      <c r="O26" s="26"/>
      <c r="P26" s="26"/>
      <c r="Q26" s="26"/>
      <c r="R26" s="26" t="str">
        <f t="shared" si="0"/>
        <v/>
      </c>
      <c r="S26" s="27"/>
      <c r="T26" s="27"/>
    </row>
    <row r="27" ht="15.5" customHeight="1" spans="1:20">
      <c r="A27" s="23"/>
      <c r="B27" s="23"/>
      <c r="C27" s="24"/>
      <c r="D27" s="24"/>
      <c r="E27" s="25"/>
      <c r="F27" s="23"/>
      <c r="G27" s="23"/>
      <c r="H27" s="23"/>
      <c r="I27" s="26"/>
      <c r="J27" s="26"/>
      <c r="K27" s="26"/>
      <c r="L27" s="26"/>
      <c r="M27" s="26"/>
      <c r="N27" s="26"/>
      <c r="O27" s="26"/>
      <c r="P27" s="26"/>
      <c r="Q27" s="26"/>
      <c r="R27" s="26"/>
      <c r="S27" s="27"/>
      <c r="T27" s="27"/>
    </row>
    <row r="28" ht="15.5" customHeight="1" spans="1:20">
      <c r="A28" s="21" t="s">
        <v>282</v>
      </c>
      <c r="B28" s="32"/>
      <c r="C28" s="32"/>
      <c r="D28" s="28"/>
      <c r="E28" s="25"/>
      <c r="F28" s="23"/>
      <c r="G28" s="23"/>
      <c r="H28" s="23"/>
      <c r="I28" s="26"/>
      <c r="J28" s="26">
        <f>SUM(J7:J27)</f>
        <v>0</v>
      </c>
      <c r="K28" s="26">
        <f>SUM(K7:K27)</f>
        <v>0</v>
      </c>
      <c r="L28" s="26"/>
      <c r="M28" s="26"/>
      <c r="N28" s="26">
        <f>SUM(N8:N27)</f>
        <v>0</v>
      </c>
      <c r="O28" s="26">
        <f>SUM(O7:O27)</f>
        <v>0</v>
      </c>
      <c r="P28" s="26">
        <f>SUM(P7:P27)</f>
        <v>0</v>
      </c>
      <c r="Q28" s="26">
        <f>SUM(Q7:Q27)</f>
        <v>0</v>
      </c>
      <c r="R28" s="26" t="str">
        <f>IF(O28=0,"",(Q28-O28)/O28*100)</f>
        <v/>
      </c>
      <c r="S28" s="27"/>
    </row>
    <row r="29" ht="15.5" customHeight="1" spans="1:20">
      <c r="A29" s="29" t="str">
        <f>封面!D11&amp;封面!G11</f>
        <v>被评估单位填表人：</v>
      </c>
      <c r="G29" s="19"/>
      <c r="N29" s="13" t="str">
        <f>"评估人员："&amp;封面!G28</f>
        <v>评估人员：</v>
      </c>
    </row>
    <row r="30" ht="15.5" customHeight="1" spans="1:20">
      <c r="A30" s="29" t="str">
        <f>CONCATENATE(封面!D13,封面!F13,封面!G13,封面!H13,封面!I13,封面!J13,封面!K13)</f>
        <v>填表日期：年月日</v>
      </c>
    </row>
  </sheetData>
  <mergeCells count="19">
    <mergeCell ref="A2:S2"/>
    <mergeCell ref="A3:S3"/>
    <mergeCell ref="J5:K5"/>
    <mergeCell ref="L5:M5"/>
    <mergeCell ref="N5:O5"/>
    <mergeCell ref="P5:Q5"/>
    <mergeCell ref="A28:D28"/>
    <mergeCell ref="A5:A6"/>
    <mergeCell ref="B5:B6"/>
    <mergeCell ref="C5:C6"/>
    <mergeCell ref="D5:D6"/>
    <mergeCell ref="E5:E6"/>
    <mergeCell ref="F5:F6"/>
    <mergeCell ref="G5:G6"/>
    <mergeCell ref="H5:H6"/>
    <mergeCell ref="I5:I6"/>
    <mergeCell ref="R5:R6"/>
    <mergeCell ref="S5:S6"/>
    <mergeCell ref="T5:T6"/>
  </mergeCells>
  <hyperlinks>
    <hyperlink ref="A1" location="索引目录!E41" display="返回索引页"/>
    <hyperlink ref="B1" location="固定资产汇总!B15" display="返回"/>
  </hyperlinks>
  <printOptions horizontalCentered="1"/>
  <pageMargins left="0.354330708661417" right="0.354330708661417" top="0.78740157480315" bottom="0.78740157480315" header="0.98" footer="0.511811023622047"/>
  <pageSetup paperSize="9" fitToHeight="0" orientation="landscape"/>
  <headerFooter alignWithMargins="0">
    <oddHeader>&amp;R&amp;"宋体,常规"共&amp;"Times New Roman,常规"&amp;N&amp;"宋体,常规"页第&amp;"Times New Roman,常规"&amp;P&amp;"宋体,常规"4-6-7
页</oddHeader>
  </headerFooter>
  <legacyDrawing r:id="rId2"/>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5">
    <pageSetUpPr fitToPage="1"/>
  </sheetPr>
  <dimension ref="A1:G29"/>
  <sheetViews>
    <sheetView view="pageBreakPreview" zoomScale="60" zoomScaleNormal="85" workbookViewId="0">
      <selection activeCell="G451" sqref="G451"/>
    </sheetView>
  </sheetViews>
  <sheetFormatPr defaultColWidth="9" defaultRowHeight="15.75" customHeight="1" outlineLevelCol="6"/>
  <cols>
    <col min="1" max="1" width="5.75" style="13" customWidth="1"/>
    <col min="2" max="2" width="30.75" style="13" customWidth="1"/>
    <col min="3" max="3" width="19.0833333333333" style="13" hidden="1" customWidth="1" outlineLevel="1"/>
    <col min="4" max="4" width="24.75" style="13" customWidth="1" collapsed="1"/>
    <col min="5" max="5" width="24.75" style="13" customWidth="1"/>
    <col min="6" max="6" width="22.5" style="13" customWidth="1"/>
    <col min="7" max="7" width="12.5833333333333" style="13" customWidth="1"/>
    <col min="8" max="16384" width="9" style="13" customWidth="1"/>
  </cols>
  <sheetData>
    <row r="1" ht="15.5" customHeight="1" spans="1:7">
      <c r="A1" s="68" t="s">
        <v>111</v>
      </c>
      <c r="B1" s="15" t="s">
        <v>210</v>
      </c>
      <c r="C1" s="16"/>
      <c r="D1" s="16"/>
      <c r="E1" s="16"/>
      <c r="F1" s="16"/>
      <c r="G1" s="16"/>
    </row>
    <row r="2" s="11" customFormat="1" ht="30" customHeight="1" spans="1:7">
      <c r="A2" s="17" t="s">
        <v>602</v>
      </c>
    </row>
    <row r="3" ht="14.15" customHeight="1" spans="1:7">
      <c r="A3" s="18" t="str">
        <f>CONCATENATE(封面!D9,封面!F9,封面!G9,封面!H9,封面!I9,封面!J9,封面!K9)</f>
        <v>评估基准日：年月日</v>
      </c>
    </row>
    <row r="4" ht="15.5" customHeight="1" spans="1:7">
      <c r="A4" s="19" t="str">
        <f>封面!D7&amp;封面!F7</f>
        <v>被评估单位：</v>
      </c>
      <c r="G4" s="20" t="s">
        <v>139</v>
      </c>
    </row>
    <row r="5" s="12" customFormat="1" ht="13" customHeight="1" spans="1:7">
      <c r="A5" s="45" t="s">
        <v>260</v>
      </c>
      <c r="B5" s="45" t="s">
        <v>212</v>
      </c>
      <c r="C5" s="45" t="s">
        <v>175</v>
      </c>
      <c r="D5" s="45" t="s">
        <v>176</v>
      </c>
      <c r="E5" s="45" t="s">
        <v>177</v>
      </c>
      <c r="F5" s="45" t="s">
        <v>214</v>
      </c>
      <c r="G5" s="45" t="s">
        <v>215</v>
      </c>
    </row>
    <row r="6" ht="15.5" customHeight="1" spans="1:7">
      <c r="A6" s="45" t="s">
        <v>603</v>
      </c>
      <c r="B6" s="98" t="s">
        <v>95</v>
      </c>
      <c r="C6" s="26">
        <f>'在建（土建）'!I27</f>
        <v>0</v>
      </c>
      <c r="D6" s="26">
        <f>'在建（土建）'!K27</f>
        <v>0</v>
      </c>
      <c r="E6" s="26">
        <f>'在建（土建）'!L27</f>
        <v>0</v>
      </c>
      <c r="F6" s="26">
        <f>E6-D6</f>
        <v>0</v>
      </c>
      <c r="G6" s="26" t="str">
        <f>IF(D6=0,"",F6/D6*100)</f>
        <v/>
      </c>
    </row>
    <row r="7" ht="15.5" customHeight="1" spans="1:7">
      <c r="A7" s="45" t="s">
        <v>604</v>
      </c>
      <c r="B7" s="98" t="s">
        <v>96</v>
      </c>
      <c r="C7" s="26">
        <f>'在建（设备）'!K27</f>
        <v>0</v>
      </c>
      <c r="D7" s="26">
        <f>'在建（设备）'!P27</f>
        <v>0</v>
      </c>
      <c r="E7" s="26">
        <f>'在建（设备）'!T27</f>
        <v>0</v>
      </c>
      <c r="F7" s="26">
        <f>E7-D7</f>
        <v>0</v>
      </c>
      <c r="G7" s="26" t="str">
        <f>IF(D7=0,"",F7/D7*100)</f>
        <v/>
      </c>
    </row>
    <row r="8" ht="15.5" customHeight="1" spans="1:7">
      <c r="A8" s="45"/>
      <c r="B8" s="107"/>
      <c r="C8" s="26"/>
      <c r="D8" s="26"/>
      <c r="E8" s="26"/>
      <c r="F8" s="26"/>
      <c r="G8" s="26"/>
    </row>
    <row r="9" ht="15.5" customHeight="1" spans="1:7">
      <c r="A9" s="45"/>
      <c r="B9" s="107"/>
      <c r="C9" s="26"/>
      <c r="D9" s="26"/>
      <c r="E9" s="26"/>
      <c r="F9" s="26"/>
      <c r="G9" s="26"/>
    </row>
    <row r="10" ht="15.5" customHeight="1" spans="1:7">
      <c r="A10" s="45"/>
      <c r="B10" s="107"/>
      <c r="C10" s="26"/>
      <c r="D10" s="26"/>
      <c r="E10" s="26"/>
      <c r="F10" s="26"/>
      <c r="G10" s="26"/>
    </row>
    <row r="11" ht="15.5" customHeight="1" spans="1:7">
      <c r="A11" s="45"/>
      <c r="B11" s="107"/>
      <c r="C11" s="26"/>
      <c r="D11" s="26"/>
      <c r="E11" s="26"/>
      <c r="F11" s="26"/>
      <c r="G11" s="26"/>
    </row>
    <row r="12" ht="15.5" customHeight="1" spans="1:7">
      <c r="A12" s="45"/>
      <c r="B12" s="107"/>
      <c r="C12" s="26"/>
      <c r="D12" s="26"/>
      <c r="E12" s="26"/>
      <c r="F12" s="26"/>
      <c r="G12" s="26"/>
    </row>
    <row r="13" ht="15.5" customHeight="1" spans="1:7">
      <c r="A13" s="45"/>
      <c r="B13" s="107"/>
      <c r="C13" s="26"/>
      <c r="D13" s="26"/>
      <c r="E13" s="26"/>
      <c r="F13" s="26"/>
      <c r="G13" s="26"/>
    </row>
    <row r="14" ht="15.5" customHeight="1" spans="1:7">
      <c r="A14" s="45"/>
      <c r="B14" s="107"/>
      <c r="C14" s="26"/>
      <c r="D14" s="26"/>
      <c r="E14" s="26"/>
      <c r="F14" s="26"/>
      <c r="G14" s="26"/>
    </row>
    <row r="15" ht="15.5" customHeight="1" spans="1:7">
      <c r="A15" s="45"/>
      <c r="B15" s="107"/>
      <c r="C15" s="26"/>
      <c r="D15" s="26"/>
      <c r="E15" s="26"/>
      <c r="F15" s="26"/>
      <c r="G15" s="26"/>
    </row>
    <row r="16" ht="15.5" customHeight="1" spans="1:7">
      <c r="A16" s="45"/>
      <c r="B16" s="107"/>
      <c r="C16" s="26"/>
      <c r="D16" s="26"/>
      <c r="E16" s="26"/>
      <c r="F16" s="26"/>
      <c r="G16" s="26"/>
    </row>
    <row r="17" ht="15.5" customHeight="1" spans="1:7">
      <c r="A17" s="45"/>
      <c r="B17" s="107"/>
      <c r="C17" s="26"/>
      <c r="D17" s="26"/>
      <c r="E17" s="26"/>
      <c r="F17" s="26"/>
      <c r="G17" s="26"/>
    </row>
    <row r="18" ht="15.5" customHeight="1" spans="1:7">
      <c r="A18" s="45"/>
      <c r="B18" s="107"/>
      <c r="C18" s="26"/>
      <c r="D18" s="26"/>
      <c r="E18" s="26"/>
      <c r="F18" s="26"/>
      <c r="G18" s="26"/>
    </row>
    <row r="19" ht="15.5" customHeight="1" spans="1:7">
      <c r="A19" s="45"/>
      <c r="B19" s="107"/>
      <c r="C19" s="26"/>
      <c r="D19" s="26"/>
      <c r="E19" s="26"/>
      <c r="F19" s="26"/>
      <c r="G19" s="26"/>
    </row>
    <row r="20" ht="15.5" customHeight="1" spans="1:7">
      <c r="A20" s="45"/>
      <c r="B20" s="108"/>
      <c r="C20" s="26"/>
      <c r="D20" s="26"/>
      <c r="E20" s="26"/>
      <c r="F20" s="26"/>
      <c r="G20" s="26"/>
    </row>
    <row r="21" ht="15.5" customHeight="1" spans="1:7">
      <c r="A21" s="45"/>
      <c r="B21" s="107"/>
      <c r="C21" s="26"/>
      <c r="D21" s="26"/>
      <c r="E21" s="26"/>
      <c r="F21" s="26"/>
      <c r="G21" s="26"/>
    </row>
    <row r="22" ht="15.5" customHeight="1" spans="1:7">
      <c r="A22" s="45"/>
      <c r="B22" s="108"/>
      <c r="C22" s="26"/>
      <c r="D22" s="26"/>
      <c r="E22" s="26"/>
      <c r="F22" s="26"/>
      <c r="G22" s="26"/>
    </row>
    <row r="23" ht="15.5" customHeight="1" spans="1:7">
      <c r="A23" s="45"/>
      <c r="B23" s="107"/>
      <c r="C23" s="26"/>
      <c r="D23" s="26"/>
      <c r="E23" s="26"/>
      <c r="F23" s="26"/>
      <c r="G23" s="26"/>
    </row>
    <row r="24" ht="15.5" customHeight="1" spans="1:7">
      <c r="A24" s="45"/>
      <c r="B24" s="108"/>
      <c r="C24" s="26"/>
      <c r="D24" s="26"/>
      <c r="E24" s="26"/>
      <c r="F24" s="26"/>
      <c r="G24" s="26"/>
    </row>
    <row r="25" ht="15.5" customHeight="1" spans="1:7">
      <c r="A25" s="45" t="s">
        <v>605</v>
      </c>
      <c r="B25" s="45" t="s">
        <v>606</v>
      </c>
      <c r="C25" s="26">
        <f>SUM(C6:C24)</f>
        <v>0</v>
      </c>
      <c r="D25" s="26">
        <f>SUM(D6:D24)</f>
        <v>0</v>
      </c>
      <c r="E25" s="26">
        <f>SUM(E6:E24)</f>
        <v>0</v>
      </c>
      <c r="F25" s="26">
        <f>SUM(F6:F24)</f>
        <v>0</v>
      </c>
      <c r="G25" s="26" t="str">
        <f>IF(D25=0,"",F25/D25*100)</f>
        <v/>
      </c>
    </row>
    <row r="26" ht="15.5" customHeight="1" spans="1:7">
      <c r="A26" s="45" t="s">
        <v>605</v>
      </c>
      <c r="B26" s="45" t="s">
        <v>607</v>
      </c>
      <c r="C26" s="26"/>
      <c r="D26" s="26">
        <f>C26</f>
        <v>0</v>
      </c>
      <c r="E26" s="26">
        <v>0</v>
      </c>
      <c r="F26" s="26">
        <f>E26-D26</f>
        <v>0</v>
      </c>
      <c r="G26" s="26" t="str">
        <f>IF(D26=0,"",F26/D26*100)</f>
        <v/>
      </c>
    </row>
    <row r="27" ht="15.5" customHeight="1" spans="1:7">
      <c r="A27" s="45" t="s">
        <v>605</v>
      </c>
      <c r="B27" s="45" t="s">
        <v>608</v>
      </c>
      <c r="C27" s="26">
        <f>C25-C26</f>
        <v>0</v>
      </c>
      <c r="D27" s="26">
        <f>D25-D26</f>
        <v>0</v>
      </c>
      <c r="E27" s="26">
        <f>E25-E26</f>
        <v>0</v>
      </c>
      <c r="F27" s="26">
        <f>F25-F26</f>
        <v>0</v>
      </c>
      <c r="G27" s="26" t="str">
        <f>IF(D27=0,"",F27/D27*100)</f>
        <v/>
      </c>
    </row>
    <row r="28" ht="15.5" customHeight="1" spans="1:7">
      <c r="A28" s="29" t="str">
        <f>封面!D11&amp;封面!G11</f>
        <v>被评估单位填表人：</v>
      </c>
      <c r="E28" s="13" t="str">
        <f>"评估人员："&amp;封面!G24&amp;"  "&amp;封面!G26</f>
        <v>评估人员：  </v>
      </c>
    </row>
    <row r="29" ht="15.5" customHeight="1" spans="1:7">
      <c r="A29" s="29" t="str">
        <f>CONCATENATE(封面!D13,封面!F13,封面!G13,封面!H13,封面!I13,封面!J13,封面!K13)</f>
        <v>填表日期：年月日</v>
      </c>
    </row>
  </sheetData>
  <mergeCells count="2">
    <mergeCell ref="A2:G2"/>
    <mergeCell ref="A3:G3"/>
  </mergeCells>
  <hyperlinks>
    <hyperlink ref="A1" location="索引目录!C25" display="返回索引页"/>
    <hyperlink ref="B1" location="固定资产汇总!B20" display="返回"/>
    <hyperlink ref="B6" location="'在建（土建）'!B1" display="在建工程-土建工程"/>
    <hyperlink ref="B7" location="'在建（设备）'!B1" display="在建工程-设备安装工程"/>
  </hyperlinks>
  <printOptions horizontalCentered="1"/>
  <pageMargins left="0.354330708661417" right="0.354330708661417" top="0.78740157480315" bottom="0.78740157480315" header="1" footer="0.511811023622047"/>
  <pageSetup paperSize="9" orientation="landscape"/>
  <headerFooter alignWithMargins="0">
    <oddHeader>&amp;R&amp;"宋体,常规"共&amp;"Times New Roman,常规"&amp;N&amp;"宋体,常规"页第&amp;"Times New Roman,常规"&amp;P&amp;"宋体,常规"4-7
页</oddHead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6">
    <pageSetUpPr fitToPage="1"/>
  </sheetPr>
  <dimension ref="A1:O29"/>
  <sheetViews>
    <sheetView view="pageBreakPreview" zoomScale="60" zoomScaleNormal="100" workbookViewId="0">
      <selection activeCell="G451" sqref="G451"/>
    </sheetView>
  </sheetViews>
  <sheetFormatPr defaultColWidth="9" defaultRowHeight="15.75" customHeight="1"/>
  <cols>
    <col min="1" max="1" width="5.33333333333333" style="13" customWidth="1"/>
    <col min="2" max="2" width="19.0833333333333" style="13" customWidth="1"/>
    <col min="3" max="3" width="10.8333333333333" style="13" customWidth="1"/>
    <col min="4" max="4" width="12.75" style="13" customWidth="1"/>
    <col min="5" max="5" width="8.25" style="13" customWidth="1"/>
    <col min="6" max="6" width="11.8333333333333" style="13" customWidth="1"/>
    <col min="7" max="7" width="8.25" style="13" customWidth="1"/>
    <col min="8" max="8" width="9" style="13" customWidth="1"/>
    <col min="9" max="10" width="13.5" style="13" hidden="1" customWidth="1" outlineLevel="1"/>
    <col min="11" max="11" width="13.5" style="13" customWidth="1" collapsed="1"/>
    <col min="12" max="13" width="13.5" style="13" customWidth="1"/>
    <col min="14" max="14" width="7.58333333333333" style="13" customWidth="1"/>
    <col min="15" max="15" width="11.5833333333333" style="13" customWidth="1"/>
    <col min="16" max="16384" width="9" style="13" customWidth="1"/>
  </cols>
  <sheetData>
    <row r="1" ht="15.5" customHeight="1" spans="1:15">
      <c r="A1" s="14" t="s">
        <v>111</v>
      </c>
      <c r="B1" s="15" t="s">
        <v>210</v>
      </c>
      <c r="C1" s="15"/>
      <c r="D1" s="15"/>
      <c r="E1" s="16"/>
      <c r="F1" s="16"/>
      <c r="G1" s="16"/>
      <c r="H1" s="16"/>
      <c r="I1" s="16"/>
      <c r="J1" s="16"/>
      <c r="K1" s="16"/>
      <c r="L1" s="16"/>
      <c r="M1" s="16"/>
      <c r="N1" s="16"/>
      <c r="O1" s="16"/>
    </row>
    <row r="2" s="11" customFormat="1" ht="30" customHeight="1" spans="1:15">
      <c r="A2" s="17" t="s">
        <v>609</v>
      </c>
    </row>
    <row r="3" ht="14.15" customHeight="1" spans="1:15">
      <c r="A3" s="18" t="str">
        <f>CONCATENATE(封面!D9,封面!F9,封面!G9,封面!H9,封面!I9,封面!J9,封面!K9)</f>
        <v>评估基准日：年月日</v>
      </c>
    </row>
    <row r="4" ht="15.5" customHeight="1" spans="1:15">
      <c r="A4" s="19" t="str">
        <f>封面!D7&amp;封面!F7</f>
        <v>被评估单位：</v>
      </c>
      <c r="O4" s="20" t="s">
        <v>139</v>
      </c>
    </row>
    <row r="5" s="12" customFormat="1" ht="13" customHeight="1" spans="1:15">
      <c r="A5" s="21" t="s">
        <v>141</v>
      </c>
      <c r="B5" s="21" t="s">
        <v>610</v>
      </c>
      <c r="C5" s="21" t="s">
        <v>490</v>
      </c>
      <c r="D5" s="21" t="s">
        <v>611</v>
      </c>
      <c r="E5" s="21" t="s">
        <v>612</v>
      </c>
      <c r="F5" s="21" t="s">
        <v>613</v>
      </c>
      <c r="G5" s="21" t="s">
        <v>614</v>
      </c>
      <c r="H5" s="21" t="s">
        <v>615</v>
      </c>
      <c r="I5" s="22" t="s">
        <v>175</v>
      </c>
      <c r="J5" s="22" t="s">
        <v>281</v>
      </c>
      <c r="K5" s="21" t="s">
        <v>176</v>
      </c>
      <c r="L5" s="21" t="s">
        <v>177</v>
      </c>
      <c r="M5" s="21" t="s">
        <v>178</v>
      </c>
      <c r="N5" s="21" t="s">
        <v>215</v>
      </c>
      <c r="O5" s="21" t="s">
        <v>144</v>
      </c>
    </row>
    <row r="6" ht="15.5" customHeight="1" spans="1:15">
      <c r="A6" s="23"/>
      <c r="B6" s="24"/>
      <c r="C6" s="24"/>
      <c r="D6" s="24"/>
      <c r="E6" s="25"/>
      <c r="F6" s="25"/>
      <c r="G6" s="23"/>
      <c r="H6" s="23"/>
      <c r="I6" s="26"/>
      <c r="J6" s="26"/>
      <c r="K6" s="26"/>
      <c r="L6" s="26"/>
      <c r="M6" s="26" t="str">
        <f t="shared" ref="M6:M27" si="0">IF(K6=0,"",(L6-K6))</f>
        <v/>
      </c>
      <c r="N6" s="26" t="str">
        <f t="shared" ref="N6:N25" si="1">IF(K6=0,"",(L6-K6)/K6*100)</f>
        <v/>
      </c>
      <c r="O6" s="27"/>
    </row>
    <row r="7" ht="15.5" customHeight="1" spans="1:15">
      <c r="A7" s="23"/>
      <c r="B7" s="24"/>
      <c r="C7" s="24"/>
      <c r="D7" s="24"/>
      <c r="E7" s="25"/>
      <c r="F7" s="25"/>
      <c r="G7" s="23"/>
      <c r="H7" s="23"/>
      <c r="I7" s="26"/>
      <c r="J7" s="26"/>
      <c r="K7" s="26"/>
      <c r="L7" s="26"/>
      <c r="M7" s="26" t="str">
        <f t="shared" si="0"/>
        <v/>
      </c>
      <c r="N7" s="26" t="str">
        <f t="shared" si="1"/>
        <v/>
      </c>
      <c r="O7" s="27"/>
    </row>
    <row r="8" ht="15.5" customHeight="1" spans="1:15">
      <c r="A8" s="23"/>
      <c r="B8" s="24"/>
      <c r="C8" s="24"/>
      <c r="D8" s="24"/>
      <c r="E8" s="25"/>
      <c r="F8" s="25"/>
      <c r="G8" s="23"/>
      <c r="H8" s="23"/>
      <c r="I8" s="26"/>
      <c r="J8" s="26"/>
      <c r="K8" s="26"/>
      <c r="L8" s="26"/>
      <c r="M8" s="26" t="str">
        <f t="shared" si="0"/>
        <v/>
      </c>
      <c r="N8" s="26" t="str">
        <f t="shared" si="1"/>
        <v/>
      </c>
      <c r="O8" s="27"/>
    </row>
    <row r="9" ht="15.5" customHeight="1" spans="1:15">
      <c r="A9" s="23"/>
      <c r="B9" s="24"/>
      <c r="C9" s="24"/>
      <c r="D9" s="24"/>
      <c r="E9" s="25"/>
      <c r="F9" s="25"/>
      <c r="G9" s="23"/>
      <c r="H9" s="23"/>
      <c r="I9" s="26"/>
      <c r="J9" s="26"/>
      <c r="K9" s="26"/>
      <c r="L9" s="26"/>
      <c r="M9" s="26" t="str">
        <f t="shared" si="0"/>
        <v/>
      </c>
      <c r="N9" s="26" t="str">
        <f t="shared" si="1"/>
        <v/>
      </c>
      <c r="O9" s="27"/>
    </row>
    <row r="10" ht="15.5" customHeight="1" spans="1:15">
      <c r="A10" s="23"/>
      <c r="B10" s="24"/>
      <c r="C10" s="24"/>
      <c r="D10" s="24"/>
      <c r="E10" s="25"/>
      <c r="F10" s="25"/>
      <c r="G10" s="23"/>
      <c r="H10" s="23"/>
      <c r="I10" s="26"/>
      <c r="J10" s="26"/>
      <c r="K10" s="26"/>
      <c r="L10" s="26"/>
      <c r="M10" s="26" t="str">
        <f t="shared" si="0"/>
        <v/>
      </c>
      <c r="N10" s="26" t="str">
        <f t="shared" si="1"/>
        <v/>
      </c>
      <c r="O10" s="27"/>
    </row>
    <row r="11" ht="15.5" customHeight="1" spans="1:15">
      <c r="A11" s="23"/>
      <c r="B11" s="24"/>
      <c r="C11" s="24"/>
      <c r="D11" s="24"/>
      <c r="E11" s="25"/>
      <c r="F11" s="25"/>
      <c r="G11" s="23"/>
      <c r="H11" s="23"/>
      <c r="I11" s="26"/>
      <c r="J11" s="26"/>
      <c r="K11" s="26"/>
      <c r="L11" s="26"/>
      <c r="M11" s="26" t="str">
        <f t="shared" si="0"/>
        <v/>
      </c>
      <c r="N11" s="26" t="str">
        <f t="shared" si="1"/>
        <v/>
      </c>
      <c r="O11" s="27"/>
    </row>
    <row r="12" ht="15.5" customHeight="1" spans="1:15">
      <c r="A12" s="23"/>
      <c r="B12" s="24"/>
      <c r="C12" s="24"/>
      <c r="D12" s="24"/>
      <c r="E12" s="25"/>
      <c r="F12" s="25"/>
      <c r="G12" s="23"/>
      <c r="H12" s="23"/>
      <c r="I12" s="26"/>
      <c r="J12" s="26"/>
      <c r="K12" s="26"/>
      <c r="L12" s="26"/>
      <c r="M12" s="26" t="str">
        <f t="shared" si="0"/>
        <v/>
      </c>
      <c r="N12" s="26" t="str">
        <f t="shared" si="1"/>
        <v/>
      </c>
      <c r="O12" s="27"/>
    </row>
    <row r="13" ht="15.5" customHeight="1" spans="1:15">
      <c r="A13" s="23"/>
      <c r="B13" s="24"/>
      <c r="C13" s="24"/>
      <c r="D13" s="24"/>
      <c r="E13" s="25"/>
      <c r="F13" s="25"/>
      <c r="G13" s="23"/>
      <c r="H13" s="23"/>
      <c r="I13" s="26"/>
      <c r="J13" s="26"/>
      <c r="K13" s="26"/>
      <c r="L13" s="26"/>
      <c r="M13" s="26" t="str">
        <f t="shared" si="0"/>
        <v/>
      </c>
      <c r="N13" s="26" t="str">
        <f t="shared" si="1"/>
        <v/>
      </c>
      <c r="O13" s="27"/>
    </row>
    <row r="14" ht="15.5" customHeight="1" spans="1:15">
      <c r="A14" s="23"/>
      <c r="B14" s="24"/>
      <c r="C14" s="24"/>
      <c r="D14" s="24"/>
      <c r="E14" s="25"/>
      <c r="F14" s="25"/>
      <c r="G14" s="23"/>
      <c r="H14" s="23"/>
      <c r="I14" s="26"/>
      <c r="J14" s="26"/>
      <c r="K14" s="26"/>
      <c r="L14" s="26"/>
      <c r="M14" s="26" t="str">
        <f t="shared" si="0"/>
        <v/>
      </c>
      <c r="N14" s="26" t="str">
        <f t="shared" si="1"/>
        <v/>
      </c>
      <c r="O14" s="27"/>
    </row>
    <row r="15" ht="15.5" customHeight="1" spans="1:15">
      <c r="A15" s="23"/>
      <c r="B15" s="24"/>
      <c r="C15" s="24"/>
      <c r="D15" s="24"/>
      <c r="E15" s="25"/>
      <c r="F15" s="25"/>
      <c r="G15" s="23"/>
      <c r="H15" s="23"/>
      <c r="I15" s="26"/>
      <c r="J15" s="26"/>
      <c r="K15" s="26"/>
      <c r="L15" s="26"/>
      <c r="M15" s="26" t="str">
        <f t="shared" si="0"/>
        <v/>
      </c>
      <c r="N15" s="26" t="str">
        <f t="shared" si="1"/>
        <v/>
      </c>
      <c r="O15" s="27"/>
    </row>
    <row r="16" ht="15.5" customHeight="1" spans="1:15">
      <c r="A16" s="23"/>
      <c r="B16" s="24"/>
      <c r="C16" s="24"/>
      <c r="D16" s="24"/>
      <c r="E16" s="25"/>
      <c r="F16" s="25"/>
      <c r="G16" s="23"/>
      <c r="H16" s="23"/>
      <c r="I16" s="26"/>
      <c r="J16" s="26"/>
      <c r="K16" s="26"/>
      <c r="L16" s="26"/>
      <c r="M16" s="26" t="str">
        <f t="shared" si="0"/>
        <v/>
      </c>
      <c r="N16" s="26" t="str">
        <f t="shared" si="1"/>
        <v/>
      </c>
      <c r="O16" s="27"/>
    </row>
    <row r="17" ht="15.5" customHeight="1" spans="1:15">
      <c r="A17" s="23"/>
      <c r="B17" s="24"/>
      <c r="C17" s="24"/>
      <c r="D17" s="24"/>
      <c r="E17" s="25"/>
      <c r="F17" s="25"/>
      <c r="G17" s="23"/>
      <c r="H17" s="23"/>
      <c r="I17" s="26"/>
      <c r="J17" s="26"/>
      <c r="K17" s="26"/>
      <c r="L17" s="26"/>
      <c r="M17" s="26" t="str">
        <f t="shared" si="0"/>
        <v/>
      </c>
      <c r="N17" s="26" t="str">
        <f t="shared" si="1"/>
        <v/>
      </c>
      <c r="O17" s="27"/>
    </row>
    <row r="18" ht="15.5" customHeight="1" spans="1:15">
      <c r="A18" s="23"/>
      <c r="B18" s="24"/>
      <c r="C18" s="24"/>
      <c r="D18" s="24"/>
      <c r="E18" s="25"/>
      <c r="F18" s="25"/>
      <c r="G18" s="23"/>
      <c r="H18" s="23"/>
      <c r="I18" s="26"/>
      <c r="J18" s="26"/>
      <c r="K18" s="26"/>
      <c r="L18" s="26"/>
      <c r="M18" s="26" t="str">
        <f t="shared" si="0"/>
        <v/>
      </c>
      <c r="N18" s="26" t="str">
        <f t="shared" si="1"/>
        <v/>
      </c>
      <c r="O18" s="27"/>
    </row>
    <row r="19" ht="15.5" customHeight="1" spans="1:15">
      <c r="A19" s="23"/>
      <c r="B19" s="24"/>
      <c r="C19" s="24"/>
      <c r="D19" s="24"/>
      <c r="E19" s="25"/>
      <c r="F19" s="25"/>
      <c r="G19" s="23"/>
      <c r="H19" s="23"/>
      <c r="I19" s="26"/>
      <c r="J19" s="26"/>
      <c r="K19" s="26"/>
      <c r="L19" s="26"/>
      <c r="M19" s="26" t="str">
        <f t="shared" si="0"/>
        <v/>
      </c>
      <c r="N19" s="26" t="str">
        <f t="shared" si="1"/>
        <v/>
      </c>
      <c r="O19" s="27"/>
    </row>
    <row r="20" ht="15.5" customHeight="1" spans="1:15">
      <c r="A20" s="23"/>
      <c r="B20" s="24"/>
      <c r="C20" s="24"/>
      <c r="D20" s="24"/>
      <c r="E20" s="25"/>
      <c r="F20" s="25"/>
      <c r="G20" s="23"/>
      <c r="H20" s="23"/>
      <c r="I20" s="26"/>
      <c r="J20" s="26"/>
      <c r="K20" s="26"/>
      <c r="L20" s="26"/>
      <c r="M20" s="26" t="str">
        <f t="shared" si="0"/>
        <v/>
      </c>
      <c r="N20" s="26" t="str">
        <f t="shared" si="1"/>
        <v/>
      </c>
      <c r="O20" s="27"/>
    </row>
    <row r="21" ht="15.5" customHeight="1" spans="1:15">
      <c r="A21" s="23"/>
      <c r="B21" s="24"/>
      <c r="C21" s="24"/>
      <c r="D21" s="24"/>
      <c r="E21" s="25"/>
      <c r="F21" s="25"/>
      <c r="G21" s="23"/>
      <c r="H21" s="23"/>
      <c r="I21" s="26"/>
      <c r="J21" s="26"/>
      <c r="K21" s="26"/>
      <c r="L21" s="26"/>
      <c r="M21" s="26" t="str">
        <f t="shared" si="0"/>
        <v/>
      </c>
      <c r="N21" s="26" t="str">
        <f t="shared" si="1"/>
        <v/>
      </c>
      <c r="O21" s="27"/>
    </row>
    <row r="22" ht="15.5" customHeight="1" spans="1:15">
      <c r="A22" s="23"/>
      <c r="B22" s="24"/>
      <c r="C22" s="24"/>
      <c r="D22" s="24"/>
      <c r="E22" s="25"/>
      <c r="F22" s="25"/>
      <c r="G22" s="23"/>
      <c r="H22" s="23"/>
      <c r="I22" s="26"/>
      <c r="J22" s="26"/>
      <c r="K22" s="26"/>
      <c r="L22" s="26"/>
      <c r="M22" s="26" t="str">
        <f t="shared" si="0"/>
        <v/>
      </c>
      <c r="N22" s="26" t="str">
        <f t="shared" si="1"/>
        <v/>
      </c>
      <c r="O22" s="27"/>
    </row>
    <row r="23" ht="15.5" customHeight="1" spans="1:15">
      <c r="A23" s="23"/>
      <c r="B23" s="24"/>
      <c r="C23" s="24"/>
      <c r="D23" s="24"/>
      <c r="E23" s="25"/>
      <c r="F23" s="25"/>
      <c r="G23" s="23"/>
      <c r="H23" s="23"/>
      <c r="I23" s="26"/>
      <c r="J23" s="26"/>
      <c r="K23" s="26"/>
      <c r="L23" s="26"/>
      <c r="M23" s="26" t="str">
        <f t="shared" si="0"/>
        <v/>
      </c>
      <c r="N23" s="26" t="str">
        <f t="shared" si="1"/>
        <v/>
      </c>
      <c r="O23" s="27"/>
    </row>
    <row r="24" ht="15.5" customHeight="1" spans="1:15">
      <c r="A24" s="23"/>
      <c r="B24" s="24"/>
      <c r="C24" s="24"/>
      <c r="D24" s="24"/>
      <c r="E24" s="25"/>
      <c r="F24" s="25"/>
      <c r="G24" s="23"/>
      <c r="H24" s="23"/>
      <c r="I24" s="26"/>
      <c r="J24" s="26"/>
      <c r="K24" s="26"/>
      <c r="L24" s="26"/>
      <c r="M24" s="26" t="str">
        <f t="shared" si="0"/>
        <v/>
      </c>
      <c r="N24" s="26" t="str">
        <f t="shared" si="1"/>
        <v/>
      </c>
      <c r="O24" s="27"/>
    </row>
    <row r="25" ht="15.5" customHeight="1" spans="1:15">
      <c r="A25" s="23"/>
      <c r="B25" s="24"/>
      <c r="C25" s="24"/>
      <c r="D25" s="24"/>
      <c r="E25" s="25"/>
      <c r="F25" s="25"/>
      <c r="G25" s="23"/>
      <c r="H25" s="23"/>
      <c r="I25" s="26"/>
      <c r="J25" s="26"/>
      <c r="K25" s="26"/>
      <c r="L25" s="26"/>
      <c r="M25" s="26" t="str">
        <f t="shared" si="0"/>
        <v/>
      </c>
      <c r="N25" s="26" t="str">
        <f t="shared" si="1"/>
        <v/>
      </c>
      <c r="O25" s="27"/>
    </row>
    <row r="26" ht="15.5" customHeight="1" spans="1:15">
      <c r="A26" s="23"/>
      <c r="B26" s="24"/>
      <c r="C26" s="24"/>
      <c r="D26" s="24"/>
      <c r="E26" s="25"/>
      <c r="F26" s="25"/>
      <c r="G26" s="23"/>
      <c r="H26" s="23"/>
      <c r="I26" s="26"/>
      <c r="J26" s="26"/>
      <c r="K26" s="26"/>
      <c r="L26" s="26"/>
      <c r="M26" s="26" t="str">
        <f t="shared" si="0"/>
        <v/>
      </c>
      <c r="N26" s="26"/>
      <c r="O26" s="27"/>
    </row>
    <row r="27" ht="15.5" customHeight="1" spans="1:15">
      <c r="A27" s="21" t="s">
        <v>282</v>
      </c>
      <c r="B27" s="28"/>
      <c r="C27" s="77"/>
      <c r="D27" s="77"/>
      <c r="E27" s="25"/>
      <c r="F27" s="25"/>
      <c r="G27" s="23"/>
      <c r="H27" s="23"/>
      <c r="I27" s="26">
        <f>SUM(I6:I26)</f>
        <v>0</v>
      </c>
      <c r="J27" s="26"/>
      <c r="K27" s="26">
        <f>SUM(K6:K26)</f>
        <v>0</v>
      </c>
      <c r="L27" s="26">
        <f>SUM(L6:L26)</f>
        <v>0</v>
      </c>
      <c r="M27" s="26" t="str">
        <f t="shared" si="0"/>
        <v/>
      </c>
      <c r="N27" s="26" t="str">
        <f>IF(K27=0,"",(L27-K27)/K27*100)</f>
        <v/>
      </c>
      <c r="O27" s="27"/>
    </row>
    <row r="28" ht="15.5" customHeight="1" spans="1:15">
      <c r="A28" s="29" t="str">
        <f>封面!D11&amp;封面!G11</f>
        <v>被评估单位填表人：</v>
      </c>
      <c r="K28" s="13" t="str">
        <f>"评估人员："&amp;封面!G24</f>
        <v>评估人员：</v>
      </c>
    </row>
    <row r="29" ht="15.5" customHeight="1" spans="1:15">
      <c r="A29" s="29" t="str">
        <f>CONCATENATE(封面!D13,封面!F13,封面!G13,封面!H13,封面!I13,封面!J13,封面!K13)</f>
        <v>填表日期：年月日</v>
      </c>
    </row>
  </sheetData>
  <mergeCells count="3">
    <mergeCell ref="A2:O2"/>
    <mergeCell ref="A3:O3"/>
    <mergeCell ref="A27:B27"/>
  </mergeCells>
  <hyperlinks>
    <hyperlink ref="A1" location="索引目录!E48" display="返回索引页"/>
    <hyperlink ref="B1" location="在建工程汇总!B6" display="返回"/>
  </hyperlinks>
  <printOptions horizontalCentered="1"/>
  <pageMargins left="0.354330708661417" right="0.354330708661417" top="0.78740157480315" bottom="0.78740157480315" header="1.05" footer="0.511811023622047"/>
  <pageSetup paperSize="9" scale="90" fitToHeight="0" orientation="landscape"/>
  <headerFooter alignWithMargins="0">
    <oddHeader>&amp;R&amp;"宋体,常规"共&amp;"Times New Roman,常规"&amp;N&amp;"宋体,常规"页第&amp;"Times New Roman,常规"&amp;P&amp;"宋体,常规"4-7-1
页</oddHeader>
  </headerFooter>
  <legacyDrawing r:id="rId2"/>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7">
    <pageSetUpPr fitToPage="1"/>
  </sheetPr>
  <dimension ref="A1:W29"/>
  <sheetViews>
    <sheetView view="pageBreakPreview" zoomScale="60" zoomScaleNormal="100" workbookViewId="0">
      <selection activeCell="G451" sqref="G451"/>
    </sheetView>
  </sheetViews>
  <sheetFormatPr defaultColWidth="9" defaultRowHeight="15.75" customHeight="1"/>
  <cols>
    <col min="1" max="1" width="4.75" style="13" customWidth="1"/>
    <col min="2" max="3" width="11.0833333333333" style="13" customWidth="1"/>
    <col min="4" max="4" width="10.5833333333333" style="13" customWidth="1"/>
    <col min="5" max="5" width="11.0833333333333" style="13" customWidth="1"/>
    <col min="6" max="6" width="5.08333333333333" style="13" customWidth="1"/>
    <col min="7" max="7" width="6.08333333333333" style="13" customWidth="1"/>
    <col min="8" max="9" width="9" style="13" hidden="1" customWidth="1" outlineLevel="1"/>
    <col min="10" max="10" width="11.3333333333333" style="13" hidden="1" customWidth="1" outlineLevel="1"/>
    <col min="11" max="12" width="11.75" style="13" hidden="1" customWidth="1" outlineLevel="1"/>
    <col min="13" max="13" width="11.75" style="13" customWidth="1" collapsed="1"/>
    <col min="14" max="15" width="11.75" style="13" customWidth="1"/>
    <col min="16" max="16" width="10.5" style="13" customWidth="1"/>
    <col min="17" max="17" width="9" style="13" customWidth="1"/>
    <col min="18" max="18" width="8.5" style="13" customWidth="1"/>
    <col min="19" max="19" width="11.8333333333333" style="13" customWidth="1"/>
    <col min="20" max="21" width="9" style="13" customWidth="1"/>
    <col min="22" max="22" width="6.25" style="13" customWidth="1"/>
    <col min="23" max="23" width="7.75" style="13" customWidth="1"/>
    <col min="24" max="16384" width="9" style="13" customWidth="1"/>
  </cols>
  <sheetData>
    <row r="1" ht="15.5" customHeight="1" spans="1:23">
      <c r="A1" s="14" t="s">
        <v>111</v>
      </c>
      <c r="B1" s="15" t="s">
        <v>210</v>
      </c>
      <c r="C1" s="15"/>
      <c r="D1" s="15"/>
      <c r="E1" s="15"/>
      <c r="F1" s="16"/>
      <c r="G1" s="16"/>
      <c r="H1" s="16"/>
      <c r="I1" s="16"/>
      <c r="J1" s="16"/>
      <c r="K1" s="16"/>
      <c r="L1" s="16"/>
      <c r="M1" s="16"/>
      <c r="N1" s="16"/>
      <c r="O1" s="16"/>
      <c r="P1" s="16"/>
      <c r="Q1" s="16"/>
      <c r="R1" s="16"/>
      <c r="S1" s="16"/>
      <c r="T1" s="16"/>
      <c r="U1" s="16"/>
      <c r="V1" s="16"/>
      <c r="W1" s="16"/>
    </row>
    <row r="2" s="11" customFormat="1" ht="30" customHeight="1" spans="1:23">
      <c r="A2" s="17" t="s">
        <v>616</v>
      </c>
    </row>
    <row r="3" ht="14.15" customHeight="1" spans="1:23">
      <c r="A3" s="18" t="str">
        <f>CONCATENATE(封面!D9,封面!F9,封面!G9,封面!H9,封面!I9,封面!J9,封面!K9)</f>
        <v>评估基准日：年月日</v>
      </c>
    </row>
    <row r="4" ht="15.5" customHeight="1" spans="1:23">
      <c r="A4" s="19" t="str">
        <f>封面!D7&amp;封面!F7</f>
        <v>被评估单位：</v>
      </c>
      <c r="W4" s="20" t="s">
        <v>139</v>
      </c>
    </row>
    <row r="5" s="12" customFormat="1" ht="13" customHeight="1" spans="1:23">
      <c r="A5" s="21" t="s">
        <v>141</v>
      </c>
      <c r="B5" s="21" t="s">
        <v>610</v>
      </c>
      <c r="C5" s="21" t="s">
        <v>555</v>
      </c>
      <c r="D5" s="21" t="s">
        <v>368</v>
      </c>
      <c r="E5" s="21" t="s">
        <v>367</v>
      </c>
      <c r="F5" s="22" t="s">
        <v>617</v>
      </c>
      <c r="G5" s="22" t="s">
        <v>618</v>
      </c>
      <c r="H5" s="22" t="s">
        <v>175</v>
      </c>
      <c r="I5" s="32"/>
      <c r="J5" s="32"/>
      <c r="K5" s="28"/>
      <c r="L5" s="22" t="s">
        <v>281</v>
      </c>
      <c r="M5" s="105" t="s">
        <v>176</v>
      </c>
      <c r="N5" s="34"/>
      <c r="O5" s="34"/>
      <c r="P5" s="35"/>
      <c r="Q5" s="21" t="s">
        <v>177</v>
      </c>
      <c r="R5" s="32"/>
      <c r="S5" s="32"/>
      <c r="T5" s="28"/>
      <c r="U5" s="22" t="s">
        <v>178</v>
      </c>
      <c r="V5" s="22" t="s">
        <v>215</v>
      </c>
      <c r="W5" s="22" t="s">
        <v>144</v>
      </c>
    </row>
    <row r="6" s="12" customFormat="1" ht="13" customHeight="1" spans="1:23">
      <c r="A6" s="36"/>
      <c r="B6" s="36"/>
      <c r="C6" s="36"/>
      <c r="D6" s="36"/>
      <c r="E6" s="36"/>
      <c r="F6" s="36"/>
      <c r="G6" s="36"/>
      <c r="H6" s="21"/>
      <c r="I6" s="21"/>
      <c r="J6" s="21"/>
      <c r="K6" s="21"/>
      <c r="L6" s="36"/>
      <c r="M6" s="21"/>
      <c r="N6" s="21"/>
      <c r="O6" s="21"/>
      <c r="P6" s="21"/>
      <c r="Q6" s="21"/>
      <c r="R6" s="21"/>
      <c r="S6" s="21"/>
      <c r="T6" s="21"/>
      <c r="U6" s="36"/>
      <c r="V6" s="36"/>
      <c r="W6" s="36"/>
    </row>
    <row r="7" ht="15.5" customHeight="1" spans="1:23">
      <c r="A7" s="23"/>
      <c r="B7" s="24"/>
      <c r="C7" s="24"/>
      <c r="D7" s="24"/>
      <c r="E7" s="24"/>
      <c r="F7" s="25"/>
      <c r="G7" s="25"/>
      <c r="H7" s="26"/>
      <c r="I7" s="26"/>
      <c r="J7" s="26"/>
      <c r="K7" s="26"/>
      <c r="L7" s="26"/>
      <c r="M7" s="26"/>
      <c r="N7" s="26"/>
      <c r="O7" s="26"/>
      <c r="P7" s="26"/>
      <c r="Q7" s="26"/>
      <c r="R7" s="26"/>
      <c r="S7" s="26"/>
      <c r="T7" s="26"/>
      <c r="U7" s="26" t="str">
        <f t="shared" ref="U7:U27" si="0">IF(P7=0,"",(T7-P7))</f>
        <v/>
      </c>
      <c r="V7" s="26" t="str">
        <f t="shared" ref="V7:V25" si="1">IF(P7=0,"",(T7-P7)/P7*100)</f>
        <v/>
      </c>
      <c r="W7" s="27"/>
    </row>
    <row r="8" ht="15.5" customHeight="1" spans="1:23">
      <c r="A8" s="23"/>
      <c r="B8" s="24"/>
      <c r="C8" s="24"/>
      <c r="D8" s="24"/>
      <c r="E8" s="24"/>
      <c r="F8" s="25"/>
      <c r="G8" s="25"/>
      <c r="H8" s="26"/>
      <c r="I8" s="26"/>
      <c r="J8" s="26"/>
      <c r="K8" s="26"/>
      <c r="L8" s="26"/>
      <c r="M8" s="26"/>
      <c r="N8" s="26"/>
      <c r="O8" s="26"/>
      <c r="P8" s="26"/>
      <c r="Q8" s="26"/>
      <c r="R8" s="26"/>
      <c r="S8" s="26"/>
      <c r="T8" s="26"/>
      <c r="U8" s="26" t="str">
        <f t="shared" si="0"/>
        <v/>
      </c>
      <c r="V8" s="26" t="str">
        <f t="shared" si="1"/>
        <v/>
      </c>
      <c r="W8" s="27"/>
    </row>
    <row r="9" ht="15.5" customHeight="1" spans="1:23">
      <c r="A9" s="23"/>
      <c r="B9" s="24"/>
      <c r="C9" s="24"/>
      <c r="D9" s="24"/>
      <c r="E9" s="24"/>
      <c r="F9" s="25"/>
      <c r="G9" s="25"/>
      <c r="H9" s="26"/>
      <c r="I9" s="26"/>
      <c r="J9" s="26"/>
      <c r="K9" s="26"/>
      <c r="L9" s="26"/>
      <c r="M9" s="26"/>
      <c r="N9" s="26"/>
      <c r="O9" s="26"/>
      <c r="P9" s="26"/>
      <c r="Q9" s="26"/>
      <c r="R9" s="26"/>
      <c r="S9" s="26"/>
      <c r="T9" s="26"/>
      <c r="U9" s="26" t="str">
        <f t="shared" si="0"/>
        <v/>
      </c>
      <c r="V9" s="26" t="str">
        <f t="shared" si="1"/>
        <v/>
      </c>
      <c r="W9" s="27"/>
    </row>
    <row r="10" ht="15.5" customHeight="1" spans="1:23">
      <c r="A10" s="23"/>
      <c r="B10" s="24"/>
      <c r="C10" s="24"/>
      <c r="D10" s="24"/>
      <c r="E10" s="24"/>
      <c r="F10" s="25"/>
      <c r="G10" s="25"/>
      <c r="H10" s="26"/>
      <c r="I10" s="26"/>
      <c r="J10" s="26"/>
      <c r="K10" s="26"/>
      <c r="L10" s="26"/>
      <c r="M10" s="26"/>
      <c r="N10" s="26"/>
      <c r="O10" s="26"/>
      <c r="P10" s="26"/>
      <c r="Q10" s="26"/>
      <c r="R10" s="26"/>
      <c r="S10" s="26"/>
      <c r="T10" s="26"/>
      <c r="U10" s="26" t="str">
        <f t="shared" si="0"/>
        <v/>
      </c>
      <c r="V10" s="26" t="str">
        <f t="shared" si="1"/>
        <v/>
      </c>
      <c r="W10" s="27"/>
    </row>
    <row r="11" ht="15.5" customHeight="1" spans="1:23">
      <c r="A11" s="23"/>
      <c r="B11" s="24"/>
      <c r="C11" s="24"/>
      <c r="D11" s="24"/>
      <c r="E11" s="24"/>
      <c r="F11" s="25"/>
      <c r="G11" s="25"/>
      <c r="H11" s="26"/>
      <c r="I11" s="26"/>
      <c r="J11" s="26"/>
      <c r="K11" s="26"/>
      <c r="L11" s="26"/>
      <c r="M11" s="26"/>
      <c r="N11" s="26"/>
      <c r="O11" s="26"/>
      <c r="P11" s="26"/>
      <c r="Q11" s="26"/>
      <c r="R11" s="26"/>
      <c r="S11" s="26"/>
      <c r="T11" s="26"/>
      <c r="U11" s="26" t="str">
        <f t="shared" si="0"/>
        <v/>
      </c>
      <c r="V11" s="26" t="str">
        <f t="shared" si="1"/>
        <v/>
      </c>
      <c r="W11" s="27"/>
    </row>
    <row r="12" ht="15.5" customHeight="1" spans="1:23">
      <c r="A12" s="23"/>
      <c r="B12" s="24"/>
      <c r="C12" s="24"/>
      <c r="D12" s="24"/>
      <c r="E12" s="24"/>
      <c r="F12" s="25"/>
      <c r="G12" s="25"/>
      <c r="H12" s="26"/>
      <c r="I12" s="26"/>
      <c r="J12" s="26"/>
      <c r="K12" s="26"/>
      <c r="L12" s="26"/>
      <c r="M12" s="26"/>
      <c r="N12" s="26"/>
      <c r="O12" s="26"/>
      <c r="P12" s="26"/>
      <c r="Q12" s="26"/>
      <c r="R12" s="26"/>
      <c r="S12" s="26"/>
      <c r="T12" s="26"/>
      <c r="U12" s="26" t="str">
        <f t="shared" si="0"/>
        <v/>
      </c>
      <c r="V12" s="26" t="str">
        <f t="shared" si="1"/>
        <v/>
      </c>
      <c r="W12" s="27"/>
    </row>
    <row r="13" ht="15.5" customHeight="1" spans="1:23">
      <c r="A13" s="23"/>
      <c r="B13" s="24"/>
      <c r="C13" s="24"/>
      <c r="D13" s="24"/>
      <c r="E13" s="24"/>
      <c r="F13" s="25"/>
      <c r="G13" s="25"/>
      <c r="H13" s="26"/>
      <c r="I13" s="26"/>
      <c r="J13" s="26"/>
      <c r="K13" s="26"/>
      <c r="L13" s="26"/>
      <c r="M13" s="26"/>
      <c r="N13" s="26"/>
      <c r="O13" s="26"/>
      <c r="P13" s="26"/>
      <c r="Q13" s="26"/>
      <c r="R13" s="26"/>
      <c r="S13" s="26"/>
      <c r="T13" s="26"/>
      <c r="U13" s="26" t="str">
        <f t="shared" si="0"/>
        <v/>
      </c>
      <c r="V13" s="26" t="str">
        <f t="shared" si="1"/>
        <v/>
      </c>
      <c r="W13" s="27"/>
    </row>
    <row r="14" ht="15.5" customHeight="1" spans="1:23">
      <c r="A14" s="23"/>
      <c r="B14" s="24"/>
      <c r="C14" s="24"/>
      <c r="D14" s="24"/>
      <c r="E14" s="24"/>
      <c r="F14" s="25"/>
      <c r="G14" s="25"/>
      <c r="H14" s="26"/>
      <c r="I14" s="26"/>
      <c r="J14" s="26"/>
      <c r="K14" s="26"/>
      <c r="L14" s="26"/>
      <c r="M14" s="26"/>
      <c r="N14" s="26"/>
      <c r="O14" s="26"/>
      <c r="P14" s="26"/>
      <c r="Q14" s="26"/>
      <c r="R14" s="26"/>
      <c r="S14" s="26"/>
      <c r="T14" s="26"/>
      <c r="U14" s="26" t="str">
        <f t="shared" si="0"/>
        <v/>
      </c>
      <c r="V14" s="26" t="str">
        <f t="shared" si="1"/>
        <v/>
      </c>
      <c r="W14" s="27"/>
    </row>
    <row r="15" ht="15.5" customHeight="1" spans="1:23">
      <c r="A15" s="23"/>
      <c r="B15" s="24"/>
      <c r="C15" s="24"/>
      <c r="D15" s="24"/>
      <c r="E15" s="24"/>
      <c r="F15" s="25"/>
      <c r="G15" s="25"/>
      <c r="H15" s="26"/>
      <c r="I15" s="26"/>
      <c r="J15" s="26"/>
      <c r="K15" s="26"/>
      <c r="L15" s="26"/>
      <c r="M15" s="26"/>
      <c r="N15" s="26"/>
      <c r="O15" s="26"/>
      <c r="P15" s="26"/>
      <c r="Q15" s="26"/>
      <c r="R15" s="26"/>
      <c r="S15" s="26"/>
      <c r="T15" s="26"/>
      <c r="U15" s="26" t="str">
        <f t="shared" si="0"/>
        <v/>
      </c>
      <c r="V15" s="26" t="str">
        <f t="shared" si="1"/>
        <v/>
      </c>
      <c r="W15" s="27"/>
    </row>
    <row r="16" ht="15.5" customHeight="1" spans="1:23">
      <c r="A16" s="23"/>
      <c r="B16" s="24"/>
      <c r="C16" s="24"/>
      <c r="D16" s="24"/>
      <c r="E16" s="24"/>
      <c r="F16" s="25"/>
      <c r="G16" s="25"/>
      <c r="H16" s="26"/>
      <c r="I16" s="26"/>
      <c r="J16" s="26"/>
      <c r="K16" s="26"/>
      <c r="L16" s="26"/>
      <c r="M16" s="26"/>
      <c r="N16" s="26"/>
      <c r="O16" s="26"/>
      <c r="P16" s="26"/>
      <c r="Q16" s="26"/>
      <c r="R16" s="26"/>
      <c r="S16" s="26"/>
      <c r="T16" s="26"/>
      <c r="U16" s="26" t="str">
        <f t="shared" si="0"/>
        <v/>
      </c>
      <c r="V16" s="26" t="str">
        <f t="shared" si="1"/>
        <v/>
      </c>
      <c r="W16" s="27"/>
    </row>
    <row r="17" ht="15.5" customHeight="1" spans="1:23">
      <c r="A17" s="23"/>
      <c r="B17" s="24"/>
      <c r="C17" s="24"/>
      <c r="D17" s="24"/>
      <c r="E17" s="24"/>
      <c r="F17" s="25"/>
      <c r="G17" s="25"/>
      <c r="H17" s="26"/>
      <c r="I17" s="26"/>
      <c r="J17" s="26"/>
      <c r="K17" s="26"/>
      <c r="L17" s="26"/>
      <c r="M17" s="26"/>
      <c r="N17" s="26"/>
      <c r="O17" s="26"/>
      <c r="P17" s="26"/>
      <c r="Q17" s="26"/>
      <c r="R17" s="26"/>
      <c r="S17" s="26"/>
      <c r="T17" s="26"/>
      <c r="U17" s="26" t="str">
        <f t="shared" si="0"/>
        <v/>
      </c>
      <c r="V17" s="26" t="str">
        <f t="shared" si="1"/>
        <v/>
      </c>
      <c r="W17" s="27"/>
    </row>
    <row r="18" ht="15.5" customHeight="1" spans="1:23">
      <c r="A18" s="23"/>
      <c r="B18" s="24"/>
      <c r="C18" s="24"/>
      <c r="D18" s="24"/>
      <c r="E18" s="24"/>
      <c r="F18" s="25"/>
      <c r="G18" s="25"/>
      <c r="H18" s="26"/>
      <c r="I18" s="26"/>
      <c r="J18" s="26"/>
      <c r="K18" s="26"/>
      <c r="L18" s="26"/>
      <c r="M18" s="26"/>
      <c r="N18" s="26"/>
      <c r="O18" s="26"/>
      <c r="P18" s="26"/>
      <c r="Q18" s="26"/>
      <c r="R18" s="26"/>
      <c r="S18" s="26"/>
      <c r="T18" s="26"/>
      <c r="U18" s="26" t="str">
        <f t="shared" si="0"/>
        <v/>
      </c>
      <c r="V18" s="26" t="str">
        <f t="shared" si="1"/>
        <v/>
      </c>
      <c r="W18" s="27"/>
    </row>
    <row r="19" ht="15.5" customHeight="1" spans="1:23">
      <c r="A19" s="23"/>
      <c r="B19" s="24"/>
      <c r="C19" s="24"/>
      <c r="D19" s="24"/>
      <c r="E19" s="24"/>
      <c r="F19" s="25"/>
      <c r="G19" s="25"/>
      <c r="H19" s="26"/>
      <c r="I19" s="26"/>
      <c r="J19" s="26"/>
      <c r="K19" s="26"/>
      <c r="L19" s="26"/>
      <c r="M19" s="26"/>
      <c r="N19" s="26"/>
      <c r="O19" s="26"/>
      <c r="P19" s="26"/>
      <c r="Q19" s="26"/>
      <c r="R19" s="26"/>
      <c r="S19" s="26"/>
      <c r="T19" s="26"/>
      <c r="U19" s="26" t="str">
        <f t="shared" si="0"/>
        <v/>
      </c>
      <c r="V19" s="26" t="str">
        <f t="shared" si="1"/>
        <v/>
      </c>
      <c r="W19" s="27"/>
    </row>
    <row r="20" ht="15.5" customHeight="1" spans="1:23">
      <c r="A20" s="23"/>
      <c r="B20" s="24"/>
      <c r="C20" s="24"/>
      <c r="D20" s="24"/>
      <c r="E20" s="24"/>
      <c r="F20" s="25"/>
      <c r="G20" s="25"/>
      <c r="H20" s="26"/>
      <c r="I20" s="26"/>
      <c r="J20" s="26"/>
      <c r="K20" s="26"/>
      <c r="L20" s="26"/>
      <c r="M20" s="26"/>
      <c r="N20" s="26"/>
      <c r="O20" s="26"/>
      <c r="P20" s="26"/>
      <c r="Q20" s="26"/>
      <c r="R20" s="26"/>
      <c r="S20" s="26"/>
      <c r="T20" s="26"/>
      <c r="U20" s="26" t="str">
        <f t="shared" si="0"/>
        <v/>
      </c>
      <c r="V20" s="26" t="str">
        <f t="shared" si="1"/>
        <v/>
      </c>
      <c r="W20" s="27"/>
    </row>
    <row r="21" ht="15.5" customHeight="1" spans="1:23">
      <c r="A21" s="23"/>
      <c r="B21" s="24"/>
      <c r="C21" s="24"/>
      <c r="D21" s="24"/>
      <c r="E21" s="24"/>
      <c r="F21" s="25"/>
      <c r="G21" s="25"/>
      <c r="H21" s="26"/>
      <c r="I21" s="26"/>
      <c r="J21" s="26"/>
      <c r="K21" s="26"/>
      <c r="L21" s="26"/>
      <c r="M21" s="26"/>
      <c r="N21" s="26"/>
      <c r="O21" s="26"/>
      <c r="P21" s="26"/>
      <c r="Q21" s="26"/>
      <c r="R21" s="26"/>
      <c r="S21" s="26"/>
      <c r="T21" s="26"/>
      <c r="U21" s="26" t="str">
        <f t="shared" si="0"/>
        <v/>
      </c>
      <c r="V21" s="26" t="str">
        <f t="shared" si="1"/>
        <v/>
      </c>
      <c r="W21" s="27"/>
    </row>
    <row r="22" ht="15.5" customHeight="1" spans="1:23">
      <c r="A22" s="23"/>
      <c r="B22" s="24"/>
      <c r="C22" s="24"/>
      <c r="D22" s="24"/>
      <c r="E22" s="24"/>
      <c r="F22" s="25"/>
      <c r="G22" s="25"/>
      <c r="H22" s="26"/>
      <c r="I22" s="26"/>
      <c r="J22" s="26"/>
      <c r="K22" s="26"/>
      <c r="L22" s="26"/>
      <c r="M22" s="26"/>
      <c r="N22" s="26"/>
      <c r="O22" s="26"/>
      <c r="P22" s="26"/>
      <c r="Q22" s="26"/>
      <c r="R22" s="26"/>
      <c r="S22" s="26"/>
      <c r="T22" s="26"/>
      <c r="U22" s="26" t="str">
        <f t="shared" si="0"/>
        <v/>
      </c>
      <c r="V22" s="26" t="str">
        <f t="shared" si="1"/>
        <v/>
      </c>
      <c r="W22" s="27"/>
    </row>
    <row r="23" ht="15.5" customHeight="1" spans="1:23">
      <c r="A23" s="23"/>
      <c r="B23" s="24"/>
      <c r="C23" s="24"/>
      <c r="D23" s="24"/>
      <c r="E23" s="24"/>
      <c r="F23" s="25"/>
      <c r="G23" s="25"/>
      <c r="H23" s="26"/>
      <c r="I23" s="26"/>
      <c r="J23" s="26"/>
      <c r="K23" s="26"/>
      <c r="L23" s="26"/>
      <c r="M23" s="26"/>
      <c r="N23" s="26"/>
      <c r="O23" s="26"/>
      <c r="P23" s="26"/>
      <c r="Q23" s="26"/>
      <c r="R23" s="26"/>
      <c r="S23" s="26"/>
      <c r="T23" s="26"/>
      <c r="U23" s="26" t="str">
        <f t="shared" si="0"/>
        <v/>
      </c>
      <c r="V23" s="26" t="str">
        <f t="shared" si="1"/>
        <v/>
      </c>
      <c r="W23" s="27"/>
    </row>
    <row r="24" ht="15.5" customHeight="1" spans="1:23">
      <c r="A24" s="23"/>
      <c r="B24" s="24"/>
      <c r="C24" s="24"/>
      <c r="D24" s="24"/>
      <c r="E24" s="24"/>
      <c r="F24" s="25"/>
      <c r="G24" s="25"/>
      <c r="H24" s="26"/>
      <c r="I24" s="26"/>
      <c r="J24" s="26"/>
      <c r="K24" s="26"/>
      <c r="L24" s="26"/>
      <c r="M24" s="26"/>
      <c r="N24" s="26"/>
      <c r="O24" s="26"/>
      <c r="P24" s="26"/>
      <c r="Q24" s="26"/>
      <c r="R24" s="26"/>
      <c r="S24" s="26"/>
      <c r="T24" s="26"/>
      <c r="U24" s="26" t="str">
        <f t="shared" si="0"/>
        <v/>
      </c>
      <c r="V24" s="26" t="str">
        <f t="shared" si="1"/>
        <v/>
      </c>
      <c r="W24" s="27"/>
    </row>
    <row r="25" ht="15.5" customHeight="1" spans="1:23">
      <c r="A25" s="23"/>
      <c r="B25" s="24"/>
      <c r="C25" s="24"/>
      <c r="D25" s="24"/>
      <c r="E25" s="24"/>
      <c r="F25" s="25"/>
      <c r="G25" s="25"/>
      <c r="H25" s="26"/>
      <c r="I25" s="26"/>
      <c r="J25" s="26"/>
      <c r="K25" s="26"/>
      <c r="L25" s="26"/>
      <c r="M25" s="26"/>
      <c r="N25" s="26"/>
      <c r="O25" s="26"/>
      <c r="P25" s="26"/>
      <c r="Q25" s="26"/>
      <c r="R25" s="26"/>
      <c r="S25" s="26"/>
      <c r="T25" s="26"/>
      <c r="U25" s="26" t="str">
        <f t="shared" si="0"/>
        <v/>
      </c>
      <c r="V25" s="26" t="str">
        <f t="shared" si="1"/>
        <v/>
      </c>
      <c r="W25" s="27"/>
    </row>
    <row r="26" ht="15.5" customHeight="1" spans="1:23">
      <c r="A26" s="23"/>
      <c r="B26" s="24"/>
      <c r="C26" s="24"/>
      <c r="D26" s="24"/>
      <c r="E26" s="24"/>
      <c r="F26" s="25"/>
      <c r="G26" s="25"/>
      <c r="H26" s="26"/>
      <c r="I26" s="26"/>
      <c r="J26" s="26"/>
      <c r="K26" s="26"/>
      <c r="L26" s="26"/>
      <c r="M26" s="26"/>
      <c r="N26" s="26"/>
      <c r="O26" s="26"/>
      <c r="P26" s="26"/>
      <c r="Q26" s="26"/>
      <c r="R26" s="26"/>
      <c r="S26" s="26"/>
      <c r="T26" s="26"/>
      <c r="U26" s="26" t="str">
        <f t="shared" si="0"/>
        <v/>
      </c>
      <c r="V26" s="26"/>
      <c r="W26" s="27"/>
    </row>
    <row r="27" ht="15.5" customHeight="1" spans="1:23">
      <c r="A27" s="21" t="s">
        <v>282</v>
      </c>
      <c r="B27" s="28"/>
      <c r="C27" s="77"/>
      <c r="D27" s="77"/>
      <c r="E27" s="77"/>
      <c r="F27" s="25"/>
      <c r="G27" s="25"/>
      <c r="H27" s="26"/>
      <c r="I27" s="26"/>
      <c r="J27" s="26"/>
      <c r="K27" s="26">
        <f>SUM(K7:K26)</f>
        <v>0</v>
      </c>
      <c r="L27" s="26"/>
      <c r="M27" s="26"/>
      <c r="N27" s="26"/>
      <c r="O27" s="26"/>
      <c r="P27" s="26">
        <f>SUM(P7:P26)</f>
        <v>0</v>
      </c>
      <c r="Q27" s="26"/>
      <c r="R27" s="26"/>
      <c r="S27" s="26"/>
      <c r="T27" s="26">
        <f>SUM(T7:T26)</f>
        <v>0</v>
      </c>
      <c r="U27" s="26" t="str">
        <f t="shared" si="0"/>
        <v/>
      </c>
      <c r="V27" s="26" t="str">
        <f>IF(P27=0,"",(T27-P27)/P27*100)</f>
        <v/>
      </c>
      <c r="W27" s="27"/>
    </row>
    <row r="28" ht="15.5" customHeight="1" spans="1:23">
      <c r="A28" s="29" t="str">
        <f>封面!D11&amp;封面!G11</f>
        <v>被评估单位填表人：</v>
      </c>
      <c r="P28" s="29" t="str">
        <f>"评估人员："&amp;封面!G26</f>
        <v>评估人员：</v>
      </c>
    </row>
    <row r="29" ht="15.5" customHeight="1" spans="1:23">
      <c r="A29" s="29" t="str">
        <f>CONCATENATE(封面!D13,封面!F13,封面!G13,封面!H13,封面!I13,封面!J13,封面!K13)</f>
        <v>填表日期：年月日</v>
      </c>
    </row>
  </sheetData>
  <mergeCells count="17">
    <mergeCell ref="A2:W2"/>
    <mergeCell ref="A3:W3"/>
    <mergeCell ref="H5:K5"/>
    <mergeCell ref="M5:P5"/>
    <mergeCell ref="Q5:T5"/>
    <mergeCell ref="A27:B27"/>
    <mergeCell ref="A5:A6"/>
    <mergeCell ref="B5:B6"/>
    <mergeCell ref="C5:C6"/>
    <mergeCell ref="D5:D6"/>
    <mergeCell ref="E5:E6"/>
    <mergeCell ref="F5:F6"/>
    <mergeCell ref="G5:G6"/>
    <mergeCell ref="L5:L6"/>
    <mergeCell ref="U5:U6"/>
    <mergeCell ref="V5:V6"/>
    <mergeCell ref="W5:W6"/>
  </mergeCells>
  <hyperlinks>
    <hyperlink ref="A1" location="索引目录!E49" display="返回索引页"/>
    <hyperlink ref="B1" location="在建工程汇总!B7" display="返回"/>
  </hyperlinks>
  <printOptions horizontalCentered="1"/>
  <pageMargins left="0.354330708661417" right="0.354330708661417" top="0.78740157480315" bottom="0.78740157480315" header="1.03" footer="0.511811023622047"/>
  <pageSetup paperSize="9" scale="78" fitToHeight="0" orientation="landscape"/>
  <headerFooter alignWithMargins="0">
    <oddHeader>&amp;R&amp;"宋体,常规"共&amp;"Times New Roman,常规"&amp;N&amp;"宋体,常规"页第&amp;"Times New Roman,常规"&amp;P&amp;"宋体,常规"4-7-2
页</oddHeader>
  </headerFooter>
  <legacyDrawing r:id="rId2"/>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8">
    <pageSetUpPr fitToPage="1"/>
  </sheetPr>
  <dimension ref="A1:Q29"/>
  <sheetViews>
    <sheetView view="pageBreakPreview" zoomScale="60" zoomScaleNormal="100" workbookViewId="0">
      <selection activeCell="G451" sqref="G451"/>
    </sheetView>
  </sheetViews>
  <sheetFormatPr defaultColWidth="9" defaultRowHeight="15.75" customHeight="1"/>
  <cols>
    <col min="1" max="1" width="4" style="13" customWidth="1"/>
    <col min="2" max="2" width="14.5833333333333" style="13" customWidth="1"/>
    <col min="3" max="3" width="9" style="13" customWidth="1"/>
    <col min="4" max="4" width="4.5" style="13" customWidth="1"/>
    <col min="5" max="5" width="10.5" style="13" hidden="1" customWidth="1" outlineLevel="1"/>
    <col min="6" max="6" width="8.25" style="13" hidden="1" customWidth="1" outlineLevel="1"/>
    <col min="7" max="8" width="13.0833333333333" style="13" hidden="1" customWidth="1" outlineLevel="1"/>
    <col min="9" max="9" width="11.8333333333333" style="13" customWidth="1" collapsed="1"/>
    <col min="10" max="11" width="12.5" style="13" customWidth="1"/>
    <col min="12" max="12" width="11.8333333333333" style="13" customWidth="1"/>
    <col min="13" max="15" width="12.5" style="13" customWidth="1"/>
    <col min="16" max="16" width="6.5" style="13" customWidth="1"/>
    <col min="17" max="16384" width="9" style="13" customWidth="1"/>
  </cols>
  <sheetData>
    <row r="1" ht="15.5" customHeight="1" spans="1:17">
      <c r="A1" s="14" t="s">
        <v>111</v>
      </c>
      <c r="B1" s="15" t="s">
        <v>210</v>
      </c>
      <c r="C1" s="16"/>
      <c r="D1" s="16"/>
      <c r="E1" s="16"/>
      <c r="F1" s="16"/>
      <c r="G1" s="16"/>
      <c r="H1" s="16"/>
      <c r="I1" s="16"/>
      <c r="J1" s="16"/>
      <c r="K1" s="16"/>
      <c r="L1" s="16"/>
      <c r="M1" s="16"/>
      <c r="N1" s="16"/>
      <c r="O1" s="16"/>
      <c r="P1" s="16"/>
      <c r="Q1" s="16"/>
    </row>
    <row r="2" s="11" customFormat="1" ht="30" customHeight="1" spans="1:17">
      <c r="A2" s="17" t="s">
        <v>619</v>
      </c>
    </row>
    <row r="3" ht="14.15" customHeight="1" spans="1:17">
      <c r="A3" s="18" t="str">
        <f>CONCATENATE(封面!D9,封面!F9,封面!G9,封面!H9,封面!I9,封面!J9,封面!K9)</f>
        <v>评估基准日：年月日</v>
      </c>
    </row>
    <row r="4" ht="15.5" customHeight="1" spans="1:17">
      <c r="A4" s="19" t="str">
        <f>封面!D7&amp;封面!F7</f>
        <v>被评估单位：</v>
      </c>
      <c r="Q4" s="20" t="s">
        <v>139</v>
      </c>
    </row>
    <row r="5" s="12" customFormat="1" ht="13" customHeight="1" spans="1:17">
      <c r="A5" s="21" t="s">
        <v>141</v>
      </c>
      <c r="B5" s="21" t="s">
        <v>620</v>
      </c>
      <c r="C5" s="21" t="s">
        <v>621</v>
      </c>
      <c r="D5" s="22" t="s">
        <v>622</v>
      </c>
      <c r="E5" s="22" t="s">
        <v>175</v>
      </c>
      <c r="F5" s="32"/>
      <c r="G5" s="28"/>
      <c r="H5" s="22" t="s">
        <v>281</v>
      </c>
      <c r="I5" s="105" t="s">
        <v>176</v>
      </c>
      <c r="J5" s="34"/>
      <c r="K5" s="35"/>
      <c r="L5" s="22" t="s">
        <v>371</v>
      </c>
      <c r="M5" s="21" t="s">
        <v>177</v>
      </c>
      <c r="N5" s="28"/>
      <c r="O5" s="22" t="s">
        <v>178</v>
      </c>
      <c r="P5" s="22" t="s">
        <v>623</v>
      </c>
      <c r="Q5" s="22" t="s">
        <v>144</v>
      </c>
    </row>
    <row r="6" s="12" customFormat="1" ht="13" customHeight="1" spans="1:17">
      <c r="A6" s="36"/>
      <c r="B6" s="36"/>
      <c r="C6" s="36"/>
      <c r="D6" s="36"/>
      <c r="E6" s="21" t="s">
        <v>368</v>
      </c>
      <c r="F6" s="21" t="s">
        <v>369</v>
      </c>
      <c r="G6" s="21" t="s">
        <v>370</v>
      </c>
      <c r="H6" s="36"/>
      <c r="I6" s="21" t="s">
        <v>368</v>
      </c>
      <c r="J6" s="21" t="s">
        <v>369</v>
      </c>
      <c r="K6" s="21" t="s">
        <v>370</v>
      </c>
      <c r="L6" s="36"/>
      <c r="M6" s="21" t="s">
        <v>369</v>
      </c>
      <c r="N6" s="21" t="s">
        <v>370</v>
      </c>
      <c r="O6" s="36"/>
      <c r="P6" s="36"/>
      <c r="Q6" s="36"/>
    </row>
    <row r="7" ht="15.5" customHeight="1" spans="1:17">
      <c r="A7" s="23"/>
      <c r="B7" s="24"/>
      <c r="C7" s="24"/>
      <c r="D7" s="23"/>
      <c r="E7" s="38"/>
      <c r="F7" s="26"/>
      <c r="G7" s="26"/>
      <c r="H7" s="26"/>
      <c r="I7" s="26"/>
      <c r="J7" s="26"/>
      <c r="K7" s="26"/>
      <c r="L7" s="38"/>
      <c r="M7" s="26"/>
      <c r="N7" s="26"/>
      <c r="O7" s="26" t="str">
        <f t="shared" ref="O7:O27" si="0">IF(K7=0,"",(N7-K7))</f>
        <v/>
      </c>
      <c r="P7" s="26" t="str">
        <f t="shared" ref="P7:P27" si="1">IF(K7=0,"",(N7-K7)/K7*100)</f>
        <v/>
      </c>
      <c r="Q7" s="27"/>
    </row>
    <row r="8" ht="15.5" customHeight="1" spans="1:17">
      <c r="A8" s="23"/>
      <c r="B8" s="24"/>
      <c r="C8" s="24"/>
      <c r="D8" s="23"/>
      <c r="E8" s="38"/>
      <c r="F8" s="26"/>
      <c r="G8" s="26"/>
      <c r="H8" s="26"/>
      <c r="I8" s="26"/>
      <c r="J8" s="26"/>
      <c r="K8" s="26"/>
      <c r="L8" s="38"/>
      <c r="M8" s="26"/>
      <c r="N8" s="26"/>
      <c r="O8" s="26" t="str">
        <f t="shared" si="0"/>
        <v/>
      </c>
      <c r="P8" s="26" t="str">
        <f t="shared" si="1"/>
        <v/>
      </c>
      <c r="Q8" s="27"/>
    </row>
    <row r="9" ht="15.5" customHeight="1" spans="1:17">
      <c r="A9" s="23"/>
      <c r="B9" s="24"/>
      <c r="C9" s="24"/>
      <c r="D9" s="23"/>
      <c r="E9" s="38"/>
      <c r="F9" s="26"/>
      <c r="G9" s="26"/>
      <c r="H9" s="26"/>
      <c r="I9" s="26"/>
      <c r="J9" s="26"/>
      <c r="K9" s="26"/>
      <c r="L9" s="38"/>
      <c r="M9" s="26"/>
      <c r="N9" s="26"/>
      <c r="O9" s="26" t="str">
        <f t="shared" si="0"/>
        <v/>
      </c>
      <c r="P9" s="26" t="str">
        <f t="shared" si="1"/>
        <v/>
      </c>
      <c r="Q9" s="27"/>
    </row>
    <row r="10" ht="15.5" customHeight="1" spans="1:17">
      <c r="A10" s="23"/>
      <c r="B10" s="24"/>
      <c r="C10" s="24"/>
      <c r="D10" s="23"/>
      <c r="E10" s="38"/>
      <c r="F10" s="26"/>
      <c r="G10" s="26"/>
      <c r="H10" s="26"/>
      <c r="I10" s="26"/>
      <c r="J10" s="26"/>
      <c r="K10" s="26"/>
      <c r="L10" s="38"/>
      <c r="M10" s="26"/>
      <c r="N10" s="26"/>
      <c r="O10" s="26" t="str">
        <f t="shared" si="0"/>
        <v/>
      </c>
      <c r="P10" s="26" t="str">
        <f t="shared" si="1"/>
        <v/>
      </c>
      <c r="Q10" s="27"/>
    </row>
    <row r="11" ht="15.5" customHeight="1" spans="1:17">
      <c r="A11" s="23"/>
      <c r="B11" s="24"/>
      <c r="C11" s="24"/>
      <c r="D11" s="23"/>
      <c r="E11" s="38"/>
      <c r="F11" s="26"/>
      <c r="G11" s="26"/>
      <c r="H11" s="26"/>
      <c r="I11" s="26"/>
      <c r="J11" s="26"/>
      <c r="K11" s="26"/>
      <c r="L11" s="38"/>
      <c r="M11" s="26"/>
      <c r="N11" s="26"/>
      <c r="O11" s="26" t="str">
        <f t="shared" si="0"/>
        <v/>
      </c>
      <c r="P11" s="26" t="str">
        <f t="shared" si="1"/>
        <v/>
      </c>
      <c r="Q11" s="27"/>
    </row>
    <row r="12" ht="15.5" customHeight="1" spans="1:17">
      <c r="A12" s="23"/>
      <c r="B12" s="24"/>
      <c r="C12" s="24"/>
      <c r="D12" s="23"/>
      <c r="E12" s="38"/>
      <c r="F12" s="26"/>
      <c r="G12" s="26"/>
      <c r="H12" s="26"/>
      <c r="I12" s="26"/>
      <c r="J12" s="26"/>
      <c r="K12" s="26"/>
      <c r="L12" s="38"/>
      <c r="M12" s="26"/>
      <c r="N12" s="26"/>
      <c r="O12" s="26" t="str">
        <f t="shared" si="0"/>
        <v/>
      </c>
      <c r="P12" s="26" t="str">
        <f t="shared" si="1"/>
        <v/>
      </c>
      <c r="Q12" s="27"/>
    </row>
    <row r="13" ht="15.5" customHeight="1" spans="1:17">
      <c r="A13" s="23"/>
      <c r="B13" s="24"/>
      <c r="C13" s="24"/>
      <c r="D13" s="23"/>
      <c r="E13" s="38"/>
      <c r="F13" s="26"/>
      <c r="G13" s="26"/>
      <c r="H13" s="26"/>
      <c r="I13" s="26"/>
      <c r="J13" s="26"/>
      <c r="K13" s="26"/>
      <c r="L13" s="38"/>
      <c r="M13" s="26"/>
      <c r="N13" s="26"/>
      <c r="O13" s="26" t="str">
        <f t="shared" si="0"/>
        <v/>
      </c>
      <c r="P13" s="26" t="str">
        <f t="shared" si="1"/>
        <v/>
      </c>
      <c r="Q13" s="27"/>
    </row>
    <row r="14" ht="15.5" customHeight="1" spans="1:17">
      <c r="A14" s="23"/>
      <c r="B14" s="24"/>
      <c r="C14" s="24"/>
      <c r="D14" s="23"/>
      <c r="E14" s="38"/>
      <c r="F14" s="26"/>
      <c r="G14" s="26"/>
      <c r="H14" s="26"/>
      <c r="I14" s="26"/>
      <c r="J14" s="26"/>
      <c r="K14" s="26"/>
      <c r="L14" s="38"/>
      <c r="M14" s="26"/>
      <c r="N14" s="26"/>
      <c r="O14" s="26" t="str">
        <f t="shared" si="0"/>
        <v/>
      </c>
      <c r="P14" s="26" t="str">
        <f t="shared" si="1"/>
        <v/>
      </c>
      <c r="Q14" s="27"/>
    </row>
    <row r="15" ht="15.5" customHeight="1" spans="1:17">
      <c r="A15" s="23"/>
      <c r="B15" s="24"/>
      <c r="C15" s="24"/>
      <c r="D15" s="23"/>
      <c r="E15" s="38"/>
      <c r="F15" s="26"/>
      <c r="G15" s="26"/>
      <c r="H15" s="26"/>
      <c r="I15" s="26"/>
      <c r="J15" s="26"/>
      <c r="K15" s="26"/>
      <c r="L15" s="38"/>
      <c r="M15" s="26"/>
      <c r="N15" s="26"/>
      <c r="O15" s="26" t="str">
        <f t="shared" si="0"/>
        <v/>
      </c>
      <c r="P15" s="26" t="str">
        <f t="shared" si="1"/>
        <v/>
      </c>
      <c r="Q15" s="27"/>
    </row>
    <row r="16" ht="15.5" customHeight="1" spans="1:17">
      <c r="A16" s="23"/>
      <c r="B16" s="24"/>
      <c r="C16" s="24"/>
      <c r="D16" s="23"/>
      <c r="E16" s="38"/>
      <c r="F16" s="26"/>
      <c r="G16" s="26"/>
      <c r="H16" s="26"/>
      <c r="I16" s="26"/>
      <c r="J16" s="26"/>
      <c r="K16" s="26"/>
      <c r="L16" s="38"/>
      <c r="M16" s="26"/>
      <c r="N16" s="26"/>
      <c r="O16" s="26" t="str">
        <f t="shared" si="0"/>
        <v/>
      </c>
      <c r="P16" s="26" t="str">
        <f t="shared" si="1"/>
        <v/>
      </c>
      <c r="Q16" s="27"/>
    </row>
    <row r="17" ht="15.5" customHeight="1" spans="1:17">
      <c r="A17" s="23"/>
      <c r="B17" s="24"/>
      <c r="C17" s="24"/>
      <c r="D17" s="23"/>
      <c r="E17" s="38"/>
      <c r="F17" s="26"/>
      <c r="G17" s="26"/>
      <c r="H17" s="26"/>
      <c r="I17" s="26"/>
      <c r="J17" s="26"/>
      <c r="K17" s="26"/>
      <c r="L17" s="38"/>
      <c r="M17" s="26"/>
      <c r="N17" s="26"/>
      <c r="O17" s="26" t="str">
        <f t="shared" si="0"/>
        <v/>
      </c>
      <c r="P17" s="26" t="str">
        <f t="shared" si="1"/>
        <v/>
      </c>
      <c r="Q17" s="27"/>
    </row>
    <row r="18" ht="15.5" customHeight="1" spans="1:17">
      <c r="A18" s="23"/>
      <c r="B18" s="24"/>
      <c r="C18" s="24"/>
      <c r="D18" s="23"/>
      <c r="E18" s="38"/>
      <c r="F18" s="26"/>
      <c r="G18" s="26"/>
      <c r="H18" s="26"/>
      <c r="I18" s="26"/>
      <c r="J18" s="26"/>
      <c r="K18" s="26"/>
      <c r="L18" s="38"/>
      <c r="M18" s="26"/>
      <c r="N18" s="26"/>
      <c r="O18" s="26" t="str">
        <f t="shared" si="0"/>
        <v/>
      </c>
      <c r="P18" s="26" t="str">
        <f t="shared" si="1"/>
        <v/>
      </c>
      <c r="Q18" s="27"/>
    </row>
    <row r="19" ht="15.5" customHeight="1" spans="1:17">
      <c r="A19" s="23"/>
      <c r="B19" s="24"/>
      <c r="C19" s="24"/>
      <c r="D19" s="23"/>
      <c r="E19" s="38"/>
      <c r="F19" s="26"/>
      <c r="G19" s="26"/>
      <c r="H19" s="26"/>
      <c r="I19" s="26"/>
      <c r="J19" s="26"/>
      <c r="K19" s="26"/>
      <c r="L19" s="38"/>
      <c r="M19" s="26"/>
      <c r="N19" s="26"/>
      <c r="O19" s="26" t="str">
        <f t="shared" si="0"/>
        <v/>
      </c>
      <c r="P19" s="26" t="str">
        <f t="shared" si="1"/>
        <v/>
      </c>
      <c r="Q19" s="27"/>
    </row>
    <row r="20" ht="15.5" customHeight="1" spans="1:17">
      <c r="A20" s="23"/>
      <c r="B20" s="24"/>
      <c r="C20" s="24"/>
      <c r="D20" s="23"/>
      <c r="E20" s="38"/>
      <c r="F20" s="26"/>
      <c r="G20" s="26"/>
      <c r="H20" s="26"/>
      <c r="I20" s="26"/>
      <c r="J20" s="26"/>
      <c r="K20" s="26"/>
      <c r="L20" s="38"/>
      <c r="M20" s="26"/>
      <c r="N20" s="26"/>
      <c r="O20" s="26" t="str">
        <f t="shared" si="0"/>
        <v/>
      </c>
      <c r="P20" s="26" t="str">
        <f t="shared" si="1"/>
        <v/>
      </c>
      <c r="Q20" s="27"/>
    </row>
    <row r="21" ht="15.5" customHeight="1" spans="1:17">
      <c r="A21" s="23"/>
      <c r="B21" s="24"/>
      <c r="C21" s="24"/>
      <c r="D21" s="23"/>
      <c r="E21" s="38"/>
      <c r="F21" s="26"/>
      <c r="G21" s="26"/>
      <c r="H21" s="26"/>
      <c r="I21" s="26"/>
      <c r="J21" s="26"/>
      <c r="K21" s="26"/>
      <c r="L21" s="38"/>
      <c r="M21" s="26"/>
      <c r="N21" s="26"/>
      <c r="O21" s="26" t="str">
        <f t="shared" si="0"/>
        <v/>
      </c>
      <c r="P21" s="26" t="str">
        <f t="shared" si="1"/>
        <v/>
      </c>
      <c r="Q21" s="27"/>
    </row>
    <row r="22" ht="15.5" customHeight="1" spans="1:17">
      <c r="A22" s="23"/>
      <c r="B22" s="24"/>
      <c r="C22" s="24"/>
      <c r="D22" s="23"/>
      <c r="E22" s="38"/>
      <c r="F22" s="26"/>
      <c r="G22" s="26"/>
      <c r="H22" s="26"/>
      <c r="I22" s="26"/>
      <c r="J22" s="26"/>
      <c r="K22" s="26"/>
      <c r="L22" s="38"/>
      <c r="M22" s="26"/>
      <c r="N22" s="26"/>
      <c r="O22" s="26" t="str">
        <f t="shared" si="0"/>
        <v/>
      </c>
      <c r="P22" s="26" t="str">
        <f t="shared" si="1"/>
        <v/>
      </c>
      <c r="Q22" s="27"/>
    </row>
    <row r="23" ht="15.5" customHeight="1" spans="1:17">
      <c r="A23" s="23"/>
      <c r="B23" s="24"/>
      <c r="C23" s="24"/>
      <c r="D23" s="23"/>
      <c r="E23" s="38"/>
      <c r="F23" s="26"/>
      <c r="G23" s="26"/>
      <c r="H23" s="26"/>
      <c r="I23" s="26"/>
      <c r="J23" s="26"/>
      <c r="K23" s="26"/>
      <c r="L23" s="38"/>
      <c r="M23" s="26"/>
      <c r="N23" s="26"/>
      <c r="O23" s="26" t="str">
        <f t="shared" si="0"/>
        <v/>
      </c>
      <c r="P23" s="26" t="str">
        <f t="shared" si="1"/>
        <v/>
      </c>
      <c r="Q23" s="27"/>
    </row>
    <row r="24" ht="15.5" customHeight="1" spans="1:17">
      <c r="A24" s="23"/>
      <c r="B24" s="24"/>
      <c r="C24" s="24"/>
      <c r="D24" s="23"/>
      <c r="E24" s="38"/>
      <c r="F24" s="26"/>
      <c r="G24" s="26"/>
      <c r="H24" s="26"/>
      <c r="I24" s="26"/>
      <c r="J24" s="26"/>
      <c r="K24" s="26"/>
      <c r="L24" s="38"/>
      <c r="M24" s="26"/>
      <c r="N24" s="26"/>
      <c r="O24" s="26" t="str">
        <f t="shared" si="0"/>
        <v/>
      </c>
      <c r="P24" s="26" t="str">
        <f t="shared" si="1"/>
        <v/>
      </c>
      <c r="Q24" s="27"/>
    </row>
    <row r="25" ht="15.5" customHeight="1" spans="1:17">
      <c r="A25" s="21" t="s">
        <v>319</v>
      </c>
      <c r="B25" s="28"/>
      <c r="C25" s="24"/>
      <c r="D25" s="23"/>
      <c r="E25" s="38"/>
      <c r="F25" s="26"/>
      <c r="G25" s="26">
        <f>SUM(G7:G24)</f>
        <v>0</v>
      </c>
      <c r="H25" s="26"/>
      <c r="I25" s="26"/>
      <c r="J25" s="26"/>
      <c r="K25" s="26">
        <f>SUM(K7:K24)</f>
        <v>0</v>
      </c>
      <c r="L25" s="38"/>
      <c r="M25" s="26"/>
      <c r="N25" s="26">
        <f>SUM(N7:N24)</f>
        <v>0</v>
      </c>
      <c r="O25" s="26" t="str">
        <f t="shared" si="0"/>
        <v/>
      </c>
      <c r="P25" s="26" t="str">
        <f t="shared" si="1"/>
        <v/>
      </c>
      <c r="Q25" s="27"/>
    </row>
    <row r="26" ht="15.5" customHeight="1" spans="1:17">
      <c r="A26" s="21" t="s">
        <v>624</v>
      </c>
      <c r="B26" s="28"/>
      <c r="C26" s="24"/>
      <c r="D26" s="23"/>
      <c r="E26" s="38"/>
      <c r="F26" s="26"/>
      <c r="G26" s="26"/>
      <c r="H26" s="26"/>
      <c r="I26" s="26"/>
      <c r="J26" s="26"/>
      <c r="K26" s="26">
        <f>G26</f>
        <v>0</v>
      </c>
      <c r="L26" s="38"/>
      <c r="M26" s="26"/>
      <c r="N26" s="26"/>
      <c r="O26" s="26" t="str">
        <f t="shared" si="0"/>
        <v/>
      </c>
      <c r="P26" s="26" t="str">
        <f t="shared" si="1"/>
        <v/>
      </c>
      <c r="Q26" s="27"/>
    </row>
    <row r="27" ht="15.5" customHeight="1" spans="1:17">
      <c r="A27" s="21" t="s">
        <v>336</v>
      </c>
      <c r="B27" s="28"/>
      <c r="C27" s="106"/>
      <c r="D27" s="27"/>
      <c r="E27" s="38"/>
      <c r="F27" s="26"/>
      <c r="G27" s="26">
        <f>G25-G26</f>
        <v>0</v>
      </c>
      <c r="H27" s="26"/>
      <c r="I27" s="26"/>
      <c r="J27" s="26"/>
      <c r="K27" s="26">
        <f>K25-K26</f>
        <v>0</v>
      </c>
      <c r="L27" s="38"/>
      <c r="M27" s="26"/>
      <c r="N27" s="26">
        <f>N25-N26</f>
        <v>0</v>
      </c>
      <c r="O27" s="26" t="str">
        <f t="shared" si="0"/>
        <v/>
      </c>
      <c r="P27" s="26" t="str">
        <f t="shared" si="1"/>
        <v/>
      </c>
      <c r="Q27" s="27"/>
    </row>
    <row r="28" ht="15.5" customHeight="1" spans="1:17">
      <c r="A28" s="29" t="str">
        <f>封面!D11&amp;封面!G11</f>
        <v>被评估单位填表人：</v>
      </c>
      <c r="L28" s="13" t="str">
        <f>"评估人员："&amp;封面!G20</f>
        <v>评估人员：</v>
      </c>
    </row>
    <row r="29" ht="15.5" customHeight="1" spans="1:17">
      <c r="A29" s="29" t="str">
        <f>CONCATENATE(封面!D13,封面!F13,封面!G13,封面!H13,封面!I13,封面!J13,封面!K13)</f>
        <v>填表日期：年月日</v>
      </c>
    </row>
  </sheetData>
  <mergeCells count="17">
    <mergeCell ref="A2:Q2"/>
    <mergeCell ref="A3:Q3"/>
    <mergeCell ref="E5:G5"/>
    <mergeCell ref="I5:K5"/>
    <mergeCell ref="M5:N5"/>
    <mergeCell ref="A25:B25"/>
    <mergeCell ref="A26:B26"/>
    <mergeCell ref="A27:B27"/>
    <mergeCell ref="A5:A6"/>
    <mergeCell ref="B5:B6"/>
    <mergeCell ref="C5:C6"/>
    <mergeCell ref="D5:D6"/>
    <mergeCell ref="H5:H6"/>
    <mergeCell ref="L5:L6"/>
    <mergeCell ref="O5:O6"/>
    <mergeCell ref="P5:P6"/>
    <mergeCell ref="Q5:Q6"/>
  </mergeCells>
  <hyperlinks>
    <hyperlink ref="A1" location="索引目录!D44" display="返回索引页"/>
    <hyperlink ref="B1" location="固定资产汇总!B22" display="返回"/>
  </hyperlinks>
  <printOptions horizontalCentered="1"/>
  <pageMargins left="0.354330708661417" right="0.354330708661417" top="0.78740157480315" bottom="0.78740157480315" header="1.07" footer="0.511811023622047"/>
  <pageSetup paperSize="9" scale="98" fitToHeight="0" orientation="landscape"/>
  <headerFooter alignWithMargins="0">
    <oddHeader>&amp;R&amp;"宋体,常规"共&amp;"Times New Roman,常规"&amp;N&amp;"宋体,常规"页第&amp;"Times New Roman,常规"&amp;P&amp;"宋体,常规"4-8
页</oddHeader>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9">
    <pageSetUpPr fitToPage="1"/>
  </sheetPr>
  <dimension ref="A1:J29"/>
  <sheetViews>
    <sheetView view="pageBreakPreview" zoomScale="60" zoomScaleNormal="100" workbookViewId="0">
      <selection activeCell="G451" sqref="G451"/>
    </sheetView>
  </sheetViews>
  <sheetFormatPr defaultColWidth="9" defaultRowHeight="15.75" customHeight="1"/>
  <cols>
    <col min="1" max="1" width="8.33333333333333" style="13" customWidth="1"/>
    <col min="2" max="2" width="28.5833333333333" style="13" customWidth="1"/>
    <col min="3" max="3" width="14.5833333333333" style="13" customWidth="1"/>
    <col min="4" max="5" width="17.0833333333333" style="13" hidden="1" customWidth="1" outlineLevel="1"/>
    <col min="6" max="6" width="23.25" style="13" customWidth="1" collapsed="1"/>
    <col min="7" max="7" width="23.25" style="13" customWidth="1"/>
    <col min="8" max="8" width="18.5833333333333" style="13" customWidth="1"/>
    <col min="9" max="9" width="8.83333333333333" style="13" customWidth="1"/>
    <col min="10" max="10" width="13.5" style="13" customWidth="1"/>
    <col min="11" max="16384" width="9" style="13" customWidth="1"/>
  </cols>
  <sheetData>
    <row r="1" ht="15.5" customHeight="1" spans="1:10">
      <c r="A1" s="14" t="s">
        <v>111</v>
      </c>
      <c r="B1" s="15" t="s">
        <v>210</v>
      </c>
      <c r="C1" s="16"/>
      <c r="D1" s="16"/>
      <c r="E1" s="16"/>
      <c r="F1" s="16"/>
      <c r="G1" s="16"/>
      <c r="H1" s="16"/>
      <c r="I1" s="16"/>
      <c r="J1" s="16"/>
    </row>
    <row r="2" s="11" customFormat="1" ht="30" customHeight="1" spans="1:10">
      <c r="A2" s="17" t="s">
        <v>625</v>
      </c>
    </row>
    <row r="3" ht="14.15" customHeight="1" spans="1:10">
      <c r="A3" s="18" t="str">
        <f>CONCATENATE(封面!D9,封面!F9,封面!G9,封面!H9,封面!I9,封面!J9,封面!K9)</f>
        <v>评估基准日：年月日</v>
      </c>
    </row>
    <row r="4" ht="15.5" customHeight="1" spans="1:10">
      <c r="A4" s="19" t="str">
        <f>封面!D7&amp;封面!F7</f>
        <v>被评估单位：</v>
      </c>
      <c r="J4" s="20" t="s">
        <v>139</v>
      </c>
    </row>
    <row r="5" s="12" customFormat="1" ht="13" customHeight="1" spans="1:10">
      <c r="A5" s="21" t="s">
        <v>141</v>
      </c>
      <c r="B5" s="21" t="s">
        <v>626</v>
      </c>
      <c r="C5" s="21" t="s">
        <v>326</v>
      </c>
      <c r="D5" s="22" t="s">
        <v>175</v>
      </c>
      <c r="E5" s="22" t="s">
        <v>281</v>
      </c>
      <c r="F5" s="21" t="s">
        <v>176</v>
      </c>
      <c r="G5" s="21" t="s">
        <v>177</v>
      </c>
      <c r="H5" s="21" t="s">
        <v>178</v>
      </c>
      <c r="I5" s="21" t="s">
        <v>215</v>
      </c>
      <c r="J5" s="21" t="s">
        <v>144</v>
      </c>
    </row>
    <row r="6" ht="15.5" customHeight="1" spans="1:10">
      <c r="A6" s="23"/>
      <c r="B6" s="24"/>
      <c r="C6" s="25"/>
      <c r="D6" s="26"/>
      <c r="E6" s="26"/>
      <c r="F6" s="26"/>
      <c r="G6" s="26"/>
      <c r="H6" s="26" t="str">
        <f t="shared" ref="H6:H27" si="0">IF(F6=0,"",(G6-F6))</f>
        <v/>
      </c>
      <c r="I6" s="26" t="str">
        <f t="shared" ref="I6:I27" si="1">IF(F6=0,"",(G6-F6)/F6*100)</f>
        <v/>
      </c>
      <c r="J6" s="27"/>
    </row>
    <row r="7" ht="15.5" customHeight="1" spans="1:10">
      <c r="A7" s="23"/>
      <c r="B7" s="24"/>
      <c r="C7" s="25"/>
      <c r="D7" s="26"/>
      <c r="E7" s="26"/>
      <c r="F7" s="26"/>
      <c r="G7" s="26"/>
      <c r="H7" s="26" t="str">
        <f t="shared" si="0"/>
        <v/>
      </c>
      <c r="I7" s="26" t="str">
        <f t="shared" si="1"/>
        <v/>
      </c>
      <c r="J7" s="27"/>
    </row>
    <row r="8" ht="15.5" customHeight="1" spans="1:10">
      <c r="A8" s="23"/>
      <c r="B8" s="24"/>
      <c r="C8" s="25"/>
      <c r="D8" s="26"/>
      <c r="E8" s="26"/>
      <c r="F8" s="26"/>
      <c r="G8" s="26"/>
      <c r="H8" s="26" t="str">
        <f t="shared" si="0"/>
        <v/>
      </c>
      <c r="I8" s="26" t="str">
        <f t="shared" si="1"/>
        <v/>
      </c>
      <c r="J8" s="27"/>
    </row>
    <row r="9" ht="15.5" customHeight="1" spans="1:10">
      <c r="A9" s="23"/>
      <c r="B9" s="24"/>
      <c r="C9" s="25"/>
      <c r="D9" s="26"/>
      <c r="E9" s="26"/>
      <c r="F9" s="26"/>
      <c r="G9" s="26"/>
      <c r="H9" s="26" t="str">
        <f t="shared" si="0"/>
        <v/>
      </c>
      <c r="I9" s="26" t="str">
        <f t="shared" si="1"/>
        <v/>
      </c>
      <c r="J9" s="27"/>
    </row>
    <row r="10" ht="15.5" customHeight="1" spans="1:10">
      <c r="A10" s="23"/>
      <c r="B10" s="24"/>
      <c r="C10" s="25"/>
      <c r="D10" s="26"/>
      <c r="E10" s="26"/>
      <c r="F10" s="26"/>
      <c r="G10" s="26"/>
      <c r="H10" s="26" t="str">
        <f t="shared" si="0"/>
        <v/>
      </c>
      <c r="I10" s="26" t="str">
        <f t="shared" si="1"/>
        <v/>
      </c>
      <c r="J10" s="27"/>
    </row>
    <row r="11" ht="15.5" customHeight="1" spans="1:10">
      <c r="A11" s="23"/>
      <c r="B11" s="24"/>
      <c r="C11" s="25"/>
      <c r="D11" s="26"/>
      <c r="E11" s="26"/>
      <c r="F11" s="26"/>
      <c r="G11" s="26"/>
      <c r="H11" s="26" t="str">
        <f t="shared" si="0"/>
        <v/>
      </c>
      <c r="I11" s="26" t="str">
        <f t="shared" si="1"/>
        <v/>
      </c>
      <c r="J11" s="27"/>
    </row>
    <row r="12" ht="15.5" customHeight="1" spans="1:10">
      <c r="A12" s="23"/>
      <c r="B12" s="24"/>
      <c r="C12" s="25"/>
      <c r="D12" s="26"/>
      <c r="E12" s="26"/>
      <c r="F12" s="26"/>
      <c r="G12" s="26"/>
      <c r="H12" s="26" t="str">
        <f t="shared" si="0"/>
        <v/>
      </c>
      <c r="I12" s="26" t="str">
        <f t="shared" si="1"/>
        <v/>
      </c>
      <c r="J12" s="27"/>
    </row>
    <row r="13" ht="15.5" customHeight="1" spans="1:10">
      <c r="A13" s="23"/>
      <c r="B13" s="24"/>
      <c r="C13" s="25"/>
      <c r="D13" s="26"/>
      <c r="E13" s="26"/>
      <c r="F13" s="26"/>
      <c r="G13" s="26"/>
      <c r="H13" s="26" t="str">
        <f t="shared" si="0"/>
        <v/>
      </c>
      <c r="I13" s="26" t="str">
        <f t="shared" si="1"/>
        <v/>
      </c>
      <c r="J13" s="27"/>
    </row>
    <row r="14" ht="15.5" customHeight="1" spans="1:10">
      <c r="A14" s="23"/>
      <c r="B14" s="24"/>
      <c r="C14" s="25"/>
      <c r="D14" s="26"/>
      <c r="E14" s="26"/>
      <c r="F14" s="26"/>
      <c r="G14" s="26"/>
      <c r="H14" s="26" t="str">
        <f t="shared" si="0"/>
        <v/>
      </c>
      <c r="I14" s="26" t="str">
        <f t="shared" si="1"/>
        <v/>
      </c>
      <c r="J14" s="27"/>
    </row>
    <row r="15" ht="15.5" customHeight="1" spans="1:10">
      <c r="A15" s="23"/>
      <c r="B15" s="24"/>
      <c r="C15" s="25"/>
      <c r="D15" s="26"/>
      <c r="E15" s="26"/>
      <c r="F15" s="26"/>
      <c r="G15" s="26"/>
      <c r="H15" s="26" t="str">
        <f t="shared" si="0"/>
        <v/>
      </c>
      <c r="I15" s="26" t="str">
        <f t="shared" si="1"/>
        <v/>
      </c>
      <c r="J15" s="27"/>
    </row>
    <row r="16" ht="15.5" customHeight="1" spans="1:10">
      <c r="A16" s="23"/>
      <c r="B16" s="24"/>
      <c r="C16" s="25"/>
      <c r="D16" s="26"/>
      <c r="E16" s="26"/>
      <c r="F16" s="26"/>
      <c r="G16" s="26"/>
      <c r="H16" s="26" t="str">
        <f t="shared" si="0"/>
        <v/>
      </c>
      <c r="I16" s="26" t="str">
        <f t="shared" si="1"/>
        <v/>
      </c>
      <c r="J16" s="27"/>
    </row>
    <row r="17" ht="15.5" customHeight="1" spans="1:10">
      <c r="A17" s="23"/>
      <c r="B17" s="24"/>
      <c r="C17" s="25"/>
      <c r="D17" s="26"/>
      <c r="E17" s="26"/>
      <c r="F17" s="26"/>
      <c r="G17" s="26"/>
      <c r="H17" s="26" t="str">
        <f t="shared" si="0"/>
        <v/>
      </c>
      <c r="I17" s="26" t="str">
        <f t="shared" si="1"/>
        <v/>
      </c>
      <c r="J17" s="27"/>
    </row>
    <row r="18" ht="15.5" customHeight="1" spans="1:10">
      <c r="A18" s="23"/>
      <c r="B18" s="24"/>
      <c r="C18" s="25"/>
      <c r="D18" s="26"/>
      <c r="E18" s="26"/>
      <c r="F18" s="26"/>
      <c r="G18" s="26"/>
      <c r="H18" s="26" t="str">
        <f t="shared" si="0"/>
        <v/>
      </c>
      <c r="I18" s="26" t="str">
        <f t="shared" si="1"/>
        <v/>
      </c>
      <c r="J18" s="27"/>
    </row>
    <row r="19" ht="15.5" customHeight="1" spans="1:10">
      <c r="A19" s="23"/>
      <c r="B19" s="24"/>
      <c r="C19" s="25"/>
      <c r="D19" s="26"/>
      <c r="E19" s="26"/>
      <c r="F19" s="26"/>
      <c r="G19" s="26"/>
      <c r="H19" s="26" t="str">
        <f t="shared" si="0"/>
        <v/>
      </c>
      <c r="I19" s="26" t="str">
        <f t="shared" si="1"/>
        <v/>
      </c>
      <c r="J19" s="27"/>
    </row>
    <row r="20" ht="15.5" customHeight="1" spans="1:10">
      <c r="A20" s="23"/>
      <c r="B20" s="24"/>
      <c r="C20" s="25"/>
      <c r="D20" s="26"/>
      <c r="E20" s="26"/>
      <c r="F20" s="26"/>
      <c r="G20" s="26"/>
      <c r="H20" s="26" t="str">
        <f t="shared" si="0"/>
        <v/>
      </c>
      <c r="I20" s="26" t="str">
        <f t="shared" si="1"/>
        <v/>
      </c>
      <c r="J20" s="27"/>
    </row>
    <row r="21" ht="15.5" customHeight="1" spans="1:10">
      <c r="A21" s="23"/>
      <c r="B21" s="24"/>
      <c r="C21" s="25"/>
      <c r="D21" s="26"/>
      <c r="E21" s="26"/>
      <c r="F21" s="26"/>
      <c r="G21" s="26"/>
      <c r="H21" s="26" t="str">
        <f t="shared" si="0"/>
        <v/>
      </c>
      <c r="I21" s="26" t="str">
        <f t="shared" si="1"/>
        <v/>
      </c>
      <c r="J21" s="27"/>
    </row>
    <row r="22" ht="15.5" customHeight="1" spans="1:10">
      <c r="A22" s="23"/>
      <c r="B22" s="24"/>
      <c r="C22" s="25"/>
      <c r="D22" s="26"/>
      <c r="E22" s="26"/>
      <c r="F22" s="26"/>
      <c r="G22" s="26"/>
      <c r="H22" s="26" t="str">
        <f t="shared" si="0"/>
        <v/>
      </c>
      <c r="I22" s="26" t="str">
        <f t="shared" si="1"/>
        <v/>
      </c>
      <c r="J22" s="27"/>
    </row>
    <row r="23" ht="15.5" customHeight="1" spans="1:10">
      <c r="A23" s="23"/>
      <c r="B23" s="24"/>
      <c r="C23" s="25"/>
      <c r="D23" s="26"/>
      <c r="E23" s="26"/>
      <c r="F23" s="26"/>
      <c r="G23" s="26"/>
      <c r="H23" s="26" t="str">
        <f t="shared" si="0"/>
        <v/>
      </c>
      <c r="I23" s="26" t="str">
        <f t="shared" si="1"/>
        <v/>
      </c>
      <c r="J23" s="27"/>
    </row>
    <row r="24" ht="15.5" customHeight="1" spans="1:10">
      <c r="A24" s="23"/>
      <c r="B24" s="24"/>
      <c r="C24" s="25"/>
      <c r="D24" s="26"/>
      <c r="E24" s="26"/>
      <c r="F24" s="26"/>
      <c r="G24" s="26"/>
      <c r="H24" s="26" t="str">
        <f t="shared" si="0"/>
        <v/>
      </c>
      <c r="I24" s="26" t="str">
        <f t="shared" si="1"/>
        <v/>
      </c>
      <c r="J24" s="27"/>
    </row>
    <row r="25" ht="15.5" customHeight="1" spans="1:10">
      <c r="A25" s="23"/>
      <c r="B25" s="24"/>
      <c r="C25" s="25"/>
      <c r="D25" s="26"/>
      <c r="E25" s="26"/>
      <c r="F25" s="26"/>
      <c r="G25" s="26"/>
      <c r="H25" s="26" t="str">
        <f t="shared" si="0"/>
        <v/>
      </c>
      <c r="I25" s="26" t="str">
        <f t="shared" si="1"/>
        <v/>
      </c>
      <c r="J25" s="27"/>
    </row>
    <row r="26" ht="15.5" customHeight="1" spans="1:10">
      <c r="A26" s="23"/>
      <c r="B26" s="24"/>
      <c r="C26" s="25"/>
      <c r="D26" s="26"/>
      <c r="E26" s="26"/>
      <c r="F26" s="26"/>
      <c r="G26" s="26"/>
      <c r="H26" s="26" t="str">
        <f t="shared" si="0"/>
        <v/>
      </c>
      <c r="I26" s="26" t="str">
        <f t="shared" si="1"/>
        <v/>
      </c>
      <c r="J26" s="27"/>
    </row>
    <row r="27" ht="15.5" customHeight="1" spans="1:10">
      <c r="A27" s="21" t="s">
        <v>282</v>
      </c>
      <c r="B27" s="28"/>
      <c r="C27" s="25"/>
      <c r="D27" s="26">
        <f>SUM(D6:D26)</f>
        <v>0</v>
      </c>
      <c r="E27" s="26"/>
      <c r="F27" s="26">
        <f>SUM(F6:F26)</f>
        <v>0</v>
      </c>
      <c r="G27" s="26">
        <f>SUM(G6:G26)</f>
        <v>0</v>
      </c>
      <c r="H27" s="26" t="str">
        <f t="shared" si="0"/>
        <v/>
      </c>
      <c r="I27" s="26" t="str">
        <f t="shared" si="1"/>
        <v/>
      </c>
      <c r="J27" s="27"/>
    </row>
    <row r="28" ht="15.5" customHeight="1" spans="1:10">
      <c r="A28" s="29" t="str">
        <f>封面!D11&amp;封面!G11</f>
        <v>被评估单位填表人：</v>
      </c>
      <c r="G28" s="13" t="str">
        <f>"评估人员："&amp;封面!G20</f>
        <v>评估人员：</v>
      </c>
    </row>
    <row r="29" ht="15.5" customHeight="1" spans="1:10">
      <c r="A29" s="29" t="str">
        <f>CONCATENATE(封面!D13,封面!F13,封面!G13,封面!H13,封面!I13,封面!J13,封面!K13)</f>
        <v>填表日期：年月日</v>
      </c>
    </row>
  </sheetData>
  <mergeCells count="3">
    <mergeCell ref="A2:J2"/>
    <mergeCell ref="A3:J3"/>
    <mergeCell ref="A27:B27"/>
  </mergeCells>
  <hyperlinks>
    <hyperlink ref="A1" location="索引目录!D45" display="返回索引页"/>
    <hyperlink ref="B1" location="固定资产汇总!B24" display="返回"/>
  </hyperlinks>
  <printOptions horizontalCentered="1"/>
  <pageMargins left="0.354330708661417" right="0.354330708661417" top="0.78740157480315" bottom="0.78740157480315" header="0.96" footer="0.511811023622047"/>
  <pageSetup paperSize="9" scale="94" fitToHeight="0" orientation="landscape"/>
  <headerFooter alignWithMargins="0">
    <oddHeader>&amp;R&amp;"宋体,常规"共&amp;"Times New Roman,常规"&amp;N&amp;"宋体,常规"页第&amp;"Times New Roman,常规"&amp;P&amp;"宋体,常规"4-9
页</oddHeader>
  </headerFooter>
  <legacyDrawing r:id="rId2"/>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0">
    <tabColor indexed="13"/>
    <pageSetUpPr fitToPage="1"/>
  </sheetPr>
  <dimension ref="A1:R29"/>
  <sheetViews>
    <sheetView view="pageBreakPreview" zoomScale="60" zoomScaleNormal="100" workbookViewId="0">
      <selection activeCell="G451" sqref="G451"/>
    </sheetView>
  </sheetViews>
  <sheetFormatPr defaultColWidth="9" defaultRowHeight="15.75" customHeight="1"/>
  <cols>
    <col min="1" max="1" width="4.33333333333333" style="13" customWidth="1"/>
    <col min="2" max="2" width="9.83333333333333" style="13" customWidth="1"/>
    <col min="3" max="3" width="11.25" style="13" customWidth="1"/>
    <col min="4" max="4" width="8" style="13" hidden="1" customWidth="1" outlineLevel="1"/>
    <col min="5" max="5" width="7.75" style="13" customWidth="1" collapsed="1"/>
    <col min="6" max="6" width="5.33333333333333" style="13" customWidth="1"/>
    <col min="7" max="7" width="7.5" style="13" customWidth="1"/>
    <col min="8" max="11" width="11" style="13" hidden="1" customWidth="1" outlineLevel="1"/>
    <col min="12" max="12" width="13.8333333333333" style="13" customWidth="1" collapsed="1"/>
    <col min="13" max="14" width="13.8333333333333" style="13" customWidth="1"/>
    <col min="15" max="15" width="7" style="13" customWidth="1"/>
    <col min="16" max="16" width="13.75" style="13" customWidth="1"/>
    <col min="17" max="17" width="5.75" style="13" customWidth="1"/>
    <col min="18" max="18" width="7.08333333333333" style="13" customWidth="1"/>
    <col min="19" max="16384" width="9" style="13" customWidth="1"/>
  </cols>
  <sheetData>
    <row r="1" ht="15.5" customHeight="1" spans="1:18">
      <c r="A1" s="14" t="s">
        <v>111</v>
      </c>
      <c r="B1" s="15" t="s">
        <v>210</v>
      </c>
      <c r="C1" s="16"/>
      <c r="D1" s="16"/>
      <c r="E1" s="16"/>
      <c r="F1" s="16"/>
      <c r="G1" s="16"/>
      <c r="H1" s="16"/>
      <c r="I1" s="16"/>
      <c r="J1" s="16"/>
      <c r="K1" s="16"/>
      <c r="L1" s="16"/>
      <c r="M1" s="16"/>
      <c r="N1" s="16"/>
      <c r="O1" s="16"/>
      <c r="P1" s="16"/>
      <c r="Q1" s="16"/>
      <c r="R1" s="16"/>
    </row>
    <row r="2" s="11" customFormat="1" ht="30" customHeight="1" spans="1:18">
      <c r="A2" s="17" t="s">
        <v>627</v>
      </c>
    </row>
    <row r="3" ht="14.15" customHeight="1" spans="1:18">
      <c r="A3" s="18" t="str">
        <f>CONCATENATE(封面!D9,封面!F9,封面!G9,封面!H9,封面!I9,封面!J9,封面!K9)</f>
        <v>评估基准日：年月日</v>
      </c>
    </row>
    <row r="4" ht="15.5" customHeight="1" spans="1:18">
      <c r="A4" s="19" t="str">
        <f>封面!D7&amp;封面!F7</f>
        <v>被评估单位：</v>
      </c>
      <c r="R4" s="20" t="s">
        <v>139</v>
      </c>
    </row>
    <row r="5" s="12" customFormat="1" ht="13" customHeight="1" spans="1:18">
      <c r="A5" s="21" t="s">
        <v>141</v>
      </c>
      <c r="B5" s="21" t="s">
        <v>628</v>
      </c>
      <c r="C5" s="22" t="s">
        <v>629</v>
      </c>
      <c r="D5" s="100" t="s">
        <v>499</v>
      </c>
      <c r="E5" s="22" t="s">
        <v>367</v>
      </c>
      <c r="F5" s="22" t="s">
        <v>368</v>
      </c>
      <c r="G5" s="22" t="s">
        <v>557</v>
      </c>
      <c r="H5" s="101" t="s">
        <v>175</v>
      </c>
      <c r="I5" s="28"/>
      <c r="J5" s="102" t="s">
        <v>281</v>
      </c>
      <c r="K5" s="28"/>
      <c r="L5" s="21" t="s">
        <v>176</v>
      </c>
      <c r="M5" s="28"/>
      <c r="N5" s="21" t="s">
        <v>177</v>
      </c>
      <c r="O5" s="32"/>
      <c r="P5" s="28"/>
      <c r="Q5" s="22" t="s">
        <v>215</v>
      </c>
      <c r="R5" s="22" t="s">
        <v>144</v>
      </c>
    </row>
    <row r="6" s="12" customFormat="1" ht="13" customHeight="1" spans="1:18">
      <c r="A6" s="36"/>
      <c r="B6" s="36"/>
      <c r="C6" s="36"/>
      <c r="D6" s="36"/>
      <c r="E6" s="36"/>
      <c r="F6" s="36"/>
      <c r="G6" s="36"/>
      <c r="H6" s="21" t="s">
        <v>465</v>
      </c>
      <c r="I6" s="21" t="s">
        <v>466</v>
      </c>
      <c r="J6" s="21" t="s">
        <v>465</v>
      </c>
      <c r="K6" s="21" t="s">
        <v>466</v>
      </c>
      <c r="L6" s="21" t="s">
        <v>465</v>
      </c>
      <c r="M6" s="21" t="s">
        <v>466</v>
      </c>
      <c r="N6" s="21" t="s">
        <v>465</v>
      </c>
      <c r="O6" s="21" t="s">
        <v>401</v>
      </c>
      <c r="P6" s="21" t="s">
        <v>466</v>
      </c>
      <c r="Q6" s="36"/>
      <c r="R6" s="36"/>
    </row>
    <row r="7" ht="15.5" customHeight="1" spans="1:18">
      <c r="A7" s="23"/>
      <c r="B7" s="24"/>
      <c r="C7" s="24"/>
      <c r="D7" s="103"/>
      <c r="E7" s="23"/>
      <c r="F7" s="23"/>
      <c r="G7" s="25"/>
      <c r="H7" s="26"/>
      <c r="I7" s="26"/>
      <c r="J7" s="26"/>
      <c r="K7" s="26"/>
      <c r="L7" s="26"/>
      <c r="M7" s="26"/>
      <c r="N7" s="26"/>
      <c r="O7" s="23"/>
      <c r="P7" s="26">
        <f t="shared" ref="P7:P24" si="0">ROUND(N7*O7/100,0)</f>
        <v>0</v>
      </c>
      <c r="Q7" s="26" t="str">
        <f t="shared" ref="Q7:Q27" si="1">IF(M7=0,"",(P7-M7)/M7*100)</f>
        <v/>
      </c>
      <c r="R7" s="27"/>
    </row>
    <row r="8" ht="15.5" customHeight="1" spans="1:18">
      <c r="A8" s="23"/>
      <c r="B8" s="24"/>
      <c r="C8" s="24"/>
      <c r="D8" s="103"/>
      <c r="E8" s="23"/>
      <c r="F8" s="23"/>
      <c r="G8" s="25"/>
      <c r="H8" s="26"/>
      <c r="I8" s="26"/>
      <c r="J8" s="26"/>
      <c r="K8" s="26"/>
      <c r="L8" s="26"/>
      <c r="M8" s="26"/>
      <c r="N8" s="26"/>
      <c r="O8" s="23"/>
      <c r="P8" s="26">
        <f t="shared" si="0"/>
        <v>0</v>
      </c>
      <c r="Q8" s="26" t="str">
        <f t="shared" si="1"/>
        <v/>
      </c>
      <c r="R8" s="27"/>
    </row>
    <row r="9" ht="15.5" customHeight="1" spans="1:18">
      <c r="A9" s="23"/>
      <c r="B9" s="24"/>
      <c r="C9" s="24"/>
      <c r="D9" s="103"/>
      <c r="E9" s="23"/>
      <c r="F9" s="23"/>
      <c r="G9" s="25"/>
      <c r="H9" s="26"/>
      <c r="I9" s="26"/>
      <c r="J9" s="26"/>
      <c r="K9" s="26"/>
      <c r="L9" s="26"/>
      <c r="M9" s="26"/>
      <c r="N9" s="26"/>
      <c r="O9" s="23"/>
      <c r="P9" s="26">
        <f t="shared" si="0"/>
        <v>0</v>
      </c>
      <c r="Q9" s="26" t="str">
        <f t="shared" si="1"/>
        <v/>
      </c>
      <c r="R9" s="27"/>
    </row>
    <row r="10" ht="15.5" customHeight="1" spans="1:18">
      <c r="A10" s="23"/>
      <c r="B10" s="24"/>
      <c r="C10" s="24"/>
      <c r="D10" s="103"/>
      <c r="E10" s="23"/>
      <c r="F10" s="23"/>
      <c r="G10" s="25"/>
      <c r="H10" s="26"/>
      <c r="I10" s="26"/>
      <c r="J10" s="26"/>
      <c r="K10" s="26"/>
      <c r="L10" s="26"/>
      <c r="M10" s="26"/>
      <c r="N10" s="26"/>
      <c r="O10" s="23"/>
      <c r="P10" s="26">
        <f t="shared" si="0"/>
        <v>0</v>
      </c>
      <c r="Q10" s="26" t="str">
        <f t="shared" si="1"/>
        <v/>
      </c>
      <c r="R10" s="27"/>
    </row>
    <row r="11" ht="15.5" customHeight="1" spans="1:18">
      <c r="A11" s="23"/>
      <c r="B11" s="24"/>
      <c r="C11" s="24"/>
      <c r="D11" s="103"/>
      <c r="E11" s="23"/>
      <c r="F11" s="23"/>
      <c r="G11" s="25"/>
      <c r="H11" s="26"/>
      <c r="I11" s="26"/>
      <c r="J11" s="26"/>
      <c r="K11" s="26"/>
      <c r="L11" s="26"/>
      <c r="M11" s="26"/>
      <c r="N11" s="26"/>
      <c r="O11" s="23"/>
      <c r="P11" s="26">
        <f t="shared" si="0"/>
        <v>0</v>
      </c>
      <c r="Q11" s="26" t="str">
        <f t="shared" si="1"/>
        <v/>
      </c>
      <c r="R11" s="27"/>
    </row>
    <row r="12" ht="15.5" customHeight="1" spans="1:18">
      <c r="A12" s="23"/>
      <c r="B12" s="24"/>
      <c r="C12" s="24"/>
      <c r="D12" s="103"/>
      <c r="E12" s="23"/>
      <c r="F12" s="23"/>
      <c r="G12" s="25"/>
      <c r="H12" s="26"/>
      <c r="I12" s="26"/>
      <c r="J12" s="26"/>
      <c r="K12" s="26"/>
      <c r="L12" s="26"/>
      <c r="M12" s="26"/>
      <c r="N12" s="26"/>
      <c r="O12" s="23"/>
      <c r="P12" s="26">
        <f t="shared" si="0"/>
        <v>0</v>
      </c>
      <c r="Q12" s="26" t="str">
        <f t="shared" si="1"/>
        <v/>
      </c>
      <c r="R12" s="27"/>
    </row>
    <row r="13" ht="15.5" customHeight="1" spans="1:18">
      <c r="A13" s="23"/>
      <c r="B13" s="24"/>
      <c r="C13" s="24"/>
      <c r="D13" s="103"/>
      <c r="E13" s="23"/>
      <c r="F13" s="23"/>
      <c r="G13" s="25"/>
      <c r="H13" s="26"/>
      <c r="I13" s="26"/>
      <c r="J13" s="26"/>
      <c r="K13" s="26"/>
      <c r="L13" s="26"/>
      <c r="M13" s="26"/>
      <c r="N13" s="26"/>
      <c r="O13" s="23"/>
      <c r="P13" s="26">
        <f t="shared" si="0"/>
        <v>0</v>
      </c>
      <c r="Q13" s="26" t="str">
        <f t="shared" si="1"/>
        <v/>
      </c>
      <c r="R13" s="27"/>
    </row>
    <row r="14" ht="15.5" customHeight="1" spans="1:18">
      <c r="A14" s="23"/>
      <c r="B14" s="24"/>
      <c r="C14" s="24"/>
      <c r="D14" s="103"/>
      <c r="E14" s="23"/>
      <c r="F14" s="23"/>
      <c r="G14" s="25"/>
      <c r="H14" s="26"/>
      <c r="I14" s="26"/>
      <c r="J14" s="26"/>
      <c r="K14" s="26"/>
      <c r="L14" s="26"/>
      <c r="M14" s="26"/>
      <c r="N14" s="26"/>
      <c r="O14" s="23"/>
      <c r="P14" s="26">
        <f t="shared" si="0"/>
        <v>0</v>
      </c>
      <c r="Q14" s="26" t="str">
        <f t="shared" si="1"/>
        <v/>
      </c>
      <c r="R14" s="27"/>
    </row>
    <row r="15" ht="15.5" customHeight="1" spans="1:18">
      <c r="A15" s="23"/>
      <c r="B15" s="24"/>
      <c r="C15" s="24"/>
      <c r="D15" s="103"/>
      <c r="E15" s="23"/>
      <c r="F15" s="23"/>
      <c r="G15" s="25"/>
      <c r="H15" s="26"/>
      <c r="I15" s="26"/>
      <c r="J15" s="26"/>
      <c r="K15" s="26"/>
      <c r="L15" s="26"/>
      <c r="M15" s="26"/>
      <c r="N15" s="26"/>
      <c r="O15" s="23"/>
      <c r="P15" s="26">
        <f t="shared" si="0"/>
        <v>0</v>
      </c>
      <c r="Q15" s="26" t="str">
        <f t="shared" si="1"/>
        <v/>
      </c>
      <c r="R15" s="27"/>
    </row>
    <row r="16" ht="15.5" customHeight="1" spans="1:18">
      <c r="A16" s="23"/>
      <c r="B16" s="24"/>
      <c r="C16" s="24"/>
      <c r="D16" s="103"/>
      <c r="E16" s="23"/>
      <c r="F16" s="23"/>
      <c r="G16" s="25"/>
      <c r="H16" s="26"/>
      <c r="I16" s="26"/>
      <c r="J16" s="26"/>
      <c r="K16" s="26"/>
      <c r="L16" s="26"/>
      <c r="M16" s="26"/>
      <c r="N16" s="26"/>
      <c r="O16" s="23"/>
      <c r="P16" s="26">
        <f t="shared" si="0"/>
        <v>0</v>
      </c>
      <c r="Q16" s="26" t="str">
        <f t="shared" si="1"/>
        <v/>
      </c>
      <c r="R16" s="27"/>
    </row>
    <row r="17" ht="15.5" customHeight="1" spans="1:18">
      <c r="A17" s="23"/>
      <c r="B17" s="24"/>
      <c r="C17" s="24"/>
      <c r="D17" s="103"/>
      <c r="E17" s="23"/>
      <c r="F17" s="23"/>
      <c r="G17" s="25"/>
      <c r="H17" s="26"/>
      <c r="I17" s="26"/>
      <c r="J17" s="26"/>
      <c r="K17" s="26"/>
      <c r="L17" s="26"/>
      <c r="M17" s="26"/>
      <c r="N17" s="26"/>
      <c r="O17" s="23"/>
      <c r="P17" s="26">
        <f t="shared" si="0"/>
        <v>0</v>
      </c>
      <c r="Q17" s="26" t="str">
        <f t="shared" si="1"/>
        <v/>
      </c>
      <c r="R17" s="27"/>
    </row>
    <row r="18" ht="15.5" customHeight="1" spans="1:18">
      <c r="A18" s="23"/>
      <c r="B18" s="24"/>
      <c r="C18" s="24"/>
      <c r="D18" s="103"/>
      <c r="E18" s="23"/>
      <c r="F18" s="23"/>
      <c r="G18" s="25"/>
      <c r="H18" s="26"/>
      <c r="I18" s="26"/>
      <c r="J18" s="26"/>
      <c r="K18" s="26"/>
      <c r="L18" s="26"/>
      <c r="M18" s="26"/>
      <c r="N18" s="26"/>
      <c r="O18" s="23"/>
      <c r="P18" s="26">
        <f t="shared" si="0"/>
        <v>0</v>
      </c>
      <c r="Q18" s="26" t="str">
        <f t="shared" si="1"/>
        <v/>
      </c>
      <c r="R18" s="27"/>
    </row>
    <row r="19" ht="15.5" customHeight="1" spans="1:18">
      <c r="A19" s="23"/>
      <c r="B19" s="24"/>
      <c r="C19" s="24"/>
      <c r="D19" s="103"/>
      <c r="E19" s="23"/>
      <c r="F19" s="23"/>
      <c r="G19" s="25"/>
      <c r="H19" s="26"/>
      <c r="I19" s="26"/>
      <c r="J19" s="26"/>
      <c r="K19" s="26"/>
      <c r="L19" s="26"/>
      <c r="M19" s="26"/>
      <c r="N19" s="26"/>
      <c r="O19" s="23"/>
      <c r="P19" s="26">
        <f t="shared" si="0"/>
        <v>0</v>
      </c>
      <c r="Q19" s="26" t="str">
        <f t="shared" si="1"/>
        <v/>
      </c>
      <c r="R19" s="27"/>
    </row>
    <row r="20" ht="15.5" customHeight="1" spans="1:18">
      <c r="A20" s="23"/>
      <c r="B20" s="24"/>
      <c r="C20" s="24"/>
      <c r="D20" s="103"/>
      <c r="E20" s="23"/>
      <c r="F20" s="23"/>
      <c r="G20" s="25"/>
      <c r="H20" s="26"/>
      <c r="I20" s="26"/>
      <c r="J20" s="26"/>
      <c r="K20" s="26"/>
      <c r="L20" s="26"/>
      <c r="M20" s="26"/>
      <c r="N20" s="26"/>
      <c r="O20" s="23"/>
      <c r="P20" s="26">
        <f t="shared" si="0"/>
        <v>0</v>
      </c>
      <c r="Q20" s="26" t="str">
        <f t="shared" si="1"/>
        <v/>
      </c>
      <c r="R20" s="27"/>
    </row>
    <row r="21" ht="15.5" customHeight="1" spans="1:18">
      <c r="A21" s="23"/>
      <c r="B21" s="24"/>
      <c r="C21" s="24"/>
      <c r="D21" s="103"/>
      <c r="E21" s="23"/>
      <c r="F21" s="23"/>
      <c r="G21" s="25"/>
      <c r="H21" s="26"/>
      <c r="I21" s="26"/>
      <c r="J21" s="26"/>
      <c r="K21" s="26"/>
      <c r="L21" s="26"/>
      <c r="M21" s="26"/>
      <c r="N21" s="26"/>
      <c r="O21" s="23"/>
      <c r="P21" s="26">
        <f t="shared" si="0"/>
        <v>0</v>
      </c>
      <c r="Q21" s="26" t="str">
        <f t="shared" si="1"/>
        <v/>
      </c>
      <c r="R21" s="27"/>
    </row>
    <row r="22" ht="15.5" customHeight="1" spans="1:18">
      <c r="A22" s="23"/>
      <c r="B22" s="24"/>
      <c r="C22" s="24"/>
      <c r="D22" s="103"/>
      <c r="E22" s="23"/>
      <c r="F22" s="23"/>
      <c r="G22" s="25"/>
      <c r="H22" s="26"/>
      <c r="I22" s="26"/>
      <c r="J22" s="26"/>
      <c r="K22" s="26"/>
      <c r="L22" s="26"/>
      <c r="M22" s="26"/>
      <c r="N22" s="26"/>
      <c r="O22" s="23"/>
      <c r="P22" s="26">
        <f t="shared" si="0"/>
        <v>0</v>
      </c>
      <c r="Q22" s="26" t="str">
        <f t="shared" si="1"/>
        <v/>
      </c>
      <c r="R22" s="27"/>
    </row>
    <row r="23" ht="15.5" customHeight="1" spans="1:18">
      <c r="A23" s="23"/>
      <c r="B23" s="24"/>
      <c r="C23" s="24"/>
      <c r="D23" s="103"/>
      <c r="E23" s="23"/>
      <c r="F23" s="23"/>
      <c r="G23" s="25"/>
      <c r="H23" s="26"/>
      <c r="I23" s="26"/>
      <c r="J23" s="26"/>
      <c r="K23" s="26"/>
      <c r="L23" s="26"/>
      <c r="M23" s="26"/>
      <c r="N23" s="26"/>
      <c r="O23" s="23"/>
      <c r="P23" s="26">
        <f t="shared" si="0"/>
        <v>0</v>
      </c>
      <c r="Q23" s="26" t="str">
        <f t="shared" si="1"/>
        <v/>
      </c>
      <c r="R23" s="27"/>
    </row>
    <row r="24" ht="15.5" customHeight="1" spans="1:18">
      <c r="A24" s="23"/>
      <c r="B24" s="24"/>
      <c r="C24" s="24"/>
      <c r="D24" s="103"/>
      <c r="E24" s="23"/>
      <c r="F24" s="23"/>
      <c r="G24" s="25"/>
      <c r="H24" s="26"/>
      <c r="I24" s="26"/>
      <c r="J24" s="26"/>
      <c r="K24" s="26"/>
      <c r="L24" s="26"/>
      <c r="M24" s="26"/>
      <c r="N24" s="26"/>
      <c r="O24" s="23"/>
      <c r="P24" s="26">
        <f t="shared" si="0"/>
        <v>0</v>
      </c>
      <c r="Q24" s="26" t="str">
        <f t="shared" si="1"/>
        <v/>
      </c>
      <c r="R24" s="27"/>
    </row>
    <row r="25" ht="15.5" customHeight="1" spans="1:18">
      <c r="A25" s="21" t="s">
        <v>319</v>
      </c>
      <c r="B25" s="32"/>
      <c r="C25" s="28"/>
      <c r="D25" s="103"/>
      <c r="E25" s="23"/>
      <c r="F25" s="23"/>
      <c r="G25" s="25"/>
      <c r="H25" s="26">
        <f>SUM(H7:H24)</f>
        <v>0</v>
      </c>
      <c r="I25" s="26">
        <f>SUM(I7:I24)</f>
        <v>0</v>
      </c>
      <c r="J25" s="26"/>
      <c r="K25" s="26"/>
      <c r="L25" s="26">
        <f>SUM(L7:L24)</f>
        <v>0</v>
      </c>
      <c r="M25" s="26">
        <f>SUM(M7:M24)</f>
        <v>0</v>
      </c>
      <c r="N25" s="26">
        <f>SUM(N7:N24)</f>
        <v>0</v>
      </c>
      <c r="O25" s="23"/>
      <c r="P25" s="26">
        <f>SUM(P7:P24)</f>
        <v>0</v>
      </c>
      <c r="Q25" s="26" t="str">
        <f t="shared" si="1"/>
        <v/>
      </c>
      <c r="R25" s="27"/>
    </row>
    <row r="26" ht="15.5" customHeight="1" spans="1:18">
      <c r="A26" s="21" t="s">
        <v>630</v>
      </c>
      <c r="B26" s="32"/>
      <c r="C26" s="28"/>
      <c r="D26" s="103"/>
      <c r="E26" s="23"/>
      <c r="F26" s="23"/>
      <c r="G26" s="25"/>
      <c r="H26" s="26"/>
      <c r="I26" s="26"/>
      <c r="J26" s="26"/>
      <c r="K26" s="26"/>
      <c r="L26" s="26"/>
      <c r="M26" s="26">
        <f>I26</f>
        <v>0</v>
      </c>
      <c r="N26" s="26"/>
      <c r="O26" s="23"/>
      <c r="P26" s="26"/>
      <c r="Q26" s="26" t="str">
        <f t="shared" si="1"/>
        <v/>
      </c>
      <c r="R26" s="27"/>
    </row>
    <row r="27" ht="15.5" customHeight="1" spans="1:18">
      <c r="A27" s="21" t="s">
        <v>336</v>
      </c>
      <c r="B27" s="32"/>
      <c r="C27" s="28"/>
      <c r="D27" s="104"/>
      <c r="E27" s="23"/>
      <c r="F27" s="23"/>
      <c r="G27" s="25"/>
      <c r="H27" s="26">
        <f>H25-H26</f>
        <v>0</v>
      </c>
      <c r="I27" s="26">
        <f>I25-I26</f>
        <v>0</v>
      </c>
      <c r="J27" s="26"/>
      <c r="K27" s="26"/>
      <c r="L27" s="26">
        <f>L25-L26</f>
        <v>0</v>
      </c>
      <c r="M27" s="26">
        <f>M25-M26</f>
        <v>0</v>
      </c>
      <c r="N27" s="26">
        <f>N25-N26</f>
        <v>0</v>
      </c>
      <c r="O27" s="23"/>
      <c r="P27" s="26">
        <f>P25-P26</f>
        <v>0</v>
      </c>
      <c r="Q27" s="26" t="str">
        <f t="shared" si="1"/>
        <v/>
      </c>
      <c r="R27" s="27"/>
    </row>
    <row r="28" ht="15.5" customHeight="1" spans="1:18">
      <c r="A28" s="29" t="str">
        <f>封面!D11&amp;封面!G11</f>
        <v>被评估单位填表人：</v>
      </c>
      <c r="L28" s="13" t="str">
        <f>"评估人员："&amp;封面!G30</f>
        <v>评估人员：</v>
      </c>
    </row>
    <row r="29" ht="15.5" customHeight="1" spans="1:18">
      <c r="A29" s="29" t="str">
        <f>CONCATENATE(封面!D13,封面!F13,封面!G13,封面!H13,封面!I13,封面!J13,封面!K13)</f>
        <v>填表日期：年月日</v>
      </c>
    </row>
  </sheetData>
  <mergeCells count="18">
    <mergeCell ref="A2:R2"/>
    <mergeCell ref="A3:R3"/>
    <mergeCell ref="H5:I5"/>
    <mergeCell ref="J5:K5"/>
    <mergeCell ref="L5:M5"/>
    <mergeCell ref="N5:P5"/>
    <mergeCell ref="A25:C25"/>
    <mergeCell ref="A26:C26"/>
    <mergeCell ref="A27:C27"/>
    <mergeCell ref="A5:A6"/>
    <mergeCell ref="B5:B6"/>
    <mergeCell ref="C5:C6"/>
    <mergeCell ref="D5:D6"/>
    <mergeCell ref="E5:E6"/>
    <mergeCell ref="F5:F6"/>
    <mergeCell ref="G5:G6"/>
    <mergeCell ref="Q5:Q6"/>
    <mergeCell ref="R5:R6"/>
  </mergeCells>
  <hyperlinks>
    <hyperlink ref="A1" location="索引目录!D46" display="返回索引页"/>
    <hyperlink ref="B1" location="固定资产汇总!B26" display="返回"/>
  </hyperlinks>
  <printOptions horizontalCentered="1"/>
  <pageMargins left="0.354330708661417" right="0.354330708661417" top="0.78740157480315" bottom="0.78740157480315" header="1.02362204724409" footer="0.511811023622047"/>
  <pageSetup paperSize="9" fitToHeight="0" orientation="landscape"/>
  <headerFooter alignWithMargins="0">
    <oddHeader>&amp;R&amp;"宋体,常规"共&amp;"Times New Roman,常规"&amp;N&amp;"宋体,常规"页第&amp;"Times New Roman,常规"&amp;P&amp;"宋体,常规"4-10
页</oddHeader>
  </headerFooter>
  <legacyDrawing r:id="rId2"/>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1">
    <tabColor indexed="13"/>
    <pageSetUpPr fitToPage="1"/>
  </sheetPr>
  <dimension ref="A1:S29"/>
  <sheetViews>
    <sheetView view="pageBreakPreview" zoomScale="60" zoomScaleNormal="100" workbookViewId="0">
      <selection activeCell="G451" sqref="G451"/>
    </sheetView>
  </sheetViews>
  <sheetFormatPr defaultColWidth="9" defaultRowHeight="15.75" customHeight="1"/>
  <cols>
    <col min="1" max="1" width="4.33333333333333" style="13" customWidth="1"/>
    <col min="2" max="2" width="6.83333333333333" style="13" customWidth="1"/>
    <col min="3" max="3" width="13" style="13" customWidth="1"/>
    <col min="4" max="4" width="8" style="13" hidden="1" customWidth="1" outlineLevel="1"/>
    <col min="5" max="5" width="9" style="13" customWidth="1" collapsed="1"/>
    <col min="6" max="6" width="6.25" style="13" customWidth="1"/>
    <col min="7" max="7" width="8.75" style="13" customWidth="1"/>
    <col min="8" max="8" width="11.8333333333333" style="13" customWidth="1"/>
    <col min="9" max="12" width="11" style="13" hidden="1" customWidth="1" outlineLevel="1"/>
    <col min="13" max="13" width="11" style="13" customWidth="1" collapsed="1"/>
    <col min="14" max="15" width="11" style="13" customWidth="1"/>
    <col min="16" max="16" width="7" style="13" customWidth="1"/>
    <col min="17" max="17" width="11" style="13" customWidth="1"/>
    <col min="18" max="18" width="5.08333333333333" style="13" customWidth="1"/>
    <col min="19" max="19" width="5.5" style="13" customWidth="1"/>
    <col min="20" max="16384" width="9" style="13" customWidth="1"/>
  </cols>
  <sheetData>
    <row r="1" ht="15.5" customHeight="1" spans="1:19">
      <c r="A1" s="14" t="s">
        <v>111</v>
      </c>
      <c r="B1" s="15" t="s">
        <v>210</v>
      </c>
      <c r="C1" s="16"/>
      <c r="D1" s="16"/>
      <c r="E1" s="16"/>
      <c r="F1" s="16"/>
      <c r="G1" s="16"/>
      <c r="H1" s="16"/>
      <c r="I1" s="16"/>
      <c r="J1" s="16"/>
      <c r="K1" s="16"/>
      <c r="L1" s="16"/>
      <c r="M1" s="16"/>
      <c r="N1" s="16"/>
      <c r="O1" s="16"/>
      <c r="P1" s="16"/>
      <c r="Q1" s="16"/>
      <c r="R1" s="16"/>
      <c r="S1" s="16"/>
    </row>
    <row r="2" s="11" customFormat="1" ht="30" customHeight="1" spans="1:19">
      <c r="A2" s="17" t="s">
        <v>631</v>
      </c>
    </row>
    <row r="3" ht="14.15" customHeight="1" spans="1:19">
      <c r="A3" s="18" t="str">
        <f>CONCATENATE(封面!D9,封面!F9,封面!G9,封面!H9,封面!I9,封面!J9,封面!K9)</f>
        <v>评估基准日：年月日</v>
      </c>
    </row>
    <row r="4" ht="15.5" customHeight="1" spans="1:19">
      <c r="A4" s="19" t="str">
        <f>封面!D7&amp;封面!F7</f>
        <v>被评估单位：</v>
      </c>
      <c r="S4" s="20" t="s">
        <v>139</v>
      </c>
    </row>
    <row r="5" s="12" customFormat="1" ht="13" customHeight="1" spans="1:19">
      <c r="A5" s="21" t="s">
        <v>141</v>
      </c>
      <c r="B5" s="21" t="s">
        <v>632</v>
      </c>
      <c r="C5" s="22" t="s">
        <v>633</v>
      </c>
      <c r="D5" s="100" t="s">
        <v>499</v>
      </c>
      <c r="E5" s="22" t="s">
        <v>367</v>
      </c>
      <c r="F5" s="22" t="s">
        <v>368</v>
      </c>
      <c r="G5" s="22" t="s">
        <v>634</v>
      </c>
      <c r="H5" s="22" t="s">
        <v>635</v>
      </c>
      <c r="I5" s="101" t="s">
        <v>175</v>
      </c>
      <c r="J5" s="28"/>
      <c r="K5" s="102" t="s">
        <v>281</v>
      </c>
      <c r="L5" s="28"/>
      <c r="M5" s="21" t="s">
        <v>176</v>
      </c>
      <c r="N5" s="28"/>
      <c r="O5" s="21" t="s">
        <v>177</v>
      </c>
      <c r="P5" s="32"/>
      <c r="Q5" s="28"/>
      <c r="R5" s="22" t="s">
        <v>215</v>
      </c>
      <c r="S5" s="22" t="s">
        <v>144</v>
      </c>
    </row>
    <row r="6" s="12" customFormat="1" ht="13" customHeight="1" spans="1:19">
      <c r="A6" s="36"/>
      <c r="B6" s="36"/>
      <c r="C6" s="36"/>
      <c r="D6" s="36"/>
      <c r="E6" s="36"/>
      <c r="F6" s="36"/>
      <c r="G6" s="36"/>
      <c r="H6" s="36"/>
      <c r="I6" s="21" t="s">
        <v>465</v>
      </c>
      <c r="J6" s="21" t="s">
        <v>466</v>
      </c>
      <c r="K6" s="21" t="s">
        <v>465</v>
      </c>
      <c r="L6" s="21" t="s">
        <v>466</v>
      </c>
      <c r="M6" s="21" t="s">
        <v>465</v>
      </c>
      <c r="N6" s="21" t="s">
        <v>466</v>
      </c>
      <c r="O6" s="21" t="s">
        <v>465</v>
      </c>
      <c r="P6" s="21" t="s">
        <v>401</v>
      </c>
      <c r="Q6" s="21" t="s">
        <v>466</v>
      </c>
      <c r="R6" s="36"/>
      <c r="S6" s="36"/>
    </row>
    <row r="7" ht="15.5" customHeight="1" spans="1:19">
      <c r="A7" s="23"/>
      <c r="B7" s="24"/>
      <c r="C7" s="24"/>
      <c r="D7" s="103"/>
      <c r="E7" s="24"/>
      <c r="F7" s="23"/>
      <c r="G7" s="23"/>
      <c r="H7" s="25"/>
      <c r="I7" s="26"/>
      <c r="J7" s="26"/>
      <c r="K7" s="26"/>
      <c r="L7" s="26"/>
      <c r="M7" s="26"/>
      <c r="N7" s="26"/>
      <c r="O7" s="26"/>
      <c r="P7" s="23"/>
      <c r="Q7" s="26">
        <f t="shared" ref="Q7:Q24" si="0">ROUND(O7*P7/100,0)</f>
        <v>0</v>
      </c>
      <c r="R7" s="26" t="str">
        <f t="shared" ref="R7:R27" si="1">IF(N7=0,"",(Q7-N7)/N7*100)</f>
        <v/>
      </c>
      <c r="S7" s="27"/>
    </row>
    <row r="8" ht="15.5" customHeight="1" spans="1:19">
      <c r="A8" s="23"/>
      <c r="B8" s="24"/>
      <c r="C8" s="24"/>
      <c r="D8" s="103"/>
      <c r="E8" s="24"/>
      <c r="F8" s="23"/>
      <c r="G8" s="23"/>
      <c r="H8" s="25"/>
      <c r="I8" s="26"/>
      <c r="J8" s="26"/>
      <c r="K8" s="26"/>
      <c r="L8" s="26"/>
      <c r="M8" s="26"/>
      <c r="N8" s="26"/>
      <c r="O8" s="26"/>
      <c r="P8" s="23"/>
      <c r="Q8" s="26">
        <f t="shared" si="0"/>
        <v>0</v>
      </c>
      <c r="R8" s="26" t="str">
        <f t="shared" si="1"/>
        <v/>
      </c>
      <c r="S8" s="27"/>
    </row>
    <row r="9" ht="15.5" customHeight="1" spans="1:19">
      <c r="A9" s="23"/>
      <c r="B9" s="24"/>
      <c r="C9" s="24"/>
      <c r="D9" s="103"/>
      <c r="E9" s="24"/>
      <c r="F9" s="23"/>
      <c r="G9" s="23"/>
      <c r="H9" s="25"/>
      <c r="I9" s="26"/>
      <c r="J9" s="26"/>
      <c r="K9" s="26"/>
      <c r="L9" s="26"/>
      <c r="M9" s="26"/>
      <c r="N9" s="26"/>
      <c r="O9" s="26"/>
      <c r="P9" s="23"/>
      <c r="Q9" s="26">
        <f t="shared" si="0"/>
        <v>0</v>
      </c>
      <c r="R9" s="26" t="str">
        <f t="shared" si="1"/>
        <v/>
      </c>
      <c r="S9" s="27"/>
    </row>
    <row r="10" ht="15.5" customHeight="1" spans="1:19">
      <c r="A10" s="23"/>
      <c r="B10" s="24"/>
      <c r="C10" s="24"/>
      <c r="D10" s="103"/>
      <c r="E10" s="24"/>
      <c r="F10" s="23"/>
      <c r="G10" s="23"/>
      <c r="H10" s="25"/>
      <c r="I10" s="26"/>
      <c r="J10" s="26"/>
      <c r="K10" s="26"/>
      <c r="L10" s="26"/>
      <c r="M10" s="26"/>
      <c r="N10" s="26"/>
      <c r="O10" s="26"/>
      <c r="P10" s="23"/>
      <c r="Q10" s="26">
        <f t="shared" si="0"/>
        <v>0</v>
      </c>
      <c r="R10" s="26" t="str">
        <f t="shared" si="1"/>
        <v/>
      </c>
      <c r="S10" s="27"/>
    </row>
    <row r="11" ht="15.5" customHeight="1" spans="1:19">
      <c r="A11" s="23"/>
      <c r="B11" s="24"/>
      <c r="C11" s="24"/>
      <c r="D11" s="103"/>
      <c r="E11" s="24"/>
      <c r="F11" s="23"/>
      <c r="G11" s="23"/>
      <c r="H11" s="25"/>
      <c r="I11" s="26"/>
      <c r="J11" s="26"/>
      <c r="K11" s="26"/>
      <c r="L11" s="26"/>
      <c r="M11" s="26"/>
      <c r="N11" s="26"/>
      <c r="O11" s="26"/>
      <c r="P11" s="23"/>
      <c r="Q11" s="26">
        <f t="shared" si="0"/>
        <v>0</v>
      </c>
      <c r="R11" s="26" t="str">
        <f t="shared" si="1"/>
        <v/>
      </c>
      <c r="S11" s="27"/>
    </row>
    <row r="12" ht="15.5" customHeight="1" spans="1:19">
      <c r="A12" s="23"/>
      <c r="B12" s="24"/>
      <c r="C12" s="24"/>
      <c r="D12" s="103"/>
      <c r="E12" s="24"/>
      <c r="F12" s="23"/>
      <c r="G12" s="23"/>
      <c r="H12" s="25"/>
      <c r="I12" s="26"/>
      <c r="J12" s="26"/>
      <c r="K12" s="26"/>
      <c r="L12" s="26"/>
      <c r="M12" s="26"/>
      <c r="N12" s="26"/>
      <c r="O12" s="26"/>
      <c r="P12" s="23"/>
      <c r="Q12" s="26">
        <f t="shared" si="0"/>
        <v>0</v>
      </c>
      <c r="R12" s="26" t="str">
        <f t="shared" si="1"/>
        <v/>
      </c>
      <c r="S12" s="27"/>
    </row>
    <row r="13" ht="15.5" customHeight="1" spans="1:19">
      <c r="A13" s="23"/>
      <c r="B13" s="24"/>
      <c r="C13" s="24"/>
      <c r="D13" s="103"/>
      <c r="E13" s="24"/>
      <c r="F13" s="23"/>
      <c r="G13" s="23"/>
      <c r="H13" s="25"/>
      <c r="I13" s="26"/>
      <c r="J13" s="26"/>
      <c r="K13" s="26"/>
      <c r="L13" s="26"/>
      <c r="M13" s="26"/>
      <c r="N13" s="26"/>
      <c r="O13" s="26"/>
      <c r="P13" s="23"/>
      <c r="Q13" s="26">
        <f t="shared" si="0"/>
        <v>0</v>
      </c>
      <c r="R13" s="26" t="str">
        <f t="shared" si="1"/>
        <v/>
      </c>
      <c r="S13" s="27"/>
    </row>
    <row r="14" ht="15.5" customHeight="1" spans="1:19">
      <c r="A14" s="23"/>
      <c r="B14" s="24"/>
      <c r="C14" s="24"/>
      <c r="D14" s="103"/>
      <c r="E14" s="24"/>
      <c r="F14" s="23"/>
      <c r="G14" s="23"/>
      <c r="H14" s="25"/>
      <c r="I14" s="26"/>
      <c r="J14" s="26"/>
      <c r="K14" s="26"/>
      <c r="L14" s="26"/>
      <c r="M14" s="26"/>
      <c r="N14" s="26"/>
      <c r="O14" s="26"/>
      <c r="P14" s="23"/>
      <c r="Q14" s="26">
        <f t="shared" si="0"/>
        <v>0</v>
      </c>
      <c r="R14" s="26" t="str">
        <f t="shared" si="1"/>
        <v/>
      </c>
      <c r="S14" s="27"/>
    </row>
    <row r="15" ht="15.5" customHeight="1" spans="1:19">
      <c r="A15" s="23"/>
      <c r="B15" s="24"/>
      <c r="C15" s="24"/>
      <c r="D15" s="103"/>
      <c r="E15" s="24"/>
      <c r="F15" s="23"/>
      <c r="G15" s="23"/>
      <c r="H15" s="25"/>
      <c r="I15" s="26"/>
      <c r="J15" s="26"/>
      <c r="K15" s="26"/>
      <c r="L15" s="26"/>
      <c r="M15" s="26"/>
      <c r="N15" s="26"/>
      <c r="O15" s="26"/>
      <c r="P15" s="23"/>
      <c r="Q15" s="26">
        <f t="shared" si="0"/>
        <v>0</v>
      </c>
      <c r="R15" s="26" t="str">
        <f t="shared" si="1"/>
        <v/>
      </c>
      <c r="S15" s="27"/>
    </row>
    <row r="16" ht="15.5" customHeight="1" spans="1:19">
      <c r="A16" s="23"/>
      <c r="B16" s="24"/>
      <c r="C16" s="24"/>
      <c r="D16" s="103"/>
      <c r="E16" s="24"/>
      <c r="F16" s="23"/>
      <c r="G16" s="23"/>
      <c r="H16" s="25"/>
      <c r="I16" s="26"/>
      <c r="J16" s="26"/>
      <c r="K16" s="26"/>
      <c r="L16" s="26"/>
      <c r="M16" s="26"/>
      <c r="N16" s="26"/>
      <c r="O16" s="26"/>
      <c r="P16" s="23"/>
      <c r="Q16" s="26">
        <f t="shared" si="0"/>
        <v>0</v>
      </c>
      <c r="R16" s="26" t="str">
        <f t="shared" si="1"/>
        <v/>
      </c>
      <c r="S16" s="27"/>
    </row>
    <row r="17" ht="15.5" customHeight="1" spans="1:19">
      <c r="A17" s="23"/>
      <c r="B17" s="24"/>
      <c r="C17" s="24"/>
      <c r="D17" s="103"/>
      <c r="E17" s="24"/>
      <c r="F17" s="23"/>
      <c r="G17" s="23"/>
      <c r="H17" s="25"/>
      <c r="I17" s="26"/>
      <c r="J17" s="26"/>
      <c r="K17" s="26"/>
      <c r="L17" s="26"/>
      <c r="M17" s="26"/>
      <c r="N17" s="26"/>
      <c r="O17" s="26"/>
      <c r="P17" s="23"/>
      <c r="Q17" s="26">
        <f t="shared" si="0"/>
        <v>0</v>
      </c>
      <c r="R17" s="26" t="str">
        <f t="shared" si="1"/>
        <v/>
      </c>
      <c r="S17" s="27"/>
    </row>
    <row r="18" ht="15.5" customHeight="1" spans="1:19">
      <c r="A18" s="23"/>
      <c r="B18" s="24"/>
      <c r="C18" s="24"/>
      <c r="D18" s="103"/>
      <c r="E18" s="24"/>
      <c r="F18" s="23"/>
      <c r="G18" s="23"/>
      <c r="H18" s="25"/>
      <c r="I18" s="26"/>
      <c r="J18" s="26"/>
      <c r="K18" s="26"/>
      <c r="L18" s="26"/>
      <c r="M18" s="26"/>
      <c r="N18" s="26"/>
      <c r="O18" s="26"/>
      <c r="P18" s="23"/>
      <c r="Q18" s="26">
        <f t="shared" si="0"/>
        <v>0</v>
      </c>
      <c r="R18" s="26" t="str">
        <f t="shared" si="1"/>
        <v/>
      </c>
      <c r="S18" s="27"/>
    </row>
    <row r="19" ht="15.5" customHeight="1" spans="1:19">
      <c r="A19" s="23"/>
      <c r="B19" s="24"/>
      <c r="C19" s="24"/>
      <c r="D19" s="103"/>
      <c r="E19" s="24"/>
      <c r="F19" s="23"/>
      <c r="G19" s="23"/>
      <c r="H19" s="25"/>
      <c r="I19" s="26"/>
      <c r="J19" s="26"/>
      <c r="K19" s="26"/>
      <c r="L19" s="26"/>
      <c r="M19" s="26"/>
      <c r="N19" s="26"/>
      <c r="O19" s="26"/>
      <c r="P19" s="23"/>
      <c r="Q19" s="26">
        <f t="shared" si="0"/>
        <v>0</v>
      </c>
      <c r="R19" s="26" t="str">
        <f t="shared" si="1"/>
        <v/>
      </c>
      <c r="S19" s="27"/>
    </row>
    <row r="20" ht="15.5" customHeight="1" spans="1:19">
      <c r="A20" s="23"/>
      <c r="B20" s="24"/>
      <c r="C20" s="24"/>
      <c r="D20" s="103"/>
      <c r="E20" s="24"/>
      <c r="F20" s="23"/>
      <c r="G20" s="23"/>
      <c r="H20" s="25"/>
      <c r="I20" s="26"/>
      <c r="J20" s="26"/>
      <c r="K20" s="26"/>
      <c r="L20" s="26"/>
      <c r="M20" s="26"/>
      <c r="N20" s="26"/>
      <c r="O20" s="26"/>
      <c r="P20" s="23"/>
      <c r="Q20" s="26">
        <f t="shared" si="0"/>
        <v>0</v>
      </c>
      <c r="R20" s="26" t="str">
        <f t="shared" si="1"/>
        <v/>
      </c>
      <c r="S20" s="27"/>
    </row>
    <row r="21" ht="15.5" customHeight="1" spans="1:19">
      <c r="A21" s="23"/>
      <c r="B21" s="24"/>
      <c r="C21" s="24"/>
      <c r="D21" s="103"/>
      <c r="E21" s="24"/>
      <c r="F21" s="23"/>
      <c r="G21" s="23"/>
      <c r="H21" s="25"/>
      <c r="I21" s="26"/>
      <c r="J21" s="26"/>
      <c r="K21" s="26"/>
      <c r="L21" s="26"/>
      <c r="M21" s="26"/>
      <c r="N21" s="26"/>
      <c r="O21" s="26"/>
      <c r="P21" s="23"/>
      <c r="Q21" s="26">
        <f t="shared" si="0"/>
        <v>0</v>
      </c>
      <c r="R21" s="26" t="str">
        <f t="shared" si="1"/>
        <v/>
      </c>
      <c r="S21" s="27"/>
    </row>
    <row r="22" ht="15.5" customHeight="1" spans="1:19">
      <c r="A22" s="23"/>
      <c r="B22" s="24"/>
      <c r="C22" s="24"/>
      <c r="D22" s="103"/>
      <c r="E22" s="24"/>
      <c r="F22" s="23"/>
      <c r="G22" s="23"/>
      <c r="H22" s="25"/>
      <c r="I22" s="26"/>
      <c r="J22" s="26"/>
      <c r="K22" s="26"/>
      <c r="L22" s="26"/>
      <c r="M22" s="26"/>
      <c r="N22" s="26"/>
      <c r="O22" s="26"/>
      <c r="P22" s="23"/>
      <c r="Q22" s="26">
        <f t="shared" si="0"/>
        <v>0</v>
      </c>
      <c r="R22" s="26" t="str">
        <f t="shared" si="1"/>
        <v/>
      </c>
      <c r="S22" s="27"/>
    </row>
    <row r="23" ht="15.5" customHeight="1" spans="1:19">
      <c r="A23" s="23"/>
      <c r="B23" s="24"/>
      <c r="C23" s="24"/>
      <c r="D23" s="103"/>
      <c r="E23" s="24"/>
      <c r="F23" s="23"/>
      <c r="G23" s="23"/>
      <c r="H23" s="25"/>
      <c r="I23" s="26"/>
      <c r="J23" s="26"/>
      <c r="K23" s="26"/>
      <c r="L23" s="26"/>
      <c r="M23" s="26"/>
      <c r="N23" s="26"/>
      <c r="O23" s="26"/>
      <c r="P23" s="23"/>
      <c r="Q23" s="26">
        <f t="shared" si="0"/>
        <v>0</v>
      </c>
      <c r="R23" s="26" t="str">
        <f t="shared" si="1"/>
        <v/>
      </c>
      <c r="S23" s="27"/>
    </row>
    <row r="24" ht="15.5" customHeight="1" spans="1:19">
      <c r="A24" s="23"/>
      <c r="B24" s="24"/>
      <c r="C24" s="24"/>
      <c r="D24" s="103"/>
      <c r="E24" s="24"/>
      <c r="F24" s="23"/>
      <c r="G24" s="23"/>
      <c r="H24" s="25"/>
      <c r="I24" s="26"/>
      <c r="J24" s="26"/>
      <c r="K24" s="26"/>
      <c r="L24" s="26"/>
      <c r="M24" s="26"/>
      <c r="N24" s="26"/>
      <c r="O24" s="26"/>
      <c r="P24" s="23"/>
      <c r="Q24" s="26">
        <f t="shared" si="0"/>
        <v>0</v>
      </c>
      <c r="R24" s="26" t="str">
        <f t="shared" si="1"/>
        <v/>
      </c>
      <c r="S24" s="27"/>
    </row>
    <row r="25" ht="15.5" customHeight="1" spans="1:19">
      <c r="A25" s="21" t="s">
        <v>319</v>
      </c>
      <c r="B25" s="32"/>
      <c r="C25" s="28"/>
      <c r="D25" s="103"/>
      <c r="E25" s="24"/>
      <c r="F25" s="23"/>
      <c r="G25" s="23"/>
      <c r="H25" s="25"/>
      <c r="I25" s="26">
        <f>SUM(I7:I24)</f>
        <v>0</v>
      </c>
      <c r="J25" s="26">
        <f>SUM(J7:J24)</f>
        <v>0</v>
      </c>
      <c r="K25" s="26"/>
      <c r="L25" s="26"/>
      <c r="M25" s="26">
        <f>SUM(M7:M24)</f>
        <v>0</v>
      </c>
      <c r="N25" s="26">
        <f>SUM(N7:N24)</f>
        <v>0</v>
      </c>
      <c r="O25" s="26">
        <f>SUM(O7:O24)</f>
        <v>0</v>
      </c>
      <c r="P25" s="23"/>
      <c r="Q25" s="26">
        <f>SUM(Q7:Q24)</f>
        <v>0</v>
      </c>
      <c r="R25" s="26" t="str">
        <f t="shared" si="1"/>
        <v/>
      </c>
      <c r="S25" s="27"/>
    </row>
    <row r="26" ht="15.5" customHeight="1" spans="1:19">
      <c r="A26" s="21" t="s">
        <v>630</v>
      </c>
      <c r="B26" s="32"/>
      <c r="C26" s="28"/>
      <c r="D26" s="103"/>
      <c r="E26" s="27"/>
      <c r="F26" s="23"/>
      <c r="G26" s="23"/>
      <c r="H26" s="25"/>
      <c r="I26" s="26"/>
      <c r="J26" s="26"/>
      <c r="K26" s="26"/>
      <c r="L26" s="26"/>
      <c r="M26" s="26"/>
      <c r="N26" s="26">
        <f>J26</f>
        <v>0</v>
      </c>
      <c r="O26" s="26"/>
      <c r="P26" s="23"/>
      <c r="Q26" s="26"/>
      <c r="R26" s="26" t="str">
        <f t="shared" si="1"/>
        <v/>
      </c>
      <c r="S26" s="27"/>
    </row>
    <row r="27" ht="15.5" customHeight="1" spans="1:19">
      <c r="A27" s="21" t="s">
        <v>336</v>
      </c>
      <c r="B27" s="32"/>
      <c r="C27" s="28"/>
      <c r="D27" s="104"/>
      <c r="E27" s="23"/>
      <c r="F27" s="23"/>
      <c r="G27" s="23"/>
      <c r="H27" s="25"/>
      <c r="I27" s="26">
        <f>I25-I26</f>
        <v>0</v>
      </c>
      <c r="J27" s="26">
        <f>J25-J26</f>
        <v>0</v>
      </c>
      <c r="K27" s="26"/>
      <c r="L27" s="26"/>
      <c r="M27" s="26">
        <f>M25-M26</f>
        <v>0</v>
      </c>
      <c r="N27" s="26">
        <f>N25-N26</f>
        <v>0</v>
      </c>
      <c r="O27" s="26">
        <f>O25-O26</f>
        <v>0</v>
      </c>
      <c r="P27" s="23"/>
      <c r="Q27" s="26">
        <f>Q25-Q26</f>
        <v>0</v>
      </c>
      <c r="R27" s="26" t="str">
        <f t="shared" si="1"/>
        <v/>
      </c>
      <c r="S27" s="27"/>
    </row>
    <row r="28" ht="15.5" customHeight="1" spans="1:19">
      <c r="A28" s="29" t="str">
        <f>封面!D11&amp;封面!G11</f>
        <v>被评估单位填表人：</v>
      </c>
      <c r="M28" s="13" t="str">
        <f>"评估人员："&amp;封面!G32</f>
        <v>评估人员：</v>
      </c>
    </row>
    <row r="29" ht="15.5" customHeight="1" spans="1:19">
      <c r="A29" s="29" t="str">
        <f>CONCATENATE(封面!D13,封面!F13,封面!G13,封面!H13,封面!I13,封面!J13,封面!K13)</f>
        <v>填表日期：年月日</v>
      </c>
    </row>
  </sheetData>
  <mergeCells count="19">
    <mergeCell ref="A2:S2"/>
    <mergeCell ref="A3:S3"/>
    <mergeCell ref="I5:J5"/>
    <mergeCell ref="K5:L5"/>
    <mergeCell ref="M5:N5"/>
    <mergeCell ref="O5:Q5"/>
    <mergeCell ref="A25:C25"/>
    <mergeCell ref="A26:C26"/>
    <mergeCell ref="A27:C27"/>
    <mergeCell ref="A5:A6"/>
    <mergeCell ref="B5:B6"/>
    <mergeCell ref="C5:C6"/>
    <mergeCell ref="D5:D6"/>
    <mergeCell ref="E5:E6"/>
    <mergeCell ref="F5:F6"/>
    <mergeCell ref="G5:G6"/>
    <mergeCell ref="H5:H6"/>
    <mergeCell ref="R5:R6"/>
    <mergeCell ref="S5:S6"/>
  </mergeCells>
  <hyperlinks>
    <hyperlink ref="A1" location="索引目录!D47" display="返回索引页"/>
    <hyperlink ref="B1" location="固定资产汇总!B28" display="返回"/>
  </hyperlinks>
  <printOptions horizontalCentered="1"/>
  <pageMargins left="0.354330708661417" right="0.354330708661417" top="0.78740157480315" bottom="0.78740157480315" header="1.03" footer="0.511811023622047"/>
  <pageSetup paperSize="9" fitToHeight="0" orientation="landscape"/>
  <headerFooter alignWithMargins="0">
    <oddHeader>&amp;R&amp;"宋体,常规"共&amp;"Times New Roman,常规"&amp;N&amp;"宋体,常规"页第&amp;"Times New Roman,常规"&amp;P&amp;"宋体,常规"4-11
页</oddHeader>
  </headerFooter>
  <legacyDrawing r:id="rId2"/>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2">
    <pageSetUpPr fitToPage="1"/>
  </sheetPr>
  <dimension ref="A1:M29"/>
  <sheetViews>
    <sheetView view="pageBreakPreview" zoomScale="60" zoomScaleNormal="100" workbookViewId="0">
      <selection activeCell="G451" sqref="G451"/>
    </sheetView>
  </sheetViews>
  <sheetFormatPr defaultColWidth="9" defaultRowHeight="15.75" customHeight="1"/>
  <cols>
    <col min="1" max="1" width="5.08333333333333" style="13" customWidth="1"/>
    <col min="2" max="2" width="21" style="13" customWidth="1"/>
    <col min="3" max="3" width="7.75" style="13" customWidth="1"/>
    <col min="4" max="4" width="11.25" style="13" hidden="1" customWidth="1"/>
    <col min="5" max="5" width="8.08333333333333" style="13" customWidth="1"/>
    <col min="6" max="7" width="14.3333333333333" style="13" hidden="1" customWidth="1" outlineLevel="1"/>
    <col min="8" max="8" width="14.3333333333333" style="13" customWidth="1" collapsed="1"/>
    <col min="9" max="9" width="7" style="13" customWidth="1"/>
    <col min="10" max="11" width="14.3333333333333" style="13" customWidth="1"/>
    <col min="12" max="12" width="8.08333333333333" style="13" customWidth="1"/>
    <col min="13" max="13" width="10" style="13" customWidth="1"/>
    <col min="14" max="16384" width="9" style="13" customWidth="1"/>
  </cols>
  <sheetData>
    <row r="1" ht="15.5" customHeight="1" spans="1:13">
      <c r="A1" s="14" t="s">
        <v>111</v>
      </c>
      <c r="B1" s="15" t="s">
        <v>210</v>
      </c>
      <c r="C1" s="16"/>
      <c r="D1" s="16"/>
      <c r="E1" s="16"/>
      <c r="F1" s="16"/>
      <c r="G1" s="16"/>
      <c r="H1" s="16"/>
      <c r="I1" s="16"/>
      <c r="J1" s="16"/>
      <c r="K1" s="16"/>
      <c r="L1" s="16"/>
      <c r="M1" s="16"/>
    </row>
    <row r="2" s="11" customFormat="1" ht="30" customHeight="1" spans="1:13">
      <c r="A2" s="17" t="s">
        <v>636</v>
      </c>
    </row>
    <row r="3" ht="14.15" customHeight="1" spans="1:13">
      <c r="A3" s="18" t="str">
        <f>CONCATENATE(封面!D9,封面!F9,封面!G9,封面!H9,封面!I9,封面!J9,封面!K9)</f>
        <v>评估基准日：年月日</v>
      </c>
    </row>
    <row r="4" ht="15.5" customHeight="1" spans="1:13">
      <c r="A4" s="19" t="str">
        <f>封面!D7&amp;封面!F7</f>
        <v>被评估单位：</v>
      </c>
      <c r="M4" s="20" t="s">
        <v>139</v>
      </c>
    </row>
    <row r="5" s="16" customFormat="1" ht="27.75" customHeight="1" spans="1:13">
      <c r="A5" s="22" t="s">
        <v>141</v>
      </c>
      <c r="B5" s="22" t="s">
        <v>637</v>
      </c>
      <c r="C5" s="22" t="s">
        <v>634</v>
      </c>
      <c r="D5" s="22" t="s">
        <v>638</v>
      </c>
      <c r="E5" s="22" t="s">
        <v>639</v>
      </c>
      <c r="F5" s="22" t="s">
        <v>175</v>
      </c>
      <c r="G5" s="22" t="s">
        <v>281</v>
      </c>
      <c r="H5" s="22" t="s">
        <v>176</v>
      </c>
      <c r="I5" s="22" t="s">
        <v>640</v>
      </c>
      <c r="J5" s="22" t="s">
        <v>177</v>
      </c>
      <c r="K5" s="22" t="s">
        <v>178</v>
      </c>
      <c r="L5" s="22" t="s">
        <v>215</v>
      </c>
      <c r="M5" s="22" t="s">
        <v>144</v>
      </c>
    </row>
    <row r="6" ht="15.5" customHeight="1" spans="1:13">
      <c r="A6" s="23"/>
      <c r="B6" s="67"/>
      <c r="C6" s="25"/>
      <c r="D6" s="26"/>
      <c r="E6" s="23"/>
      <c r="F6" s="26"/>
      <c r="G6" s="26"/>
      <c r="H6" s="26"/>
      <c r="I6" s="23"/>
      <c r="J6" s="26"/>
      <c r="K6" s="26" t="str">
        <f t="shared" ref="K6:K27" si="0">IF(H6=0,"",(J6-H6))</f>
        <v/>
      </c>
      <c r="L6" s="26" t="str">
        <f t="shared" ref="L6:L25" si="1">IF(H6=0,"",(J6-H6)/H6*100)</f>
        <v/>
      </c>
      <c r="M6" s="27"/>
    </row>
    <row r="7" ht="15.5" customHeight="1" spans="1:13">
      <c r="A7" s="23"/>
      <c r="B7" s="67"/>
      <c r="C7" s="25"/>
      <c r="D7" s="26"/>
      <c r="E7" s="23"/>
      <c r="F7" s="26"/>
      <c r="G7" s="26"/>
      <c r="H7" s="26"/>
      <c r="I7" s="23"/>
      <c r="J7" s="26"/>
      <c r="K7" s="26" t="str">
        <f t="shared" si="0"/>
        <v/>
      </c>
      <c r="L7" s="26" t="str">
        <f t="shared" si="1"/>
        <v/>
      </c>
      <c r="M7" s="27"/>
    </row>
    <row r="8" ht="15.5" customHeight="1" spans="1:13">
      <c r="A8" s="23"/>
      <c r="B8" s="67"/>
      <c r="C8" s="25"/>
      <c r="D8" s="26"/>
      <c r="E8" s="23"/>
      <c r="F8" s="26"/>
      <c r="G8" s="26"/>
      <c r="H8" s="26"/>
      <c r="I8" s="23"/>
      <c r="J8" s="26"/>
      <c r="K8" s="26" t="str">
        <f t="shared" si="0"/>
        <v/>
      </c>
      <c r="L8" s="26" t="str">
        <f t="shared" si="1"/>
        <v/>
      </c>
      <c r="M8" s="27"/>
    </row>
    <row r="9" ht="15.5" customHeight="1" spans="1:13">
      <c r="A9" s="23"/>
      <c r="B9" s="67"/>
      <c r="C9" s="25"/>
      <c r="D9" s="26"/>
      <c r="E9" s="23"/>
      <c r="F9" s="26"/>
      <c r="G9" s="26"/>
      <c r="H9" s="26"/>
      <c r="I9" s="23"/>
      <c r="J9" s="26"/>
      <c r="K9" s="26" t="str">
        <f t="shared" si="0"/>
        <v/>
      </c>
      <c r="L9" s="26" t="str">
        <f t="shared" si="1"/>
        <v/>
      </c>
      <c r="M9" s="27"/>
    </row>
    <row r="10" ht="15.5" customHeight="1" spans="1:13">
      <c r="A10" s="23"/>
      <c r="B10" s="67"/>
      <c r="C10" s="25"/>
      <c r="D10" s="26"/>
      <c r="E10" s="23"/>
      <c r="F10" s="26"/>
      <c r="G10" s="26"/>
      <c r="H10" s="26"/>
      <c r="I10" s="23"/>
      <c r="J10" s="26"/>
      <c r="K10" s="26" t="str">
        <f t="shared" si="0"/>
        <v/>
      </c>
      <c r="L10" s="26" t="str">
        <f t="shared" si="1"/>
        <v/>
      </c>
      <c r="M10" s="27"/>
    </row>
    <row r="11" ht="15.5" customHeight="1" spans="1:13">
      <c r="A11" s="23"/>
      <c r="B11" s="67"/>
      <c r="C11" s="25"/>
      <c r="D11" s="26"/>
      <c r="E11" s="23"/>
      <c r="F11" s="26"/>
      <c r="G11" s="26"/>
      <c r="H11" s="26"/>
      <c r="I11" s="23"/>
      <c r="J11" s="26"/>
      <c r="K11" s="26" t="str">
        <f t="shared" si="0"/>
        <v/>
      </c>
      <c r="L11" s="26" t="str">
        <f t="shared" si="1"/>
        <v/>
      </c>
      <c r="M11" s="27"/>
    </row>
    <row r="12" ht="15.5" customHeight="1" spans="1:13">
      <c r="A12" s="23"/>
      <c r="B12" s="67"/>
      <c r="C12" s="25"/>
      <c r="D12" s="26"/>
      <c r="E12" s="23"/>
      <c r="F12" s="26"/>
      <c r="G12" s="26"/>
      <c r="H12" s="26"/>
      <c r="I12" s="23"/>
      <c r="J12" s="26"/>
      <c r="K12" s="26" t="str">
        <f t="shared" si="0"/>
        <v/>
      </c>
      <c r="L12" s="26" t="str">
        <f t="shared" si="1"/>
        <v/>
      </c>
      <c r="M12" s="27"/>
    </row>
    <row r="13" ht="15.5" customHeight="1" spans="1:13">
      <c r="A13" s="23"/>
      <c r="B13" s="24"/>
      <c r="C13" s="25"/>
      <c r="D13" s="26"/>
      <c r="E13" s="23"/>
      <c r="F13" s="26"/>
      <c r="G13" s="26"/>
      <c r="H13" s="26"/>
      <c r="I13" s="23"/>
      <c r="J13" s="26"/>
      <c r="K13" s="26" t="str">
        <f t="shared" si="0"/>
        <v/>
      </c>
      <c r="L13" s="26" t="str">
        <f t="shared" si="1"/>
        <v/>
      </c>
      <c r="M13" s="27"/>
    </row>
    <row r="14" ht="15.5" customHeight="1" spans="1:13">
      <c r="A14" s="23"/>
      <c r="B14" s="24"/>
      <c r="C14" s="25"/>
      <c r="D14" s="26"/>
      <c r="E14" s="23"/>
      <c r="F14" s="26"/>
      <c r="G14" s="26"/>
      <c r="H14" s="26"/>
      <c r="I14" s="23"/>
      <c r="J14" s="26"/>
      <c r="K14" s="26" t="str">
        <f t="shared" si="0"/>
        <v/>
      </c>
      <c r="L14" s="26" t="str">
        <f t="shared" si="1"/>
        <v/>
      </c>
      <c r="M14" s="27"/>
    </row>
    <row r="15" ht="15.5" customHeight="1" spans="1:13">
      <c r="A15" s="23"/>
      <c r="B15" s="24"/>
      <c r="C15" s="25"/>
      <c r="D15" s="26"/>
      <c r="E15" s="23"/>
      <c r="F15" s="26"/>
      <c r="G15" s="26"/>
      <c r="H15" s="26"/>
      <c r="I15" s="23"/>
      <c r="J15" s="26"/>
      <c r="K15" s="26" t="str">
        <f t="shared" si="0"/>
        <v/>
      </c>
      <c r="L15" s="26" t="str">
        <f t="shared" si="1"/>
        <v/>
      </c>
      <c r="M15" s="27"/>
    </row>
    <row r="16" ht="15.5" customHeight="1" spans="1:13">
      <c r="A16" s="23"/>
      <c r="B16" s="24"/>
      <c r="C16" s="25"/>
      <c r="D16" s="26"/>
      <c r="E16" s="23"/>
      <c r="F16" s="26"/>
      <c r="G16" s="26"/>
      <c r="H16" s="26"/>
      <c r="I16" s="23"/>
      <c r="J16" s="26"/>
      <c r="K16" s="26" t="str">
        <f t="shared" si="0"/>
        <v/>
      </c>
      <c r="L16" s="26" t="str">
        <f t="shared" si="1"/>
        <v/>
      </c>
      <c r="M16" s="27"/>
    </row>
    <row r="17" ht="15.5" customHeight="1" spans="1:13">
      <c r="A17" s="23"/>
      <c r="B17" s="24"/>
      <c r="C17" s="25"/>
      <c r="D17" s="26"/>
      <c r="E17" s="23"/>
      <c r="F17" s="26"/>
      <c r="G17" s="26"/>
      <c r="H17" s="26"/>
      <c r="I17" s="23"/>
      <c r="J17" s="26"/>
      <c r="K17" s="26" t="str">
        <f t="shared" si="0"/>
        <v/>
      </c>
      <c r="L17" s="26" t="str">
        <f t="shared" si="1"/>
        <v/>
      </c>
      <c r="M17" s="27"/>
    </row>
    <row r="18" ht="15.5" customHeight="1" spans="1:13">
      <c r="A18" s="23"/>
      <c r="B18" s="24"/>
      <c r="C18" s="25"/>
      <c r="D18" s="26"/>
      <c r="E18" s="23"/>
      <c r="F18" s="26"/>
      <c r="G18" s="26"/>
      <c r="H18" s="26"/>
      <c r="I18" s="23"/>
      <c r="J18" s="26"/>
      <c r="K18" s="26" t="str">
        <f t="shared" si="0"/>
        <v/>
      </c>
      <c r="L18" s="26" t="str">
        <f t="shared" si="1"/>
        <v/>
      </c>
      <c r="M18" s="27"/>
    </row>
    <row r="19" ht="15.5" customHeight="1" spans="1:13">
      <c r="A19" s="23"/>
      <c r="B19" s="24"/>
      <c r="C19" s="25"/>
      <c r="D19" s="26"/>
      <c r="E19" s="23"/>
      <c r="F19" s="26"/>
      <c r="G19" s="26"/>
      <c r="H19" s="26"/>
      <c r="I19" s="23"/>
      <c r="J19" s="26"/>
      <c r="K19" s="26" t="str">
        <f t="shared" si="0"/>
        <v/>
      </c>
      <c r="L19" s="26" t="str">
        <f t="shared" si="1"/>
        <v/>
      </c>
      <c r="M19" s="27"/>
    </row>
    <row r="20" ht="15.5" customHeight="1" spans="1:13">
      <c r="A20" s="23"/>
      <c r="B20" s="24"/>
      <c r="C20" s="25"/>
      <c r="D20" s="26"/>
      <c r="E20" s="23"/>
      <c r="F20" s="26"/>
      <c r="G20" s="26"/>
      <c r="H20" s="26"/>
      <c r="I20" s="23"/>
      <c r="J20" s="26"/>
      <c r="K20" s="26" t="str">
        <f t="shared" si="0"/>
        <v/>
      </c>
      <c r="L20" s="26" t="str">
        <f t="shared" si="1"/>
        <v/>
      </c>
      <c r="M20" s="27"/>
    </row>
    <row r="21" ht="15.5" customHeight="1" spans="1:13">
      <c r="A21" s="23"/>
      <c r="B21" s="24"/>
      <c r="C21" s="25"/>
      <c r="D21" s="26"/>
      <c r="E21" s="23"/>
      <c r="F21" s="26"/>
      <c r="G21" s="26"/>
      <c r="H21" s="26"/>
      <c r="I21" s="23"/>
      <c r="J21" s="26"/>
      <c r="K21" s="26" t="str">
        <f t="shared" si="0"/>
        <v/>
      </c>
      <c r="L21" s="26" t="str">
        <f t="shared" si="1"/>
        <v/>
      </c>
      <c r="M21" s="27"/>
    </row>
    <row r="22" ht="15.5" customHeight="1" spans="1:13">
      <c r="A22" s="23"/>
      <c r="B22" s="24"/>
      <c r="C22" s="25"/>
      <c r="D22" s="26"/>
      <c r="E22" s="23"/>
      <c r="F22" s="26"/>
      <c r="G22" s="26"/>
      <c r="H22" s="26"/>
      <c r="I22" s="23"/>
      <c r="J22" s="26"/>
      <c r="K22" s="26" t="str">
        <f t="shared" si="0"/>
        <v/>
      </c>
      <c r="L22" s="26" t="str">
        <f t="shared" si="1"/>
        <v/>
      </c>
      <c r="M22" s="27"/>
    </row>
    <row r="23" ht="15.5" customHeight="1" spans="1:13">
      <c r="A23" s="23"/>
      <c r="B23" s="24"/>
      <c r="C23" s="25"/>
      <c r="D23" s="26"/>
      <c r="E23" s="23"/>
      <c r="F23" s="26"/>
      <c r="G23" s="26"/>
      <c r="H23" s="26"/>
      <c r="I23" s="23"/>
      <c r="J23" s="26"/>
      <c r="K23" s="26" t="str">
        <f t="shared" si="0"/>
        <v/>
      </c>
      <c r="L23" s="26" t="str">
        <f t="shared" si="1"/>
        <v/>
      </c>
      <c r="M23" s="27"/>
    </row>
    <row r="24" ht="15.5" customHeight="1" spans="1:13">
      <c r="A24" s="23"/>
      <c r="B24" s="24"/>
      <c r="C24" s="25"/>
      <c r="D24" s="26"/>
      <c r="E24" s="23"/>
      <c r="F24" s="26"/>
      <c r="G24" s="26"/>
      <c r="H24" s="26"/>
      <c r="I24" s="23"/>
      <c r="J24" s="26"/>
      <c r="K24" s="26" t="str">
        <f t="shared" si="0"/>
        <v/>
      </c>
      <c r="L24" s="26" t="str">
        <f t="shared" si="1"/>
        <v/>
      </c>
      <c r="M24" s="27"/>
    </row>
    <row r="25" ht="15.5" customHeight="1" spans="1:13">
      <c r="A25" s="23"/>
      <c r="B25" s="24"/>
      <c r="C25" s="25"/>
      <c r="D25" s="26"/>
      <c r="E25" s="23"/>
      <c r="F25" s="26"/>
      <c r="G25" s="26"/>
      <c r="H25" s="26"/>
      <c r="I25" s="23"/>
      <c r="J25" s="26"/>
      <c r="K25" s="26" t="str">
        <f t="shared" si="0"/>
        <v/>
      </c>
      <c r="L25" s="26" t="str">
        <f t="shared" si="1"/>
        <v/>
      </c>
      <c r="M25" s="27"/>
    </row>
    <row r="26" ht="15.5" customHeight="1" spans="1:13">
      <c r="A26" s="23"/>
      <c r="B26" s="67"/>
      <c r="C26" s="25"/>
      <c r="D26" s="26"/>
      <c r="E26" s="23"/>
      <c r="F26" s="26"/>
      <c r="G26" s="26"/>
      <c r="H26" s="26"/>
      <c r="I26" s="23"/>
      <c r="J26" s="26"/>
      <c r="K26" s="26" t="str">
        <f t="shared" si="0"/>
        <v/>
      </c>
      <c r="L26" s="26"/>
      <c r="M26" s="27"/>
    </row>
    <row r="27" ht="15.5" customHeight="1" spans="1:13">
      <c r="A27" s="21" t="s">
        <v>641</v>
      </c>
      <c r="B27" s="28"/>
      <c r="C27" s="25"/>
      <c r="D27" s="26"/>
      <c r="E27" s="23"/>
      <c r="F27" s="26">
        <f>SUM(F6:F26)</f>
        <v>0</v>
      </c>
      <c r="G27" s="26"/>
      <c r="H27" s="26">
        <f>SUM(H6:H26)</f>
        <v>0</v>
      </c>
      <c r="I27" s="23"/>
      <c r="J27" s="26">
        <f>SUM(J6:J26)</f>
        <v>0</v>
      </c>
      <c r="K27" s="26" t="str">
        <f t="shared" si="0"/>
        <v/>
      </c>
      <c r="L27" s="26" t="str">
        <f>IF(H27=0,"",(J27-H27)/H27*100)</f>
        <v/>
      </c>
      <c r="M27" s="27"/>
    </row>
    <row r="28" ht="15.5" customHeight="1" spans="1:13">
      <c r="A28" s="29" t="str">
        <f>封面!D11&amp;封面!G11</f>
        <v>被评估单位填表人：</v>
      </c>
      <c r="H28" s="13" t="str">
        <f>"评估人员："&amp;封面!G36</f>
        <v>评估人员：</v>
      </c>
    </row>
    <row r="29" ht="15.5" customHeight="1" spans="1:13">
      <c r="A29" s="29" t="str">
        <f>CONCATENATE(封面!D13,封面!F13,封面!G13,封面!H13,封面!I13,封面!J13,封面!K13)</f>
        <v>填表日期：年月日</v>
      </c>
    </row>
  </sheetData>
  <mergeCells count="3">
    <mergeCell ref="A2:M2"/>
    <mergeCell ref="A3:M3"/>
    <mergeCell ref="A27:B27"/>
  </mergeCells>
  <hyperlinks>
    <hyperlink ref="A1" location="索引目录!D52" display="返回索引页"/>
    <hyperlink ref="B1" location="分类汇总!B34" display="返回"/>
  </hyperlinks>
  <printOptions horizontalCentered="1"/>
  <pageMargins left="0.354330708661417" right="0.354330708661417" top="0.78740157480315" bottom="0.78740157480315" header="1.05" footer="0.511811023622047"/>
  <pageSetup paperSize="9" fitToHeight="0" orientation="landscape"/>
  <headerFooter alignWithMargins="0">
    <oddHeader>&amp;R&amp;"宋体,常规"共&amp;"Times New Roman,常规"&amp;N&amp;"宋体,常规"页第&amp;"Times New Roman,常规"&amp;P&amp;"宋体,常规"4-15
页</oddHeader>
  </headerFooter>
  <legacyDrawing r:id="rId2"/>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3">
    <pageSetUpPr fitToPage="1"/>
  </sheetPr>
  <dimension ref="A1:G29"/>
  <sheetViews>
    <sheetView view="pageBreakPreview" zoomScale="130" zoomScaleNormal="85" topLeftCell="A3" workbookViewId="0">
      <selection activeCell="G451" sqref="G451"/>
    </sheetView>
  </sheetViews>
  <sheetFormatPr defaultColWidth="9" defaultRowHeight="15.75" customHeight="1" outlineLevelCol="6"/>
  <cols>
    <col min="1" max="1" width="6.25" style="13" customWidth="1"/>
    <col min="2" max="2" width="28" style="13" customWidth="1"/>
    <col min="3" max="3" width="19.0833333333333" style="13" hidden="1" customWidth="1" outlineLevel="1"/>
    <col min="4" max="4" width="24.75" style="13" customWidth="1" collapsed="1"/>
    <col min="5" max="6" width="24.75" style="13" customWidth="1"/>
    <col min="7" max="7" width="13.5" style="13" customWidth="1"/>
    <col min="8" max="16384" width="9" style="13" customWidth="1"/>
  </cols>
  <sheetData>
    <row r="1" ht="15.5" customHeight="1" spans="1:7">
      <c r="A1" s="14" t="s">
        <v>111</v>
      </c>
      <c r="B1" s="15" t="s">
        <v>210</v>
      </c>
      <c r="C1" s="16"/>
      <c r="D1" s="16"/>
      <c r="E1" s="16"/>
      <c r="F1" s="16"/>
      <c r="G1" s="16"/>
    </row>
    <row r="2" s="11" customFormat="1" ht="30" customHeight="1" spans="1:7">
      <c r="A2" s="17" t="s">
        <v>642</v>
      </c>
    </row>
    <row r="3" ht="14.15" customHeight="1" spans="1:7">
      <c r="A3" s="18" t="str">
        <f>CONCATENATE(封面!D9,封面!F9,封面!G9,封面!H9,封面!I9,封面!J9,封面!K9)</f>
        <v>评估基准日：年月日</v>
      </c>
    </row>
    <row r="4" ht="15.5" customHeight="1" spans="1:7">
      <c r="A4" s="19" t="str">
        <f>封面!D7&amp;封面!F7</f>
        <v>被评估单位：</v>
      </c>
      <c r="G4" s="44" t="s">
        <v>139</v>
      </c>
    </row>
    <row r="5" s="43" customFormat="1" ht="13" customHeight="1" spans="1:7">
      <c r="A5" s="45" t="s">
        <v>260</v>
      </c>
      <c r="B5" s="45" t="s">
        <v>212</v>
      </c>
      <c r="C5" s="45" t="s">
        <v>175</v>
      </c>
      <c r="D5" s="45" t="s">
        <v>176</v>
      </c>
      <c r="E5" s="45" t="s">
        <v>177</v>
      </c>
      <c r="F5" s="46" t="s">
        <v>214</v>
      </c>
      <c r="G5" s="45" t="s">
        <v>215</v>
      </c>
    </row>
    <row r="6" ht="15.5" customHeight="1" spans="1:7">
      <c r="A6" s="45" t="s">
        <v>643</v>
      </c>
      <c r="B6" s="98" t="s">
        <v>644</v>
      </c>
      <c r="C6" s="26">
        <f>'无形-土地'!K27</f>
        <v>0</v>
      </c>
      <c r="D6" s="26">
        <f>'无形-土地'!M27</f>
        <v>0</v>
      </c>
      <c r="E6" s="26">
        <f>'无形-土地'!N27</f>
        <v>0</v>
      </c>
      <c r="F6" s="26">
        <f>E6-D6</f>
        <v>0</v>
      </c>
      <c r="G6" s="48" t="str">
        <f>IF(D6=0,"",F6/D6*100)</f>
        <v/>
      </c>
    </row>
    <row r="7" ht="15.5" customHeight="1" spans="1:7">
      <c r="A7" s="45" t="s">
        <v>645</v>
      </c>
      <c r="B7" s="99" t="s">
        <v>646</v>
      </c>
      <c r="C7" s="26">
        <f>'无形-矿业权'!J27</f>
        <v>0</v>
      </c>
      <c r="D7" s="26">
        <f>'无形-矿业权'!L27</f>
        <v>0</v>
      </c>
      <c r="E7" s="26">
        <f>'无形-矿业权'!M27</f>
        <v>0</v>
      </c>
      <c r="F7" s="26"/>
      <c r="G7" s="48"/>
    </row>
    <row r="8" ht="15.5" customHeight="1" spans="1:7">
      <c r="A8" s="45" t="s">
        <v>647</v>
      </c>
      <c r="B8" s="98" t="s">
        <v>648</v>
      </c>
      <c r="C8" s="26">
        <f>'无形-其他'!H23</f>
        <v>0</v>
      </c>
      <c r="D8" s="26">
        <f>'无形-其他'!J23</f>
        <v>0</v>
      </c>
      <c r="E8" s="26">
        <f>'无形-其他'!L23</f>
        <v>0</v>
      </c>
      <c r="F8" s="26">
        <f>E8-D8</f>
        <v>0</v>
      </c>
      <c r="G8" s="48" t="str">
        <f>IF(D8=0,"",F8/D8*100)</f>
        <v/>
      </c>
    </row>
    <row r="9" ht="15.5" customHeight="1" spans="1:7">
      <c r="A9" s="45"/>
      <c r="B9" s="98"/>
      <c r="C9" s="26"/>
      <c r="D9" s="26"/>
      <c r="E9" s="26"/>
      <c r="F9" s="26"/>
      <c r="G9" s="48"/>
    </row>
    <row r="10" ht="15.5" customHeight="1" spans="1:7">
      <c r="A10" s="45"/>
      <c r="B10" s="98"/>
      <c r="C10" s="26"/>
      <c r="D10" s="26"/>
      <c r="E10" s="26"/>
      <c r="F10" s="26"/>
      <c r="G10" s="48"/>
    </row>
    <row r="11" ht="15.5" customHeight="1" spans="1:7">
      <c r="A11" s="45"/>
      <c r="B11" s="98"/>
      <c r="C11" s="26"/>
      <c r="D11" s="26"/>
      <c r="E11" s="26"/>
      <c r="F11" s="26"/>
      <c r="G11" s="48"/>
    </row>
    <row r="12" ht="15.5" customHeight="1" spans="1:7">
      <c r="A12" s="45"/>
      <c r="B12" s="98"/>
      <c r="C12" s="26"/>
      <c r="D12" s="26"/>
      <c r="E12" s="26"/>
      <c r="F12" s="26"/>
      <c r="G12" s="48"/>
    </row>
    <row r="13" ht="15.5" customHeight="1" spans="1:7">
      <c r="A13" s="45"/>
      <c r="B13" s="98"/>
      <c r="C13" s="26"/>
      <c r="D13" s="26"/>
      <c r="E13" s="26"/>
      <c r="F13" s="26"/>
      <c r="G13" s="48"/>
    </row>
    <row r="14" ht="15.5" customHeight="1" spans="1:7">
      <c r="A14" s="45"/>
      <c r="B14" s="98"/>
      <c r="C14" s="26"/>
      <c r="D14" s="26"/>
      <c r="E14" s="26"/>
      <c r="F14" s="26"/>
      <c r="G14" s="48"/>
    </row>
    <row r="15" ht="15.5" customHeight="1" spans="1:7">
      <c r="A15" s="45"/>
      <c r="B15" s="98"/>
      <c r="C15" s="26"/>
      <c r="D15" s="26"/>
      <c r="E15" s="26"/>
      <c r="F15" s="26"/>
      <c r="G15" s="48"/>
    </row>
    <row r="16" ht="15.5" customHeight="1" spans="1:7">
      <c r="A16" s="45"/>
      <c r="B16" s="98"/>
      <c r="C16" s="26"/>
      <c r="D16" s="26"/>
      <c r="E16" s="26"/>
      <c r="F16" s="26"/>
      <c r="G16" s="48"/>
    </row>
    <row r="17" ht="15.5" customHeight="1" spans="1:7">
      <c r="A17" s="45"/>
      <c r="B17" s="98"/>
      <c r="C17" s="26"/>
      <c r="D17" s="26"/>
      <c r="E17" s="26"/>
      <c r="F17" s="26"/>
      <c r="G17" s="48"/>
    </row>
    <row r="18" ht="15.5" customHeight="1" spans="1:7">
      <c r="A18" s="45"/>
      <c r="B18" s="98"/>
      <c r="C18" s="26"/>
      <c r="D18" s="26"/>
      <c r="E18" s="26"/>
      <c r="F18" s="26"/>
      <c r="G18" s="48"/>
    </row>
    <row r="19" ht="15.5" customHeight="1" spans="1:7">
      <c r="A19" s="45"/>
      <c r="B19" s="98"/>
      <c r="C19" s="26"/>
      <c r="D19" s="26"/>
      <c r="E19" s="26"/>
      <c r="F19" s="26"/>
      <c r="G19" s="48"/>
    </row>
    <row r="20" ht="15.5" customHeight="1" spans="1:7">
      <c r="A20" s="45"/>
      <c r="B20" s="98"/>
      <c r="C20" s="26"/>
      <c r="D20" s="26"/>
      <c r="E20" s="26"/>
      <c r="F20" s="26"/>
      <c r="G20" s="48"/>
    </row>
    <row r="21" ht="15.5" customHeight="1" spans="1:7">
      <c r="A21" s="45"/>
      <c r="B21" s="98"/>
      <c r="C21" s="26"/>
      <c r="D21" s="26"/>
      <c r="E21" s="26"/>
      <c r="F21" s="26"/>
      <c r="G21" s="48"/>
    </row>
    <row r="22" ht="15.5" customHeight="1" spans="1:7">
      <c r="A22" s="45"/>
      <c r="B22" s="98"/>
      <c r="C22" s="26"/>
      <c r="D22" s="26"/>
      <c r="E22" s="26"/>
      <c r="F22" s="26"/>
      <c r="G22" s="48"/>
    </row>
    <row r="23" ht="15.5" customHeight="1" spans="1:7">
      <c r="A23" s="45"/>
      <c r="B23" s="98"/>
      <c r="C23" s="26"/>
      <c r="D23" s="26"/>
      <c r="E23" s="26"/>
      <c r="F23" s="26"/>
      <c r="G23" s="48"/>
    </row>
    <row r="24" ht="15.5" customHeight="1" spans="1:7">
      <c r="A24" s="45"/>
      <c r="B24" s="98"/>
      <c r="C24" s="26"/>
      <c r="D24" s="26"/>
      <c r="E24" s="26"/>
      <c r="F24" s="26"/>
      <c r="G24" s="48"/>
    </row>
    <row r="25" ht="15.5" customHeight="1" spans="1:7">
      <c r="A25" s="45" t="s">
        <v>649</v>
      </c>
      <c r="B25" s="28"/>
      <c r="C25" s="26">
        <f>SUM(C6:C8)</f>
        <v>0</v>
      </c>
      <c r="D25" s="26">
        <f>SUM(D6:D8)</f>
        <v>0</v>
      </c>
      <c r="E25" s="26">
        <f>SUM(E6:E8)</f>
        <v>0</v>
      </c>
      <c r="F25" s="26">
        <f>SUM(F6:F8)</f>
        <v>0</v>
      </c>
      <c r="G25" s="48" t="str">
        <f>IF(D25=0,"",F25/D25*100)</f>
        <v/>
      </c>
    </row>
    <row r="26" ht="15.5" customHeight="1" spans="1:7">
      <c r="A26" s="45" t="s">
        <v>650</v>
      </c>
      <c r="B26" s="28"/>
      <c r="C26" s="26"/>
      <c r="D26" s="26">
        <f>C26</f>
        <v>0</v>
      </c>
      <c r="E26" s="26">
        <v>0</v>
      </c>
      <c r="F26" s="26">
        <f>E26-D26</f>
        <v>0</v>
      </c>
      <c r="G26" s="48" t="str">
        <f>IF(D26=0,"",F26/D26*100)</f>
        <v/>
      </c>
    </row>
    <row r="27" ht="15.5" customHeight="1" spans="1:7">
      <c r="A27" s="45" t="s">
        <v>651</v>
      </c>
      <c r="B27" s="45" t="s">
        <v>652</v>
      </c>
      <c r="C27" s="26">
        <f>C25-C26</f>
        <v>0</v>
      </c>
      <c r="D27" s="26">
        <f>D25-D26</f>
        <v>0</v>
      </c>
      <c r="E27" s="26">
        <f>E25-E26</f>
        <v>0</v>
      </c>
      <c r="F27" s="26">
        <f>E27-D27</f>
        <v>0</v>
      </c>
      <c r="G27" s="48" t="str">
        <f>IF(D27=0,"",F27/D27*100)</f>
        <v/>
      </c>
    </row>
    <row r="28" ht="15.5" customHeight="1" spans="1:7">
      <c r="A28" s="29" t="str">
        <f>封面!D11&amp;封面!G11</f>
        <v>被评估单位填表人：</v>
      </c>
      <c r="E28" s="13" t="str">
        <f>"评估人员："&amp;封面!G28&amp;"  "&amp;封面!G34</f>
        <v>评估人员：  </v>
      </c>
    </row>
    <row r="29" ht="15.5" customHeight="1" spans="1:7">
      <c r="A29" s="29" t="str">
        <f>CONCATENATE(封面!D13,封面!F13,封面!G13,封面!H13,封面!I13,封面!J13,封面!K13)</f>
        <v>填表日期：年月日</v>
      </c>
    </row>
  </sheetData>
  <mergeCells count="4">
    <mergeCell ref="A2:G2"/>
    <mergeCell ref="A3:G3"/>
    <mergeCell ref="A25:B25"/>
    <mergeCell ref="A26:B26"/>
  </mergeCells>
  <hyperlinks>
    <hyperlink ref="A1" location="索引目录!C48" display="返回索引页"/>
    <hyperlink ref="B1" location="分类汇总!B31" display="返回"/>
    <hyperlink ref="B6" location="'无形-土地'!B1" display="无形资产-土地使用权"/>
    <hyperlink ref="B8" location="'无形-其他'!B1" display="无形资产-其他无形资产"/>
  </hyperlinks>
  <printOptions horizontalCentered="1"/>
  <pageMargins left="0.354330708661417" right="0.354330708661417" top="0.78740157480315" bottom="0.78740157480315" header="1.06" footer="0.511811023622047"/>
  <pageSetup paperSize="9" fitToHeight="0" orientation="landscape"/>
  <headerFooter alignWithMargins="0">
    <oddHeader>&amp;R&amp;"宋体,常规"共&amp;"Times New Roman,常规"&amp;N&amp;"宋体,常规"页第&amp;"Times New Roman,常规"&amp;P&amp;"宋体,常规"4-12
页</oddHeader>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4">
    <pageSetUpPr fitToPage="1"/>
  </sheetPr>
  <dimension ref="A1:R29"/>
  <sheetViews>
    <sheetView view="pageBreakPreview" zoomScale="60" zoomScaleNormal="100" topLeftCell="C1" workbookViewId="0">
      <selection activeCell="G451" sqref="G451"/>
    </sheetView>
  </sheetViews>
  <sheetFormatPr defaultColWidth="9" defaultRowHeight="15.75" customHeight="1"/>
  <cols>
    <col min="1" max="1" width="6.33333333333333" style="13" customWidth="1"/>
    <col min="2" max="2" width="6.83333333333333" style="13" customWidth="1"/>
    <col min="3" max="3" width="9.58333333333333" style="13" customWidth="1"/>
    <col min="4" max="4" width="10.5" style="13" customWidth="1"/>
    <col min="5" max="6" width="5.33333333333333" style="13" customWidth="1"/>
    <col min="7" max="8" width="5.08333333333333" style="13" customWidth="1"/>
    <col min="9" max="9" width="8" style="13" customWidth="1"/>
    <col min="10" max="10" width="12.5" style="13" customWidth="1"/>
    <col min="11" max="12" width="13" style="13" hidden="1" customWidth="1" outlineLevel="1"/>
    <col min="13" max="13" width="13" style="13" customWidth="1" collapsed="1"/>
    <col min="14" max="15" width="13" style="13" customWidth="1"/>
    <col min="16" max="16" width="8.08333333333333" style="13" customWidth="1"/>
    <col min="17" max="17" width="9" style="13" customWidth="1"/>
    <col min="18" max="18" width="13.0833333333333" style="13" hidden="1" customWidth="1" outlineLevel="1"/>
    <col min="19" max="19" width="9" style="13" customWidth="1" collapsed="1"/>
    <col min="20" max="16384" width="9" style="13" customWidth="1"/>
  </cols>
  <sheetData>
    <row r="1" ht="15.5" customHeight="1" spans="1:18">
      <c r="A1" s="68" t="s">
        <v>111</v>
      </c>
      <c r="B1" s="15" t="s">
        <v>210</v>
      </c>
      <c r="C1" s="16"/>
      <c r="D1" s="16"/>
      <c r="E1" s="16"/>
      <c r="F1" s="16"/>
      <c r="G1" s="16"/>
      <c r="H1" s="16"/>
      <c r="I1" s="16"/>
      <c r="J1" s="16"/>
      <c r="K1" s="16"/>
      <c r="L1" s="16"/>
      <c r="M1" s="16"/>
      <c r="N1" s="16"/>
      <c r="O1" s="16"/>
      <c r="P1" s="16"/>
      <c r="Q1" s="16"/>
    </row>
    <row r="2" s="11" customFormat="1" ht="30" customHeight="1" spans="1:18">
      <c r="A2" s="17" t="s">
        <v>653</v>
      </c>
    </row>
    <row r="3" ht="14.15" customHeight="1" spans="1:18">
      <c r="A3" s="18" t="str">
        <f>CONCATENATE(封面!D9,封面!F9,封面!G9,封面!H9,封面!I9,封面!J9,封面!K9)</f>
        <v>评估基准日：年月日</v>
      </c>
    </row>
    <row r="4" ht="15.5" customHeight="1" spans="1:18">
      <c r="A4" s="19" t="str">
        <f>封面!D7&amp;封面!F7</f>
        <v>被评估单位：</v>
      </c>
      <c r="Q4" s="20" t="s">
        <v>139</v>
      </c>
    </row>
    <row r="5" s="16" customFormat="1" ht="31.5" customHeight="1" spans="1:18">
      <c r="A5" s="22" t="s">
        <v>141</v>
      </c>
      <c r="B5" s="22" t="s">
        <v>594</v>
      </c>
      <c r="C5" s="22" t="s">
        <v>595</v>
      </c>
      <c r="D5" s="22" t="s">
        <v>596</v>
      </c>
      <c r="E5" s="22" t="s">
        <v>597</v>
      </c>
      <c r="F5" s="22" t="s">
        <v>598</v>
      </c>
      <c r="G5" s="22" t="s">
        <v>599</v>
      </c>
      <c r="H5" s="22" t="s">
        <v>600</v>
      </c>
      <c r="I5" s="22" t="s">
        <v>601</v>
      </c>
      <c r="J5" s="22" t="s">
        <v>400</v>
      </c>
      <c r="K5" s="22" t="s">
        <v>175</v>
      </c>
      <c r="L5" s="22" t="s">
        <v>281</v>
      </c>
      <c r="M5" s="22" t="s">
        <v>176</v>
      </c>
      <c r="N5" s="22" t="s">
        <v>177</v>
      </c>
      <c r="O5" s="22" t="s">
        <v>178</v>
      </c>
      <c r="P5" s="22" t="s">
        <v>215</v>
      </c>
      <c r="Q5" s="22" t="s">
        <v>144</v>
      </c>
      <c r="R5" s="21" t="s">
        <v>506</v>
      </c>
    </row>
    <row r="6" ht="15.5" customHeight="1" spans="1:18">
      <c r="A6" s="23"/>
      <c r="B6" s="23"/>
      <c r="C6" s="24"/>
      <c r="D6" s="24"/>
      <c r="E6" s="25"/>
      <c r="F6" s="23"/>
      <c r="G6" s="23"/>
      <c r="H6" s="23"/>
      <c r="I6" s="26"/>
      <c r="J6" s="26"/>
      <c r="K6" s="26"/>
      <c r="L6" s="26"/>
      <c r="M6" s="26"/>
      <c r="N6" s="26"/>
      <c r="O6" s="26" t="str">
        <f t="shared" ref="O6:O27" si="0">IF(M6=0,"",(N6-M6))</f>
        <v/>
      </c>
      <c r="P6" s="26" t="str">
        <f t="shared" ref="P6:P25" si="1">IF(M6=0,"",(N6-M6)/M6*100)</f>
        <v/>
      </c>
      <c r="Q6" s="27"/>
      <c r="R6" s="27"/>
    </row>
    <row r="7" ht="15.5" customHeight="1" spans="1:18">
      <c r="A7" s="23"/>
      <c r="B7" s="23"/>
      <c r="C7" s="24"/>
      <c r="D7" s="24"/>
      <c r="E7" s="25"/>
      <c r="F7" s="23"/>
      <c r="G7" s="23"/>
      <c r="H7" s="23"/>
      <c r="I7" s="26"/>
      <c r="J7" s="26"/>
      <c r="K7" s="26"/>
      <c r="L7" s="26"/>
      <c r="M7" s="26"/>
      <c r="N7" s="26"/>
      <c r="O7" s="26" t="str">
        <f t="shared" si="0"/>
        <v/>
      </c>
      <c r="P7" s="26" t="str">
        <f t="shared" si="1"/>
        <v/>
      </c>
      <c r="Q7" s="27"/>
      <c r="R7" s="27"/>
    </row>
    <row r="8" ht="15.5" customHeight="1" spans="1:18">
      <c r="A8" s="23"/>
      <c r="B8" s="23"/>
      <c r="C8" s="24"/>
      <c r="D8" s="24"/>
      <c r="E8" s="25"/>
      <c r="F8" s="23"/>
      <c r="G8" s="23"/>
      <c r="H8" s="23"/>
      <c r="I8" s="26"/>
      <c r="J8" s="26"/>
      <c r="K8" s="26"/>
      <c r="L8" s="26"/>
      <c r="M8" s="26"/>
      <c r="N8" s="26"/>
      <c r="O8" s="26" t="str">
        <f t="shared" si="0"/>
        <v/>
      </c>
      <c r="P8" s="26" t="str">
        <f t="shared" si="1"/>
        <v/>
      </c>
      <c r="Q8" s="27"/>
      <c r="R8" s="27"/>
    </row>
    <row r="9" ht="15.5" customHeight="1" spans="1:18">
      <c r="A9" s="23"/>
      <c r="B9" s="23"/>
      <c r="C9" s="24"/>
      <c r="D9" s="24"/>
      <c r="E9" s="25"/>
      <c r="F9" s="23"/>
      <c r="G9" s="23"/>
      <c r="H9" s="23"/>
      <c r="I9" s="26"/>
      <c r="J9" s="26"/>
      <c r="K9" s="26"/>
      <c r="L9" s="26"/>
      <c r="M9" s="26"/>
      <c r="N9" s="26"/>
      <c r="O9" s="26" t="str">
        <f t="shared" si="0"/>
        <v/>
      </c>
      <c r="P9" s="26" t="str">
        <f t="shared" si="1"/>
        <v/>
      </c>
      <c r="Q9" s="27"/>
      <c r="R9" s="27"/>
    </row>
    <row r="10" ht="15.5" customHeight="1" spans="1:18">
      <c r="A10" s="23"/>
      <c r="B10" s="23"/>
      <c r="C10" s="24"/>
      <c r="D10" s="24"/>
      <c r="E10" s="25"/>
      <c r="F10" s="23"/>
      <c r="G10" s="23"/>
      <c r="H10" s="23"/>
      <c r="I10" s="26"/>
      <c r="J10" s="26"/>
      <c r="K10" s="26"/>
      <c r="L10" s="26"/>
      <c r="M10" s="26"/>
      <c r="N10" s="26"/>
      <c r="O10" s="26" t="str">
        <f t="shared" si="0"/>
        <v/>
      </c>
      <c r="P10" s="26" t="str">
        <f t="shared" si="1"/>
        <v/>
      </c>
      <c r="Q10" s="27"/>
      <c r="R10" s="27"/>
    </row>
    <row r="11" ht="15.5" customHeight="1" spans="1:18">
      <c r="A11" s="23"/>
      <c r="B11" s="23"/>
      <c r="C11" s="24"/>
      <c r="D11" s="24"/>
      <c r="E11" s="25"/>
      <c r="F11" s="23"/>
      <c r="G11" s="23"/>
      <c r="H11" s="23"/>
      <c r="I11" s="26"/>
      <c r="J11" s="26"/>
      <c r="K11" s="26"/>
      <c r="L11" s="26"/>
      <c r="M11" s="26"/>
      <c r="N11" s="26"/>
      <c r="O11" s="26" t="str">
        <f t="shared" si="0"/>
        <v/>
      </c>
      <c r="P11" s="26" t="str">
        <f t="shared" si="1"/>
        <v/>
      </c>
      <c r="Q11" s="27"/>
      <c r="R11" s="27"/>
    </row>
    <row r="12" ht="15.5" customHeight="1" spans="1:18">
      <c r="A12" s="23"/>
      <c r="B12" s="23"/>
      <c r="C12" s="24"/>
      <c r="D12" s="24"/>
      <c r="E12" s="25"/>
      <c r="F12" s="23"/>
      <c r="G12" s="23"/>
      <c r="H12" s="23"/>
      <c r="I12" s="26"/>
      <c r="J12" s="26"/>
      <c r="K12" s="26"/>
      <c r="L12" s="26"/>
      <c r="M12" s="26"/>
      <c r="N12" s="26"/>
      <c r="O12" s="26" t="str">
        <f t="shared" si="0"/>
        <v/>
      </c>
      <c r="P12" s="26" t="str">
        <f t="shared" si="1"/>
        <v/>
      </c>
      <c r="Q12" s="27"/>
      <c r="R12" s="27"/>
    </row>
    <row r="13" ht="15.5" customHeight="1" spans="1:18">
      <c r="A13" s="23"/>
      <c r="B13" s="23"/>
      <c r="C13" s="24"/>
      <c r="D13" s="24"/>
      <c r="E13" s="25"/>
      <c r="F13" s="23"/>
      <c r="G13" s="23"/>
      <c r="H13" s="23"/>
      <c r="I13" s="26"/>
      <c r="J13" s="26"/>
      <c r="K13" s="26"/>
      <c r="L13" s="26"/>
      <c r="M13" s="26"/>
      <c r="N13" s="26"/>
      <c r="O13" s="26" t="str">
        <f t="shared" si="0"/>
        <v/>
      </c>
      <c r="P13" s="26" t="str">
        <f t="shared" si="1"/>
        <v/>
      </c>
      <c r="Q13" s="27"/>
      <c r="R13" s="27"/>
    </row>
    <row r="14" ht="15.5" customHeight="1" spans="1:18">
      <c r="A14" s="23"/>
      <c r="B14" s="23"/>
      <c r="C14" s="24"/>
      <c r="D14" s="24"/>
      <c r="E14" s="25"/>
      <c r="F14" s="23"/>
      <c r="G14" s="23"/>
      <c r="H14" s="23"/>
      <c r="I14" s="26"/>
      <c r="J14" s="26"/>
      <c r="K14" s="26"/>
      <c r="L14" s="26"/>
      <c r="M14" s="26"/>
      <c r="N14" s="26"/>
      <c r="O14" s="26" t="str">
        <f t="shared" si="0"/>
        <v/>
      </c>
      <c r="P14" s="26" t="str">
        <f t="shared" si="1"/>
        <v/>
      </c>
      <c r="Q14" s="27"/>
      <c r="R14" s="27"/>
    </row>
    <row r="15" ht="15.5" customHeight="1" spans="1:18">
      <c r="A15" s="23"/>
      <c r="B15" s="23"/>
      <c r="C15" s="24"/>
      <c r="D15" s="24"/>
      <c r="E15" s="25"/>
      <c r="F15" s="23"/>
      <c r="G15" s="23"/>
      <c r="H15" s="23"/>
      <c r="I15" s="26"/>
      <c r="J15" s="26"/>
      <c r="K15" s="26"/>
      <c r="L15" s="26"/>
      <c r="M15" s="26"/>
      <c r="N15" s="26"/>
      <c r="O15" s="26" t="str">
        <f t="shared" si="0"/>
        <v/>
      </c>
      <c r="P15" s="26" t="str">
        <f t="shared" si="1"/>
        <v/>
      </c>
      <c r="Q15" s="27"/>
      <c r="R15" s="27"/>
    </row>
    <row r="16" ht="15.5" customHeight="1" spans="1:18">
      <c r="A16" s="23"/>
      <c r="B16" s="23"/>
      <c r="C16" s="24"/>
      <c r="D16" s="24"/>
      <c r="E16" s="25"/>
      <c r="F16" s="23"/>
      <c r="G16" s="23"/>
      <c r="H16" s="23"/>
      <c r="I16" s="26"/>
      <c r="J16" s="26"/>
      <c r="K16" s="26"/>
      <c r="L16" s="26"/>
      <c r="M16" s="26"/>
      <c r="N16" s="26"/>
      <c r="O16" s="26" t="str">
        <f t="shared" si="0"/>
        <v/>
      </c>
      <c r="P16" s="26" t="str">
        <f t="shared" si="1"/>
        <v/>
      </c>
      <c r="Q16" s="27"/>
      <c r="R16" s="27"/>
    </row>
    <row r="17" ht="15.5" customHeight="1" spans="1:18">
      <c r="A17" s="23"/>
      <c r="B17" s="23"/>
      <c r="C17" s="24"/>
      <c r="D17" s="24"/>
      <c r="E17" s="25"/>
      <c r="F17" s="23"/>
      <c r="G17" s="23"/>
      <c r="H17" s="23"/>
      <c r="I17" s="26"/>
      <c r="J17" s="26"/>
      <c r="K17" s="26"/>
      <c r="L17" s="26"/>
      <c r="M17" s="26"/>
      <c r="N17" s="26"/>
      <c r="O17" s="26" t="str">
        <f t="shared" si="0"/>
        <v/>
      </c>
      <c r="P17" s="26" t="str">
        <f t="shared" si="1"/>
        <v/>
      </c>
      <c r="Q17" s="27"/>
      <c r="R17" s="27"/>
    </row>
    <row r="18" ht="15.5" customHeight="1" spans="1:18">
      <c r="A18" s="23"/>
      <c r="B18" s="23"/>
      <c r="C18" s="24"/>
      <c r="D18" s="24"/>
      <c r="E18" s="25"/>
      <c r="F18" s="23"/>
      <c r="G18" s="23"/>
      <c r="H18" s="23"/>
      <c r="I18" s="26"/>
      <c r="J18" s="26"/>
      <c r="K18" s="26"/>
      <c r="L18" s="26"/>
      <c r="M18" s="26"/>
      <c r="N18" s="26"/>
      <c r="O18" s="26" t="str">
        <f t="shared" si="0"/>
        <v/>
      </c>
      <c r="P18" s="26" t="str">
        <f t="shared" si="1"/>
        <v/>
      </c>
      <c r="Q18" s="27"/>
      <c r="R18" s="27"/>
    </row>
    <row r="19" ht="15.5" customHeight="1" spans="1:18">
      <c r="A19" s="23"/>
      <c r="B19" s="23"/>
      <c r="C19" s="24"/>
      <c r="D19" s="24"/>
      <c r="E19" s="25"/>
      <c r="F19" s="23"/>
      <c r="G19" s="23"/>
      <c r="H19" s="23"/>
      <c r="I19" s="26"/>
      <c r="J19" s="26"/>
      <c r="K19" s="26"/>
      <c r="L19" s="26"/>
      <c r="M19" s="26"/>
      <c r="N19" s="26"/>
      <c r="O19" s="26" t="str">
        <f t="shared" si="0"/>
        <v/>
      </c>
      <c r="P19" s="26" t="str">
        <f t="shared" si="1"/>
        <v/>
      </c>
      <c r="Q19" s="27"/>
      <c r="R19" s="27"/>
    </row>
    <row r="20" ht="15.5" customHeight="1" spans="1:18">
      <c r="A20" s="23"/>
      <c r="B20" s="23"/>
      <c r="C20" s="24"/>
      <c r="D20" s="24"/>
      <c r="E20" s="25"/>
      <c r="F20" s="23"/>
      <c r="G20" s="23"/>
      <c r="H20" s="23"/>
      <c r="I20" s="26"/>
      <c r="J20" s="26"/>
      <c r="K20" s="26"/>
      <c r="L20" s="26"/>
      <c r="M20" s="26"/>
      <c r="N20" s="26"/>
      <c r="O20" s="26" t="str">
        <f t="shared" si="0"/>
        <v/>
      </c>
      <c r="P20" s="26" t="str">
        <f t="shared" si="1"/>
        <v/>
      </c>
      <c r="Q20" s="27"/>
      <c r="R20" s="27"/>
    </row>
    <row r="21" ht="15.5" customHeight="1" spans="1:18">
      <c r="A21" s="23"/>
      <c r="B21" s="23"/>
      <c r="C21" s="24"/>
      <c r="D21" s="24"/>
      <c r="E21" s="25"/>
      <c r="F21" s="23"/>
      <c r="G21" s="23"/>
      <c r="H21" s="23"/>
      <c r="I21" s="26"/>
      <c r="J21" s="26"/>
      <c r="K21" s="26"/>
      <c r="L21" s="26"/>
      <c r="M21" s="26"/>
      <c r="N21" s="26"/>
      <c r="O21" s="26" t="str">
        <f t="shared" si="0"/>
        <v/>
      </c>
      <c r="P21" s="26" t="str">
        <f t="shared" si="1"/>
        <v/>
      </c>
      <c r="Q21" s="27"/>
      <c r="R21" s="27"/>
    </row>
    <row r="22" ht="15.5" customHeight="1" spans="1:18">
      <c r="A22" s="23"/>
      <c r="B22" s="23"/>
      <c r="C22" s="24"/>
      <c r="D22" s="24"/>
      <c r="E22" s="25"/>
      <c r="F22" s="23"/>
      <c r="G22" s="23"/>
      <c r="H22" s="23"/>
      <c r="I22" s="26"/>
      <c r="J22" s="26"/>
      <c r="K22" s="26"/>
      <c r="L22" s="26"/>
      <c r="M22" s="26"/>
      <c r="N22" s="26"/>
      <c r="O22" s="26" t="str">
        <f t="shared" si="0"/>
        <v/>
      </c>
      <c r="P22" s="26" t="str">
        <f t="shared" si="1"/>
        <v/>
      </c>
      <c r="Q22" s="27"/>
      <c r="R22" s="27"/>
    </row>
    <row r="23" ht="15.5" customHeight="1" spans="1:18">
      <c r="A23" s="23"/>
      <c r="B23" s="23"/>
      <c r="C23" s="24"/>
      <c r="D23" s="24"/>
      <c r="E23" s="25"/>
      <c r="F23" s="23"/>
      <c r="G23" s="23"/>
      <c r="H23" s="23"/>
      <c r="I23" s="26"/>
      <c r="J23" s="26"/>
      <c r="K23" s="26"/>
      <c r="L23" s="26"/>
      <c r="M23" s="26"/>
      <c r="N23" s="26"/>
      <c r="O23" s="26" t="str">
        <f t="shared" si="0"/>
        <v/>
      </c>
      <c r="P23" s="26" t="str">
        <f t="shared" si="1"/>
        <v/>
      </c>
      <c r="Q23" s="27"/>
      <c r="R23" s="27"/>
    </row>
    <row r="24" ht="15.5" customHeight="1" spans="1:18">
      <c r="A24" s="23"/>
      <c r="B24" s="23"/>
      <c r="C24" s="24"/>
      <c r="D24" s="24"/>
      <c r="E24" s="25"/>
      <c r="F24" s="23"/>
      <c r="G24" s="23"/>
      <c r="H24" s="23"/>
      <c r="I24" s="26"/>
      <c r="J24" s="26"/>
      <c r="K24" s="26"/>
      <c r="L24" s="26"/>
      <c r="M24" s="26"/>
      <c r="N24" s="26"/>
      <c r="O24" s="26" t="str">
        <f t="shared" si="0"/>
        <v/>
      </c>
      <c r="P24" s="26" t="str">
        <f t="shared" si="1"/>
        <v/>
      </c>
      <c r="Q24" s="27"/>
      <c r="R24" s="27"/>
    </row>
    <row r="25" ht="15.5" customHeight="1" spans="1:18">
      <c r="A25" s="23"/>
      <c r="B25" s="23"/>
      <c r="C25" s="24"/>
      <c r="D25" s="24"/>
      <c r="E25" s="25"/>
      <c r="F25" s="23"/>
      <c r="G25" s="23"/>
      <c r="H25" s="23"/>
      <c r="I25" s="26"/>
      <c r="J25" s="26"/>
      <c r="K25" s="26"/>
      <c r="L25" s="26"/>
      <c r="M25" s="26"/>
      <c r="N25" s="26"/>
      <c r="O25" s="26" t="str">
        <f t="shared" si="0"/>
        <v/>
      </c>
      <c r="P25" s="26" t="str">
        <f t="shared" si="1"/>
        <v/>
      </c>
      <c r="Q25" s="27"/>
      <c r="R25" s="27"/>
    </row>
    <row r="26" ht="15.5" customHeight="1" spans="1:18">
      <c r="A26" s="23"/>
      <c r="B26" s="23"/>
      <c r="C26" s="24"/>
      <c r="D26" s="24"/>
      <c r="E26" s="25"/>
      <c r="F26" s="23"/>
      <c r="G26" s="23"/>
      <c r="H26" s="23"/>
      <c r="I26" s="26"/>
      <c r="J26" s="26"/>
      <c r="K26" s="26"/>
      <c r="L26" s="26"/>
      <c r="M26" s="26"/>
      <c r="N26" s="26"/>
      <c r="O26" s="26" t="str">
        <f t="shared" si="0"/>
        <v/>
      </c>
      <c r="P26" s="26"/>
      <c r="Q26" s="27"/>
      <c r="R26" s="27"/>
    </row>
    <row r="27" ht="15.5" customHeight="1" spans="1:18">
      <c r="A27" s="21" t="s">
        <v>282</v>
      </c>
      <c r="B27" s="32"/>
      <c r="C27" s="32"/>
      <c r="D27" s="28"/>
      <c r="E27" s="25"/>
      <c r="F27" s="23"/>
      <c r="G27" s="23"/>
      <c r="H27" s="23"/>
      <c r="I27" s="26"/>
      <c r="J27" s="26">
        <f>SUM(J6:J26)</f>
        <v>0</v>
      </c>
      <c r="K27" s="26">
        <f>SUM(K6:K26)</f>
        <v>0</v>
      </c>
      <c r="L27" s="26"/>
      <c r="M27" s="26">
        <f>SUM(M6:M26)</f>
        <v>0</v>
      </c>
      <c r="N27" s="26">
        <f>SUM(N6:N26)</f>
        <v>0</v>
      </c>
      <c r="O27" s="26" t="str">
        <f t="shared" si="0"/>
        <v/>
      </c>
      <c r="P27" s="26" t="str">
        <f>IF(M27=0,"",(N27-M27)/M27*100)</f>
        <v/>
      </c>
      <c r="Q27" s="27"/>
      <c r="R27" s="27"/>
    </row>
    <row r="28" ht="15.5" customHeight="1" spans="1:18">
      <c r="A28" s="29" t="str">
        <f>封面!D11&amp;封面!G11</f>
        <v>被评估单位填表人：</v>
      </c>
      <c r="G28" s="19"/>
      <c r="M28" s="13" t="str">
        <f>"评估人员："&amp;封面!G28</f>
        <v>评估人员：</v>
      </c>
    </row>
    <row r="29" ht="15.5" customHeight="1" spans="1:18">
      <c r="A29" s="29" t="str">
        <f>CONCATENATE(封面!D13,封面!F13,封面!G13,封面!H13,封面!I13,封面!J13,封面!K13)</f>
        <v>填表日期：年月日</v>
      </c>
    </row>
  </sheetData>
  <mergeCells count="3">
    <mergeCell ref="A2:Q2"/>
    <mergeCell ref="A3:Q3"/>
    <mergeCell ref="A27:D27"/>
  </mergeCells>
  <hyperlinks>
    <hyperlink ref="A1" location="索引目录!C28" display="返回索引页"/>
    <hyperlink ref="B1" location="无形资产汇总!B6" display="返回"/>
  </hyperlinks>
  <printOptions horizontalCentered="1"/>
  <pageMargins left="0.354330708661417" right="0.354330708661417" top="0.78740157480315" bottom="0.78740157480315" header="1.03" footer="0.511811023622047"/>
  <pageSetup paperSize="9" fitToHeight="0" orientation="landscape"/>
  <headerFooter alignWithMargins="0">
    <oddHeader>&amp;R&amp;"宋体,常规"共&amp;"Times New Roman,常规"&amp;N&amp;"宋体,常规"页第&amp;"Times New Roman,常规"&amp;P&amp;"宋体,常规"4-12-1
页</oddHeader>
  </headerFooter>
  <legacyDrawing r:id="rId2"/>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5">
    <tabColor indexed="10"/>
    <pageSetUpPr fitToPage="1"/>
  </sheetPr>
  <dimension ref="A1:P29"/>
  <sheetViews>
    <sheetView view="pageBreakPreview" zoomScale="60" zoomScaleNormal="100" workbookViewId="0">
      <selection activeCell="G451" sqref="G451"/>
    </sheetView>
  </sheetViews>
  <sheetFormatPr defaultColWidth="9" defaultRowHeight="15.5"/>
  <cols>
    <col min="1" max="1" width="4" style="79" customWidth="1"/>
    <col min="2" max="2" width="14.75" style="79" customWidth="1"/>
    <col min="3" max="3" width="11.8333333333333" style="79" customWidth="1"/>
    <col min="4" max="4" width="5.33333333333333" style="79" customWidth="1"/>
    <col min="5" max="5" width="8.5" style="79" customWidth="1"/>
    <col min="6" max="6" width="7.08333333333333" style="79" customWidth="1"/>
    <col min="7" max="7" width="8.33333333333333" style="79" customWidth="1"/>
    <col min="8" max="8" width="11.8333333333333" style="79" customWidth="1"/>
    <col min="9" max="9" width="11" style="79" customWidth="1"/>
    <col min="10" max="10" width="12.5833333333333" style="79" hidden="1" customWidth="1" outlineLevel="1"/>
    <col min="11" max="11" width="10.8333333333333" style="79" hidden="1" customWidth="1" outlineLevel="1"/>
    <col min="12" max="12" width="10.8333333333333" style="79" customWidth="1" collapsed="1"/>
    <col min="13" max="13" width="10.8333333333333" style="79" customWidth="1"/>
    <col min="14" max="14" width="6.5" style="79" customWidth="1"/>
    <col min="15" max="15" width="7.25" style="79" customWidth="1"/>
    <col min="16" max="16" width="7.08333333333333" style="79" customWidth="1"/>
    <col min="17" max="16384" width="9" style="79" customWidth="1"/>
  </cols>
  <sheetData>
    <row r="1" ht="13.5" customHeight="1" spans="1:16">
      <c r="A1" s="68" t="s">
        <v>111</v>
      </c>
      <c r="B1" s="15" t="s">
        <v>210</v>
      </c>
      <c r="C1" s="80"/>
      <c r="D1" s="80"/>
      <c r="E1" s="80"/>
      <c r="F1" s="80"/>
      <c r="G1" s="80"/>
      <c r="H1" s="80"/>
      <c r="I1" s="81"/>
      <c r="J1" s="81"/>
      <c r="K1" s="81"/>
      <c r="L1" s="81"/>
      <c r="M1" s="81"/>
      <c r="N1" s="81"/>
      <c r="O1" s="82"/>
    </row>
    <row r="2" ht="30" customHeight="1" spans="1:16">
      <c r="A2" s="83" t="s">
        <v>654</v>
      </c>
    </row>
    <row r="3" spans="1:16">
      <c r="A3" s="84" t="str">
        <f>无形资产汇总!A3</f>
        <v>评估基准日：年月日</v>
      </c>
    </row>
    <row r="4" spans="1:16">
      <c r="A4" s="19" t="str">
        <f>封面!D7&amp;封面!F7</f>
        <v>被评估单位：</v>
      </c>
      <c r="B4" s="85"/>
      <c r="C4" s="85"/>
      <c r="D4" s="85"/>
      <c r="E4" s="85"/>
      <c r="F4" s="85"/>
      <c r="G4" s="85"/>
      <c r="H4" s="85"/>
      <c r="I4" s="85"/>
      <c r="J4" s="85"/>
      <c r="K4" s="85"/>
      <c r="L4" s="85"/>
      <c r="M4" s="85"/>
      <c r="N4" s="85"/>
      <c r="O4" s="85"/>
      <c r="P4" s="86" t="s">
        <v>139</v>
      </c>
    </row>
    <row r="5" ht="35.15" customHeight="1" spans="1:16">
      <c r="A5" s="87" t="s">
        <v>141</v>
      </c>
      <c r="B5" s="87" t="s">
        <v>655</v>
      </c>
      <c r="C5" s="87" t="s">
        <v>656</v>
      </c>
      <c r="D5" s="87" t="s">
        <v>657</v>
      </c>
      <c r="E5" s="87" t="s">
        <v>597</v>
      </c>
      <c r="F5" s="87" t="s">
        <v>658</v>
      </c>
      <c r="G5" s="87" t="s">
        <v>659</v>
      </c>
      <c r="H5" s="87" t="s">
        <v>660</v>
      </c>
      <c r="I5" s="87" t="s">
        <v>400</v>
      </c>
      <c r="J5" s="88" t="s">
        <v>175</v>
      </c>
      <c r="K5" s="88" t="s">
        <v>281</v>
      </c>
      <c r="L5" s="88" t="s">
        <v>176</v>
      </c>
      <c r="M5" s="87" t="s">
        <v>177</v>
      </c>
      <c r="N5" s="87" t="s">
        <v>178</v>
      </c>
      <c r="O5" s="87" t="s">
        <v>215</v>
      </c>
      <c r="P5" s="87" t="s">
        <v>144</v>
      </c>
    </row>
    <row r="6" spans="1:16">
      <c r="A6" s="89"/>
      <c r="B6" s="89"/>
      <c r="C6" s="89"/>
      <c r="D6" s="89"/>
      <c r="E6" s="90"/>
      <c r="F6" s="89"/>
      <c r="G6" s="89"/>
      <c r="H6" s="89"/>
      <c r="I6" s="91"/>
      <c r="J6" s="92"/>
      <c r="K6" s="92"/>
      <c r="L6" s="92"/>
      <c r="M6" s="91"/>
      <c r="N6" s="26" t="str">
        <f t="shared" ref="N6:N27" si="0">IF(L6=0,"",(M6-L6))</f>
        <v/>
      </c>
      <c r="O6" s="26" t="str">
        <f t="shared" ref="O6:O27" si="1">IF(L6=0,"",(M6-L6)/L6*100)</f>
        <v/>
      </c>
      <c r="P6" s="93"/>
    </row>
    <row r="7" spans="1:16">
      <c r="A7" s="89"/>
      <c r="B7" s="89"/>
      <c r="C7" s="89"/>
      <c r="D7" s="89"/>
      <c r="E7" s="90"/>
      <c r="F7" s="89"/>
      <c r="G7" s="89"/>
      <c r="H7" s="89"/>
      <c r="I7" s="91"/>
      <c r="J7" s="91"/>
      <c r="K7" s="91"/>
      <c r="L7" s="91"/>
      <c r="M7" s="91"/>
      <c r="N7" s="26" t="str">
        <f t="shared" si="0"/>
        <v/>
      </c>
      <c r="O7" s="26" t="str">
        <f t="shared" si="1"/>
        <v/>
      </c>
      <c r="P7" s="93"/>
    </row>
    <row r="8" spans="1:16">
      <c r="A8" s="89"/>
      <c r="B8" s="89"/>
      <c r="C8" s="89"/>
      <c r="D8" s="89"/>
      <c r="E8" s="90"/>
      <c r="F8" s="89"/>
      <c r="G8" s="89"/>
      <c r="H8" s="89"/>
      <c r="I8" s="91"/>
      <c r="J8" s="91"/>
      <c r="K8" s="91"/>
      <c r="L8" s="91"/>
      <c r="M8" s="91"/>
      <c r="N8" s="26" t="str">
        <f t="shared" si="0"/>
        <v/>
      </c>
      <c r="O8" s="26" t="str">
        <f t="shared" si="1"/>
        <v/>
      </c>
      <c r="P8" s="93"/>
    </row>
    <row r="9" spans="1:16">
      <c r="A9" s="89"/>
      <c r="B9" s="89"/>
      <c r="C9" s="89"/>
      <c r="D9" s="89"/>
      <c r="E9" s="90"/>
      <c r="F9" s="89"/>
      <c r="G9" s="89"/>
      <c r="H9" s="89"/>
      <c r="I9" s="91"/>
      <c r="J9" s="91"/>
      <c r="K9" s="91"/>
      <c r="L9" s="91"/>
      <c r="M9" s="91"/>
      <c r="N9" s="26" t="str">
        <f t="shared" si="0"/>
        <v/>
      </c>
      <c r="O9" s="26" t="str">
        <f t="shared" si="1"/>
        <v/>
      </c>
      <c r="P9" s="93"/>
    </row>
    <row r="10" spans="1:16">
      <c r="A10" s="89"/>
      <c r="B10" s="89"/>
      <c r="C10" s="89"/>
      <c r="D10" s="89"/>
      <c r="E10" s="90"/>
      <c r="F10" s="89"/>
      <c r="G10" s="89"/>
      <c r="H10" s="89"/>
      <c r="I10" s="91"/>
      <c r="J10" s="91"/>
      <c r="K10" s="91"/>
      <c r="L10" s="91"/>
      <c r="M10" s="91"/>
      <c r="N10" s="26" t="str">
        <f t="shared" si="0"/>
        <v/>
      </c>
      <c r="O10" s="26" t="str">
        <f t="shared" si="1"/>
        <v/>
      </c>
      <c r="P10" s="93"/>
    </row>
    <row r="11" spans="1:16">
      <c r="A11" s="89"/>
      <c r="B11" s="89"/>
      <c r="C11" s="89"/>
      <c r="D11" s="89"/>
      <c r="E11" s="90"/>
      <c r="F11" s="89"/>
      <c r="G11" s="89"/>
      <c r="H11" s="89"/>
      <c r="I11" s="91"/>
      <c r="J11" s="91"/>
      <c r="K11" s="91"/>
      <c r="L11" s="91"/>
      <c r="M11" s="91"/>
      <c r="N11" s="26" t="str">
        <f t="shared" si="0"/>
        <v/>
      </c>
      <c r="O11" s="26" t="str">
        <f t="shared" si="1"/>
        <v/>
      </c>
      <c r="P11" s="93"/>
    </row>
    <row r="12" spans="1:16">
      <c r="A12" s="89"/>
      <c r="B12" s="89"/>
      <c r="C12" s="89"/>
      <c r="D12" s="89"/>
      <c r="E12" s="90"/>
      <c r="F12" s="89"/>
      <c r="G12" s="89"/>
      <c r="H12" s="89"/>
      <c r="I12" s="91"/>
      <c r="J12" s="91"/>
      <c r="K12" s="91"/>
      <c r="L12" s="91"/>
      <c r="M12" s="91"/>
      <c r="N12" s="26" t="str">
        <f t="shared" si="0"/>
        <v/>
      </c>
      <c r="O12" s="26" t="str">
        <f t="shared" si="1"/>
        <v/>
      </c>
      <c r="P12" s="93"/>
    </row>
    <row r="13" spans="1:16">
      <c r="A13" s="89"/>
      <c r="B13" s="89"/>
      <c r="C13" s="89"/>
      <c r="D13" s="89"/>
      <c r="E13" s="90"/>
      <c r="F13" s="89"/>
      <c r="G13" s="89"/>
      <c r="H13" s="89"/>
      <c r="I13" s="91"/>
      <c r="J13" s="91"/>
      <c r="K13" s="91"/>
      <c r="L13" s="91"/>
      <c r="M13" s="91"/>
      <c r="N13" s="26" t="str">
        <f t="shared" si="0"/>
        <v/>
      </c>
      <c r="O13" s="26" t="str">
        <f t="shared" si="1"/>
        <v/>
      </c>
      <c r="P13" s="93"/>
    </row>
    <row r="14" spans="1:16">
      <c r="A14" s="89"/>
      <c r="B14" s="89"/>
      <c r="C14" s="89"/>
      <c r="D14" s="89"/>
      <c r="E14" s="90"/>
      <c r="F14" s="89"/>
      <c r="G14" s="89"/>
      <c r="H14" s="89"/>
      <c r="I14" s="91"/>
      <c r="J14" s="91"/>
      <c r="K14" s="91"/>
      <c r="L14" s="91"/>
      <c r="M14" s="91"/>
      <c r="N14" s="26" t="str">
        <f t="shared" si="0"/>
        <v/>
      </c>
      <c r="O14" s="26" t="str">
        <f t="shared" si="1"/>
        <v/>
      </c>
      <c r="P14" s="93"/>
    </row>
    <row r="15" spans="1:16">
      <c r="A15" s="89"/>
      <c r="B15" s="89"/>
      <c r="C15" s="89"/>
      <c r="D15" s="89"/>
      <c r="E15" s="90"/>
      <c r="F15" s="89"/>
      <c r="G15" s="89"/>
      <c r="H15" s="89"/>
      <c r="I15" s="91"/>
      <c r="J15" s="91"/>
      <c r="K15" s="91"/>
      <c r="L15" s="91"/>
      <c r="M15" s="91"/>
      <c r="N15" s="26" t="str">
        <f t="shared" si="0"/>
        <v/>
      </c>
      <c r="O15" s="26" t="str">
        <f t="shared" si="1"/>
        <v/>
      </c>
      <c r="P15" s="93"/>
    </row>
    <row r="16" spans="1:16">
      <c r="A16" s="89"/>
      <c r="B16" s="89"/>
      <c r="C16" s="89"/>
      <c r="D16" s="89"/>
      <c r="E16" s="90"/>
      <c r="F16" s="89"/>
      <c r="G16" s="89"/>
      <c r="H16" s="89"/>
      <c r="I16" s="91"/>
      <c r="J16" s="91"/>
      <c r="K16" s="91"/>
      <c r="L16" s="91"/>
      <c r="M16" s="91"/>
      <c r="N16" s="26" t="str">
        <f t="shared" si="0"/>
        <v/>
      </c>
      <c r="O16" s="26" t="str">
        <f t="shared" si="1"/>
        <v/>
      </c>
      <c r="P16" s="93"/>
    </row>
    <row r="17" spans="1:16">
      <c r="A17" s="89"/>
      <c r="B17" s="89"/>
      <c r="C17" s="89"/>
      <c r="D17" s="89"/>
      <c r="E17" s="90"/>
      <c r="F17" s="89"/>
      <c r="G17" s="89"/>
      <c r="H17" s="89"/>
      <c r="I17" s="91"/>
      <c r="J17" s="91"/>
      <c r="K17" s="91"/>
      <c r="L17" s="91"/>
      <c r="M17" s="91"/>
      <c r="N17" s="26" t="str">
        <f t="shared" si="0"/>
        <v/>
      </c>
      <c r="O17" s="26" t="str">
        <f t="shared" si="1"/>
        <v/>
      </c>
      <c r="P17" s="93"/>
    </row>
    <row r="18" spans="1:16">
      <c r="A18" s="89"/>
      <c r="B18" s="89"/>
      <c r="C18" s="89"/>
      <c r="D18" s="89"/>
      <c r="E18" s="90"/>
      <c r="F18" s="89"/>
      <c r="G18" s="89"/>
      <c r="H18" s="89"/>
      <c r="I18" s="91"/>
      <c r="J18" s="91"/>
      <c r="K18" s="91"/>
      <c r="L18" s="91"/>
      <c r="M18" s="91"/>
      <c r="N18" s="26" t="str">
        <f t="shared" si="0"/>
        <v/>
      </c>
      <c r="O18" s="26" t="str">
        <f t="shared" si="1"/>
        <v/>
      </c>
      <c r="P18" s="93"/>
    </row>
    <row r="19" spans="1:16">
      <c r="A19" s="89"/>
      <c r="B19" s="89"/>
      <c r="C19" s="89"/>
      <c r="D19" s="89"/>
      <c r="E19" s="90"/>
      <c r="F19" s="89"/>
      <c r="G19" s="89"/>
      <c r="H19" s="89"/>
      <c r="I19" s="91"/>
      <c r="J19" s="91"/>
      <c r="K19" s="91"/>
      <c r="L19" s="91"/>
      <c r="M19" s="91"/>
      <c r="N19" s="26" t="str">
        <f t="shared" si="0"/>
        <v/>
      </c>
      <c r="O19" s="26" t="str">
        <f t="shared" si="1"/>
        <v/>
      </c>
      <c r="P19" s="93"/>
    </row>
    <row r="20" spans="1:16">
      <c r="A20" s="89"/>
      <c r="B20" s="89"/>
      <c r="C20" s="89"/>
      <c r="D20" s="89"/>
      <c r="E20" s="90"/>
      <c r="F20" s="89"/>
      <c r="G20" s="89"/>
      <c r="H20" s="89"/>
      <c r="I20" s="91"/>
      <c r="J20" s="91"/>
      <c r="K20" s="91"/>
      <c r="L20" s="91"/>
      <c r="M20" s="91"/>
      <c r="N20" s="26" t="str">
        <f t="shared" si="0"/>
        <v/>
      </c>
      <c r="O20" s="26" t="str">
        <f t="shared" si="1"/>
        <v/>
      </c>
      <c r="P20" s="93"/>
    </row>
    <row r="21" spans="1:16">
      <c r="A21" s="89"/>
      <c r="B21" s="89"/>
      <c r="C21" s="89"/>
      <c r="D21" s="89"/>
      <c r="E21" s="90"/>
      <c r="F21" s="89"/>
      <c r="G21" s="89"/>
      <c r="H21" s="89"/>
      <c r="I21" s="91"/>
      <c r="J21" s="91"/>
      <c r="K21" s="91"/>
      <c r="L21" s="91"/>
      <c r="M21" s="91"/>
      <c r="N21" s="26" t="str">
        <f t="shared" si="0"/>
        <v/>
      </c>
      <c r="O21" s="26" t="str">
        <f t="shared" si="1"/>
        <v/>
      </c>
      <c r="P21" s="93"/>
    </row>
    <row r="22" spans="1:16">
      <c r="A22" s="89"/>
      <c r="B22" s="89"/>
      <c r="C22" s="89"/>
      <c r="D22" s="89"/>
      <c r="E22" s="90"/>
      <c r="F22" s="89"/>
      <c r="G22" s="89"/>
      <c r="H22" s="89"/>
      <c r="I22" s="91"/>
      <c r="J22" s="91"/>
      <c r="K22" s="91"/>
      <c r="L22" s="91"/>
      <c r="M22" s="91"/>
      <c r="N22" s="26" t="str">
        <f t="shared" si="0"/>
        <v/>
      </c>
      <c r="O22" s="26" t="str">
        <f t="shared" si="1"/>
        <v/>
      </c>
      <c r="P22" s="93"/>
    </row>
    <row r="23" spans="1:16">
      <c r="A23" s="89"/>
      <c r="B23" s="89"/>
      <c r="C23" s="89"/>
      <c r="D23" s="89"/>
      <c r="E23" s="90"/>
      <c r="F23" s="89"/>
      <c r="G23" s="89"/>
      <c r="H23" s="89"/>
      <c r="I23" s="91"/>
      <c r="J23" s="91"/>
      <c r="K23" s="91"/>
      <c r="L23" s="91"/>
      <c r="M23" s="91"/>
      <c r="N23" s="26" t="str">
        <f t="shared" si="0"/>
        <v/>
      </c>
      <c r="O23" s="26" t="str">
        <f t="shared" si="1"/>
        <v/>
      </c>
      <c r="P23" s="93"/>
    </row>
    <row r="24" spans="1:16">
      <c r="A24" s="89"/>
      <c r="B24" s="89"/>
      <c r="C24" s="89"/>
      <c r="D24" s="89"/>
      <c r="E24" s="90"/>
      <c r="F24" s="89"/>
      <c r="G24" s="89"/>
      <c r="H24" s="89"/>
      <c r="I24" s="91"/>
      <c r="J24" s="91"/>
      <c r="K24" s="91"/>
      <c r="L24" s="91"/>
      <c r="M24" s="91"/>
      <c r="N24" s="26" t="str">
        <f t="shared" si="0"/>
        <v/>
      </c>
      <c r="O24" s="26" t="str">
        <f t="shared" si="1"/>
        <v/>
      </c>
      <c r="P24" s="93"/>
    </row>
    <row r="25" spans="1:16">
      <c r="A25" s="89"/>
      <c r="B25" s="89"/>
      <c r="C25" s="89"/>
      <c r="D25" s="89"/>
      <c r="E25" s="90"/>
      <c r="F25" s="89"/>
      <c r="G25" s="89"/>
      <c r="H25" s="89"/>
      <c r="I25" s="91"/>
      <c r="J25" s="91"/>
      <c r="K25" s="91"/>
      <c r="L25" s="91"/>
      <c r="M25" s="91"/>
      <c r="N25" s="26" t="str">
        <f t="shared" si="0"/>
        <v/>
      </c>
      <c r="O25" s="26" t="str">
        <f t="shared" si="1"/>
        <v/>
      </c>
      <c r="P25" s="93"/>
    </row>
    <row r="26" spans="1:16">
      <c r="A26" s="89"/>
      <c r="B26" s="89"/>
      <c r="C26" s="89"/>
      <c r="D26" s="89"/>
      <c r="E26" s="90"/>
      <c r="F26" s="89"/>
      <c r="G26" s="89"/>
      <c r="H26" s="89"/>
      <c r="I26" s="91"/>
      <c r="J26" s="91"/>
      <c r="K26" s="91"/>
      <c r="L26" s="91"/>
      <c r="M26" s="91"/>
      <c r="N26" s="26" t="str">
        <f t="shared" si="0"/>
        <v/>
      </c>
      <c r="O26" s="26" t="str">
        <f t="shared" si="1"/>
        <v/>
      </c>
      <c r="P26" s="93"/>
    </row>
    <row r="27" spans="1:16">
      <c r="A27" s="94" t="s">
        <v>282</v>
      </c>
      <c r="B27" s="32"/>
      <c r="C27" s="32"/>
      <c r="D27" s="95"/>
      <c r="E27" s="90"/>
      <c r="F27" s="89"/>
      <c r="G27" s="89"/>
      <c r="H27" s="89"/>
      <c r="I27" s="91"/>
      <c r="J27" s="91">
        <f>SUM(J6:J26)</f>
        <v>0</v>
      </c>
      <c r="K27" s="91"/>
      <c r="L27" s="91">
        <f>SUM(L6:L26)</f>
        <v>0</v>
      </c>
      <c r="M27" s="91">
        <f>SUM(M6:M26)</f>
        <v>0</v>
      </c>
      <c r="N27" s="26" t="str">
        <f t="shared" si="0"/>
        <v/>
      </c>
      <c r="O27" s="26" t="str">
        <f t="shared" si="1"/>
        <v/>
      </c>
      <c r="P27" s="93"/>
    </row>
    <row r="28" spans="1:16">
      <c r="A28" s="96" t="s">
        <v>661</v>
      </c>
      <c r="B28" s="34"/>
      <c r="C28" s="34"/>
      <c r="D28" s="34"/>
      <c r="E28" s="85"/>
      <c r="G28" s="85"/>
      <c r="H28" s="85"/>
      <c r="I28" s="85"/>
      <c r="J28" s="85"/>
      <c r="K28" s="85"/>
      <c r="L28" s="13" t="str">
        <f>"评估人员："&amp;封面!O29&amp;"  "&amp;封面!O35</f>
        <v>评估人员：  </v>
      </c>
      <c r="M28" s="85"/>
      <c r="N28" s="85"/>
      <c r="O28" s="85"/>
      <c r="P28" s="85"/>
    </row>
    <row r="29" spans="1:16">
      <c r="A29" s="29" t="str">
        <f>CONCATENATE(封面!D13,封面!F13,封面!G13,封面!H13,封面!I13,封面!J13,封面!K13)</f>
        <v>填表日期：年月日</v>
      </c>
      <c r="B29" s="97"/>
      <c r="C29" s="85"/>
      <c r="D29" s="85"/>
      <c r="E29" s="85"/>
      <c r="F29" s="85"/>
      <c r="G29" s="85"/>
      <c r="H29" s="85"/>
      <c r="I29" s="85"/>
      <c r="J29" s="85"/>
      <c r="K29" s="85"/>
      <c r="L29" s="85"/>
      <c r="M29" s="85"/>
      <c r="N29" s="85"/>
      <c r="O29" s="85"/>
      <c r="P29" s="85"/>
    </row>
  </sheetData>
  <mergeCells count="5">
    <mergeCell ref="O1:P1"/>
    <mergeCell ref="A2:P2"/>
    <mergeCell ref="A3:P3"/>
    <mergeCell ref="A27:C27"/>
    <mergeCell ref="A28:D28"/>
  </mergeCells>
  <hyperlinks>
    <hyperlink ref="A1" location="索引目录!C28" display="返回索引页"/>
    <hyperlink ref="B1" location="无形资产汇总!B6" display="返回"/>
  </hyperlinks>
  <printOptions horizontalCentered="1"/>
  <pageMargins left="0.354330708661417" right="0.354330708661417" top="0.78740157480315" bottom="0.78740157480315" header="1.02362204724409" footer="0.511811023622047"/>
  <pageSetup paperSize="9" orientation="landscape"/>
  <headerFooter alignWithMargins="0">
    <oddHeader>&amp;R&amp;"宋体,常规"共&amp;"Times New Roman,常规"&amp;N&amp;"宋体,常规"页第&amp;"Times New Roman,常规"&amp;P&amp;"宋体,常规"4-12-2
页</oddHeader>
  </headerFooter>
  <legacyDrawing r:id="rId2"/>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6">
    <pageSetUpPr fitToPage="1"/>
  </sheetPr>
  <dimension ref="A1:R29"/>
  <sheetViews>
    <sheetView view="pageBreakPreview" zoomScale="85" zoomScaleNormal="100" workbookViewId="0">
      <selection activeCell="G451" sqref="G451"/>
    </sheetView>
  </sheetViews>
  <sheetFormatPr defaultColWidth="9" defaultRowHeight="15.75" customHeight="1"/>
  <cols>
    <col min="1" max="1" width="5.75" style="13" customWidth="1"/>
    <col min="2" max="2" width="44.0833333333333" style="13" customWidth="1"/>
    <col min="3" max="3" width="10.9166666666667" style="13" customWidth="1"/>
    <col min="4" max="4" width="16.5833333333333" style="13" customWidth="1"/>
    <col min="5" max="6" width="8.83333333333333" style="13" customWidth="1"/>
    <col min="7" max="7" width="13.3333333333333" style="13" hidden="1" customWidth="1"/>
    <col min="8" max="9" width="13.3333333333333" style="13" hidden="1" customWidth="1" outlineLevel="1"/>
    <col min="10" max="10" width="13.3333333333333" style="13" customWidth="1" collapsed="1"/>
    <col min="11" max="11" width="9.25" style="13" customWidth="1"/>
    <col min="12" max="12" width="13.3333333333333" style="13" customWidth="1"/>
    <col min="13" max="13" width="12.5" style="13" customWidth="1"/>
    <col min="14" max="14" width="10.0833333333333" style="13" customWidth="1"/>
    <col min="15" max="15" width="11.8333333333333" style="13" customWidth="1"/>
    <col min="16" max="17" width="11.5" style="13" customWidth="1"/>
    <col min="18" max="16384" width="9" style="13" customWidth="1"/>
  </cols>
  <sheetData>
    <row r="1" ht="15.5" customHeight="1" spans="1:18">
      <c r="A1" s="68" t="s">
        <v>111</v>
      </c>
      <c r="B1" s="15" t="s">
        <v>210</v>
      </c>
      <c r="C1" s="15"/>
      <c r="D1" s="15"/>
      <c r="E1" s="16"/>
      <c r="F1" s="16"/>
      <c r="G1" s="16"/>
      <c r="H1" s="16"/>
      <c r="I1" s="16"/>
      <c r="J1" s="16"/>
      <c r="K1" s="16"/>
      <c r="L1" s="16"/>
      <c r="M1" s="16"/>
      <c r="N1" s="16"/>
      <c r="O1" s="16"/>
    </row>
    <row r="2" s="11" customFormat="1" ht="30" customHeight="1" spans="1:18">
      <c r="A2" s="17" t="s">
        <v>662</v>
      </c>
    </row>
    <row r="3" ht="14.15" customHeight="1" spans="1:18">
      <c r="A3" s="18" t="str">
        <f>CONCATENATE(封面!D9,封面!F9,封面!G9,封面!H9,封面!I9,封面!J9,封面!K9)</f>
        <v>评估基准日：年月日</v>
      </c>
    </row>
    <row r="4" ht="15.5" customHeight="1" spans="1:18">
      <c r="A4" s="19" t="str">
        <f>封面!D7&amp;封面!F7</f>
        <v>被评估单位：</v>
      </c>
      <c r="O4" s="20" t="s">
        <v>139</v>
      </c>
    </row>
    <row r="5" s="16" customFormat="1" ht="32.5" customHeight="1" spans="1:18">
      <c r="A5" s="22" t="s">
        <v>141</v>
      </c>
      <c r="B5" s="22" t="s">
        <v>663</v>
      </c>
      <c r="C5" s="22" t="s">
        <v>664</v>
      </c>
      <c r="D5" s="22" t="s">
        <v>665</v>
      </c>
      <c r="E5" s="22" t="s">
        <v>666</v>
      </c>
      <c r="F5" s="22" t="s">
        <v>667</v>
      </c>
      <c r="G5" s="22" t="s">
        <v>400</v>
      </c>
      <c r="H5" s="22" t="s">
        <v>175</v>
      </c>
      <c r="I5" s="22" t="s">
        <v>281</v>
      </c>
      <c r="J5" s="22" t="s">
        <v>176</v>
      </c>
      <c r="K5" s="22" t="s">
        <v>668</v>
      </c>
      <c r="L5" s="22" t="s">
        <v>177</v>
      </c>
      <c r="M5" s="22" t="s">
        <v>178</v>
      </c>
      <c r="N5" s="22" t="s">
        <v>215</v>
      </c>
      <c r="O5" s="58" t="s">
        <v>144</v>
      </c>
      <c r="P5" s="69"/>
      <c r="Q5" s="70"/>
    </row>
    <row r="6" ht="15.5" customHeight="1" spans="1:18">
      <c r="A6" s="23"/>
      <c r="B6" s="67"/>
      <c r="C6" s="58"/>
      <c r="D6" s="45"/>
      <c r="E6" s="25"/>
      <c r="F6" s="23"/>
      <c r="G6" s="26"/>
      <c r="H6" s="26"/>
      <c r="I6" s="26"/>
      <c r="J6" s="26"/>
      <c r="K6" s="71"/>
      <c r="L6" s="26"/>
      <c r="M6" s="26"/>
      <c r="N6" s="26"/>
      <c r="O6" s="63"/>
      <c r="P6" s="72"/>
      <c r="Q6" s="73"/>
      <c r="R6" s="74"/>
    </row>
    <row r="7" ht="15.5" customHeight="1" spans="1:18">
      <c r="A7" s="23"/>
      <c r="B7" s="67"/>
      <c r="C7" s="58"/>
      <c r="D7" s="45"/>
      <c r="E7" s="25"/>
      <c r="F7" s="23"/>
      <c r="G7" s="26"/>
      <c r="H7" s="26"/>
      <c r="I7" s="26"/>
      <c r="J7" s="26"/>
      <c r="K7" s="71"/>
      <c r="L7" s="26"/>
      <c r="M7" s="26"/>
      <c r="N7" s="26"/>
      <c r="O7" s="58"/>
      <c r="P7" s="72"/>
      <c r="Q7" s="73"/>
      <c r="R7" s="74"/>
    </row>
    <row r="8" ht="409.5" customHeight="1" spans="1:18">
      <c r="A8" s="23"/>
      <c r="B8" s="67"/>
      <c r="C8" s="58"/>
      <c r="D8" s="45"/>
      <c r="E8" s="25"/>
      <c r="F8" s="23"/>
      <c r="G8" s="71"/>
      <c r="H8" s="71"/>
      <c r="I8" s="71"/>
      <c r="J8" s="71"/>
      <c r="K8" s="71"/>
      <c r="L8" s="26"/>
      <c r="M8" s="71"/>
      <c r="N8" s="71"/>
      <c r="O8" s="58"/>
      <c r="Q8" s="73"/>
      <c r="R8" s="75"/>
    </row>
    <row r="9" ht="15.5" hidden="1" customHeight="1" spans="1:18">
      <c r="A9" s="23"/>
      <c r="B9" s="24"/>
      <c r="C9" s="58"/>
      <c r="D9" s="45"/>
      <c r="E9" s="25"/>
      <c r="F9" s="23"/>
      <c r="G9" s="71"/>
      <c r="H9" s="71"/>
      <c r="I9" s="71"/>
      <c r="J9" s="71"/>
      <c r="K9" s="71"/>
      <c r="L9" s="26"/>
      <c r="M9" s="71"/>
      <c r="N9" s="71"/>
      <c r="O9" s="58"/>
    </row>
    <row r="10" ht="15.5" hidden="1" customHeight="1" spans="1:18">
      <c r="A10" s="23"/>
      <c r="B10" s="24"/>
      <c r="C10" s="58"/>
      <c r="D10" s="45"/>
      <c r="E10" s="25"/>
      <c r="F10" s="23"/>
      <c r="G10" s="71"/>
      <c r="H10" s="71"/>
      <c r="I10" s="71"/>
      <c r="J10" s="71"/>
      <c r="K10" s="71"/>
      <c r="L10" s="26"/>
      <c r="M10" s="71"/>
      <c r="N10" s="71"/>
      <c r="O10" s="58"/>
    </row>
    <row r="11" ht="15.5" hidden="1" customHeight="1" spans="1:18">
      <c r="A11" s="23"/>
      <c r="B11" s="67"/>
      <c r="C11" s="58"/>
      <c r="D11" s="45"/>
      <c r="E11" s="25"/>
      <c r="F11" s="23"/>
      <c r="G11" s="71"/>
      <c r="H11" s="71"/>
      <c r="I11" s="71"/>
      <c r="J11" s="71"/>
      <c r="K11" s="71"/>
      <c r="L11" s="26"/>
      <c r="M11" s="71"/>
      <c r="N11" s="71"/>
      <c r="O11" s="63"/>
    </row>
    <row r="12" ht="15.5" hidden="1" customHeight="1" spans="1:18">
      <c r="A12" s="23"/>
      <c r="B12" s="67"/>
      <c r="C12" s="58"/>
      <c r="D12" s="45"/>
      <c r="E12" s="25"/>
      <c r="F12" s="23"/>
      <c r="G12" s="71"/>
      <c r="H12" s="71"/>
      <c r="I12" s="71"/>
      <c r="J12" s="71"/>
      <c r="K12" s="71"/>
      <c r="L12" s="26"/>
      <c r="M12" s="71"/>
      <c r="N12" s="71"/>
      <c r="O12" s="63"/>
    </row>
    <row r="13" ht="15.5" hidden="1" customHeight="1" spans="1:18">
      <c r="A13" s="23"/>
      <c r="B13" s="67"/>
      <c r="C13" s="58"/>
      <c r="D13" s="45"/>
      <c r="E13" s="25"/>
      <c r="F13" s="23"/>
      <c r="G13" s="71"/>
      <c r="H13" s="71"/>
      <c r="I13" s="71"/>
      <c r="J13" s="71"/>
      <c r="K13" s="71"/>
      <c r="L13" s="26"/>
      <c r="M13" s="71"/>
      <c r="N13" s="71"/>
      <c r="O13" s="58"/>
    </row>
    <row r="14" ht="15.5" hidden="1" customHeight="1" spans="1:18">
      <c r="A14" s="23"/>
      <c r="B14" s="67"/>
      <c r="C14" s="58"/>
      <c r="D14" s="45"/>
      <c r="E14" s="25"/>
      <c r="F14" s="23"/>
      <c r="G14" s="71"/>
      <c r="H14" s="71"/>
      <c r="I14" s="71"/>
      <c r="J14" s="71"/>
      <c r="K14" s="71"/>
      <c r="L14" s="26"/>
      <c r="M14" s="71"/>
      <c r="N14" s="71"/>
      <c r="O14" s="58"/>
    </row>
    <row r="15" ht="15.5" hidden="1" customHeight="1" spans="1:18">
      <c r="A15" s="23"/>
      <c r="B15" s="24"/>
      <c r="C15" s="58"/>
      <c r="D15" s="45"/>
      <c r="E15" s="25"/>
      <c r="F15" s="23"/>
      <c r="G15" s="71"/>
      <c r="H15" s="71"/>
      <c r="I15" s="71"/>
      <c r="J15" s="71"/>
      <c r="K15" s="71"/>
      <c r="L15" s="26"/>
      <c r="M15" s="71"/>
      <c r="N15" s="71"/>
      <c r="O15" s="63"/>
    </row>
    <row r="16" ht="15.5" hidden="1" customHeight="1" spans="1:18">
      <c r="A16" s="23"/>
      <c r="B16" s="24"/>
      <c r="C16" s="58"/>
      <c r="D16" s="45"/>
      <c r="E16" s="25"/>
      <c r="F16" s="23"/>
      <c r="G16" s="71"/>
      <c r="H16" s="71"/>
      <c r="I16" s="71"/>
      <c r="J16" s="71"/>
      <c r="K16" s="71"/>
      <c r="L16" s="26"/>
      <c r="M16" s="71"/>
      <c r="N16" s="71"/>
      <c r="O16" s="58"/>
    </row>
    <row r="17" ht="15.5" hidden="1" customHeight="1" spans="1:15">
      <c r="A17" s="23"/>
      <c r="B17" s="67"/>
      <c r="C17" s="58"/>
      <c r="D17" s="45"/>
      <c r="E17" s="25"/>
      <c r="F17" s="23"/>
      <c r="G17" s="71"/>
      <c r="H17" s="71"/>
      <c r="I17" s="71"/>
      <c r="J17" s="71"/>
      <c r="K17" s="71"/>
      <c r="L17" s="26"/>
      <c r="M17" s="71"/>
      <c r="N17" s="71"/>
      <c r="O17" s="63"/>
    </row>
    <row r="18" ht="15.5" hidden="1" customHeight="1" spans="1:15">
      <c r="A18" s="23"/>
      <c r="B18" s="67"/>
      <c r="C18" s="58"/>
      <c r="D18" s="45"/>
      <c r="E18" s="25"/>
      <c r="F18" s="23"/>
      <c r="G18" s="71"/>
      <c r="H18" s="71"/>
      <c r="I18" s="71"/>
      <c r="J18" s="71"/>
      <c r="K18" s="71"/>
      <c r="L18" s="26"/>
      <c r="M18" s="71"/>
      <c r="N18" s="71"/>
      <c r="O18" s="63"/>
    </row>
    <row r="19" ht="15.5" customHeight="1" spans="1:15">
      <c r="A19" s="23"/>
      <c r="B19" s="67"/>
      <c r="C19" s="58"/>
      <c r="D19" s="45"/>
      <c r="E19" s="25"/>
      <c r="F19" s="23"/>
      <c r="G19" s="71"/>
      <c r="H19" s="71"/>
      <c r="I19" s="71"/>
      <c r="J19" s="71"/>
      <c r="K19" s="71"/>
      <c r="L19" s="26"/>
      <c r="M19" s="71"/>
      <c r="N19" s="71"/>
      <c r="O19" s="63"/>
    </row>
    <row r="20" ht="14" customHeight="1" spans="1:15">
      <c r="A20" s="23"/>
      <c r="B20" s="67"/>
      <c r="C20" s="58"/>
      <c r="D20" s="45"/>
      <c r="E20" s="25"/>
      <c r="F20" s="23"/>
      <c r="G20" s="71"/>
      <c r="H20" s="71"/>
      <c r="I20" s="71"/>
      <c r="J20" s="71"/>
      <c r="K20" s="71"/>
      <c r="L20" s="26"/>
      <c r="M20" s="71"/>
      <c r="N20" s="71"/>
      <c r="O20" s="63"/>
    </row>
    <row r="21" ht="15.5" customHeight="1" spans="1:15">
      <c r="A21" s="23"/>
      <c r="B21" s="67"/>
      <c r="C21" s="58"/>
      <c r="D21" s="45"/>
      <c r="E21" s="25"/>
      <c r="F21" s="23"/>
      <c r="G21" s="71"/>
      <c r="H21" s="71"/>
      <c r="I21" s="71"/>
      <c r="J21" s="71"/>
      <c r="K21" s="71"/>
      <c r="L21" s="26"/>
      <c r="M21" s="71"/>
      <c r="N21" s="71"/>
      <c r="O21" s="63"/>
    </row>
    <row r="22" ht="15.5" customHeight="1" spans="1:15">
      <c r="A22" s="23"/>
      <c r="B22" s="24"/>
      <c r="C22" s="24"/>
      <c r="D22" s="24"/>
      <c r="E22" s="25"/>
      <c r="F22" s="23"/>
      <c r="G22" s="26"/>
      <c r="H22" s="26"/>
      <c r="I22" s="26"/>
      <c r="J22" s="26"/>
      <c r="K22" s="23"/>
      <c r="L22" s="26"/>
      <c r="M22" s="26" t="str">
        <f>IF(J22=0,"",(L22-J22))</f>
        <v/>
      </c>
      <c r="N22" s="26"/>
      <c r="O22" s="76"/>
    </row>
    <row r="23" ht="15.5" customHeight="1" spans="1:15">
      <c r="A23" s="21" t="s">
        <v>282</v>
      </c>
      <c r="B23" s="28"/>
      <c r="C23" s="77"/>
      <c r="D23" s="77"/>
      <c r="E23" s="25"/>
      <c r="F23" s="23"/>
      <c r="G23" s="26">
        <f>SUM(G6:G22)</f>
        <v>0</v>
      </c>
      <c r="H23" s="26">
        <f>SUM(H6:H22)</f>
        <v>0</v>
      </c>
      <c r="I23" s="26">
        <f>SUM(I6:I22)</f>
        <v>0</v>
      </c>
      <c r="J23" s="26">
        <f>SUM(J6:J22)</f>
        <v>0</v>
      </c>
      <c r="K23" s="26"/>
      <c r="L23" s="26">
        <f>SUM(L6:L22)</f>
        <v>0</v>
      </c>
      <c r="M23" s="26" t="str">
        <f>IF(J23=0,"",(L23-J23))</f>
        <v/>
      </c>
      <c r="N23" s="26" t="str">
        <f>IF(J23=0,"",(L23-J23)/J23*100)</f>
        <v/>
      </c>
      <c r="O23" s="76"/>
    </row>
    <row r="24" ht="15.5" customHeight="1" spans="1:15">
      <c r="A24" s="29" t="str">
        <f>封面!D11&amp;封面!G11</f>
        <v>被评估单位填表人：</v>
      </c>
      <c r="J24" s="19" t="str">
        <f>"评估人员："&amp;封面!G34</f>
        <v>评估人员：</v>
      </c>
    </row>
    <row r="25" ht="15.5" customHeight="1" spans="1:15">
      <c r="A25" s="29" t="str">
        <f>CONCATENATE(封面!D13,封面!F13,封面!G13,封面!H13,封面!I13,封面!J13,封面!K13)</f>
        <v>填表日期：年月日</v>
      </c>
      <c r="L25" s="78"/>
    </row>
    <row r="26" ht="15.5" customHeight="1"/>
    <row r="27" ht="15.5" customHeight="1"/>
    <row r="28" ht="15.5" customHeight="1" spans="1:15">
      <c r="G28" s="78"/>
      <c r="L28" s="78">
        <f>L23/10000</f>
        <v>0</v>
      </c>
    </row>
    <row r="29" ht="15.5" customHeight="1" spans="1:15">
      <c r="G29" s="78"/>
    </row>
  </sheetData>
  <autoFilter xmlns:etc="http://www.wps.cn/officeDocument/2017/etCustomData" ref="A5:Q25" etc:filterBottomFollowUsedRange="0">
    <extLst/>
  </autoFilter>
  <mergeCells count="3">
    <mergeCell ref="A2:O2"/>
    <mergeCell ref="A3:O3"/>
    <mergeCell ref="A23:B23"/>
  </mergeCells>
  <hyperlinks>
    <hyperlink ref="A1" location="索引目录!C29" display="返回索引页"/>
    <hyperlink ref="B1" location="无形资产汇总!B7" display="返回"/>
  </hyperlinks>
  <printOptions horizontalCentered="1"/>
  <pageMargins left="0.354330708661417" right="0.354330708661417" top="0.78740157480315" bottom="0.78740157480315" header="0.984027777777778" footer="0.511811023622047"/>
  <pageSetup paperSize="9" scale="79" fitToHeight="0" orientation="landscape"/>
  <headerFooter alignWithMargins="0">
    <oddHeader>&amp;R&amp;"宋体,常规"共&amp;"Times New Roman,常规"&amp;N&amp;"宋体,常规"页第&amp;"Times New Roman,常规"&amp;P&amp;"宋体,常规"4-12-3
页</oddHeader>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7"/>
  <dimension ref="A1:F14"/>
  <sheetViews>
    <sheetView workbookViewId="0">
      <selection activeCell="G451" sqref="G451"/>
    </sheetView>
  </sheetViews>
  <sheetFormatPr defaultColWidth="8.83333333333333" defaultRowHeight="15.5" outlineLevelCol="5"/>
  <cols>
    <col min="5" max="5" width="10.5833333333333" customWidth="1"/>
    <col min="6" max="6" width="13.8333333333333" customWidth="1"/>
  </cols>
  <sheetData>
    <row r="1" ht="26" customHeight="1" spans="1:6">
      <c r="A1" s="22" t="s">
        <v>141</v>
      </c>
      <c r="B1" s="22" t="s">
        <v>663</v>
      </c>
      <c r="C1" s="22" t="s">
        <v>664</v>
      </c>
      <c r="D1" s="22" t="s">
        <v>665</v>
      </c>
      <c r="E1" s="22" t="s">
        <v>666</v>
      </c>
      <c r="F1" s="58" t="s">
        <v>144</v>
      </c>
    </row>
    <row r="2" spans="1:6">
      <c r="A2" s="23">
        <v>1</v>
      </c>
      <c r="B2" s="67"/>
      <c r="C2" s="58"/>
      <c r="D2" s="45"/>
      <c r="E2" s="25"/>
      <c r="F2" s="63"/>
    </row>
    <row r="3" spans="1:6">
      <c r="A3" s="23">
        <v>2</v>
      </c>
      <c r="B3" s="67"/>
      <c r="C3" s="58"/>
      <c r="D3" s="45"/>
      <c r="E3" s="25"/>
      <c r="F3" s="58"/>
    </row>
    <row r="4" spans="1:6">
      <c r="A4" s="23">
        <v>3</v>
      </c>
      <c r="B4" s="67"/>
      <c r="C4" s="58"/>
      <c r="D4" s="45"/>
      <c r="E4" s="25"/>
      <c r="F4" s="63"/>
    </row>
    <row r="5" spans="1:6">
      <c r="A5" s="23">
        <v>4</v>
      </c>
      <c r="B5" s="67"/>
      <c r="C5" s="58"/>
      <c r="D5" s="45"/>
      <c r="E5" s="25"/>
      <c r="F5" s="63"/>
    </row>
    <row r="6" spans="1:6">
      <c r="A6" s="23">
        <v>5</v>
      </c>
      <c r="B6" s="67"/>
      <c r="C6" s="58"/>
      <c r="D6" s="45"/>
      <c r="E6" s="25"/>
      <c r="F6" s="58"/>
    </row>
    <row r="7" spans="1:6">
      <c r="A7" s="23">
        <v>6</v>
      </c>
      <c r="B7" s="67"/>
      <c r="C7" s="58"/>
      <c r="D7" s="45"/>
      <c r="E7" s="25"/>
      <c r="F7" s="58"/>
    </row>
    <row r="8" spans="1:6">
      <c r="A8" s="23">
        <v>7</v>
      </c>
      <c r="B8" s="24"/>
      <c r="C8" s="58"/>
      <c r="D8" s="45"/>
      <c r="E8" s="25"/>
      <c r="F8" s="63"/>
    </row>
    <row r="9" spans="1:6">
      <c r="A9" s="23">
        <v>8</v>
      </c>
      <c r="B9" s="24"/>
      <c r="C9" s="58"/>
      <c r="D9" s="45"/>
      <c r="E9" s="25"/>
      <c r="F9" s="58"/>
    </row>
    <row r="10" spans="1:6">
      <c r="A10" s="23">
        <v>9</v>
      </c>
      <c r="B10" s="67"/>
      <c r="C10" s="58"/>
      <c r="D10" s="45"/>
      <c r="E10" s="25"/>
      <c r="F10" s="63"/>
    </row>
    <row r="11" spans="1:6">
      <c r="A11" s="23">
        <v>10</v>
      </c>
      <c r="B11" s="67"/>
      <c r="C11" s="58"/>
      <c r="D11" s="45"/>
      <c r="E11" s="25"/>
      <c r="F11" s="63"/>
    </row>
    <row r="12" spans="1:6">
      <c r="A12" s="23">
        <v>11</v>
      </c>
      <c r="B12" s="67"/>
      <c r="C12" s="58"/>
      <c r="D12" s="45"/>
      <c r="E12" s="25"/>
      <c r="F12" s="63"/>
    </row>
    <row r="13" spans="1:6">
      <c r="A13" s="23">
        <v>12</v>
      </c>
      <c r="B13" s="67"/>
      <c r="C13" s="58"/>
      <c r="D13" s="45"/>
      <c r="E13" s="25"/>
      <c r="F13" s="63"/>
    </row>
    <row r="14" spans="1:6">
      <c r="A14" s="23">
        <v>13</v>
      </c>
      <c r="B14" s="67"/>
      <c r="C14" s="58"/>
      <c r="D14" s="45"/>
      <c r="E14" s="25"/>
      <c r="F14" s="63"/>
    </row>
  </sheetData>
  <autoFilter xmlns:etc="http://www.wps.cn/officeDocument/2017/etCustomData" ref="A1:F14" etc:filterBottomFollowUsedRange="0">
    <extLst/>
  </autoFilter>
  <pageMargins left="0.75" right="0.75" top="1" bottom="1" header="0.5" footer="0.5"/>
  <pageSetup paperSize="9" orientation="portrait"/>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8">
    <tabColor indexed="13"/>
    <pageSetUpPr fitToPage="1"/>
  </sheetPr>
  <dimension ref="A1:J29"/>
  <sheetViews>
    <sheetView view="pageBreakPreview" zoomScale="60" zoomScaleNormal="100" workbookViewId="0">
      <selection activeCell="G451" sqref="G451"/>
    </sheetView>
  </sheetViews>
  <sheetFormatPr defaultColWidth="9" defaultRowHeight="15.75" customHeight="1"/>
  <cols>
    <col min="1" max="1" width="7.58333333333333" style="13" customWidth="1"/>
    <col min="2" max="2" width="27" style="13" customWidth="1"/>
    <col min="3" max="3" width="13.75" style="13" customWidth="1"/>
    <col min="4" max="5" width="13.3333333333333" style="13" hidden="1" customWidth="1" outlineLevel="1"/>
    <col min="6" max="6" width="17.3333333333333" style="13" customWidth="1" collapsed="1"/>
    <col min="7" max="7" width="17.3333333333333" style="13" customWidth="1"/>
    <col min="8" max="8" width="14.3333333333333" style="13" customWidth="1"/>
    <col min="9" max="9" width="11.5833333333333" style="13" customWidth="1"/>
    <col min="10" max="10" width="12" style="13" customWidth="1"/>
    <col min="11" max="16384" width="9" style="13" customWidth="1"/>
  </cols>
  <sheetData>
    <row r="1" ht="15.5" customHeight="1" spans="1:10">
      <c r="A1" s="14" t="s">
        <v>111</v>
      </c>
      <c r="B1" s="15" t="s">
        <v>210</v>
      </c>
      <c r="C1" s="16"/>
      <c r="D1" s="16"/>
      <c r="E1" s="16"/>
      <c r="F1" s="16"/>
      <c r="G1" s="16"/>
      <c r="H1" s="16"/>
      <c r="I1" s="16"/>
      <c r="J1" s="16"/>
    </row>
    <row r="2" s="11" customFormat="1" ht="30" customHeight="1" spans="1:10">
      <c r="A2" s="17" t="s">
        <v>669</v>
      </c>
    </row>
    <row r="3" ht="14.15" customHeight="1" spans="1:10">
      <c r="A3" s="18" t="str">
        <f>CONCATENATE(封面!D9,封面!F9,封面!G9,封面!H9,封面!I9,封面!J9,封面!K9)</f>
        <v>评估基准日：年月日</v>
      </c>
    </row>
    <row r="4" ht="15.5" customHeight="1" spans="1:10">
      <c r="A4" s="19" t="str">
        <f>封面!D7&amp;封面!F7</f>
        <v>被评估单位：</v>
      </c>
      <c r="J4" s="20" t="s">
        <v>139</v>
      </c>
    </row>
    <row r="5" s="16" customFormat="1" ht="27.75" customHeight="1" spans="1:10">
      <c r="A5" s="22" t="s">
        <v>141</v>
      </c>
      <c r="B5" s="22" t="s">
        <v>663</v>
      </c>
      <c r="C5" s="22" t="s">
        <v>326</v>
      </c>
      <c r="D5" s="22" t="s">
        <v>175</v>
      </c>
      <c r="E5" s="22" t="s">
        <v>281</v>
      </c>
      <c r="F5" s="22" t="s">
        <v>176</v>
      </c>
      <c r="G5" s="22" t="s">
        <v>177</v>
      </c>
      <c r="H5" s="22" t="s">
        <v>178</v>
      </c>
      <c r="I5" s="22" t="s">
        <v>215</v>
      </c>
      <c r="J5" s="22" t="s">
        <v>144</v>
      </c>
    </row>
    <row r="6" ht="15.5" customHeight="1" spans="1:10">
      <c r="A6" s="23"/>
      <c r="B6" s="24"/>
      <c r="C6" s="25"/>
      <c r="D6" s="26"/>
      <c r="E6" s="26"/>
      <c r="F6" s="26"/>
      <c r="G6" s="26"/>
      <c r="H6" s="26" t="str">
        <f t="shared" ref="H6:H27" si="0">IF(F6=0,"",(G6-F6)/F6*100)</f>
        <v/>
      </c>
      <c r="I6" s="26" t="str">
        <f t="shared" ref="I6:I25" si="1">IF(F6=0,"",(G6-F6)/F6*100)</f>
        <v/>
      </c>
      <c r="J6" s="27"/>
    </row>
    <row r="7" ht="15.5" customHeight="1" spans="1:10">
      <c r="A7" s="23"/>
      <c r="B7" s="24"/>
      <c r="C7" s="25"/>
      <c r="D7" s="26"/>
      <c r="E7" s="26"/>
      <c r="F7" s="26"/>
      <c r="G7" s="26"/>
      <c r="H7" s="26" t="str">
        <f t="shared" si="0"/>
        <v/>
      </c>
      <c r="I7" s="26" t="str">
        <f t="shared" si="1"/>
        <v/>
      </c>
      <c r="J7" s="27"/>
    </row>
    <row r="8" ht="15.5" customHeight="1" spans="1:10">
      <c r="A8" s="23"/>
      <c r="B8" s="24"/>
      <c r="C8" s="25"/>
      <c r="D8" s="26"/>
      <c r="E8" s="26"/>
      <c r="F8" s="26"/>
      <c r="G8" s="26"/>
      <c r="H8" s="26" t="str">
        <f t="shared" si="0"/>
        <v/>
      </c>
      <c r="I8" s="26" t="str">
        <f t="shared" si="1"/>
        <v/>
      </c>
      <c r="J8" s="27"/>
    </row>
    <row r="9" ht="15.5" customHeight="1" spans="1:10">
      <c r="A9" s="23"/>
      <c r="B9" s="24"/>
      <c r="C9" s="25"/>
      <c r="D9" s="26"/>
      <c r="E9" s="26"/>
      <c r="F9" s="26"/>
      <c r="G9" s="26"/>
      <c r="H9" s="26" t="str">
        <f t="shared" si="0"/>
        <v/>
      </c>
      <c r="I9" s="26" t="str">
        <f t="shared" si="1"/>
        <v/>
      </c>
      <c r="J9" s="27"/>
    </row>
    <row r="10" ht="15.5" customHeight="1" spans="1:10">
      <c r="A10" s="23"/>
      <c r="B10" s="24"/>
      <c r="C10" s="25"/>
      <c r="D10" s="26"/>
      <c r="E10" s="26"/>
      <c r="F10" s="26"/>
      <c r="G10" s="26"/>
      <c r="H10" s="26" t="str">
        <f t="shared" si="0"/>
        <v/>
      </c>
      <c r="I10" s="26" t="str">
        <f t="shared" si="1"/>
        <v/>
      </c>
      <c r="J10" s="27"/>
    </row>
    <row r="11" ht="15.5" customHeight="1" spans="1:10">
      <c r="A11" s="23"/>
      <c r="B11" s="24"/>
      <c r="C11" s="25"/>
      <c r="D11" s="26"/>
      <c r="E11" s="26"/>
      <c r="F11" s="26"/>
      <c r="G11" s="26"/>
      <c r="H11" s="26" t="str">
        <f t="shared" si="0"/>
        <v/>
      </c>
      <c r="I11" s="26" t="str">
        <f t="shared" si="1"/>
        <v/>
      </c>
      <c r="J11" s="27"/>
    </row>
    <row r="12" ht="15.5" customHeight="1" spans="1:10">
      <c r="A12" s="23"/>
      <c r="B12" s="24"/>
      <c r="C12" s="25"/>
      <c r="D12" s="26"/>
      <c r="E12" s="26"/>
      <c r="F12" s="26"/>
      <c r="G12" s="26"/>
      <c r="H12" s="26" t="str">
        <f t="shared" si="0"/>
        <v/>
      </c>
      <c r="I12" s="26" t="str">
        <f t="shared" si="1"/>
        <v/>
      </c>
      <c r="J12" s="27"/>
    </row>
    <row r="13" ht="15.5" customHeight="1" spans="1:10">
      <c r="A13" s="23"/>
      <c r="B13" s="24"/>
      <c r="C13" s="25"/>
      <c r="D13" s="26"/>
      <c r="E13" s="26"/>
      <c r="F13" s="26"/>
      <c r="G13" s="26"/>
      <c r="H13" s="26" t="str">
        <f t="shared" si="0"/>
        <v/>
      </c>
      <c r="I13" s="26" t="str">
        <f t="shared" si="1"/>
        <v/>
      </c>
      <c r="J13" s="27"/>
    </row>
    <row r="14" ht="15.5" customHeight="1" spans="1:10">
      <c r="A14" s="23"/>
      <c r="B14" s="24"/>
      <c r="C14" s="25"/>
      <c r="D14" s="26"/>
      <c r="E14" s="26"/>
      <c r="F14" s="26"/>
      <c r="G14" s="26"/>
      <c r="H14" s="26" t="str">
        <f t="shared" si="0"/>
        <v/>
      </c>
      <c r="I14" s="26" t="str">
        <f t="shared" si="1"/>
        <v/>
      </c>
      <c r="J14" s="27"/>
    </row>
    <row r="15" ht="15.5" customHeight="1" spans="1:10">
      <c r="A15" s="23"/>
      <c r="B15" s="24"/>
      <c r="C15" s="25"/>
      <c r="D15" s="26"/>
      <c r="E15" s="26"/>
      <c r="F15" s="26"/>
      <c r="G15" s="26"/>
      <c r="H15" s="26" t="str">
        <f t="shared" si="0"/>
        <v/>
      </c>
      <c r="I15" s="26" t="str">
        <f t="shared" si="1"/>
        <v/>
      </c>
      <c r="J15" s="27"/>
    </row>
    <row r="16" ht="15.5" customHeight="1" spans="1:10">
      <c r="A16" s="23"/>
      <c r="B16" s="24"/>
      <c r="C16" s="25"/>
      <c r="D16" s="26"/>
      <c r="E16" s="26"/>
      <c r="F16" s="26"/>
      <c r="G16" s="26"/>
      <c r="H16" s="26" t="str">
        <f t="shared" si="0"/>
        <v/>
      </c>
      <c r="I16" s="26" t="str">
        <f t="shared" si="1"/>
        <v/>
      </c>
      <c r="J16" s="27"/>
    </row>
    <row r="17" ht="15.5" customHeight="1" spans="1:10">
      <c r="A17" s="23"/>
      <c r="B17" s="24"/>
      <c r="C17" s="25"/>
      <c r="D17" s="26"/>
      <c r="E17" s="26"/>
      <c r="F17" s="26"/>
      <c r="G17" s="26"/>
      <c r="H17" s="26" t="str">
        <f t="shared" si="0"/>
        <v/>
      </c>
      <c r="I17" s="26" t="str">
        <f t="shared" si="1"/>
        <v/>
      </c>
      <c r="J17" s="27"/>
    </row>
    <row r="18" ht="15.5" customHeight="1" spans="1:10">
      <c r="A18" s="23"/>
      <c r="B18" s="24"/>
      <c r="C18" s="25"/>
      <c r="D18" s="26"/>
      <c r="E18" s="26"/>
      <c r="F18" s="26"/>
      <c r="G18" s="26"/>
      <c r="H18" s="26" t="str">
        <f t="shared" si="0"/>
        <v/>
      </c>
      <c r="I18" s="26" t="str">
        <f t="shared" si="1"/>
        <v/>
      </c>
      <c r="J18" s="27"/>
    </row>
    <row r="19" ht="15.5" customHeight="1" spans="1:10">
      <c r="A19" s="23"/>
      <c r="B19" s="24"/>
      <c r="C19" s="25"/>
      <c r="D19" s="26"/>
      <c r="E19" s="26"/>
      <c r="F19" s="26"/>
      <c r="G19" s="26"/>
      <c r="H19" s="26" t="str">
        <f t="shared" si="0"/>
        <v/>
      </c>
      <c r="I19" s="26" t="str">
        <f t="shared" si="1"/>
        <v/>
      </c>
      <c r="J19" s="27"/>
    </row>
    <row r="20" ht="15.5" customHeight="1" spans="1:10">
      <c r="A20" s="23"/>
      <c r="B20" s="24"/>
      <c r="C20" s="25"/>
      <c r="D20" s="26"/>
      <c r="E20" s="26"/>
      <c r="F20" s="26"/>
      <c r="G20" s="26"/>
      <c r="H20" s="26" t="str">
        <f t="shared" si="0"/>
        <v/>
      </c>
      <c r="I20" s="26" t="str">
        <f t="shared" si="1"/>
        <v/>
      </c>
      <c r="J20" s="27"/>
    </row>
    <row r="21" ht="15.5" customHeight="1" spans="1:10">
      <c r="A21" s="23"/>
      <c r="B21" s="24"/>
      <c r="C21" s="25"/>
      <c r="D21" s="26"/>
      <c r="E21" s="26"/>
      <c r="F21" s="26"/>
      <c r="G21" s="26"/>
      <c r="H21" s="26" t="str">
        <f t="shared" si="0"/>
        <v/>
      </c>
      <c r="I21" s="26" t="str">
        <f t="shared" si="1"/>
        <v/>
      </c>
      <c r="J21" s="27"/>
    </row>
    <row r="22" ht="15.5" customHeight="1" spans="1:10">
      <c r="A22" s="23"/>
      <c r="B22" s="24"/>
      <c r="C22" s="25"/>
      <c r="D22" s="26"/>
      <c r="E22" s="26"/>
      <c r="F22" s="26"/>
      <c r="G22" s="26"/>
      <c r="H22" s="26" t="str">
        <f t="shared" si="0"/>
        <v/>
      </c>
      <c r="I22" s="26" t="str">
        <f t="shared" si="1"/>
        <v/>
      </c>
      <c r="J22" s="27"/>
    </row>
    <row r="23" ht="15.5" customHeight="1" spans="1:10">
      <c r="A23" s="23"/>
      <c r="B23" s="24"/>
      <c r="C23" s="25"/>
      <c r="D23" s="26"/>
      <c r="E23" s="26"/>
      <c r="F23" s="26"/>
      <c r="G23" s="26"/>
      <c r="H23" s="26" t="str">
        <f t="shared" si="0"/>
        <v/>
      </c>
      <c r="I23" s="26" t="str">
        <f t="shared" si="1"/>
        <v/>
      </c>
      <c r="J23" s="27"/>
    </row>
    <row r="24" ht="15.5" customHeight="1" spans="1:10">
      <c r="A24" s="23"/>
      <c r="B24" s="24"/>
      <c r="C24" s="25"/>
      <c r="D24" s="26"/>
      <c r="E24" s="26"/>
      <c r="F24" s="26"/>
      <c r="G24" s="26"/>
      <c r="H24" s="26" t="str">
        <f t="shared" si="0"/>
        <v/>
      </c>
      <c r="I24" s="26" t="str">
        <f t="shared" si="1"/>
        <v/>
      </c>
      <c r="J24" s="27"/>
    </row>
    <row r="25" ht="15.5" customHeight="1" spans="1:10">
      <c r="A25" s="23"/>
      <c r="B25" s="24"/>
      <c r="C25" s="25"/>
      <c r="D25" s="26"/>
      <c r="E25" s="26"/>
      <c r="F25" s="26"/>
      <c r="G25" s="26"/>
      <c r="H25" s="26" t="str">
        <f t="shared" si="0"/>
        <v/>
      </c>
      <c r="I25" s="26" t="str">
        <f t="shared" si="1"/>
        <v/>
      </c>
      <c r="J25" s="27"/>
    </row>
    <row r="26" ht="15.5" customHeight="1" spans="1:10">
      <c r="A26" s="23"/>
      <c r="B26" s="24"/>
      <c r="C26" s="25"/>
      <c r="D26" s="26"/>
      <c r="E26" s="26"/>
      <c r="F26" s="26"/>
      <c r="G26" s="26"/>
      <c r="H26" s="26" t="str">
        <f t="shared" si="0"/>
        <v/>
      </c>
      <c r="I26" s="26"/>
      <c r="J26" s="27"/>
    </row>
    <row r="27" ht="15.5" customHeight="1" spans="1:10">
      <c r="A27" s="21" t="s">
        <v>282</v>
      </c>
      <c r="B27" s="28"/>
      <c r="C27" s="25"/>
      <c r="D27" s="26">
        <f>SUM(D6:D26)</f>
        <v>0</v>
      </c>
      <c r="E27" s="26"/>
      <c r="F27" s="26">
        <f>SUM(F6:F26)</f>
        <v>0</v>
      </c>
      <c r="G27" s="26">
        <f>SUM(G6:G26)</f>
        <v>0</v>
      </c>
      <c r="H27" s="26" t="str">
        <f t="shared" si="0"/>
        <v/>
      </c>
      <c r="I27" s="26" t="str">
        <f>IF(F27=0,"",(G27-F27)/F27*100)</f>
        <v/>
      </c>
      <c r="J27" s="27"/>
    </row>
    <row r="28" ht="15.5" customHeight="1" spans="1:10">
      <c r="A28" s="29" t="str">
        <f>封面!D11&amp;封面!G11</f>
        <v>被评估单位填表人：</v>
      </c>
      <c r="F28" s="19" t="str">
        <f>"评估人员："&amp;封面!G34</f>
        <v>评估人员：</v>
      </c>
    </row>
    <row r="29" ht="15.5" customHeight="1" spans="1:10">
      <c r="A29" s="29" t="str">
        <f>CONCATENATE(封面!D13,封面!F13,封面!G13,封面!H13,封面!I13,封面!J13,封面!K13)</f>
        <v>填表日期：年月日</v>
      </c>
    </row>
  </sheetData>
  <mergeCells count="3">
    <mergeCell ref="A2:J2"/>
    <mergeCell ref="A3:J3"/>
    <mergeCell ref="A27:B27"/>
  </mergeCells>
  <hyperlinks>
    <hyperlink ref="A1" location="索引目录!D50" display="返回索引页"/>
    <hyperlink ref="B1" location="无形资产汇总!B12" display="返回"/>
  </hyperlinks>
  <printOptions horizontalCentered="1"/>
  <pageMargins left="0.354330708661417" right="0.354330708661417" top="0.78740157480315" bottom="0.78740157480315" header="1.06" footer="0.511811023622047"/>
  <pageSetup paperSize="9" fitToHeight="0" orientation="landscape"/>
  <headerFooter alignWithMargins="0">
    <oddHeader>&amp;R&amp;"宋体,常规"共&amp;"Times New Roman,常规"&amp;N&amp;"宋体,常规"页第&amp;"Times New Roman,常规"&amp;P&amp;"宋体,常规"6-2
页</oddHeader>
  </headerFooter>
  <legacyDrawing r:id="rId2"/>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9">
    <pageSetUpPr fitToPage="1"/>
  </sheetPr>
  <dimension ref="A1:J29"/>
  <sheetViews>
    <sheetView view="pageBreakPreview" zoomScale="60" zoomScaleNormal="100" workbookViewId="0">
      <selection activeCell="G451" sqref="G451"/>
    </sheetView>
  </sheetViews>
  <sheetFormatPr defaultColWidth="9" defaultRowHeight="15.75" customHeight="1"/>
  <cols>
    <col min="1" max="1" width="5.75" style="13" customWidth="1"/>
    <col min="2" max="2" width="24.3333333333333" style="13" customWidth="1"/>
    <col min="3" max="3" width="13.75" style="13" customWidth="1"/>
    <col min="4" max="5" width="17.5833333333333" style="13" hidden="1" customWidth="1" outlineLevel="1"/>
    <col min="6" max="6" width="17.0833333333333" style="13" customWidth="1" collapsed="1"/>
    <col min="7" max="7" width="17.0833333333333" style="13" customWidth="1"/>
    <col min="8" max="8" width="15.75" style="13" customWidth="1"/>
    <col min="9" max="9" width="11.5833333333333" style="13" customWidth="1"/>
    <col min="10" max="10" width="16" style="13" customWidth="1"/>
    <col min="11" max="16384" width="9" style="13" customWidth="1"/>
  </cols>
  <sheetData>
    <row r="1" ht="15.5" customHeight="1" spans="1:10">
      <c r="A1" s="14" t="s">
        <v>111</v>
      </c>
      <c r="B1" s="15" t="s">
        <v>210</v>
      </c>
      <c r="C1" s="16"/>
      <c r="D1" s="16"/>
      <c r="E1" s="16"/>
      <c r="F1" s="16"/>
      <c r="G1" s="16"/>
      <c r="H1" s="16"/>
      <c r="I1" s="16"/>
      <c r="J1" s="16"/>
    </row>
    <row r="2" s="11" customFormat="1" ht="30" customHeight="1" spans="1:10">
      <c r="A2" s="17" t="s">
        <v>670</v>
      </c>
    </row>
    <row r="3" ht="14.15" customHeight="1" spans="1:10">
      <c r="A3" s="18" t="str">
        <f>CONCATENATE(封面!D9,封面!F9,封面!G9,封面!H9,封面!I9,封面!J9,封面!K9)</f>
        <v>评估基准日：年月日</v>
      </c>
    </row>
    <row r="4" ht="15.5" customHeight="1" spans="1:10">
      <c r="A4" s="19" t="str">
        <f>封面!D7&amp;封面!F7</f>
        <v>被评估单位：</v>
      </c>
      <c r="J4" s="20" t="s">
        <v>139</v>
      </c>
    </row>
    <row r="5" s="16" customFormat="1" ht="27.75" customHeight="1" spans="1:10">
      <c r="A5" s="22" t="s">
        <v>141</v>
      </c>
      <c r="B5" s="22" t="s">
        <v>663</v>
      </c>
      <c r="C5" s="21" t="s">
        <v>597</v>
      </c>
      <c r="D5" s="22" t="s">
        <v>175</v>
      </c>
      <c r="E5" s="22" t="s">
        <v>281</v>
      </c>
      <c r="F5" s="22" t="s">
        <v>176</v>
      </c>
      <c r="G5" s="22" t="s">
        <v>177</v>
      </c>
      <c r="H5" s="22" t="s">
        <v>178</v>
      </c>
      <c r="I5" s="22" t="s">
        <v>215</v>
      </c>
      <c r="J5" s="22" t="s">
        <v>144</v>
      </c>
    </row>
    <row r="6" ht="15.5" customHeight="1" spans="1:10">
      <c r="A6" s="23"/>
      <c r="B6" s="24"/>
      <c r="C6" s="25"/>
      <c r="D6" s="26"/>
      <c r="E6" s="26"/>
      <c r="F6" s="26"/>
      <c r="G6" s="26"/>
      <c r="H6" s="26" t="str">
        <f t="shared" ref="H6:H27" si="0">IF(F6=0,"",(G6-F6))</f>
        <v/>
      </c>
      <c r="I6" s="26" t="str">
        <f t="shared" ref="I6:I27" si="1">IF(F6=0,"",(G6-F6)/F6*100)</f>
        <v/>
      </c>
      <c r="J6" s="27"/>
    </row>
    <row r="7" ht="15.5" customHeight="1" spans="1:10">
      <c r="A7" s="23"/>
      <c r="B7" s="24"/>
      <c r="C7" s="25"/>
      <c r="D7" s="26"/>
      <c r="E7" s="26"/>
      <c r="F7" s="26"/>
      <c r="G7" s="26"/>
      <c r="H7" s="26" t="str">
        <f t="shared" si="0"/>
        <v/>
      </c>
      <c r="I7" s="26" t="str">
        <f t="shared" si="1"/>
        <v/>
      </c>
      <c r="J7" s="27"/>
    </row>
    <row r="8" ht="15.5" customHeight="1" spans="1:10">
      <c r="A8" s="23"/>
      <c r="B8" s="24"/>
      <c r="C8" s="25"/>
      <c r="D8" s="26"/>
      <c r="E8" s="26"/>
      <c r="F8" s="26"/>
      <c r="G8" s="26"/>
      <c r="H8" s="26" t="str">
        <f t="shared" si="0"/>
        <v/>
      </c>
      <c r="I8" s="26" t="str">
        <f t="shared" si="1"/>
        <v/>
      </c>
      <c r="J8" s="27"/>
    </row>
    <row r="9" ht="15.5" customHeight="1" spans="1:10">
      <c r="A9" s="23"/>
      <c r="B9" s="24"/>
      <c r="C9" s="25"/>
      <c r="D9" s="26"/>
      <c r="E9" s="26"/>
      <c r="F9" s="26"/>
      <c r="G9" s="26"/>
      <c r="H9" s="26" t="str">
        <f t="shared" si="0"/>
        <v/>
      </c>
      <c r="I9" s="26" t="str">
        <f t="shared" si="1"/>
        <v/>
      </c>
      <c r="J9" s="27"/>
    </row>
    <row r="10" ht="15.5" customHeight="1" spans="1:10">
      <c r="A10" s="23"/>
      <c r="B10" s="24"/>
      <c r="C10" s="25"/>
      <c r="D10" s="26"/>
      <c r="E10" s="26"/>
      <c r="F10" s="26"/>
      <c r="G10" s="26"/>
      <c r="H10" s="26" t="str">
        <f t="shared" si="0"/>
        <v/>
      </c>
      <c r="I10" s="26" t="str">
        <f t="shared" si="1"/>
        <v/>
      </c>
      <c r="J10" s="27"/>
    </row>
    <row r="11" ht="15.5" customHeight="1" spans="1:10">
      <c r="A11" s="23"/>
      <c r="B11" s="24"/>
      <c r="C11" s="25"/>
      <c r="D11" s="26"/>
      <c r="E11" s="26"/>
      <c r="F11" s="26"/>
      <c r="G11" s="26"/>
      <c r="H11" s="26" t="str">
        <f t="shared" si="0"/>
        <v/>
      </c>
      <c r="I11" s="26" t="str">
        <f t="shared" si="1"/>
        <v/>
      </c>
      <c r="J11" s="27"/>
    </row>
    <row r="12" ht="15.5" customHeight="1" spans="1:10">
      <c r="A12" s="23"/>
      <c r="B12" s="24"/>
      <c r="C12" s="25"/>
      <c r="D12" s="26"/>
      <c r="E12" s="26"/>
      <c r="F12" s="26"/>
      <c r="G12" s="26"/>
      <c r="H12" s="26" t="str">
        <f t="shared" si="0"/>
        <v/>
      </c>
      <c r="I12" s="26" t="str">
        <f t="shared" si="1"/>
        <v/>
      </c>
      <c r="J12" s="27"/>
    </row>
    <row r="13" ht="15.5" customHeight="1" spans="1:10">
      <c r="A13" s="23"/>
      <c r="B13" s="24"/>
      <c r="C13" s="25"/>
      <c r="D13" s="26"/>
      <c r="E13" s="26"/>
      <c r="F13" s="26"/>
      <c r="G13" s="26"/>
      <c r="H13" s="26" t="str">
        <f t="shared" si="0"/>
        <v/>
      </c>
      <c r="I13" s="26" t="str">
        <f t="shared" si="1"/>
        <v/>
      </c>
      <c r="J13" s="27"/>
    </row>
    <row r="14" ht="15.5" customHeight="1" spans="1:10">
      <c r="A14" s="23"/>
      <c r="B14" s="24"/>
      <c r="C14" s="25"/>
      <c r="D14" s="26"/>
      <c r="E14" s="26"/>
      <c r="F14" s="26"/>
      <c r="G14" s="26"/>
      <c r="H14" s="26" t="str">
        <f t="shared" si="0"/>
        <v/>
      </c>
      <c r="I14" s="26" t="str">
        <f t="shared" si="1"/>
        <v/>
      </c>
      <c r="J14" s="27"/>
    </row>
    <row r="15" ht="15.5" customHeight="1" spans="1:10">
      <c r="A15" s="23"/>
      <c r="B15" s="24"/>
      <c r="C15" s="25"/>
      <c r="D15" s="26"/>
      <c r="E15" s="26"/>
      <c r="F15" s="26"/>
      <c r="G15" s="26"/>
      <c r="H15" s="26" t="str">
        <f t="shared" si="0"/>
        <v/>
      </c>
      <c r="I15" s="26" t="str">
        <f t="shared" si="1"/>
        <v/>
      </c>
      <c r="J15" s="27"/>
    </row>
    <row r="16" ht="15.5" customHeight="1" spans="1:10">
      <c r="A16" s="23"/>
      <c r="B16" s="24"/>
      <c r="C16" s="25"/>
      <c r="D16" s="26"/>
      <c r="E16" s="26"/>
      <c r="F16" s="26"/>
      <c r="G16" s="26"/>
      <c r="H16" s="26" t="str">
        <f t="shared" si="0"/>
        <v/>
      </c>
      <c r="I16" s="26" t="str">
        <f t="shared" si="1"/>
        <v/>
      </c>
      <c r="J16" s="27"/>
    </row>
    <row r="17" ht="15.5" customHeight="1" spans="1:10">
      <c r="A17" s="23"/>
      <c r="B17" s="24"/>
      <c r="C17" s="25"/>
      <c r="D17" s="26"/>
      <c r="E17" s="26"/>
      <c r="F17" s="26"/>
      <c r="G17" s="26"/>
      <c r="H17" s="26" t="str">
        <f t="shared" si="0"/>
        <v/>
      </c>
      <c r="I17" s="26" t="str">
        <f t="shared" si="1"/>
        <v/>
      </c>
      <c r="J17" s="27"/>
    </row>
    <row r="18" ht="15.5" customHeight="1" spans="1:10">
      <c r="A18" s="23"/>
      <c r="B18" s="24"/>
      <c r="C18" s="25"/>
      <c r="D18" s="26"/>
      <c r="E18" s="26"/>
      <c r="F18" s="26"/>
      <c r="G18" s="26"/>
      <c r="H18" s="26" t="str">
        <f t="shared" si="0"/>
        <v/>
      </c>
      <c r="I18" s="26" t="str">
        <f t="shared" si="1"/>
        <v/>
      </c>
      <c r="J18" s="27"/>
    </row>
    <row r="19" ht="15.5" customHeight="1" spans="1:10">
      <c r="A19" s="23"/>
      <c r="B19" s="24"/>
      <c r="C19" s="25"/>
      <c r="D19" s="26"/>
      <c r="E19" s="26"/>
      <c r="F19" s="26"/>
      <c r="G19" s="26"/>
      <c r="H19" s="26" t="str">
        <f t="shared" si="0"/>
        <v/>
      </c>
      <c r="I19" s="26" t="str">
        <f t="shared" si="1"/>
        <v/>
      </c>
      <c r="J19" s="27"/>
    </row>
    <row r="20" ht="15.5" customHeight="1" spans="1:10">
      <c r="A20" s="23"/>
      <c r="B20" s="24"/>
      <c r="C20" s="25"/>
      <c r="D20" s="26"/>
      <c r="E20" s="26"/>
      <c r="F20" s="26"/>
      <c r="G20" s="26"/>
      <c r="H20" s="26" t="str">
        <f t="shared" si="0"/>
        <v/>
      </c>
      <c r="I20" s="26" t="str">
        <f t="shared" si="1"/>
        <v/>
      </c>
      <c r="J20" s="27"/>
    </row>
    <row r="21" ht="15.5" customHeight="1" spans="1:10">
      <c r="A21" s="23"/>
      <c r="B21" s="24"/>
      <c r="C21" s="25"/>
      <c r="D21" s="26"/>
      <c r="E21" s="26"/>
      <c r="F21" s="26"/>
      <c r="G21" s="26"/>
      <c r="H21" s="26" t="str">
        <f t="shared" si="0"/>
        <v/>
      </c>
      <c r="I21" s="26" t="str">
        <f t="shared" si="1"/>
        <v/>
      </c>
      <c r="J21" s="27"/>
    </row>
    <row r="22" ht="15.5" customHeight="1" spans="1:10">
      <c r="A22" s="23"/>
      <c r="B22" s="24"/>
      <c r="C22" s="25"/>
      <c r="D22" s="26"/>
      <c r="E22" s="26"/>
      <c r="F22" s="26"/>
      <c r="G22" s="26"/>
      <c r="H22" s="26" t="str">
        <f t="shared" si="0"/>
        <v/>
      </c>
      <c r="I22" s="26" t="str">
        <f t="shared" si="1"/>
        <v/>
      </c>
      <c r="J22" s="27"/>
    </row>
    <row r="23" ht="15.5" customHeight="1" spans="1:10">
      <c r="A23" s="23"/>
      <c r="B23" s="24"/>
      <c r="C23" s="25"/>
      <c r="D23" s="26"/>
      <c r="E23" s="26"/>
      <c r="F23" s="26"/>
      <c r="G23" s="26"/>
      <c r="H23" s="26" t="str">
        <f t="shared" si="0"/>
        <v/>
      </c>
      <c r="I23" s="26" t="str">
        <f t="shared" si="1"/>
        <v/>
      </c>
      <c r="J23" s="27"/>
    </row>
    <row r="24" ht="15.5" customHeight="1" spans="1:10">
      <c r="A24" s="23"/>
      <c r="B24" s="24"/>
      <c r="C24" s="25"/>
      <c r="D24" s="26"/>
      <c r="E24" s="26"/>
      <c r="F24" s="26"/>
      <c r="G24" s="26"/>
      <c r="H24" s="26" t="str">
        <f t="shared" si="0"/>
        <v/>
      </c>
      <c r="I24" s="26" t="str">
        <f t="shared" si="1"/>
        <v/>
      </c>
      <c r="J24" s="27"/>
    </row>
    <row r="25" ht="15.5" customHeight="1" spans="1:10">
      <c r="A25" s="21" t="s">
        <v>319</v>
      </c>
      <c r="B25" s="28"/>
      <c r="C25" s="25"/>
      <c r="D25" s="26">
        <f>SUM(D6:D24)</f>
        <v>0</v>
      </c>
      <c r="E25" s="26"/>
      <c r="F25" s="26">
        <f>SUM(F6:F24)</f>
        <v>0</v>
      </c>
      <c r="G25" s="26">
        <f>SUM(G6:G24)</f>
        <v>0</v>
      </c>
      <c r="H25" s="26" t="str">
        <f t="shared" si="0"/>
        <v/>
      </c>
      <c r="I25" s="26" t="str">
        <f t="shared" si="1"/>
        <v/>
      </c>
      <c r="J25" s="27"/>
    </row>
    <row r="26" ht="15.5" customHeight="1" spans="1:10">
      <c r="A26" s="21" t="s">
        <v>671</v>
      </c>
      <c r="B26" s="28"/>
      <c r="C26" s="25"/>
      <c r="D26" s="26"/>
      <c r="E26" s="26"/>
      <c r="F26" s="26">
        <f>D26</f>
        <v>0</v>
      </c>
      <c r="G26" s="26"/>
      <c r="H26" s="26" t="str">
        <f t="shared" si="0"/>
        <v/>
      </c>
      <c r="I26" s="26" t="str">
        <f t="shared" si="1"/>
        <v/>
      </c>
      <c r="J26" s="27"/>
    </row>
    <row r="27" ht="15.5" customHeight="1" spans="1:10">
      <c r="A27" s="21" t="s">
        <v>336</v>
      </c>
      <c r="B27" s="28"/>
      <c r="C27" s="25"/>
      <c r="D27" s="26">
        <f>D25-D26</f>
        <v>0</v>
      </c>
      <c r="E27" s="26"/>
      <c r="F27" s="26">
        <f>F25-F26</f>
        <v>0</v>
      </c>
      <c r="G27" s="26">
        <f>G25-G26</f>
        <v>0</v>
      </c>
      <c r="H27" s="26" t="str">
        <f t="shared" si="0"/>
        <v/>
      </c>
      <c r="I27" s="26" t="str">
        <f t="shared" si="1"/>
        <v/>
      </c>
      <c r="J27" s="27"/>
    </row>
    <row r="28" ht="15.5" customHeight="1" spans="1:10">
      <c r="A28" s="29" t="str">
        <f>封面!D11&amp;封面!G11</f>
        <v>被评估单位填表人：</v>
      </c>
      <c r="F28" s="19"/>
      <c r="G28" s="13" t="str">
        <f>"评估人员："&amp;封面!G34</f>
        <v>评估人员：</v>
      </c>
    </row>
    <row r="29" ht="15.5" customHeight="1" spans="1:10">
      <c r="A29" s="29" t="str">
        <f>CONCATENATE(封面!D13,封面!F13,封面!G13,封面!H13,封面!I13,封面!J13,封面!K13)</f>
        <v>填表日期：年月日</v>
      </c>
    </row>
  </sheetData>
  <mergeCells count="5">
    <mergeCell ref="A2:J2"/>
    <mergeCell ref="A3:J3"/>
    <mergeCell ref="A25:B25"/>
    <mergeCell ref="A26:B26"/>
    <mergeCell ref="A27:B27"/>
  </mergeCells>
  <hyperlinks>
    <hyperlink ref="A1" location="索引目录!D51" display="返回索引页"/>
    <hyperlink ref="B1" location="无形资产汇总!B14" display="返回"/>
  </hyperlinks>
  <printOptions horizontalCentered="1"/>
  <pageMargins left="0.354330708661417" right="0.354330708661417" top="0.78740157480315" bottom="0.78740157480315" header="1.06" footer="0.511811023622047"/>
  <pageSetup paperSize="9" fitToHeight="0" orientation="landscape"/>
  <headerFooter alignWithMargins="0">
    <oddHeader>&amp;R&amp;"宋体,常规"共&amp;"Times New Roman,常规"&amp;N&amp;"宋体,常规"页第&amp;"Times New Roman,常规"&amp;P&amp;"宋体,常规"4-14
页</oddHeader>
  </headerFooter>
  <legacyDrawing r:id="rId2"/>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0">
    <pageSetUpPr fitToPage="1"/>
  </sheetPr>
  <dimension ref="A1:M29"/>
  <sheetViews>
    <sheetView view="pageBreakPreview" zoomScale="60" zoomScaleNormal="100" workbookViewId="0">
      <selection activeCell="G451" sqref="G451"/>
    </sheetView>
  </sheetViews>
  <sheetFormatPr defaultColWidth="9" defaultRowHeight="15.75" customHeight="1"/>
  <cols>
    <col min="1" max="1" width="5.08333333333333" style="13" customWidth="1"/>
    <col min="2" max="2" width="21" style="13" customWidth="1"/>
    <col min="3" max="3" width="7.75" style="13" customWidth="1"/>
    <col min="4" max="4" width="11.25" style="13" customWidth="1"/>
    <col min="5" max="5" width="8.08333333333333" style="13" customWidth="1"/>
    <col min="6" max="7" width="14.3333333333333" style="13" hidden="1" customWidth="1" outlineLevel="1"/>
    <col min="8" max="8" width="14.3333333333333" style="13" customWidth="1" collapsed="1"/>
    <col min="9" max="9" width="7" style="13" customWidth="1"/>
    <col min="10" max="11" width="14.3333333333333" style="13" customWidth="1"/>
    <col min="12" max="12" width="8.08333333333333" style="13" customWidth="1"/>
    <col min="13" max="13" width="10" style="13" customWidth="1"/>
    <col min="14" max="16384" width="9" style="13" customWidth="1"/>
  </cols>
  <sheetData>
    <row r="1" ht="15.5" customHeight="1" spans="1:13">
      <c r="A1" s="14" t="s">
        <v>111</v>
      </c>
      <c r="B1" s="15" t="s">
        <v>210</v>
      </c>
      <c r="C1" s="16"/>
      <c r="D1" s="16"/>
      <c r="E1" s="16"/>
      <c r="F1" s="16"/>
      <c r="G1" s="16"/>
      <c r="H1" s="16"/>
      <c r="I1" s="16"/>
      <c r="J1" s="16"/>
      <c r="K1" s="16"/>
      <c r="L1" s="16"/>
      <c r="M1" s="16"/>
    </row>
    <row r="2" s="11" customFormat="1" ht="30" customHeight="1" spans="1:13">
      <c r="A2" s="17" t="s">
        <v>672</v>
      </c>
    </row>
    <row r="3" ht="14.15" customHeight="1" spans="1:13">
      <c r="A3" s="18" t="str">
        <f>CONCATENATE(封面!D9,封面!F9,封面!G9,封面!H9,封面!I9,封面!J9,封面!K9)</f>
        <v>评估基准日：年月日</v>
      </c>
    </row>
    <row r="4" ht="15.5" customHeight="1" spans="1:13">
      <c r="A4" s="19" t="str">
        <f>封面!D7&amp;封面!F7</f>
        <v>被评估单位：</v>
      </c>
      <c r="M4" s="20" t="s">
        <v>139</v>
      </c>
    </row>
    <row r="5" s="16" customFormat="1" ht="27.75" customHeight="1" spans="1:13">
      <c r="A5" s="22" t="s">
        <v>141</v>
      </c>
      <c r="B5" s="22" t="s">
        <v>673</v>
      </c>
      <c r="C5" s="22" t="s">
        <v>634</v>
      </c>
      <c r="D5" s="22" t="s">
        <v>638</v>
      </c>
      <c r="E5" s="22" t="s">
        <v>674</v>
      </c>
      <c r="F5" s="22" t="s">
        <v>175</v>
      </c>
      <c r="G5" s="22" t="s">
        <v>281</v>
      </c>
      <c r="H5" s="22" t="s">
        <v>176</v>
      </c>
      <c r="I5" s="22" t="s">
        <v>640</v>
      </c>
      <c r="J5" s="22" t="s">
        <v>177</v>
      </c>
      <c r="K5" s="22" t="s">
        <v>178</v>
      </c>
      <c r="L5" s="22" t="s">
        <v>215</v>
      </c>
      <c r="M5" s="22" t="s">
        <v>144</v>
      </c>
    </row>
    <row r="6" ht="15.5" customHeight="1" spans="1:13">
      <c r="A6" s="23"/>
      <c r="B6" s="67"/>
      <c r="C6" s="25"/>
      <c r="D6" s="26"/>
      <c r="E6" s="23"/>
      <c r="F6" s="26"/>
      <c r="G6" s="26"/>
      <c r="H6" s="26"/>
      <c r="I6" s="23"/>
      <c r="J6" s="26">
        <f>H6</f>
        <v>0</v>
      </c>
      <c r="K6" s="26" t="str">
        <f t="shared" ref="K6:K27" si="0">IF(H6=0,"",(J6-H6))</f>
        <v/>
      </c>
      <c r="L6" s="26" t="str">
        <f t="shared" ref="L6:L25" si="1">IF(H6=0,"",(J6-H6)/H6*100)</f>
        <v/>
      </c>
      <c r="M6" s="27"/>
    </row>
    <row r="7" ht="15.5" customHeight="1" spans="1:13">
      <c r="A7" s="23"/>
      <c r="B7" s="67"/>
      <c r="C7" s="25"/>
      <c r="D7" s="26"/>
      <c r="E7" s="23"/>
      <c r="F7" s="26"/>
      <c r="G7" s="26"/>
      <c r="H7" s="26"/>
      <c r="I7" s="23"/>
      <c r="J7" s="26"/>
      <c r="K7" s="26" t="str">
        <f t="shared" si="0"/>
        <v/>
      </c>
      <c r="L7" s="26" t="str">
        <f t="shared" si="1"/>
        <v/>
      </c>
      <c r="M7" s="27"/>
    </row>
    <row r="8" ht="15.5" customHeight="1" spans="1:13">
      <c r="A8" s="23"/>
      <c r="B8" s="67"/>
      <c r="C8" s="25"/>
      <c r="D8" s="26"/>
      <c r="E8" s="23"/>
      <c r="F8" s="26"/>
      <c r="G8" s="26"/>
      <c r="H8" s="26"/>
      <c r="I8" s="23"/>
      <c r="J8" s="26"/>
      <c r="K8" s="26" t="str">
        <f t="shared" si="0"/>
        <v/>
      </c>
      <c r="L8" s="26" t="str">
        <f t="shared" si="1"/>
        <v/>
      </c>
      <c r="M8" s="27"/>
    </row>
    <row r="9" ht="15.5" customHeight="1" spans="1:13">
      <c r="A9" s="23"/>
      <c r="B9" s="67"/>
      <c r="C9" s="25"/>
      <c r="D9" s="26"/>
      <c r="E9" s="23"/>
      <c r="F9" s="26"/>
      <c r="G9" s="26"/>
      <c r="H9" s="26"/>
      <c r="I9" s="23"/>
      <c r="J9" s="26"/>
      <c r="K9" s="26" t="str">
        <f t="shared" si="0"/>
        <v/>
      </c>
      <c r="L9" s="26" t="str">
        <f t="shared" si="1"/>
        <v/>
      </c>
      <c r="M9" s="27"/>
    </row>
    <row r="10" ht="15.5" customHeight="1" spans="1:13">
      <c r="A10" s="23"/>
      <c r="B10" s="67"/>
      <c r="C10" s="25"/>
      <c r="D10" s="26"/>
      <c r="E10" s="23"/>
      <c r="F10" s="26"/>
      <c r="G10" s="26"/>
      <c r="H10" s="26"/>
      <c r="I10" s="23"/>
      <c r="J10" s="26"/>
      <c r="K10" s="26" t="str">
        <f t="shared" si="0"/>
        <v/>
      </c>
      <c r="L10" s="26" t="str">
        <f t="shared" si="1"/>
        <v/>
      </c>
      <c r="M10" s="27"/>
    </row>
    <row r="11" ht="15.5" customHeight="1" spans="1:13">
      <c r="A11" s="23"/>
      <c r="B11" s="67"/>
      <c r="C11" s="25"/>
      <c r="D11" s="26"/>
      <c r="E11" s="23"/>
      <c r="F11" s="26"/>
      <c r="G11" s="26"/>
      <c r="H11" s="26"/>
      <c r="I11" s="23"/>
      <c r="J11" s="26"/>
      <c r="K11" s="26" t="str">
        <f t="shared" si="0"/>
        <v/>
      </c>
      <c r="L11" s="26" t="str">
        <f t="shared" si="1"/>
        <v/>
      </c>
      <c r="M11" s="27"/>
    </row>
    <row r="12" ht="15.5" customHeight="1" spans="1:13">
      <c r="A12" s="23"/>
      <c r="B12" s="67"/>
      <c r="C12" s="25"/>
      <c r="D12" s="26"/>
      <c r="E12" s="23"/>
      <c r="F12" s="26"/>
      <c r="G12" s="26"/>
      <c r="H12" s="26"/>
      <c r="I12" s="23"/>
      <c r="J12" s="26"/>
      <c r="K12" s="26" t="str">
        <f t="shared" si="0"/>
        <v/>
      </c>
      <c r="L12" s="26" t="str">
        <f t="shared" si="1"/>
        <v/>
      </c>
      <c r="M12" s="27"/>
    </row>
    <row r="13" ht="15.5" customHeight="1" spans="1:13">
      <c r="A13" s="23"/>
      <c r="B13" s="24"/>
      <c r="C13" s="25"/>
      <c r="D13" s="26"/>
      <c r="E13" s="23"/>
      <c r="F13" s="26"/>
      <c r="G13" s="26"/>
      <c r="H13" s="26"/>
      <c r="I13" s="23"/>
      <c r="J13" s="26"/>
      <c r="K13" s="26" t="str">
        <f t="shared" si="0"/>
        <v/>
      </c>
      <c r="L13" s="26" t="str">
        <f t="shared" si="1"/>
        <v/>
      </c>
      <c r="M13" s="27"/>
    </row>
    <row r="14" ht="15.5" customHeight="1" spans="1:13">
      <c r="A14" s="23"/>
      <c r="B14" s="24"/>
      <c r="C14" s="25"/>
      <c r="D14" s="26"/>
      <c r="E14" s="23"/>
      <c r="F14" s="26"/>
      <c r="G14" s="26"/>
      <c r="H14" s="26"/>
      <c r="I14" s="23"/>
      <c r="J14" s="26"/>
      <c r="K14" s="26" t="str">
        <f t="shared" si="0"/>
        <v/>
      </c>
      <c r="L14" s="26" t="str">
        <f t="shared" si="1"/>
        <v/>
      </c>
      <c r="M14" s="27"/>
    </row>
    <row r="15" ht="15.5" customHeight="1" spans="1:13">
      <c r="A15" s="23"/>
      <c r="B15" s="24"/>
      <c r="C15" s="25"/>
      <c r="D15" s="26"/>
      <c r="E15" s="23"/>
      <c r="F15" s="26"/>
      <c r="G15" s="26"/>
      <c r="H15" s="26"/>
      <c r="I15" s="23"/>
      <c r="J15" s="26"/>
      <c r="K15" s="26" t="str">
        <f t="shared" si="0"/>
        <v/>
      </c>
      <c r="L15" s="26" t="str">
        <f t="shared" si="1"/>
        <v/>
      </c>
      <c r="M15" s="27"/>
    </row>
    <row r="16" ht="15.5" customHeight="1" spans="1:13">
      <c r="A16" s="23"/>
      <c r="B16" s="24"/>
      <c r="C16" s="25"/>
      <c r="D16" s="26"/>
      <c r="E16" s="23"/>
      <c r="F16" s="26"/>
      <c r="G16" s="26"/>
      <c r="H16" s="26"/>
      <c r="I16" s="23"/>
      <c r="J16" s="26"/>
      <c r="K16" s="26" t="str">
        <f t="shared" si="0"/>
        <v/>
      </c>
      <c r="L16" s="26" t="str">
        <f t="shared" si="1"/>
        <v/>
      </c>
      <c r="M16" s="27"/>
    </row>
    <row r="17" ht="15.5" customHeight="1" spans="1:13">
      <c r="A17" s="23"/>
      <c r="B17" s="24"/>
      <c r="C17" s="25"/>
      <c r="D17" s="26"/>
      <c r="E17" s="23"/>
      <c r="F17" s="26"/>
      <c r="G17" s="26"/>
      <c r="H17" s="26"/>
      <c r="I17" s="23"/>
      <c r="J17" s="26"/>
      <c r="K17" s="26" t="str">
        <f t="shared" si="0"/>
        <v/>
      </c>
      <c r="L17" s="26" t="str">
        <f t="shared" si="1"/>
        <v/>
      </c>
      <c r="M17" s="27"/>
    </row>
    <row r="18" ht="15.5" customHeight="1" spans="1:13">
      <c r="A18" s="23"/>
      <c r="B18" s="24"/>
      <c r="C18" s="25"/>
      <c r="D18" s="26"/>
      <c r="E18" s="23"/>
      <c r="F18" s="26"/>
      <c r="G18" s="26"/>
      <c r="H18" s="26"/>
      <c r="I18" s="23"/>
      <c r="J18" s="26"/>
      <c r="K18" s="26" t="str">
        <f t="shared" si="0"/>
        <v/>
      </c>
      <c r="L18" s="26" t="str">
        <f t="shared" si="1"/>
        <v/>
      </c>
      <c r="M18" s="27"/>
    </row>
    <row r="19" ht="15.5" customHeight="1" spans="1:13">
      <c r="A19" s="23"/>
      <c r="B19" s="24"/>
      <c r="C19" s="25"/>
      <c r="D19" s="26"/>
      <c r="E19" s="23"/>
      <c r="F19" s="26"/>
      <c r="G19" s="26"/>
      <c r="H19" s="26"/>
      <c r="I19" s="23"/>
      <c r="J19" s="26"/>
      <c r="K19" s="26" t="str">
        <f t="shared" si="0"/>
        <v/>
      </c>
      <c r="L19" s="26" t="str">
        <f t="shared" si="1"/>
        <v/>
      </c>
      <c r="M19" s="27"/>
    </row>
    <row r="20" ht="15.5" customHeight="1" spans="1:13">
      <c r="A20" s="23"/>
      <c r="B20" s="24"/>
      <c r="C20" s="25"/>
      <c r="D20" s="26"/>
      <c r="E20" s="23"/>
      <c r="F20" s="26"/>
      <c r="G20" s="26"/>
      <c r="H20" s="26"/>
      <c r="I20" s="23"/>
      <c r="J20" s="26"/>
      <c r="K20" s="26" t="str">
        <f t="shared" si="0"/>
        <v/>
      </c>
      <c r="L20" s="26" t="str">
        <f t="shared" si="1"/>
        <v/>
      </c>
      <c r="M20" s="27"/>
    </row>
    <row r="21" ht="15.5" customHeight="1" spans="1:13">
      <c r="A21" s="23"/>
      <c r="B21" s="24"/>
      <c r="C21" s="25"/>
      <c r="D21" s="26"/>
      <c r="E21" s="23"/>
      <c r="F21" s="26"/>
      <c r="G21" s="26"/>
      <c r="H21" s="26"/>
      <c r="I21" s="23"/>
      <c r="J21" s="26"/>
      <c r="K21" s="26" t="str">
        <f t="shared" si="0"/>
        <v/>
      </c>
      <c r="L21" s="26" t="str">
        <f t="shared" si="1"/>
        <v/>
      </c>
      <c r="M21" s="27"/>
    </row>
    <row r="22" ht="15.5" customHeight="1" spans="1:13">
      <c r="A22" s="23"/>
      <c r="B22" s="24"/>
      <c r="C22" s="25"/>
      <c r="D22" s="26"/>
      <c r="E22" s="23"/>
      <c r="F22" s="26"/>
      <c r="G22" s="26"/>
      <c r="H22" s="26"/>
      <c r="I22" s="23"/>
      <c r="J22" s="26"/>
      <c r="K22" s="26" t="str">
        <f t="shared" si="0"/>
        <v/>
      </c>
      <c r="L22" s="26" t="str">
        <f t="shared" si="1"/>
        <v/>
      </c>
      <c r="M22" s="27"/>
    </row>
    <row r="23" ht="15.5" customHeight="1" spans="1:13">
      <c r="A23" s="23"/>
      <c r="B23" s="24"/>
      <c r="C23" s="25"/>
      <c r="D23" s="26"/>
      <c r="E23" s="23"/>
      <c r="F23" s="26"/>
      <c r="G23" s="26"/>
      <c r="H23" s="26"/>
      <c r="I23" s="23"/>
      <c r="J23" s="26"/>
      <c r="K23" s="26" t="str">
        <f t="shared" si="0"/>
        <v/>
      </c>
      <c r="L23" s="26" t="str">
        <f t="shared" si="1"/>
        <v/>
      </c>
      <c r="M23" s="27"/>
    </row>
    <row r="24" ht="15.5" customHeight="1" spans="1:13">
      <c r="A24" s="23"/>
      <c r="B24" s="24"/>
      <c r="C24" s="25"/>
      <c r="D24" s="26"/>
      <c r="E24" s="23"/>
      <c r="F24" s="26"/>
      <c r="G24" s="26"/>
      <c r="H24" s="26"/>
      <c r="I24" s="23"/>
      <c r="J24" s="26"/>
      <c r="K24" s="26" t="str">
        <f t="shared" si="0"/>
        <v/>
      </c>
      <c r="L24" s="26" t="str">
        <f t="shared" si="1"/>
        <v/>
      </c>
      <c r="M24" s="27"/>
    </row>
    <row r="25" ht="15.5" customHeight="1" spans="1:13">
      <c r="A25" s="23"/>
      <c r="B25" s="24"/>
      <c r="C25" s="25"/>
      <c r="D25" s="26"/>
      <c r="E25" s="23"/>
      <c r="F25" s="26"/>
      <c r="G25" s="26"/>
      <c r="H25" s="26"/>
      <c r="I25" s="23"/>
      <c r="J25" s="26"/>
      <c r="K25" s="26" t="str">
        <f t="shared" si="0"/>
        <v/>
      </c>
      <c r="L25" s="26" t="str">
        <f t="shared" si="1"/>
        <v/>
      </c>
      <c r="M25" s="27"/>
    </row>
    <row r="26" ht="15.5" customHeight="1" spans="1:13">
      <c r="A26" s="23"/>
      <c r="B26" s="67"/>
      <c r="C26" s="25"/>
      <c r="D26" s="26"/>
      <c r="E26" s="23"/>
      <c r="F26" s="26"/>
      <c r="G26" s="26"/>
      <c r="H26" s="26"/>
      <c r="I26" s="23"/>
      <c r="J26" s="26"/>
      <c r="K26" s="26" t="str">
        <f t="shared" si="0"/>
        <v/>
      </c>
      <c r="L26" s="26"/>
      <c r="M26" s="27"/>
    </row>
    <row r="27" ht="15.5" customHeight="1" spans="1:13">
      <c r="A27" s="21" t="s">
        <v>641</v>
      </c>
      <c r="B27" s="28"/>
      <c r="C27" s="25"/>
      <c r="D27" s="26"/>
      <c r="E27" s="23"/>
      <c r="F27" s="26">
        <f>SUM(F6:F26)</f>
        <v>0</v>
      </c>
      <c r="G27" s="26"/>
      <c r="H27" s="26">
        <f>SUM(H6:H26)</f>
        <v>0</v>
      </c>
      <c r="I27" s="23"/>
      <c r="J27" s="26">
        <f>SUM(J6:J26)</f>
        <v>0</v>
      </c>
      <c r="K27" s="26" t="str">
        <f t="shared" si="0"/>
        <v/>
      </c>
      <c r="L27" s="26" t="str">
        <f>IF(H27=0,"",(J27-H27)/H27*100)</f>
        <v/>
      </c>
      <c r="M27" s="27"/>
    </row>
    <row r="28" ht="15.5" customHeight="1" spans="1:13">
      <c r="A28" s="29" t="str">
        <f>封面!D11&amp;封面!G11</f>
        <v>被评估单位填表人：</v>
      </c>
      <c r="H28" s="13" t="str">
        <f>"评估人员："&amp;封面!G36</f>
        <v>评估人员：</v>
      </c>
    </row>
    <row r="29" ht="15.5" customHeight="1" spans="1:13">
      <c r="A29" s="29" t="str">
        <f>CONCATENATE(封面!D13,封面!F13,封面!G13,封面!H13,封面!I13,封面!J13,封面!K13)</f>
        <v>填表日期：年月日</v>
      </c>
    </row>
  </sheetData>
  <mergeCells count="3">
    <mergeCell ref="A2:M2"/>
    <mergeCell ref="A3:M3"/>
    <mergeCell ref="A27:B27"/>
  </mergeCells>
  <hyperlinks>
    <hyperlink ref="A1" location="索引目录!D52" display="返回索引页"/>
    <hyperlink ref="B1" location="分类汇总!B34" display="返回"/>
  </hyperlinks>
  <printOptions horizontalCentered="1"/>
  <pageMargins left="0.354330708661417" right="0.354330708661417" top="0.78740157480315" bottom="0.78740157480315" header="1.05" footer="0.511811023622047"/>
  <pageSetup paperSize="9" fitToHeight="0" orientation="landscape"/>
  <headerFooter alignWithMargins="0">
    <oddHeader>&amp;R&amp;"宋体,常规"共&amp;"Times New Roman,常规"&amp;N&amp;"宋体,常规"页第&amp;"Times New Roman,常规"&amp;P&amp;"宋体,常规"4-15
页</oddHeader>
  </headerFooter>
  <legacyDrawing r:id="rId2"/>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1">
    <pageSetUpPr fitToPage="1"/>
  </sheetPr>
  <dimension ref="A1:H29"/>
  <sheetViews>
    <sheetView view="pageBreakPreview" zoomScale="60" zoomScaleNormal="100" workbookViewId="0">
      <selection activeCell="G451" sqref="G451"/>
    </sheetView>
  </sheetViews>
  <sheetFormatPr defaultColWidth="9" defaultRowHeight="15.75" customHeight="1" outlineLevelCol="7"/>
  <cols>
    <col min="1" max="1" width="6.08333333333333" style="13" customWidth="1"/>
    <col min="2" max="2" width="36.0833333333333" style="13" customWidth="1"/>
    <col min="3" max="3" width="15" style="13" customWidth="1"/>
    <col min="4" max="5" width="19.3333333333333" style="13" hidden="1" customWidth="1" outlineLevel="1"/>
    <col min="6" max="6" width="24.3333333333333" style="13" customWidth="1" collapsed="1"/>
    <col min="7" max="7" width="24.3333333333333" style="13" customWidth="1"/>
    <col min="8" max="8" width="15.5833333333333" style="13" customWidth="1"/>
    <col min="9" max="16384" width="9" style="13" customWidth="1"/>
  </cols>
  <sheetData>
    <row r="1" ht="15.5" customHeight="1" spans="1:8">
      <c r="A1" s="14" t="s">
        <v>111</v>
      </c>
      <c r="B1" s="30" t="s">
        <v>210</v>
      </c>
      <c r="C1" s="12"/>
      <c r="D1" s="12"/>
      <c r="E1" s="12"/>
      <c r="F1" s="12"/>
      <c r="G1" s="12"/>
      <c r="H1" s="12"/>
    </row>
    <row r="2" s="11" customFormat="1" ht="30" customHeight="1" spans="1:8">
      <c r="A2" s="17" t="s">
        <v>675</v>
      </c>
    </row>
    <row r="3" ht="14.15" customHeight="1" spans="1:8">
      <c r="A3" s="18" t="str">
        <f>CONCATENATE(封面!D9,封面!F9,封面!G9,封面!H9,封面!I9,封面!J9,封面!K9)</f>
        <v>评估基准日：年月日</v>
      </c>
    </row>
    <row r="4" ht="15.5" customHeight="1" spans="1:8">
      <c r="A4" s="19" t="str">
        <f>封面!D7&amp;封面!F7</f>
        <v>被评估单位：</v>
      </c>
      <c r="H4" s="20" t="s">
        <v>139</v>
      </c>
    </row>
    <row r="5" s="12" customFormat="1" ht="13" customHeight="1" spans="1:8">
      <c r="A5" s="21" t="s">
        <v>141</v>
      </c>
      <c r="B5" s="21" t="s">
        <v>663</v>
      </c>
      <c r="C5" s="21" t="s">
        <v>597</v>
      </c>
      <c r="D5" s="22" t="s">
        <v>175</v>
      </c>
      <c r="E5" s="22" t="s">
        <v>281</v>
      </c>
      <c r="F5" s="21" t="s">
        <v>176</v>
      </c>
      <c r="G5" s="21" t="s">
        <v>177</v>
      </c>
      <c r="H5" s="21" t="s">
        <v>144</v>
      </c>
    </row>
    <row r="6" ht="15.5" customHeight="1" spans="1:8">
      <c r="A6" s="23"/>
      <c r="B6" s="24"/>
      <c r="C6" s="25"/>
      <c r="D6" s="31"/>
      <c r="E6" s="31"/>
      <c r="F6" s="31"/>
      <c r="G6" s="31"/>
      <c r="H6" s="27"/>
    </row>
    <row r="7" ht="15.5" customHeight="1" spans="1:8">
      <c r="A7" s="23"/>
      <c r="B7" s="24"/>
      <c r="C7" s="25"/>
      <c r="D7" s="31"/>
      <c r="E7" s="31"/>
      <c r="F7" s="31"/>
      <c r="G7" s="31"/>
      <c r="H7" s="27"/>
    </row>
    <row r="8" ht="15.5" customHeight="1" spans="1:8">
      <c r="A8" s="23"/>
      <c r="B8" s="24"/>
      <c r="C8" s="25"/>
      <c r="D8" s="31"/>
      <c r="E8" s="31"/>
      <c r="F8" s="31"/>
      <c r="G8" s="31"/>
      <c r="H8" s="27"/>
    </row>
    <row r="9" ht="15.5" customHeight="1" spans="1:8">
      <c r="A9" s="23"/>
      <c r="B9" s="24"/>
      <c r="C9" s="25"/>
      <c r="D9" s="31"/>
      <c r="E9" s="31"/>
      <c r="F9" s="31"/>
      <c r="G9" s="31"/>
      <c r="H9" s="27"/>
    </row>
    <row r="10" ht="15.5" customHeight="1" spans="1:8">
      <c r="A10" s="23"/>
      <c r="B10" s="24"/>
      <c r="C10" s="25"/>
      <c r="D10" s="31"/>
      <c r="E10" s="31"/>
      <c r="F10" s="31"/>
      <c r="G10" s="31"/>
      <c r="H10" s="27"/>
    </row>
    <row r="11" ht="15.5" customHeight="1" spans="1:8">
      <c r="A11" s="23"/>
      <c r="B11" s="24"/>
      <c r="C11" s="25"/>
      <c r="D11" s="31"/>
      <c r="E11" s="31"/>
      <c r="F11" s="31"/>
      <c r="G11" s="31"/>
      <c r="H11" s="27"/>
    </row>
    <row r="12" ht="15.5" customHeight="1" spans="1:8">
      <c r="A12" s="23"/>
      <c r="B12" s="24"/>
      <c r="C12" s="25"/>
      <c r="D12" s="31"/>
      <c r="E12" s="31"/>
      <c r="F12" s="31"/>
      <c r="G12" s="31"/>
      <c r="H12" s="27"/>
    </row>
    <row r="13" ht="15.5" customHeight="1" spans="1:8">
      <c r="A13" s="23"/>
      <c r="B13" s="24"/>
      <c r="C13" s="25"/>
      <c r="D13" s="31"/>
      <c r="E13" s="31"/>
      <c r="F13" s="31"/>
      <c r="G13" s="31"/>
      <c r="H13" s="27"/>
    </row>
    <row r="14" ht="15.5" customHeight="1" spans="1:8">
      <c r="A14" s="23"/>
      <c r="B14" s="24"/>
      <c r="C14" s="25"/>
      <c r="D14" s="31"/>
      <c r="E14" s="31"/>
      <c r="F14" s="31"/>
      <c r="G14" s="31"/>
      <c r="H14" s="27"/>
    </row>
    <row r="15" ht="15.5" customHeight="1" spans="1:8">
      <c r="A15" s="23"/>
      <c r="B15" s="24"/>
      <c r="C15" s="25"/>
      <c r="D15" s="31"/>
      <c r="E15" s="31"/>
      <c r="F15" s="31"/>
      <c r="G15" s="31"/>
      <c r="H15" s="27"/>
    </row>
    <row r="16" ht="15.5" customHeight="1" spans="1:8">
      <c r="A16" s="23"/>
      <c r="B16" s="24"/>
      <c r="C16" s="25"/>
      <c r="D16" s="31"/>
      <c r="E16" s="31"/>
      <c r="F16" s="31"/>
      <c r="G16" s="31"/>
      <c r="H16" s="27"/>
    </row>
    <row r="17" ht="15.5" customHeight="1" spans="1:8">
      <c r="A17" s="23"/>
      <c r="B17" s="24"/>
      <c r="C17" s="25"/>
      <c r="D17" s="31"/>
      <c r="E17" s="31"/>
      <c r="F17" s="31"/>
      <c r="G17" s="31"/>
      <c r="H17" s="27"/>
    </row>
    <row r="18" ht="15.5" customHeight="1" spans="1:8">
      <c r="A18" s="23"/>
      <c r="B18" s="24"/>
      <c r="C18" s="25"/>
      <c r="D18" s="31"/>
      <c r="E18" s="31"/>
      <c r="F18" s="31"/>
      <c r="G18" s="31"/>
      <c r="H18" s="27"/>
    </row>
    <row r="19" ht="15.5" customHeight="1" spans="1:8">
      <c r="A19" s="23"/>
      <c r="B19" s="24"/>
      <c r="C19" s="25"/>
      <c r="D19" s="31"/>
      <c r="E19" s="31"/>
      <c r="F19" s="31"/>
      <c r="G19" s="31"/>
      <c r="H19" s="27"/>
    </row>
    <row r="20" ht="15.5" customHeight="1" spans="1:8">
      <c r="A20" s="23"/>
      <c r="B20" s="24"/>
      <c r="C20" s="25"/>
      <c r="D20" s="31"/>
      <c r="E20" s="31"/>
      <c r="F20" s="31"/>
      <c r="G20" s="31"/>
      <c r="H20" s="27"/>
    </row>
    <row r="21" ht="15.5" customHeight="1" spans="1:8">
      <c r="A21" s="23"/>
      <c r="B21" s="24"/>
      <c r="C21" s="25"/>
      <c r="D21" s="31"/>
      <c r="E21" s="31"/>
      <c r="F21" s="31"/>
      <c r="G21" s="31"/>
      <c r="H21" s="27"/>
    </row>
    <row r="22" ht="15.5" customHeight="1" spans="1:8">
      <c r="A22" s="23"/>
      <c r="B22" s="24"/>
      <c r="C22" s="25"/>
      <c r="D22" s="31"/>
      <c r="E22" s="31"/>
      <c r="F22" s="31"/>
      <c r="G22" s="31"/>
      <c r="H22" s="27"/>
    </row>
    <row r="23" ht="15.5" customHeight="1" spans="1:8">
      <c r="A23" s="23"/>
      <c r="B23" s="24"/>
      <c r="C23" s="25"/>
      <c r="D23" s="31"/>
      <c r="E23" s="31"/>
      <c r="F23" s="31"/>
      <c r="G23" s="31"/>
      <c r="H23" s="27"/>
    </row>
    <row r="24" ht="15.5" customHeight="1" spans="1:8">
      <c r="A24" s="23"/>
      <c r="B24" s="24"/>
      <c r="C24" s="25"/>
      <c r="D24" s="31"/>
      <c r="E24" s="31"/>
      <c r="F24" s="31"/>
      <c r="G24" s="31"/>
      <c r="H24" s="27"/>
    </row>
    <row r="25" ht="15.5" customHeight="1" spans="1:8">
      <c r="A25" s="23"/>
      <c r="B25" s="24"/>
      <c r="C25" s="25"/>
      <c r="D25" s="31"/>
      <c r="E25" s="31"/>
      <c r="F25" s="31"/>
      <c r="G25" s="31"/>
      <c r="H25" s="27"/>
    </row>
    <row r="26" ht="15.5" customHeight="1" spans="1:8">
      <c r="A26" s="23"/>
      <c r="B26" s="24"/>
      <c r="C26" s="25"/>
      <c r="D26" s="31"/>
      <c r="E26" s="31"/>
      <c r="F26" s="31"/>
      <c r="G26" s="31"/>
      <c r="H26" s="27"/>
    </row>
    <row r="27" ht="15.5" customHeight="1" spans="1:8">
      <c r="A27" s="21" t="s">
        <v>641</v>
      </c>
      <c r="B27" s="28"/>
      <c r="C27" s="25"/>
      <c r="D27" s="31">
        <f>SUM(D6:D26)</f>
        <v>0</v>
      </c>
      <c r="E27" s="31"/>
      <c r="F27" s="31">
        <f>SUM(F6:F26)</f>
        <v>0</v>
      </c>
      <c r="G27" s="31">
        <f>SUM(G6:G26)</f>
        <v>0</v>
      </c>
      <c r="H27" s="27"/>
    </row>
    <row r="28" ht="15.5" customHeight="1" spans="1:8">
      <c r="A28" s="29" t="str">
        <f>封面!D11&amp;封面!G11</f>
        <v>被评估单位填表人：</v>
      </c>
      <c r="F28" s="19" t="str">
        <f>"评估人员："&amp;封面!G36</f>
        <v>评估人员：</v>
      </c>
    </row>
    <row r="29" ht="15.5" customHeight="1" spans="1:8">
      <c r="A29" s="29" t="str">
        <f>CONCATENATE(封面!D13,封面!F13,封面!G13,封面!H13,封面!I13,封面!J13,封面!K13)</f>
        <v>填表日期：年月日</v>
      </c>
    </row>
  </sheetData>
  <mergeCells count="3">
    <mergeCell ref="A2:H2"/>
    <mergeCell ref="A3:H3"/>
    <mergeCell ref="A27:B27"/>
  </mergeCells>
  <hyperlinks>
    <hyperlink ref="A1" location="索引目录!D53" display="返回索引页"/>
    <hyperlink ref="B1" location="分类汇总!B35" display="返回"/>
  </hyperlinks>
  <printOptions horizontalCentered="1"/>
  <pageMargins left="0.354330708661417" right="0.354330708661417" top="0.78740157480315" bottom="0.78740157480315" header="1.05" footer="0.511811023622047"/>
  <pageSetup paperSize="9" fitToHeight="0" orientation="landscape"/>
  <headerFooter alignWithMargins="0">
    <oddHeader>&amp;R&amp;"宋体,常规"共&amp;"Times New Roman,常规"&amp;N&amp;"宋体,常规"页第&amp;"Times New Roman,常规"&amp;P&amp;"宋体,常规"4-16
页</oddHeader>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2">
    <pageSetUpPr fitToPage="1"/>
  </sheetPr>
  <dimension ref="A1:I29"/>
  <sheetViews>
    <sheetView view="pageBreakPreview" zoomScale="60" zoomScaleNormal="100" workbookViewId="0">
      <selection activeCell="G451" sqref="G451"/>
    </sheetView>
  </sheetViews>
  <sheetFormatPr defaultColWidth="9" defaultRowHeight="15.75" customHeight="1"/>
  <cols>
    <col min="1" max="1" width="6.25" style="13" customWidth="1"/>
    <col min="2" max="2" width="26.5833333333333" style="13" customWidth="1"/>
    <col min="3" max="3" width="10.8333333333333" style="13" customWidth="1"/>
    <col min="4" max="5" width="16.25" style="13" hidden="1" customWidth="1" outlineLevel="1"/>
    <col min="6" max="6" width="22.5833333333333" style="13" customWidth="1" collapsed="1"/>
    <col min="7" max="7" width="23" style="13" customWidth="1"/>
    <col min="8" max="8" width="13.75" style="13" customWidth="1"/>
    <col min="9" max="9" width="16.5" style="13" customWidth="1"/>
    <col min="10" max="16384" width="9" style="13" customWidth="1"/>
  </cols>
  <sheetData>
    <row r="1" ht="15.5" customHeight="1" spans="1:9">
      <c r="A1" s="14" t="s">
        <v>111</v>
      </c>
      <c r="B1" s="66" t="s">
        <v>210</v>
      </c>
      <c r="C1" s="16"/>
      <c r="D1" s="16"/>
      <c r="E1" s="16"/>
      <c r="F1" s="16"/>
      <c r="G1" s="16"/>
      <c r="H1" s="16"/>
      <c r="I1" s="16"/>
    </row>
    <row r="2" s="11" customFormat="1" ht="30" customHeight="1" spans="1:9">
      <c r="A2" s="17" t="s">
        <v>676</v>
      </c>
    </row>
    <row r="3" ht="14.15" customHeight="1" spans="1:9">
      <c r="A3" s="18" t="str">
        <f>CONCATENATE(封面!D9,封面!F9,封面!G9,封面!H9,封面!I9,封面!J9,封面!K9)</f>
        <v>评估基准日：年月日</v>
      </c>
    </row>
    <row r="4" ht="15.5" customHeight="1" spans="1:9">
      <c r="A4" s="19" t="str">
        <f>封面!D7&amp;封面!F7</f>
        <v>被评估单位：</v>
      </c>
      <c r="I4" s="20" t="s">
        <v>139</v>
      </c>
    </row>
    <row r="5" s="12" customFormat="1" ht="13" customHeight="1" spans="1:9">
      <c r="A5" s="21" t="s">
        <v>141</v>
      </c>
      <c r="B5" s="21" t="s">
        <v>663</v>
      </c>
      <c r="C5" s="21" t="s">
        <v>597</v>
      </c>
      <c r="D5" s="22" t="s">
        <v>175</v>
      </c>
      <c r="E5" s="22" t="s">
        <v>281</v>
      </c>
      <c r="F5" s="21" t="s">
        <v>176</v>
      </c>
      <c r="G5" s="21" t="s">
        <v>177</v>
      </c>
      <c r="H5" s="21" t="s">
        <v>215</v>
      </c>
      <c r="I5" s="21" t="s">
        <v>144</v>
      </c>
    </row>
    <row r="6" ht="15.5" customHeight="1" spans="1:9">
      <c r="A6" s="23"/>
      <c r="B6" s="24"/>
      <c r="C6" s="25"/>
      <c r="D6" s="26"/>
      <c r="E6" s="26"/>
      <c r="F6" s="26"/>
      <c r="G6" s="26"/>
      <c r="H6" s="26" t="str">
        <f t="shared" ref="H6:H25" si="0">IF(F6=0,"",(G6-F6)/F6*100)</f>
        <v/>
      </c>
      <c r="I6" s="27"/>
    </row>
    <row r="7" ht="15.5" customHeight="1" spans="1:9">
      <c r="A7" s="23"/>
      <c r="B7" s="24"/>
      <c r="C7" s="25"/>
      <c r="D7" s="26"/>
      <c r="E7" s="26"/>
      <c r="F7" s="26"/>
      <c r="G7" s="26"/>
      <c r="H7" s="26" t="str">
        <f t="shared" si="0"/>
        <v/>
      </c>
      <c r="I7" s="27"/>
    </row>
    <row r="8" ht="15.5" customHeight="1" spans="1:9">
      <c r="A8" s="23"/>
      <c r="B8" s="24"/>
      <c r="C8" s="25"/>
      <c r="D8" s="26"/>
      <c r="E8" s="26"/>
      <c r="F8" s="26"/>
      <c r="G8" s="26"/>
      <c r="H8" s="26" t="str">
        <f t="shared" si="0"/>
        <v/>
      </c>
      <c r="I8" s="27"/>
    </row>
    <row r="9" ht="15.5" customHeight="1" spans="1:9">
      <c r="A9" s="23"/>
      <c r="B9" s="24"/>
      <c r="C9" s="25"/>
      <c r="D9" s="26"/>
      <c r="E9" s="26"/>
      <c r="F9" s="26"/>
      <c r="G9" s="26"/>
      <c r="H9" s="26" t="str">
        <f t="shared" si="0"/>
        <v/>
      </c>
      <c r="I9" s="27"/>
    </row>
    <row r="10" ht="15.5" customHeight="1" spans="1:9">
      <c r="A10" s="23"/>
      <c r="B10" s="24"/>
      <c r="C10" s="25"/>
      <c r="D10" s="26"/>
      <c r="E10" s="26"/>
      <c r="F10" s="26"/>
      <c r="G10" s="26"/>
      <c r="H10" s="26" t="str">
        <f t="shared" si="0"/>
        <v/>
      </c>
      <c r="I10" s="27"/>
    </row>
    <row r="11" ht="15.5" customHeight="1" spans="1:9">
      <c r="A11" s="23"/>
      <c r="B11" s="24"/>
      <c r="C11" s="25"/>
      <c r="D11" s="26"/>
      <c r="E11" s="26"/>
      <c r="F11" s="26"/>
      <c r="G11" s="26"/>
      <c r="H11" s="26" t="str">
        <f t="shared" si="0"/>
        <v/>
      </c>
      <c r="I11" s="27"/>
    </row>
    <row r="12" ht="15.5" customHeight="1" spans="1:9">
      <c r="A12" s="23"/>
      <c r="B12" s="24"/>
      <c r="C12" s="25"/>
      <c r="D12" s="26"/>
      <c r="E12" s="26"/>
      <c r="F12" s="26"/>
      <c r="G12" s="26"/>
      <c r="H12" s="26" t="str">
        <f t="shared" si="0"/>
        <v/>
      </c>
      <c r="I12" s="27"/>
    </row>
    <row r="13" ht="15.5" customHeight="1" spans="1:9">
      <c r="A13" s="23"/>
      <c r="B13" s="24"/>
      <c r="C13" s="25"/>
      <c r="D13" s="26"/>
      <c r="E13" s="26"/>
      <c r="F13" s="26"/>
      <c r="G13" s="26"/>
      <c r="H13" s="26" t="str">
        <f t="shared" si="0"/>
        <v/>
      </c>
      <c r="I13" s="27"/>
    </row>
    <row r="14" ht="15.5" customHeight="1" spans="1:9">
      <c r="A14" s="23"/>
      <c r="B14" s="24"/>
      <c r="C14" s="25"/>
      <c r="D14" s="26"/>
      <c r="E14" s="26"/>
      <c r="F14" s="26"/>
      <c r="G14" s="26"/>
      <c r="H14" s="26" t="str">
        <f t="shared" si="0"/>
        <v/>
      </c>
      <c r="I14" s="27"/>
    </row>
    <row r="15" ht="15.5" customHeight="1" spans="1:9">
      <c r="A15" s="23"/>
      <c r="B15" s="24"/>
      <c r="C15" s="25"/>
      <c r="D15" s="26"/>
      <c r="E15" s="26"/>
      <c r="F15" s="26"/>
      <c r="G15" s="26"/>
      <c r="H15" s="26" t="str">
        <f t="shared" si="0"/>
        <v/>
      </c>
      <c r="I15" s="27"/>
    </row>
    <row r="16" ht="15.5" customHeight="1" spans="1:9">
      <c r="A16" s="23"/>
      <c r="B16" s="24"/>
      <c r="C16" s="25"/>
      <c r="D16" s="26"/>
      <c r="E16" s="26"/>
      <c r="F16" s="26"/>
      <c r="G16" s="26"/>
      <c r="H16" s="26" t="str">
        <f t="shared" si="0"/>
        <v/>
      </c>
      <c r="I16" s="27"/>
    </row>
    <row r="17" ht="15.5" customHeight="1" spans="1:9">
      <c r="A17" s="23"/>
      <c r="B17" s="24"/>
      <c r="C17" s="25"/>
      <c r="D17" s="26"/>
      <c r="E17" s="26"/>
      <c r="F17" s="26"/>
      <c r="G17" s="26"/>
      <c r="H17" s="26" t="str">
        <f t="shared" si="0"/>
        <v/>
      </c>
      <c r="I17" s="27"/>
    </row>
    <row r="18" ht="15.5" customHeight="1" spans="1:9">
      <c r="A18" s="23"/>
      <c r="B18" s="24"/>
      <c r="C18" s="25"/>
      <c r="D18" s="26"/>
      <c r="E18" s="26"/>
      <c r="F18" s="26"/>
      <c r="G18" s="26"/>
      <c r="H18" s="26" t="str">
        <f t="shared" si="0"/>
        <v/>
      </c>
      <c r="I18" s="27"/>
    </row>
    <row r="19" ht="15.5" customHeight="1" spans="1:9">
      <c r="A19" s="23"/>
      <c r="B19" s="24"/>
      <c r="C19" s="25"/>
      <c r="D19" s="26"/>
      <c r="E19" s="26"/>
      <c r="F19" s="26"/>
      <c r="G19" s="26"/>
      <c r="H19" s="26" t="str">
        <f t="shared" si="0"/>
        <v/>
      </c>
      <c r="I19" s="27"/>
    </row>
    <row r="20" ht="15.5" customHeight="1" spans="1:9">
      <c r="A20" s="23"/>
      <c r="B20" s="24"/>
      <c r="C20" s="25"/>
      <c r="D20" s="26"/>
      <c r="E20" s="26"/>
      <c r="F20" s="26"/>
      <c r="G20" s="26"/>
      <c r="H20" s="26" t="str">
        <f t="shared" si="0"/>
        <v/>
      </c>
      <c r="I20" s="27"/>
    </row>
    <row r="21" ht="15.5" customHeight="1" spans="1:9">
      <c r="A21" s="23"/>
      <c r="B21" s="24"/>
      <c r="C21" s="25"/>
      <c r="D21" s="26"/>
      <c r="E21" s="26"/>
      <c r="F21" s="26"/>
      <c r="G21" s="26"/>
      <c r="H21" s="26" t="str">
        <f t="shared" si="0"/>
        <v/>
      </c>
      <c r="I21" s="27"/>
    </row>
    <row r="22" ht="15.5" customHeight="1" spans="1:9">
      <c r="A22" s="23"/>
      <c r="B22" s="24"/>
      <c r="C22" s="25"/>
      <c r="D22" s="26"/>
      <c r="E22" s="26"/>
      <c r="F22" s="26"/>
      <c r="G22" s="26"/>
      <c r="H22" s="26" t="str">
        <f t="shared" si="0"/>
        <v/>
      </c>
      <c r="I22" s="27"/>
    </row>
    <row r="23" ht="15.5" customHeight="1" spans="1:9">
      <c r="A23" s="23"/>
      <c r="B23" s="24"/>
      <c r="C23" s="25"/>
      <c r="D23" s="26"/>
      <c r="E23" s="26"/>
      <c r="F23" s="26"/>
      <c r="G23" s="26"/>
      <c r="H23" s="26" t="str">
        <f t="shared" si="0"/>
        <v/>
      </c>
      <c r="I23" s="27"/>
    </row>
    <row r="24" ht="15.5" customHeight="1" spans="1:9">
      <c r="A24" s="23"/>
      <c r="B24" s="24"/>
      <c r="C24" s="25"/>
      <c r="D24" s="26"/>
      <c r="E24" s="26"/>
      <c r="F24" s="26"/>
      <c r="G24" s="26"/>
      <c r="H24" s="26" t="str">
        <f t="shared" si="0"/>
        <v/>
      </c>
      <c r="I24" s="27"/>
    </row>
    <row r="25" ht="15.5" customHeight="1" spans="1:9">
      <c r="A25" s="23"/>
      <c r="B25" s="24"/>
      <c r="C25" s="25"/>
      <c r="D25" s="26"/>
      <c r="E25" s="26"/>
      <c r="F25" s="26"/>
      <c r="G25" s="26"/>
      <c r="H25" s="26" t="str">
        <f t="shared" si="0"/>
        <v/>
      </c>
      <c r="I25" s="27"/>
    </row>
    <row r="26" ht="15.5" customHeight="1" spans="1:9">
      <c r="A26" s="23"/>
      <c r="B26" s="24"/>
      <c r="C26" s="25"/>
      <c r="D26" s="26"/>
      <c r="E26" s="26"/>
      <c r="F26" s="26"/>
      <c r="G26" s="26"/>
      <c r="H26" s="26"/>
      <c r="I26" s="27"/>
    </row>
    <row r="27" ht="15.5" customHeight="1" spans="1:9">
      <c r="A27" s="21" t="s">
        <v>641</v>
      </c>
      <c r="B27" s="28"/>
      <c r="C27" s="25"/>
      <c r="D27" s="26">
        <f>SUM(D6:D26)</f>
        <v>0</v>
      </c>
      <c r="E27" s="26"/>
      <c r="F27" s="26">
        <f>SUM(F6:F26)</f>
        <v>0</v>
      </c>
      <c r="G27" s="26">
        <f>SUM(G6:G26)</f>
        <v>0</v>
      </c>
      <c r="H27" s="26" t="str">
        <f>IF(F27=0,"",(G27-F27)/F27*100)</f>
        <v/>
      </c>
      <c r="I27" s="27"/>
    </row>
    <row r="28" ht="15.5" customHeight="1" spans="1:9">
      <c r="A28" s="29" t="str">
        <f>封面!D11&amp;封面!G11</f>
        <v>被评估单位填表人：</v>
      </c>
      <c r="F28" s="19"/>
      <c r="G28" s="13" t="str">
        <f>"评估人员："&amp;封面!G36</f>
        <v>评估人员：</v>
      </c>
    </row>
    <row r="29" ht="15.5" customHeight="1" spans="1:9">
      <c r="A29" s="29" t="str">
        <f>CONCATENATE(封面!D13,封面!F13,封面!G13,封面!H13,封面!I13,封面!J13,封面!K13)</f>
        <v>填表日期：年月日</v>
      </c>
    </row>
  </sheetData>
  <mergeCells count="3">
    <mergeCell ref="A2:I2"/>
    <mergeCell ref="A3:I3"/>
    <mergeCell ref="A27:B27"/>
  </mergeCells>
  <hyperlinks>
    <hyperlink ref="A1" location="索引目录!D54" display="返回索引页"/>
    <hyperlink ref="B1" location="非流动资产汇总!Print_Area" display="返回"/>
  </hyperlinks>
  <printOptions horizontalCentered="1"/>
  <pageMargins left="0.354330708661417" right="0.354330708661417" top="0.78740157480315" bottom="0.78740157480315" header="1.06299212598425" footer="0.511811023622047"/>
  <pageSetup paperSize="9" fitToHeight="0" orientation="landscape"/>
  <headerFooter alignWithMargins="0">
    <oddHeader>&amp;R&amp;"宋体,常规"共&amp;"Times New Roman,常规"&amp;N&amp;"宋体,常规"页第&amp;"Times New Roman,常规"&amp;P&amp;"宋体,常规"4-17
页</oddHeader>
  </headerFooter>
  <legacyDrawing r:id="rId2"/>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3">
    <tabColor indexed="10"/>
    <pageSetUpPr fitToPage="1"/>
  </sheetPr>
  <dimension ref="A1:G29"/>
  <sheetViews>
    <sheetView view="pageBreakPreview" zoomScale="90" zoomScaleNormal="85" topLeftCell="A3" workbookViewId="0">
      <selection activeCell="G451" sqref="G451"/>
    </sheetView>
  </sheetViews>
  <sheetFormatPr defaultColWidth="9" defaultRowHeight="15.75" customHeight="1" outlineLevelCol="6"/>
  <cols>
    <col min="1" max="1" width="7.83333333333333" style="13" customWidth="1"/>
    <col min="2" max="2" width="26.5833333333333" style="13" customWidth="1"/>
    <col min="3" max="3" width="19.0833333333333" style="13" hidden="1" customWidth="1" outlineLevel="1"/>
    <col min="4" max="4" width="24.75" style="13" customWidth="1" collapsed="1"/>
    <col min="5" max="5" width="24.75" style="13" customWidth="1"/>
    <col min="6" max="6" width="22.0833333333333" style="13" customWidth="1"/>
    <col min="7" max="7" width="15.3333333333333" style="13" customWidth="1"/>
    <col min="8" max="16384" width="9" style="13" customWidth="1"/>
  </cols>
  <sheetData>
    <row r="1" ht="15.5" customHeight="1" spans="1:7">
      <c r="A1" s="51" t="s">
        <v>111</v>
      </c>
      <c r="B1" s="52" t="s">
        <v>210</v>
      </c>
      <c r="C1" s="16"/>
      <c r="D1" s="16"/>
      <c r="E1" s="16"/>
      <c r="F1" s="16"/>
      <c r="G1" s="16"/>
    </row>
    <row r="2" s="11" customFormat="1" ht="30" customHeight="1" spans="1:7">
      <c r="A2" s="53" t="s">
        <v>677</v>
      </c>
    </row>
    <row r="3" ht="14.15" customHeight="1" spans="1:7">
      <c r="A3" s="18" t="str">
        <f>CONCATENATE(封面!D9,封面!F9,封面!G9,封面!H9,封面!I9,封面!J9,封面!K9)</f>
        <v>评估基准日：年月日</v>
      </c>
    </row>
    <row r="4" ht="15.5" customHeight="1" spans="1:7">
      <c r="A4" s="19" t="str">
        <f>封面!D7&amp;封面!F7</f>
        <v>被评估单位：</v>
      </c>
      <c r="G4" s="44" t="s">
        <v>139</v>
      </c>
    </row>
    <row r="5" s="12" customFormat="1" ht="13" customHeight="1" spans="1:7">
      <c r="A5" s="45" t="s">
        <v>260</v>
      </c>
      <c r="B5" s="45" t="s">
        <v>212</v>
      </c>
      <c r="C5" s="45" t="s">
        <v>175</v>
      </c>
      <c r="D5" s="45" t="s">
        <v>176</v>
      </c>
      <c r="E5" s="45" t="s">
        <v>177</v>
      </c>
      <c r="F5" s="46" t="s">
        <v>214</v>
      </c>
      <c r="G5" s="45" t="s">
        <v>215</v>
      </c>
    </row>
    <row r="6" ht="15.5" customHeight="1" spans="1:7">
      <c r="A6" s="45" t="s">
        <v>678</v>
      </c>
      <c r="B6" s="27" t="s">
        <v>36</v>
      </c>
      <c r="C6" s="26">
        <f>短期借款!H27</f>
        <v>0</v>
      </c>
      <c r="D6" s="26">
        <f>短期借款!J27</f>
        <v>0</v>
      </c>
      <c r="E6" s="26">
        <f>短期借款!L27</f>
        <v>0</v>
      </c>
      <c r="F6" s="26">
        <f t="shared" ref="F6:F17" si="0">E6-D6</f>
        <v>0</v>
      </c>
      <c r="G6" s="48" t="str">
        <f t="shared" ref="G6:G19" si="1">IF(D6=0,"",F6/D6*100)</f>
        <v/>
      </c>
    </row>
    <row r="7" ht="15.5" customHeight="1" spans="1:7">
      <c r="A7" s="45" t="s">
        <v>679</v>
      </c>
      <c r="B7" s="27" t="s">
        <v>38</v>
      </c>
      <c r="C7" s="26">
        <f>交易性金融负债!E27</f>
        <v>0</v>
      </c>
      <c r="D7" s="26">
        <f>交易性金融负债!G27</f>
        <v>0</v>
      </c>
      <c r="E7" s="26">
        <f>交易性金融负债!H27</f>
        <v>0</v>
      </c>
      <c r="F7" s="26">
        <f t="shared" si="0"/>
        <v>0</v>
      </c>
      <c r="G7" s="48" t="str">
        <f t="shared" si="1"/>
        <v/>
      </c>
    </row>
    <row r="8" ht="15.5" customHeight="1" spans="1:7">
      <c r="A8" s="45" t="s">
        <v>680</v>
      </c>
      <c r="B8" s="27" t="s">
        <v>40</v>
      </c>
      <c r="C8" s="26">
        <f>应付票据!F27</f>
        <v>0</v>
      </c>
      <c r="D8" s="26">
        <f>应付票据!H27</f>
        <v>0</v>
      </c>
      <c r="E8" s="26">
        <f>应付票据!I27</f>
        <v>0</v>
      </c>
      <c r="F8" s="26">
        <f t="shared" si="0"/>
        <v>0</v>
      </c>
      <c r="G8" s="48" t="str">
        <f t="shared" si="1"/>
        <v/>
      </c>
    </row>
    <row r="9" ht="15.5" customHeight="1" spans="1:7">
      <c r="A9" s="45" t="s">
        <v>605</v>
      </c>
      <c r="B9" s="27" t="s">
        <v>43</v>
      </c>
      <c r="C9" s="26">
        <f>应付账款!E28</f>
        <v>0</v>
      </c>
      <c r="D9" s="26">
        <f>应付账款!G28</f>
        <v>0</v>
      </c>
      <c r="E9" s="26">
        <f>应付账款!H28</f>
        <v>0</v>
      </c>
      <c r="F9" s="26">
        <f t="shared" si="0"/>
        <v>0</v>
      </c>
      <c r="G9" s="48" t="str">
        <f t="shared" si="1"/>
        <v/>
      </c>
    </row>
    <row r="10" ht="15.5" customHeight="1" spans="1:7">
      <c r="A10" s="45" t="s">
        <v>681</v>
      </c>
      <c r="B10" s="27" t="s">
        <v>45</v>
      </c>
      <c r="C10" s="26">
        <f>预收账款!E27</f>
        <v>0</v>
      </c>
      <c r="D10" s="26">
        <f>预收账款!G27</f>
        <v>0</v>
      </c>
      <c r="E10" s="26">
        <f>预收账款!H27</f>
        <v>0</v>
      </c>
      <c r="F10" s="26">
        <f t="shared" si="0"/>
        <v>0</v>
      </c>
      <c r="G10" s="48" t="str">
        <f t="shared" si="1"/>
        <v/>
      </c>
    </row>
    <row r="11" ht="15.5" customHeight="1" spans="1:7">
      <c r="A11" s="45" t="s">
        <v>682</v>
      </c>
      <c r="B11" s="27" t="s">
        <v>47</v>
      </c>
      <c r="C11" s="26">
        <f>职工薪酬!D27</f>
        <v>0</v>
      </c>
      <c r="D11" s="26">
        <f>职工薪酬!F27</f>
        <v>0</v>
      </c>
      <c r="E11" s="26">
        <f>职工薪酬!G27</f>
        <v>0</v>
      </c>
      <c r="F11" s="26">
        <f t="shared" si="0"/>
        <v>0</v>
      </c>
      <c r="G11" s="48" t="str">
        <f t="shared" si="1"/>
        <v/>
      </c>
    </row>
    <row r="12" ht="15.5" customHeight="1" spans="1:7">
      <c r="A12" s="45" t="s">
        <v>683</v>
      </c>
      <c r="B12" s="27" t="s">
        <v>49</v>
      </c>
      <c r="C12" s="26">
        <f>应交税费!E27</f>
        <v>0</v>
      </c>
      <c r="D12" s="26">
        <f>应交税费!G27</f>
        <v>0</v>
      </c>
      <c r="E12" s="26">
        <f>应交税费!H27</f>
        <v>0</v>
      </c>
      <c r="F12" s="26">
        <f t="shared" si="0"/>
        <v>0</v>
      </c>
      <c r="G12" s="48" t="str">
        <f t="shared" si="1"/>
        <v/>
      </c>
    </row>
    <row r="13" ht="15.5" customHeight="1" spans="1:7">
      <c r="A13" s="45" t="s">
        <v>684</v>
      </c>
      <c r="B13" s="27" t="s">
        <v>51</v>
      </c>
      <c r="C13" s="26">
        <f>应付利息!G27</f>
        <v>0</v>
      </c>
      <c r="D13" s="26">
        <f>应付利息!I27</f>
        <v>0</v>
      </c>
      <c r="E13" s="26">
        <f>应付利息!J27</f>
        <v>0</v>
      </c>
      <c r="F13" s="26">
        <f t="shared" si="0"/>
        <v>0</v>
      </c>
      <c r="G13" s="48" t="str">
        <f t="shared" si="1"/>
        <v/>
      </c>
    </row>
    <row r="14" ht="15.5" customHeight="1" spans="1:7">
      <c r="A14" s="45" t="s">
        <v>685</v>
      </c>
      <c r="B14" s="27" t="s">
        <v>53</v>
      </c>
      <c r="C14" s="26">
        <f>'应付股利（利润）'!E27</f>
        <v>0</v>
      </c>
      <c r="D14" s="26">
        <f>'应付股利（利润）'!G27</f>
        <v>0</v>
      </c>
      <c r="E14" s="26">
        <f>'应付股利（利润）'!H27</f>
        <v>0</v>
      </c>
      <c r="F14" s="26">
        <f t="shared" si="0"/>
        <v>0</v>
      </c>
      <c r="G14" s="48" t="str">
        <f t="shared" si="1"/>
        <v/>
      </c>
    </row>
    <row r="15" ht="15.5" customHeight="1" spans="1:7">
      <c r="A15" s="45" t="s">
        <v>686</v>
      </c>
      <c r="B15" s="27" t="s">
        <v>55</v>
      </c>
      <c r="C15" s="26">
        <f>其他应付款!E51</f>
        <v>0</v>
      </c>
      <c r="D15" s="26">
        <f>其他应付款!G51</f>
        <v>0</v>
      </c>
      <c r="E15" s="26">
        <f>其他应付款!H51</f>
        <v>0</v>
      </c>
      <c r="F15" s="26">
        <f t="shared" si="0"/>
        <v>0</v>
      </c>
      <c r="G15" s="48" t="str">
        <f t="shared" si="1"/>
        <v/>
      </c>
    </row>
    <row r="16" ht="15.5" customHeight="1" spans="1:7">
      <c r="A16" s="45" t="s">
        <v>687</v>
      </c>
      <c r="B16" s="27" t="s">
        <v>57</v>
      </c>
      <c r="C16" s="26">
        <f>一年到期非流动负债!F27</f>
        <v>0</v>
      </c>
      <c r="D16" s="26">
        <f>一年到期非流动负债!H27</f>
        <v>0</v>
      </c>
      <c r="E16" s="26">
        <f>一年到期非流动负债!I27</f>
        <v>0</v>
      </c>
      <c r="F16" s="26">
        <f t="shared" si="0"/>
        <v>0</v>
      </c>
      <c r="G16" s="48" t="str">
        <f t="shared" si="1"/>
        <v/>
      </c>
    </row>
    <row r="17" ht="15.5" customHeight="1" spans="1:7">
      <c r="A17" s="45" t="s">
        <v>688</v>
      </c>
      <c r="B17" s="27" t="s">
        <v>59</v>
      </c>
      <c r="C17" s="26">
        <f>其他流动负债!E27</f>
        <v>0</v>
      </c>
      <c r="D17" s="26">
        <f>其他流动负债!G27</f>
        <v>0</v>
      </c>
      <c r="E17" s="26">
        <f>其他流动负债!H27</f>
        <v>0</v>
      </c>
      <c r="F17" s="26">
        <f t="shared" si="0"/>
        <v>0</v>
      </c>
      <c r="G17" s="48" t="str">
        <f t="shared" si="1"/>
        <v/>
      </c>
    </row>
    <row r="18" ht="15.5" customHeight="1" spans="1:7">
      <c r="A18" s="23"/>
      <c r="B18" s="27"/>
      <c r="C18" s="26"/>
      <c r="D18" s="26"/>
      <c r="E18" s="26"/>
      <c r="F18" s="26"/>
      <c r="G18" s="48" t="str">
        <f t="shared" si="1"/>
        <v/>
      </c>
    </row>
    <row r="19" ht="15.5" customHeight="1" spans="1:7">
      <c r="A19" s="23"/>
      <c r="B19" s="27"/>
      <c r="C19" s="26"/>
      <c r="D19" s="26"/>
      <c r="E19" s="26"/>
      <c r="F19" s="26"/>
      <c r="G19" s="48" t="str">
        <f t="shared" si="1"/>
        <v/>
      </c>
    </row>
    <row r="20" ht="15.5" customHeight="1" spans="1:7">
      <c r="A20" s="23"/>
      <c r="B20" s="27"/>
      <c r="C20" s="26"/>
      <c r="D20" s="26"/>
      <c r="E20" s="26"/>
      <c r="F20" s="26"/>
      <c r="G20" s="48"/>
    </row>
    <row r="21" ht="15.5" customHeight="1" spans="1:7">
      <c r="A21" s="23"/>
      <c r="B21" s="27"/>
      <c r="C21" s="26"/>
      <c r="D21" s="26"/>
      <c r="E21" s="26"/>
      <c r="F21" s="26"/>
      <c r="G21" s="48"/>
    </row>
    <row r="22" ht="15.5" customHeight="1" spans="1:7">
      <c r="A22" s="23"/>
      <c r="B22" s="27"/>
      <c r="C22" s="26"/>
      <c r="D22" s="26"/>
      <c r="E22" s="26"/>
      <c r="F22" s="26"/>
      <c r="G22" s="48" t="str">
        <f t="shared" ref="G22:G27" si="2">IF(D22=0,"",F22/D22*100)</f>
        <v/>
      </c>
    </row>
    <row r="23" ht="15.5" customHeight="1" spans="1:7">
      <c r="A23" s="23"/>
      <c r="B23" s="27"/>
      <c r="C23" s="26"/>
      <c r="D23" s="26"/>
      <c r="E23" s="26"/>
      <c r="F23" s="26"/>
      <c r="G23" s="48" t="str">
        <f t="shared" si="2"/>
        <v/>
      </c>
    </row>
    <row r="24" ht="15.5" customHeight="1" spans="1:7">
      <c r="A24" s="23"/>
      <c r="B24" s="27"/>
      <c r="C24" s="26"/>
      <c r="D24" s="26"/>
      <c r="E24" s="26"/>
      <c r="F24" s="26"/>
      <c r="G24" s="48" t="str">
        <f t="shared" si="2"/>
        <v/>
      </c>
    </row>
    <row r="25" ht="15.5" customHeight="1" spans="1:7">
      <c r="A25" s="45"/>
      <c r="B25" s="50"/>
      <c r="C25" s="26"/>
      <c r="D25" s="26"/>
      <c r="E25" s="26"/>
      <c r="F25" s="26"/>
      <c r="G25" s="48" t="str">
        <f t="shared" si="2"/>
        <v/>
      </c>
    </row>
    <row r="26" ht="15.5" customHeight="1" spans="1:7">
      <c r="A26" s="45"/>
      <c r="B26" s="50"/>
      <c r="C26" s="26"/>
      <c r="D26" s="26"/>
      <c r="E26" s="26"/>
      <c r="F26" s="26"/>
      <c r="G26" s="48" t="str">
        <f t="shared" si="2"/>
        <v/>
      </c>
    </row>
    <row r="27" ht="15.5" customHeight="1" spans="1:7">
      <c r="A27" s="45" t="s">
        <v>689</v>
      </c>
      <c r="B27" s="45" t="s">
        <v>153</v>
      </c>
      <c r="C27" s="26">
        <f>SUM(C6:C26)</f>
        <v>0</v>
      </c>
      <c r="D27" s="26">
        <f>SUM(D6:D26)</f>
        <v>0</v>
      </c>
      <c r="E27" s="26">
        <f>SUM(E6:E26)</f>
        <v>0</v>
      </c>
      <c r="F27" s="26">
        <f>SUM(F6:F26)</f>
        <v>0</v>
      </c>
      <c r="G27" s="48" t="str">
        <f t="shared" si="2"/>
        <v/>
      </c>
    </row>
    <row r="28" ht="15.5" customHeight="1" spans="1:7">
      <c r="A28" s="29" t="str">
        <f>封面!D11&amp;封面!G11</f>
        <v>被评估单位填表人：</v>
      </c>
      <c r="E28" s="13" t="str">
        <f>"评估人员："&amp;封面!G38</f>
        <v>评估人员：</v>
      </c>
    </row>
    <row r="29" ht="15.5" customHeight="1" spans="1:7">
      <c r="A29" s="29" t="str">
        <f>CONCATENATE(封面!D13,封面!F13,封面!G13,封面!H13,封面!I13,封面!J13,封面!K13)</f>
        <v>填表日期：年月日</v>
      </c>
    </row>
  </sheetData>
  <mergeCells count="2">
    <mergeCell ref="A2:G2"/>
    <mergeCell ref="A3:G3"/>
  </mergeCells>
  <hyperlinks>
    <hyperlink ref="A1" location="索引目录!G6" display="返回索引页"/>
    <hyperlink ref="B1" location="分类汇总!B39" display="返回"/>
    <hyperlink ref="B6" location="短期借款!B1" display="短期借款"/>
    <hyperlink ref="B7" location="交易性金融负债!B1" display="交易性金融负债"/>
    <hyperlink ref="B8" location="应付票据!B1" display="应付票据"/>
    <hyperlink ref="B9" location="应付账款!B1" display="应付账款"/>
    <hyperlink ref="B10" location="预收账款!B1" display="预收款项"/>
    <hyperlink ref="B11" location="职工薪酬!B1" display="应付职工薪酬"/>
    <hyperlink ref="B12" location="应交税费!B1" display="应交税费"/>
    <hyperlink ref="B13" location="应付利息!B1" display="应付利息"/>
    <hyperlink ref="B14" location="'应付股利（利润）'!B1" display="应付股利（应付利润）"/>
    <hyperlink ref="B15" location="其他应付款!B1" display="其他应付款"/>
    <hyperlink ref="B16" location="一年到期非流动负债!B1" display="一年内到期的非流动负债"/>
    <hyperlink ref="B17" location="其他流动负债!B1" display="其他流动负债"/>
  </hyperlinks>
  <printOptions horizontalCentered="1"/>
  <pageMargins left="0.354330708661417" right="0.354330708661417" top="0.78740157480315" bottom="0.78740157480315" header="0.99" footer="0.511811023622047"/>
  <pageSetup paperSize="9" fitToHeight="0" orientation="landscape"/>
  <headerFooter alignWithMargins="0">
    <oddHeader>&amp;R&amp;"宋体,常规"共&amp;"Times New Roman,常规"&amp;N&amp;"宋体,常规"页第&amp;"Times New Roman,常规"&amp;P&amp;"宋体,常规"5
页</oddHeader>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4">
    <pageSetUpPr fitToPage="1"/>
  </sheetPr>
  <dimension ref="A1:M29"/>
  <sheetViews>
    <sheetView view="pageBreakPreview" zoomScale="60" zoomScaleNormal="100" workbookViewId="0">
      <selection activeCell="G451" sqref="G451"/>
    </sheetView>
  </sheetViews>
  <sheetFormatPr defaultColWidth="9" defaultRowHeight="15.75" customHeight="1"/>
  <cols>
    <col min="1" max="1" width="5.5" style="13" customWidth="1"/>
    <col min="2" max="2" width="20" style="13" customWidth="1"/>
    <col min="3" max="4" width="8.75" style="13" customWidth="1"/>
    <col min="5" max="6" width="7.25" style="13" customWidth="1"/>
    <col min="7" max="7" width="10.5833333333333" style="13" customWidth="1"/>
    <col min="8" max="9" width="13.8333333333333" style="13" hidden="1" customWidth="1" outlineLevel="1"/>
    <col min="10" max="10" width="13.8333333333333" style="13" customWidth="1" collapsed="1"/>
    <col min="11" max="12" width="14.5833333333333" style="13" customWidth="1"/>
    <col min="13" max="13" width="10.5833333333333" style="13" customWidth="1"/>
    <col min="14" max="16384" width="9" style="13" customWidth="1"/>
  </cols>
  <sheetData>
    <row r="1" ht="15.5" customHeight="1" spans="1:13">
      <c r="A1" s="14" t="s">
        <v>111</v>
      </c>
      <c r="B1" s="15" t="s">
        <v>210</v>
      </c>
      <c r="C1" s="16"/>
      <c r="D1" s="16"/>
      <c r="E1" s="16"/>
      <c r="F1" s="16"/>
      <c r="G1" s="16"/>
      <c r="H1" s="16"/>
      <c r="I1" s="16"/>
      <c r="J1" s="16"/>
      <c r="K1" s="16"/>
      <c r="L1" s="16"/>
      <c r="M1" s="16"/>
    </row>
    <row r="2" s="11" customFormat="1" ht="30" customHeight="1" spans="1:13">
      <c r="A2" s="17" t="s">
        <v>690</v>
      </c>
    </row>
    <row r="3" ht="14.15" customHeight="1" spans="1:13">
      <c r="A3" s="18" t="str">
        <f>CONCATENATE(封面!D9,封面!F9,封面!G9,封面!H9,封面!I9,封面!J9,封面!K9)</f>
        <v>评估基准日：年月日</v>
      </c>
    </row>
    <row r="4" ht="15.5" customHeight="1" spans="1:13">
      <c r="A4" s="19" t="str">
        <f>封面!D7&amp;封面!F7</f>
        <v>被评估单位：</v>
      </c>
      <c r="M4" s="20" t="s">
        <v>139</v>
      </c>
    </row>
    <row r="5" s="12" customFormat="1" ht="13" customHeight="1" spans="1:13">
      <c r="A5" s="21" t="s">
        <v>141</v>
      </c>
      <c r="B5" s="21" t="s">
        <v>691</v>
      </c>
      <c r="C5" s="21" t="s">
        <v>326</v>
      </c>
      <c r="D5" s="21" t="s">
        <v>444</v>
      </c>
      <c r="E5" s="21" t="s">
        <v>692</v>
      </c>
      <c r="F5" s="21" t="s">
        <v>278</v>
      </c>
      <c r="G5" s="21" t="s">
        <v>693</v>
      </c>
      <c r="H5" s="22" t="s">
        <v>175</v>
      </c>
      <c r="I5" s="22" t="s">
        <v>281</v>
      </c>
      <c r="J5" s="21" t="s">
        <v>176</v>
      </c>
      <c r="K5" s="21" t="s">
        <v>694</v>
      </c>
      <c r="L5" s="21" t="s">
        <v>177</v>
      </c>
      <c r="M5" s="21" t="s">
        <v>144</v>
      </c>
    </row>
    <row r="6" ht="15.5" customHeight="1" spans="1:13">
      <c r="A6" s="23"/>
      <c r="B6" s="24"/>
      <c r="C6" s="25"/>
      <c r="D6" s="25"/>
      <c r="E6" s="25"/>
      <c r="F6" s="23"/>
      <c r="G6" s="26"/>
      <c r="H6" s="26"/>
      <c r="I6" s="26"/>
      <c r="J6" s="26"/>
      <c r="K6" s="38"/>
      <c r="L6" s="26"/>
      <c r="M6" s="27"/>
    </row>
    <row r="7" ht="15.5" customHeight="1" spans="1:13">
      <c r="A7" s="23"/>
      <c r="B7" s="24"/>
      <c r="C7" s="25"/>
      <c r="D7" s="25"/>
      <c r="E7" s="23"/>
      <c r="F7" s="23"/>
      <c r="G7" s="26"/>
      <c r="H7" s="26"/>
      <c r="I7" s="26"/>
      <c r="J7" s="26"/>
      <c r="K7" s="38"/>
      <c r="L7" s="26"/>
      <c r="M7" s="27"/>
    </row>
    <row r="8" ht="15.5" customHeight="1" spans="1:13">
      <c r="A8" s="23"/>
      <c r="B8" s="24"/>
      <c r="C8" s="25"/>
      <c r="D8" s="25"/>
      <c r="E8" s="23"/>
      <c r="F8" s="23"/>
      <c r="G8" s="26"/>
      <c r="H8" s="26"/>
      <c r="I8" s="26"/>
      <c r="J8" s="26"/>
      <c r="K8" s="38"/>
      <c r="L8" s="26"/>
      <c r="M8" s="27"/>
    </row>
    <row r="9" ht="15.5" customHeight="1" spans="1:13">
      <c r="A9" s="23"/>
      <c r="B9" s="24"/>
      <c r="C9" s="25"/>
      <c r="D9" s="25"/>
      <c r="E9" s="23"/>
      <c r="F9" s="23"/>
      <c r="G9" s="26"/>
      <c r="H9" s="26"/>
      <c r="I9" s="26"/>
      <c r="J9" s="26"/>
      <c r="K9" s="38"/>
      <c r="L9" s="26"/>
      <c r="M9" s="27"/>
    </row>
    <row r="10" ht="15.5" customHeight="1" spans="1:13">
      <c r="A10" s="23"/>
      <c r="B10" s="24"/>
      <c r="C10" s="25"/>
      <c r="D10" s="25"/>
      <c r="E10" s="23"/>
      <c r="F10" s="23"/>
      <c r="G10" s="26"/>
      <c r="H10" s="26"/>
      <c r="I10" s="26"/>
      <c r="J10" s="26"/>
      <c r="K10" s="38"/>
      <c r="L10" s="26"/>
      <c r="M10" s="27"/>
    </row>
    <row r="11" ht="15.5" customHeight="1" spans="1:13">
      <c r="A11" s="23"/>
      <c r="B11" s="24"/>
      <c r="C11" s="25"/>
      <c r="D11" s="25"/>
      <c r="E11" s="23"/>
      <c r="F11" s="23"/>
      <c r="G11" s="26"/>
      <c r="H11" s="26"/>
      <c r="I11" s="26"/>
      <c r="J11" s="26"/>
      <c r="K11" s="38"/>
      <c r="L11" s="26"/>
      <c r="M11" s="27"/>
    </row>
    <row r="12" ht="15.5" customHeight="1" spans="1:13">
      <c r="A12" s="23"/>
      <c r="B12" s="24"/>
      <c r="C12" s="25"/>
      <c r="D12" s="25"/>
      <c r="E12" s="23"/>
      <c r="F12" s="23"/>
      <c r="G12" s="26"/>
      <c r="H12" s="26"/>
      <c r="I12" s="26"/>
      <c r="J12" s="26"/>
      <c r="K12" s="38"/>
      <c r="L12" s="26"/>
      <c r="M12" s="27"/>
    </row>
    <row r="13" ht="15.5" customHeight="1" spans="1:13">
      <c r="A13" s="23"/>
      <c r="B13" s="24"/>
      <c r="C13" s="25"/>
      <c r="D13" s="25"/>
      <c r="E13" s="23"/>
      <c r="F13" s="23"/>
      <c r="G13" s="26"/>
      <c r="H13" s="26"/>
      <c r="I13" s="26"/>
      <c r="J13" s="26"/>
      <c r="K13" s="38"/>
      <c r="L13" s="26"/>
      <c r="M13" s="27"/>
    </row>
    <row r="14" ht="15.5" customHeight="1" spans="1:13">
      <c r="A14" s="23"/>
      <c r="B14" s="24"/>
      <c r="C14" s="25"/>
      <c r="D14" s="25"/>
      <c r="E14" s="23"/>
      <c r="F14" s="23"/>
      <c r="G14" s="26"/>
      <c r="H14" s="26"/>
      <c r="I14" s="26"/>
      <c r="J14" s="26"/>
      <c r="K14" s="38"/>
      <c r="L14" s="26"/>
      <c r="M14" s="27"/>
    </row>
    <row r="15" ht="15.5" customHeight="1" spans="1:13">
      <c r="A15" s="23"/>
      <c r="B15" s="24"/>
      <c r="C15" s="25"/>
      <c r="D15" s="25"/>
      <c r="E15" s="23"/>
      <c r="F15" s="23"/>
      <c r="G15" s="26"/>
      <c r="H15" s="26"/>
      <c r="I15" s="26"/>
      <c r="J15" s="26"/>
      <c r="K15" s="38"/>
      <c r="L15" s="26"/>
      <c r="M15" s="27"/>
    </row>
    <row r="16" ht="15.5" customHeight="1" spans="1:13">
      <c r="A16" s="23"/>
      <c r="B16" s="24"/>
      <c r="C16" s="25"/>
      <c r="D16" s="25"/>
      <c r="E16" s="23"/>
      <c r="F16" s="23"/>
      <c r="G16" s="26"/>
      <c r="H16" s="26"/>
      <c r="I16" s="26"/>
      <c r="J16" s="26"/>
      <c r="K16" s="38"/>
      <c r="L16" s="26"/>
      <c r="M16" s="27"/>
    </row>
    <row r="17" ht="15.5" customHeight="1" spans="1:13">
      <c r="A17" s="23"/>
      <c r="B17" s="24"/>
      <c r="C17" s="25"/>
      <c r="D17" s="25"/>
      <c r="E17" s="23"/>
      <c r="F17" s="23"/>
      <c r="G17" s="26"/>
      <c r="H17" s="26"/>
      <c r="I17" s="26"/>
      <c r="J17" s="26"/>
      <c r="K17" s="38"/>
      <c r="L17" s="26"/>
      <c r="M17" s="27"/>
    </row>
    <row r="18" ht="15.5" customHeight="1" spans="1:13">
      <c r="A18" s="23"/>
      <c r="B18" s="24"/>
      <c r="C18" s="25"/>
      <c r="D18" s="25"/>
      <c r="E18" s="23"/>
      <c r="F18" s="23"/>
      <c r="G18" s="26"/>
      <c r="H18" s="26"/>
      <c r="I18" s="26"/>
      <c r="J18" s="26"/>
      <c r="K18" s="38"/>
      <c r="L18" s="26"/>
      <c r="M18" s="27"/>
    </row>
    <row r="19" ht="15.5" customHeight="1" spans="1:13">
      <c r="A19" s="23"/>
      <c r="B19" s="24"/>
      <c r="C19" s="25"/>
      <c r="D19" s="25"/>
      <c r="E19" s="23"/>
      <c r="F19" s="23"/>
      <c r="G19" s="26"/>
      <c r="H19" s="26"/>
      <c r="I19" s="26"/>
      <c r="J19" s="26"/>
      <c r="K19" s="38"/>
      <c r="L19" s="26"/>
      <c r="M19" s="27"/>
    </row>
    <row r="20" ht="15.5" customHeight="1" spans="1:13">
      <c r="A20" s="23"/>
      <c r="B20" s="24"/>
      <c r="C20" s="25"/>
      <c r="D20" s="25"/>
      <c r="E20" s="23"/>
      <c r="F20" s="23"/>
      <c r="G20" s="26"/>
      <c r="H20" s="26"/>
      <c r="I20" s="26"/>
      <c r="J20" s="26"/>
      <c r="K20" s="38"/>
      <c r="L20" s="26"/>
      <c r="M20" s="27"/>
    </row>
    <row r="21" ht="15.5" customHeight="1" spans="1:13">
      <c r="A21" s="23"/>
      <c r="B21" s="24"/>
      <c r="C21" s="25"/>
      <c r="D21" s="25"/>
      <c r="E21" s="23"/>
      <c r="F21" s="23"/>
      <c r="G21" s="26"/>
      <c r="H21" s="26"/>
      <c r="I21" s="26"/>
      <c r="J21" s="26"/>
      <c r="K21" s="38"/>
      <c r="L21" s="26"/>
      <c r="M21" s="27"/>
    </row>
    <row r="22" ht="15.5" customHeight="1" spans="1:13">
      <c r="A22" s="23"/>
      <c r="B22" s="24"/>
      <c r="C22" s="25"/>
      <c r="D22" s="25"/>
      <c r="E22" s="23"/>
      <c r="F22" s="23"/>
      <c r="G22" s="26"/>
      <c r="H22" s="26"/>
      <c r="I22" s="26"/>
      <c r="J22" s="26"/>
      <c r="K22" s="38"/>
      <c r="L22" s="26"/>
      <c r="M22" s="27"/>
    </row>
    <row r="23" ht="15.5" customHeight="1" spans="1:13">
      <c r="A23" s="23"/>
      <c r="B23" s="24"/>
      <c r="C23" s="25"/>
      <c r="D23" s="25"/>
      <c r="E23" s="23"/>
      <c r="F23" s="23"/>
      <c r="G23" s="26"/>
      <c r="H23" s="26"/>
      <c r="I23" s="26"/>
      <c r="J23" s="26"/>
      <c r="K23" s="38"/>
      <c r="L23" s="26"/>
      <c r="M23" s="27"/>
    </row>
    <row r="24" ht="15.5" customHeight="1" spans="1:13">
      <c r="A24" s="23"/>
      <c r="B24" s="24"/>
      <c r="C24" s="25"/>
      <c r="D24" s="25"/>
      <c r="E24" s="23"/>
      <c r="F24" s="23"/>
      <c r="G24" s="26"/>
      <c r="H24" s="26"/>
      <c r="I24" s="26"/>
      <c r="J24" s="26"/>
      <c r="K24" s="38"/>
      <c r="L24" s="26"/>
      <c r="M24" s="27"/>
    </row>
    <row r="25" ht="15.5" customHeight="1" spans="1:13">
      <c r="A25" s="23"/>
      <c r="B25" s="24"/>
      <c r="C25" s="25"/>
      <c r="D25" s="25"/>
      <c r="E25" s="23"/>
      <c r="F25" s="23"/>
      <c r="G25" s="26"/>
      <c r="H25" s="26"/>
      <c r="I25" s="26"/>
      <c r="J25" s="26"/>
      <c r="K25" s="38"/>
      <c r="L25" s="26"/>
      <c r="M25" s="27"/>
    </row>
    <row r="26" ht="15.5" customHeight="1" spans="1:13">
      <c r="A26" s="23"/>
      <c r="B26" s="24"/>
      <c r="C26" s="25"/>
      <c r="D26" s="25"/>
      <c r="E26" s="23"/>
      <c r="F26" s="23"/>
      <c r="G26" s="26"/>
      <c r="H26" s="26"/>
      <c r="I26" s="26"/>
      <c r="J26" s="26"/>
      <c r="K26" s="38"/>
      <c r="L26" s="26"/>
      <c r="M26" s="27"/>
    </row>
    <row r="27" ht="15.5" customHeight="1" spans="1:13">
      <c r="A27" s="21" t="s">
        <v>695</v>
      </c>
      <c r="B27" s="28"/>
      <c r="C27" s="25"/>
      <c r="D27" s="25"/>
      <c r="E27" s="23"/>
      <c r="F27" s="23"/>
      <c r="G27" s="26"/>
      <c r="H27" s="26">
        <f>SUM(H6:H26)</f>
        <v>0</v>
      </c>
      <c r="I27" s="26"/>
      <c r="J27" s="26">
        <f>SUM(J6:J26)</f>
        <v>0</v>
      </c>
      <c r="K27" s="38"/>
      <c r="L27" s="26">
        <f>SUM(L6:L26)</f>
        <v>0</v>
      </c>
      <c r="M27" s="27"/>
    </row>
    <row r="28" ht="15.5" customHeight="1" spans="1:13">
      <c r="A28" s="29" t="str">
        <f>封面!D11&amp;封面!G11</f>
        <v>被评估单位填表人：</v>
      </c>
      <c r="J28" s="19" t="str">
        <f>"评估人员："&amp;封面!G38</f>
        <v>评估人员：</v>
      </c>
    </row>
    <row r="29" ht="15.5" customHeight="1" spans="1:13">
      <c r="A29" s="29" t="str">
        <f>CONCATENATE(封面!D13,封面!F13,封面!G13,封面!H13,封面!I13,封面!J13,封面!K13)</f>
        <v>填表日期：年月日</v>
      </c>
    </row>
  </sheetData>
  <mergeCells count="3">
    <mergeCell ref="A2:M2"/>
    <mergeCell ref="A3:M3"/>
    <mergeCell ref="A27:B27"/>
  </mergeCells>
  <hyperlinks>
    <hyperlink ref="A1" location="索引目录!I6" display="返回索引页"/>
    <hyperlink ref="B1" location="流动负债汇总!B6" display="返回"/>
  </hyperlinks>
  <printOptions horizontalCentered="1"/>
  <pageMargins left="0.354330708661417" right="0.354330708661417" top="0.78740157480315" bottom="0.78740157480315" header="1.03" footer="0.511811023622047"/>
  <pageSetup paperSize="9" fitToHeight="0" orientation="landscape"/>
  <headerFooter alignWithMargins="0">
    <oddHeader>&amp;R&amp;"宋体,常规"共&amp;"Times New Roman,常规"&amp;N&amp;"宋体,常规"页第&amp;"Times New Roman,常规"&amp;P&amp;"宋体,常规"5-1
页</oddHeader>
  </headerFooter>
  <legacyDrawing r:id="rId2"/>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5">
    <pageSetUpPr fitToPage="1"/>
  </sheetPr>
  <dimension ref="A1:I29"/>
  <sheetViews>
    <sheetView view="pageBreakPreview" zoomScale="60" zoomScaleNormal="100" workbookViewId="0">
      <selection activeCell="G451" sqref="G451"/>
    </sheetView>
  </sheetViews>
  <sheetFormatPr defaultColWidth="9" defaultRowHeight="15.75" customHeight="1"/>
  <cols>
    <col min="1" max="1" width="6.25" style="13" customWidth="1"/>
    <col min="2" max="2" width="30" style="13" customWidth="1"/>
    <col min="3" max="3" width="12.5" style="13" customWidth="1"/>
    <col min="4" max="4" width="18.75" style="13" customWidth="1"/>
    <col min="5" max="6" width="18.75" style="13" hidden="1" customWidth="1" outlineLevel="1"/>
    <col min="7" max="7" width="18.75" style="13" customWidth="1" collapsed="1"/>
    <col min="8" max="8" width="18.75" style="13" customWidth="1"/>
    <col min="9" max="9" width="15.5" style="13" customWidth="1"/>
    <col min="10" max="16384" width="9" style="13" customWidth="1"/>
  </cols>
  <sheetData>
    <row r="1" ht="15.5" customHeight="1" spans="1:9">
      <c r="A1" s="14" t="s">
        <v>111</v>
      </c>
      <c r="B1" s="15" t="s">
        <v>210</v>
      </c>
      <c r="C1" s="16"/>
      <c r="D1" s="16"/>
      <c r="E1" s="16"/>
      <c r="F1" s="16"/>
      <c r="G1" s="16"/>
      <c r="H1" s="16"/>
      <c r="I1" s="16"/>
    </row>
    <row r="2" s="11" customFormat="1" ht="30" customHeight="1" spans="1:9">
      <c r="A2" s="17" t="s">
        <v>696</v>
      </c>
    </row>
    <row r="3" ht="14.15" customHeight="1" spans="1:9">
      <c r="A3" s="18" t="str">
        <f>CONCATENATE(封面!D9,封面!F9,封面!G9,封面!H9,封面!I9,封面!J9,封面!K9)</f>
        <v>评估基准日：年月日</v>
      </c>
    </row>
    <row r="4" ht="15.5" customHeight="1" spans="1:9">
      <c r="A4" s="19" t="str">
        <f>封面!D7&amp;封面!F7</f>
        <v>被评估单位：</v>
      </c>
      <c r="I4" s="20" t="s">
        <v>139</v>
      </c>
    </row>
    <row r="5" s="12" customFormat="1" ht="13" customHeight="1" spans="1:9">
      <c r="A5" s="21" t="s">
        <v>141</v>
      </c>
      <c r="B5" s="21" t="s">
        <v>316</v>
      </c>
      <c r="C5" s="21" t="s">
        <v>326</v>
      </c>
      <c r="D5" s="21" t="s">
        <v>325</v>
      </c>
      <c r="E5" s="22" t="s">
        <v>175</v>
      </c>
      <c r="F5" s="22" t="s">
        <v>281</v>
      </c>
      <c r="G5" s="21" t="s">
        <v>176</v>
      </c>
      <c r="H5" s="21" t="s">
        <v>177</v>
      </c>
      <c r="I5" s="21" t="s">
        <v>144</v>
      </c>
    </row>
    <row r="6" ht="15.5" customHeight="1" spans="1:9">
      <c r="A6" s="23"/>
      <c r="B6" s="24"/>
      <c r="C6" s="25"/>
      <c r="D6" s="23"/>
      <c r="E6" s="26"/>
      <c r="F6" s="26"/>
      <c r="G6" s="26"/>
      <c r="H6" s="26"/>
      <c r="I6" s="27"/>
    </row>
    <row r="7" ht="15.5" customHeight="1" spans="1:9">
      <c r="A7" s="23"/>
      <c r="B7" s="24"/>
      <c r="C7" s="25"/>
      <c r="D7" s="23"/>
      <c r="E7" s="26"/>
      <c r="F7" s="26"/>
      <c r="G7" s="26"/>
      <c r="H7" s="26"/>
      <c r="I7" s="27"/>
    </row>
    <row r="8" ht="15.5" customHeight="1" spans="1:9">
      <c r="A8" s="23"/>
      <c r="B8" s="24"/>
      <c r="C8" s="25"/>
      <c r="D8" s="23"/>
      <c r="E8" s="26"/>
      <c r="F8" s="26"/>
      <c r="G8" s="26"/>
      <c r="H8" s="26"/>
      <c r="I8" s="27"/>
    </row>
    <row r="9" ht="15.5" customHeight="1" spans="1:9">
      <c r="A9" s="23"/>
      <c r="B9" s="24"/>
      <c r="C9" s="25"/>
      <c r="D9" s="23"/>
      <c r="E9" s="26"/>
      <c r="F9" s="26"/>
      <c r="G9" s="26"/>
      <c r="H9" s="26"/>
      <c r="I9" s="27"/>
    </row>
    <row r="10" ht="15.5" customHeight="1" spans="1:9">
      <c r="A10" s="23"/>
      <c r="B10" s="24"/>
      <c r="C10" s="25"/>
      <c r="D10" s="23"/>
      <c r="E10" s="26"/>
      <c r="F10" s="26"/>
      <c r="G10" s="26"/>
      <c r="H10" s="26"/>
      <c r="I10" s="27"/>
    </row>
    <row r="11" ht="15.5" customHeight="1" spans="1:9">
      <c r="A11" s="23"/>
      <c r="B11" s="24"/>
      <c r="C11" s="25"/>
      <c r="D11" s="23"/>
      <c r="E11" s="26"/>
      <c r="F11" s="26"/>
      <c r="G11" s="26"/>
      <c r="H11" s="26"/>
      <c r="I11" s="27"/>
    </row>
    <row r="12" ht="15.5" customHeight="1" spans="1:9">
      <c r="A12" s="23"/>
      <c r="B12" s="24"/>
      <c r="C12" s="25"/>
      <c r="D12" s="23"/>
      <c r="E12" s="26"/>
      <c r="F12" s="26"/>
      <c r="G12" s="26"/>
      <c r="H12" s="26"/>
      <c r="I12" s="27"/>
    </row>
    <row r="13" ht="15.5" customHeight="1" spans="1:9">
      <c r="A13" s="23"/>
      <c r="B13" s="24"/>
      <c r="C13" s="25"/>
      <c r="D13" s="23"/>
      <c r="E13" s="26"/>
      <c r="F13" s="26"/>
      <c r="G13" s="26"/>
      <c r="H13" s="26"/>
      <c r="I13" s="27"/>
    </row>
    <row r="14" ht="15.5" customHeight="1" spans="1:9">
      <c r="A14" s="23"/>
      <c r="B14" s="24"/>
      <c r="C14" s="25"/>
      <c r="D14" s="23"/>
      <c r="E14" s="26"/>
      <c r="F14" s="26"/>
      <c r="G14" s="26"/>
      <c r="H14" s="26"/>
      <c r="I14" s="27"/>
    </row>
    <row r="15" ht="15.5" customHeight="1" spans="1:9">
      <c r="A15" s="23"/>
      <c r="B15" s="24"/>
      <c r="C15" s="25"/>
      <c r="D15" s="23"/>
      <c r="E15" s="26"/>
      <c r="F15" s="26"/>
      <c r="G15" s="26"/>
      <c r="H15" s="26"/>
      <c r="I15" s="27"/>
    </row>
    <row r="16" ht="15.5" customHeight="1" spans="1:9">
      <c r="A16" s="23"/>
      <c r="B16" s="24"/>
      <c r="C16" s="25"/>
      <c r="D16" s="23"/>
      <c r="E16" s="26"/>
      <c r="F16" s="26"/>
      <c r="G16" s="26"/>
      <c r="H16" s="26"/>
      <c r="I16" s="27"/>
    </row>
    <row r="17" ht="15.5" customHeight="1" spans="1:9">
      <c r="A17" s="23"/>
      <c r="B17" s="24"/>
      <c r="C17" s="25"/>
      <c r="D17" s="23"/>
      <c r="E17" s="26"/>
      <c r="F17" s="26"/>
      <c r="G17" s="26"/>
      <c r="H17" s="26"/>
      <c r="I17" s="27"/>
    </row>
    <row r="18" ht="15.5" customHeight="1" spans="1:9">
      <c r="A18" s="23"/>
      <c r="B18" s="24"/>
      <c r="C18" s="25"/>
      <c r="D18" s="23"/>
      <c r="E18" s="26"/>
      <c r="F18" s="26"/>
      <c r="G18" s="26"/>
      <c r="H18" s="26"/>
      <c r="I18" s="27"/>
    </row>
    <row r="19" ht="15.5" customHeight="1" spans="1:9">
      <c r="A19" s="23"/>
      <c r="B19" s="24"/>
      <c r="C19" s="25"/>
      <c r="D19" s="23"/>
      <c r="E19" s="26"/>
      <c r="F19" s="26"/>
      <c r="G19" s="26"/>
      <c r="H19" s="26"/>
      <c r="I19" s="27"/>
    </row>
    <row r="20" ht="15.5" customHeight="1" spans="1:9">
      <c r="A20" s="23"/>
      <c r="B20" s="24"/>
      <c r="C20" s="25"/>
      <c r="D20" s="23"/>
      <c r="E20" s="26"/>
      <c r="F20" s="26"/>
      <c r="G20" s="26"/>
      <c r="H20" s="26"/>
      <c r="I20" s="27"/>
    </row>
    <row r="21" ht="15.5" customHeight="1" spans="1:9">
      <c r="A21" s="23"/>
      <c r="B21" s="24"/>
      <c r="C21" s="25"/>
      <c r="D21" s="23"/>
      <c r="E21" s="26"/>
      <c r="F21" s="26"/>
      <c r="G21" s="26"/>
      <c r="H21" s="26"/>
      <c r="I21" s="27"/>
    </row>
    <row r="22" ht="15.5" customHeight="1" spans="1:9">
      <c r="A22" s="23"/>
      <c r="B22" s="24"/>
      <c r="C22" s="25"/>
      <c r="D22" s="23"/>
      <c r="E22" s="26"/>
      <c r="F22" s="26"/>
      <c r="G22" s="26"/>
      <c r="H22" s="26"/>
      <c r="I22" s="27"/>
    </row>
    <row r="23" ht="15.5" customHeight="1" spans="1:9">
      <c r="A23" s="23"/>
      <c r="B23" s="24"/>
      <c r="C23" s="25"/>
      <c r="D23" s="23"/>
      <c r="E23" s="26"/>
      <c r="F23" s="26"/>
      <c r="G23" s="26"/>
      <c r="H23" s="26"/>
      <c r="I23" s="27"/>
    </row>
    <row r="24" ht="15.5" customHeight="1" spans="1:9">
      <c r="A24" s="23"/>
      <c r="B24" s="24"/>
      <c r="C24" s="25"/>
      <c r="D24" s="23"/>
      <c r="E24" s="26"/>
      <c r="F24" s="26"/>
      <c r="G24" s="26"/>
      <c r="H24" s="26"/>
      <c r="I24" s="27"/>
    </row>
    <row r="25" ht="15.5" customHeight="1" spans="1:9">
      <c r="A25" s="23"/>
      <c r="B25" s="24"/>
      <c r="C25" s="25"/>
      <c r="D25" s="23"/>
      <c r="E25" s="26"/>
      <c r="F25" s="26"/>
      <c r="G25" s="26"/>
      <c r="H25" s="26"/>
      <c r="I25" s="27"/>
    </row>
    <row r="26" ht="15.5" customHeight="1" spans="1:9">
      <c r="A26" s="23"/>
      <c r="B26" s="24"/>
      <c r="C26" s="25"/>
      <c r="D26" s="23"/>
      <c r="E26" s="26"/>
      <c r="F26" s="26"/>
      <c r="G26" s="26"/>
      <c r="H26" s="26"/>
      <c r="I26" s="27"/>
    </row>
    <row r="27" ht="15.5" customHeight="1" spans="1:9">
      <c r="A27" s="21" t="s">
        <v>697</v>
      </c>
      <c r="B27" s="28"/>
      <c r="C27" s="25"/>
      <c r="D27" s="23"/>
      <c r="E27" s="26">
        <f>SUM(E6:E26)</f>
        <v>0</v>
      </c>
      <c r="F27" s="26"/>
      <c r="G27" s="26">
        <f>SUM(G6:G26)</f>
        <v>0</v>
      </c>
      <c r="H27" s="26">
        <f>SUM(H6:H26)</f>
        <v>0</v>
      </c>
      <c r="I27" s="27"/>
    </row>
    <row r="28" ht="15.5" customHeight="1" spans="1:9">
      <c r="A28" s="29" t="str">
        <f>封面!D11&amp;封面!G11</f>
        <v>被评估单位填表人：</v>
      </c>
      <c r="G28" s="19" t="str">
        <f>"评估人员："&amp;封面!G38</f>
        <v>评估人员：</v>
      </c>
    </row>
    <row r="29" ht="15.5" customHeight="1" spans="1:9">
      <c r="A29" s="29" t="str">
        <f>CONCATENATE(封面!D13,封面!F13,封面!G13,封面!H13,封面!I13,封面!J13,封面!K13)</f>
        <v>填表日期：年月日</v>
      </c>
    </row>
  </sheetData>
  <mergeCells count="3">
    <mergeCell ref="A2:I2"/>
    <mergeCell ref="A3:I3"/>
    <mergeCell ref="A27:B27"/>
  </mergeCells>
  <hyperlinks>
    <hyperlink ref="A1" location="索引目录!I7" display="返回索引页"/>
    <hyperlink ref="B1" location="流动负债汇总!B7" display="返回"/>
  </hyperlinks>
  <printOptions horizontalCentered="1"/>
  <pageMargins left="0.354330708661417" right="0.354330708661417" top="0.78740157480315" bottom="0.78740157480315" header="1.01" footer="0.511811023622047"/>
  <pageSetup paperSize="9" fitToHeight="0" orientation="landscape"/>
  <headerFooter alignWithMargins="0">
    <oddHeader>&amp;R&amp;"宋体,常规"共&amp;"Times New Roman,常规"&amp;N&amp;"宋体,常规"页第&amp;"Times New Roman,常规"&amp;P&amp;"宋体,常规"5-2
页</oddHeader>
  </headerFooter>
  <legacyDrawing r:id="rId2"/>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6">
    <pageSetUpPr fitToPage="1"/>
  </sheetPr>
  <dimension ref="A1:J29"/>
  <sheetViews>
    <sheetView view="pageBreakPreview" zoomScale="60" zoomScaleNormal="100" workbookViewId="0">
      <selection activeCell="G451" sqref="G451"/>
    </sheetView>
  </sheetViews>
  <sheetFormatPr defaultColWidth="9" defaultRowHeight="15.75" customHeight="1"/>
  <cols>
    <col min="1" max="1" width="6.75" style="13" customWidth="1"/>
    <col min="2" max="2" width="27" style="13" customWidth="1"/>
    <col min="3" max="4" width="11" style="13" customWidth="1"/>
    <col min="5" max="5" width="10.5" style="13" customWidth="1"/>
    <col min="6" max="7" width="16" style="13" hidden="1" customWidth="1" outlineLevel="1"/>
    <col min="8" max="8" width="18.8333333333333" style="13" customWidth="1" collapsed="1"/>
    <col min="9" max="9" width="18.8333333333333" style="13" customWidth="1"/>
    <col min="10" max="10" width="16.75" style="13" customWidth="1"/>
    <col min="11" max="16384" width="9" style="13" customWidth="1"/>
  </cols>
  <sheetData>
    <row r="1" ht="15.5" customHeight="1" spans="1:10">
      <c r="A1" s="14" t="s">
        <v>111</v>
      </c>
      <c r="B1" s="15" t="s">
        <v>210</v>
      </c>
      <c r="C1" s="16"/>
      <c r="D1" s="16"/>
      <c r="E1" s="16"/>
      <c r="F1" s="16"/>
      <c r="G1" s="16"/>
      <c r="H1" s="16"/>
      <c r="I1" s="16"/>
      <c r="J1" s="16"/>
    </row>
    <row r="2" s="11" customFormat="1" ht="30" customHeight="1" spans="1:10">
      <c r="A2" s="17" t="s">
        <v>698</v>
      </c>
    </row>
    <row r="3" ht="14.15" customHeight="1" spans="1:10">
      <c r="A3" s="18" t="str">
        <f>CONCATENATE(封面!D9,封面!F9,封面!G9,封面!H9,封面!I9,封面!J9,封面!K9)</f>
        <v>评估基准日：年月日</v>
      </c>
    </row>
    <row r="4" ht="15.5" customHeight="1" spans="1:10">
      <c r="A4" s="19" t="str">
        <f>封面!D7&amp;封面!F7</f>
        <v>被评估单位：</v>
      </c>
      <c r="J4" s="20" t="s">
        <v>139</v>
      </c>
    </row>
    <row r="5" s="12" customFormat="1" ht="13" customHeight="1" spans="1:10">
      <c r="A5" s="21" t="s">
        <v>141</v>
      </c>
      <c r="B5" s="21" t="s">
        <v>316</v>
      </c>
      <c r="C5" s="21" t="s">
        <v>326</v>
      </c>
      <c r="D5" s="21" t="s">
        <v>444</v>
      </c>
      <c r="E5" s="21" t="s">
        <v>308</v>
      </c>
      <c r="F5" s="22" t="s">
        <v>175</v>
      </c>
      <c r="G5" s="22" t="s">
        <v>281</v>
      </c>
      <c r="H5" s="21" t="s">
        <v>176</v>
      </c>
      <c r="I5" s="21" t="s">
        <v>177</v>
      </c>
      <c r="J5" s="21" t="s">
        <v>144</v>
      </c>
    </row>
    <row r="6" ht="15.5" customHeight="1" spans="1:10">
      <c r="A6" s="23"/>
      <c r="B6" s="24"/>
      <c r="C6" s="25"/>
      <c r="D6" s="23"/>
      <c r="E6" s="23"/>
      <c r="F6" s="26"/>
      <c r="G6" s="26"/>
      <c r="H6" s="26"/>
      <c r="I6" s="26"/>
      <c r="J6" s="27"/>
    </row>
    <row r="7" ht="15.5" customHeight="1" spans="1:10">
      <c r="A7" s="23"/>
      <c r="B7" s="24"/>
      <c r="C7" s="25"/>
      <c r="D7" s="25"/>
      <c r="E7" s="23"/>
      <c r="F7" s="26"/>
      <c r="G7" s="26"/>
      <c r="H7" s="26"/>
      <c r="I7" s="26"/>
      <c r="J7" s="27"/>
    </row>
    <row r="8" ht="15.5" customHeight="1" spans="1:10">
      <c r="A8" s="23"/>
      <c r="B8" s="24"/>
      <c r="C8" s="25"/>
      <c r="D8" s="25"/>
      <c r="E8" s="23"/>
      <c r="F8" s="26"/>
      <c r="G8" s="26"/>
      <c r="H8" s="26"/>
      <c r="I8" s="26"/>
      <c r="J8" s="27"/>
    </row>
    <row r="9" ht="15.5" customHeight="1" spans="1:10">
      <c r="A9" s="23"/>
      <c r="B9" s="24"/>
      <c r="C9" s="25"/>
      <c r="D9" s="25"/>
      <c r="E9" s="23"/>
      <c r="F9" s="26"/>
      <c r="G9" s="26"/>
      <c r="H9" s="26"/>
      <c r="I9" s="26"/>
      <c r="J9" s="27"/>
    </row>
    <row r="10" ht="15.5" customHeight="1" spans="1:10">
      <c r="A10" s="23"/>
      <c r="B10" s="24"/>
      <c r="C10" s="25"/>
      <c r="D10" s="25"/>
      <c r="E10" s="23"/>
      <c r="F10" s="26"/>
      <c r="G10" s="26"/>
      <c r="H10" s="26"/>
      <c r="I10" s="26"/>
      <c r="J10" s="27"/>
    </row>
    <row r="11" ht="15.5" customHeight="1" spans="1:10">
      <c r="A11" s="23"/>
      <c r="B11" s="24"/>
      <c r="C11" s="25"/>
      <c r="D11" s="25"/>
      <c r="E11" s="23"/>
      <c r="F11" s="26"/>
      <c r="G11" s="26"/>
      <c r="H11" s="26"/>
      <c r="I11" s="26"/>
      <c r="J11" s="27"/>
    </row>
    <row r="12" ht="15.5" customHeight="1" spans="1:10">
      <c r="A12" s="23"/>
      <c r="B12" s="24"/>
      <c r="C12" s="25"/>
      <c r="D12" s="25"/>
      <c r="E12" s="23"/>
      <c r="F12" s="26"/>
      <c r="G12" s="26"/>
      <c r="H12" s="26"/>
      <c r="I12" s="26"/>
      <c r="J12" s="27"/>
    </row>
    <row r="13" ht="15.5" customHeight="1" spans="1:10">
      <c r="A13" s="23"/>
      <c r="B13" s="24"/>
      <c r="C13" s="25"/>
      <c r="D13" s="25"/>
      <c r="E13" s="23"/>
      <c r="F13" s="26"/>
      <c r="G13" s="26"/>
      <c r="H13" s="26"/>
      <c r="I13" s="26"/>
      <c r="J13" s="27"/>
    </row>
    <row r="14" ht="15.5" customHeight="1" spans="1:10">
      <c r="A14" s="23"/>
      <c r="B14" s="24"/>
      <c r="C14" s="25"/>
      <c r="D14" s="25"/>
      <c r="E14" s="23"/>
      <c r="F14" s="26"/>
      <c r="G14" s="26"/>
      <c r="H14" s="26"/>
      <c r="I14" s="26"/>
      <c r="J14" s="27"/>
    </row>
    <row r="15" ht="15.5" customHeight="1" spans="1:10">
      <c r="A15" s="23"/>
      <c r="B15" s="24"/>
      <c r="C15" s="25"/>
      <c r="D15" s="25"/>
      <c r="E15" s="23"/>
      <c r="F15" s="26"/>
      <c r="G15" s="26"/>
      <c r="H15" s="26"/>
      <c r="I15" s="26"/>
      <c r="J15" s="27"/>
    </row>
    <row r="16" ht="15.5" customHeight="1" spans="1:10">
      <c r="A16" s="23"/>
      <c r="B16" s="24"/>
      <c r="C16" s="25"/>
      <c r="D16" s="25"/>
      <c r="E16" s="23"/>
      <c r="F16" s="26"/>
      <c r="G16" s="26"/>
      <c r="H16" s="26"/>
      <c r="I16" s="26"/>
      <c r="J16" s="27"/>
    </row>
    <row r="17" ht="15.5" customHeight="1" spans="1:10">
      <c r="A17" s="23"/>
      <c r="B17" s="24"/>
      <c r="C17" s="25"/>
      <c r="D17" s="25"/>
      <c r="E17" s="23"/>
      <c r="F17" s="26"/>
      <c r="G17" s="26"/>
      <c r="H17" s="26"/>
      <c r="I17" s="26"/>
      <c r="J17" s="27"/>
    </row>
    <row r="18" ht="15.5" customHeight="1" spans="1:10">
      <c r="A18" s="23"/>
      <c r="B18" s="24"/>
      <c r="C18" s="25"/>
      <c r="D18" s="25"/>
      <c r="E18" s="23"/>
      <c r="F18" s="26"/>
      <c r="G18" s="26"/>
      <c r="H18" s="26"/>
      <c r="I18" s="26"/>
      <c r="J18" s="27"/>
    </row>
    <row r="19" ht="15.5" customHeight="1" spans="1:10">
      <c r="A19" s="23"/>
      <c r="B19" s="24"/>
      <c r="C19" s="25"/>
      <c r="D19" s="25"/>
      <c r="E19" s="23"/>
      <c r="F19" s="26"/>
      <c r="G19" s="26"/>
      <c r="H19" s="26"/>
      <c r="I19" s="26"/>
      <c r="J19" s="27"/>
    </row>
    <row r="20" ht="15.5" customHeight="1" spans="1:10">
      <c r="A20" s="23"/>
      <c r="B20" s="24"/>
      <c r="C20" s="25"/>
      <c r="D20" s="25"/>
      <c r="E20" s="23"/>
      <c r="F20" s="26"/>
      <c r="G20" s="26"/>
      <c r="H20" s="26"/>
      <c r="I20" s="26"/>
      <c r="J20" s="27"/>
    </row>
    <row r="21" ht="15.5" customHeight="1" spans="1:10">
      <c r="A21" s="23"/>
      <c r="B21" s="24"/>
      <c r="C21" s="25"/>
      <c r="D21" s="25"/>
      <c r="E21" s="23"/>
      <c r="F21" s="26"/>
      <c r="G21" s="26"/>
      <c r="H21" s="26"/>
      <c r="I21" s="26"/>
      <c r="J21" s="27"/>
    </row>
    <row r="22" ht="15.5" customHeight="1" spans="1:10">
      <c r="A22" s="23"/>
      <c r="B22" s="24"/>
      <c r="C22" s="25"/>
      <c r="D22" s="25"/>
      <c r="E22" s="23"/>
      <c r="F22" s="26"/>
      <c r="G22" s="26"/>
      <c r="H22" s="26"/>
      <c r="I22" s="26"/>
      <c r="J22" s="27"/>
    </row>
    <row r="23" ht="15.5" customHeight="1" spans="1:10">
      <c r="A23" s="23"/>
      <c r="B23" s="24"/>
      <c r="C23" s="25"/>
      <c r="D23" s="25"/>
      <c r="E23" s="23"/>
      <c r="F23" s="26"/>
      <c r="G23" s="26"/>
      <c r="H23" s="26"/>
      <c r="I23" s="26"/>
      <c r="J23" s="27"/>
    </row>
    <row r="24" ht="15.5" customHeight="1" spans="1:10">
      <c r="A24" s="23"/>
      <c r="B24" s="24"/>
      <c r="C24" s="25"/>
      <c r="D24" s="25"/>
      <c r="E24" s="23"/>
      <c r="F24" s="26"/>
      <c r="G24" s="26"/>
      <c r="H24" s="26"/>
      <c r="I24" s="26"/>
      <c r="J24" s="27"/>
    </row>
    <row r="25" ht="15.5" customHeight="1" spans="1:10">
      <c r="A25" s="23"/>
      <c r="B25" s="24"/>
      <c r="C25" s="25"/>
      <c r="D25" s="25"/>
      <c r="E25" s="23"/>
      <c r="F25" s="26"/>
      <c r="G25" s="26"/>
      <c r="H25" s="26"/>
      <c r="I25" s="26"/>
      <c r="J25" s="27"/>
    </row>
    <row r="26" ht="15.5" customHeight="1" spans="1:10">
      <c r="A26" s="23"/>
      <c r="B26" s="24"/>
      <c r="C26" s="25"/>
      <c r="D26" s="25"/>
      <c r="E26" s="23"/>
      <c r="F26" s="26"/>
      <c r="G26" s="26"/>
      <c r="H26" s="26"/>
      <c r="I26" s="26"/>
      <c r="J26" s="27"/>
    </row>
    <row r="27" ht="15.5" customHeight="1" spans="1:10">
      <c r="A27" s="21" t="s">
        <v>699</v>
      </c>
      <c r="B27" s="28"/>
      <c r="C27" s="25"/>
      <c r="D27" s="25"/>
      <c r="E27" s="23"/>
      <c r="F27" s="26">
        <f>SUM(F6:F26)</f>
        <v>0</v>
      </c>
      <c r="G27" s="26"/>
      <c r="H27" s="26">
        <f>SUM(H6:H26)</f>
        <v>0</v>
      </c>
      <c r="I27" s="26">
        <f>SUM(I6:I26)</f>
        <v>0</v>
      </c>
      <c r="J27" s="27"/>
    </row>
    <row r="28" ht="15.5" customHeight="1" spans="1:10">
      <c r="A28" s="29" t="str">
        <f>封面!D11&amp;封面!G11</f>
        <v>被评估单位填表人：</v>
      </c>
      <c r="H28" s="19" t="str">
        <f>"评估人员："&amp;封面!G38</f>
        <v>评估人员：</v>
      </c>
    </row>
    <row r="29" ht="15.5" customHeight="1" spans="1:10">
      <c r="A29" s="29" t="str">
        <f>CONCATENATE(封面!D13,封面!F13,封面!G13,封面!H13,封面!I13,封面!J13,封面!K13)</f>
        <v>填表日期：年月日</v>
      </c>
    </row>
  </sheetData>
  <mergeCells count="3">
    <mergeCell ref="A2:J2"/>
    <mergeCell ref="A3:J3"/>
    <mergeCell ref="A27:B27"/>
  </mergeCells>
  <hyperlinks>
    <hyperlink ref="A1" location="索引目录!I8" display="返回索引页"/>
    <hyperlink ref="B1" location="流动负债汇总!B8" display="返回"/>
  </hyperlinks>
  <printOptions horizontalCentered="1"/>
  <pageMargins left="0.354330708661417" right="0.354330708661417" top="0.78740157480315" bottom="0.78740157480315" header="1.03" footer="0.511811023622047"/>
  <pageSetup paperSize="9" fitToHeight="0" orientation="landscape"/>
  <headerFooter alignWithMargins="0">
    <oddHeader>&amp;R&amp;"宋体,常规"共&amp;"Times New Roman,常规"&amp;N&amp;"宋体,常规"页第&amp;"Times New Roman,常规"&amp;P&amp;"宋体,常规"5-3
页</oddHeader>
  </headerFooter>
  <legacyDrawing r:id="rId2"/>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7">
    <pageSetUpPr fitToPage="1"/>
  </sheetPr>
  <dimension ref="A1:I30"/>
  <sheetViews>
    <sheetView view="pageBreakPreview" zoomScale="130" zoomScaleNormal="100" workbookViewId="0">
      <selection activeCell="A3" sqref="A3:I3"/>
    </sheetView>
  </sheetViews>
  <sheetFormatPr defaultColWidth="9" defaultRowHeight="15.75" customHeight="1"/>
  <cols>
    <col min="1" max="1" width="5.75" style="13" customWidth="1"/>
    <col min="2" max="2" width="28.8333333333333" style="13" customWidth="1"/>
    <col min="3" max="3" width="12.5833333333333" style="13" customWidth="1"/>
    <col min="4" max="4" width="18.25" style="13" customWidth="1"/>
    <col min="5" max="6" width="16.5" style="13" hidden="1" customWidth="1" outlineLevel="1"/>
    <col min="7" max="7" width="20.0833333333333" style="13" customWidth="1" collapsed="1"/>
    <col min="8" max="8" width="20.0833333333333" style="13" customWidth="1"/>
    <col min="9" max="9" width="15.5" style="13" customWidth="1"/>
    <col min="10" max="10" width="10.5" style="13" customWidth="1"/>
    <col min="11" max="16384" width="9" style="13" customWidth="1"/>
  </cols>
  <sheetData>
    <row r="1" ht="15.5" customHeight="1" spans="1:9">
      <c r="A1" s="51" t="s">
        <v>111</v>
      </c>
      <c r="B1" s="52" t="s">
        <v>210</v>
      </c>
      <c r="C1" s="16"/>
      <c r="D1" s="16"/>
      <c r="E1" s="16"/>
      <c r="F1" s="16"/>
      <c r="G1" s="16"/>
      <c r="H1" s="16"/>
      <c r="I1" s="16"/>
    </row>
    <row r="2" s="11" customFormat="1" ht="30" customHeight="1" spans="1:9">
      <c r="A2" s="53" t="s">
        <v>700</v>
      </c>
    </row>
    <row r="3" ht="14.15" customHeight="1" spans="1:9">
      <c r="A3" s="18" t="str">
        <f>CONCATENATE(封面!D9,封面!F9,封面!G9,封面!H9,封面!I9,封面!J9,封面!K9)</f>
        <v>评估基准日：年月日</v>
      </c>
    </row>
    <row r="4" ht="15.5" customHeight="1" spans="1:9">
      <c r="A4" s="19" t="str">
        <f>封面!D7&amp;封面!F7</f>
        <v>被评估单位：</v>
      </c>
      <c r="I4" s="54" t="s">
        <v>139</v>
      </c>
    </row>
    <row r="5" s="12" customFormat="1" ht="13" customHeight="1" spans="1:9">
      <c r="A5" s="23" t="s">
        <v>141</v>
      </c>
      <c r="B5" s="23" t="s">
        <v>316</v>
      </c>
      <c r="C5" s="23" t="s">
        <v>326</v>
      </c>
      <c r="D5" s="23" t="s">
        <v>325</v>
      </c>
      <c r="E5" s="55" t="s">
        <v>175</v>
      </c>
      <c r="F5" s="55" t="s">
        <v>281</v>
      </c>
      <c r="G5" s="23" t="s">
        <v>176</v>
      </c>
      <c r="H5" s="23" t="s">
        <v>177</v>
      </c>
      <c r="I5" s="23" t="s">
        <v>144</v>
      </c>
    </row>
    <row r="6" ht="15.5" customHeight="1" spans="1:9">
      <c r="A6" s="23">
        <v>1</v>
      </c>
      <c r="B6" s="59"/>
      <c r="C6" s="57"/>
      <c r="D6" s="58"/>
      <c r="E6" s="26"/>
      <c r="F6" s="26"/>
      <c r="G6" s="26"/>
      <c r="H6" s="26">
        <f t="shared" ref="H6:H27" si="0">G6</f>
        <v>0</v>
      </c>
      <c r="I6" s="27"/>
    </row>
    <row r="7" ht="15.5" customHeight="1" spans="1:9">
      <c r="A7" s="23">
        <v>2</v>
      </c>
      <c r="B7" s="59"/>
      <c r="C7" s="57"/>
      <c r="D7" s="58"/>
      <c r="E7" s="26"/>
      <c r="F7" s="26"/>
      <c r="G7" s="26"/>
      <c r="H7" s="26">
        <f t="shared" si="0"/>
        <v>0</v>
      </c>
      <c r="I7" s="27"/>
    </row>
    <row r="8" ht="15.5" customHeight="1" spans="1:9">
      <c r="A8" s="23">
        <v>3</v>
      </c>
      <c r="B8" s="59"/>
      <c r="C8" s="57"/>
      <c r="D8" s="58"/>
      <c r="E8" s="26"/>
      <c r="F8" s="26"/>
      <c r="G8" s="26"/>
      <c r="H8" s="26">
        <f t="shared" si="0"/>
        <v>0</v>
      </c>
      <c r="I8" s="27"/>
    </row>
    <row r="9" ht="15.5" customHeight="1" spans="1:9">
      <c r="A9" s="23">
        <v>4</v>
      </c>
      <c r="B9" s="59"/>
      <c r="C9" s="57"/>
      <c r="D9" s="58"/>
      <c r="E9" s="26"/>
      <c r="F9" s="26"/>
      <c r="G9" s="26"/>
      <c r="H9" s="26">
        <f t="shared" si="0"/>
        <v>0</v>
      </c>
      <c r="I9" s="27"/>
    </row>
    <row r="10" ht="15.5" customHeight="1" spans="1:9">
      <c r="A10" s="23">
        <v>5</v>
      </c>
      <c r="B10" s="59"/>
      <c r="C10" s="57"/>
      <c r="D10" s="58"/>
      <c r="E10" s="26"/>
      <c r="F10" s="26"/>
      <c r="G10" s="26"/>
      <c r="H10" s="26">
        <f t="shared" si="0"/>
        <v>0</v>
      </c>
      <c r="I10" s="27"/>
    </row>
    <row r="11" ht="15.5" customHeight="1" spans="1:9">
      <c r="A11" s="23">
        <v>6</v>
      </c>
      <c r="B11" s="59"/>
      <c r="C11" s="57"/>
      <c r="D11" s="58"/>
      <c r="E11" s="26"/>
      <c r="F11" s="26"/>
      <c r="G11" s="26"/>
      <c r="H11" s="26">
        <f t="shared" si="0"/>
        <v>0</v>
      </c>
      <c r="I11" s="27"/>
    </row>
    <row r="12" ht="15.5" customHeight="1" spans="1:9">
      <c r="A12" s="23">
        <v>7</v>
      </c>
      <c r="B12" s="59"/>
      <c r="C12" s="57"/>
      <c r="D12" s="58"/>
      <c r="E12" s="26"/>
      <c r="F12" s="26"/>
      <c r="G12" s="26"/>
      <c r="H12" s="26">
        <f t="shared" si="0"/>
        <v>0</v>
      </c>
      <c r="I12" s="27"/>
    </row>
    <row r="13" ht="15.5" customHeight="1" spans="1:9">
      <c r="A13" s="23">
        <v>8</v>
      </c>
      <c r="B13" s="59"/>
      <c r="C13" s="57"/>
      <c r="D13" s="58"/>
      <c r="E13" s="26"/>
      <c r="F13" s="26"/>
      <c r="G13" s="26"/>
      <c r="H13" s="26">
        <f t="shared" si="0"/>
        <v>0</v>
      </c>
      <c r="I13" s="27"/>
    </row>
    <row r="14" ht="15.5" customHeight="1" spans="1:9">
      <c r="A14" s="23">
        <v>11</v>
      </c>
      <c r="B14" s="59"/>
      <c r="C14" s="57"/>
      <c r="D14" s="58"/>
      <c r="E14" s="26"/>
      <c r="F14" s="26"/>
      <c r="G14" s="26"/>
      <c r="H14" s="26">
        <f t="shared" si="0"/>
        <v>0</v>
      </c>
      <c r="I14" s="27"/>
    </row>
    <row r="15" ht="15.5" customHeight="1" spans="1:9">
      <c r="A15" s="23">
        <v>12</v>
      </c>
      <c r="B15" s="56"/>
      <c r="C15" s="57"/>
      <c r="D15" s="58"/>
      <c r="E15" s="26"/>
      <c r="F15" s="26"/>
      <c r="G15" s="26"/>
      <c r="H15" s="26">
        <f t="shared" si="0"/>
        <v>0</v>
      </c>
      <c r="I15" s="27"/>
    </row>
    <row r="16" ht="15.5" customHeight="1" spans="1:9">
      <c r="A16" s="23">
        <v>13</v>
      </c>
      <c r="B16" s="59"/>
      <c r="C16" s="57"/>
      <c r="D16" s="58"/>
      <c r="E16" s="26"/>
      <c r="F16" s="26"/>
      <c r="G16" s="26"/>
      <c r="H16" s="26">
        <f t="shared" si="0"/>
        <v>0</v>
      </c>
      <c r="I16" s="27"/>
    </row>
    <row r="17" ht="15.5" customHeight="1" spans="1:9">
      <c r="A17" s="23">
        <v>14</v>
      </c>
      <c r="B17" s="59"/>
      <c r="C17" s="57"/>
      <c r="D17" s="58"/>
      <c r="E17" s="26"/>
      <c r="F17" s="26"/>
      <c r="G17" s="26"/>
      <c r="H17" s="26">
        <f t="shared" si="0"/>
        <v>0</v>
      </c>
      <c r="I17" s="27"/>
    </row>
    <row r="18" ht="15.5" customHeight="1" spans="1:9">
      <c r="A18" s="23">
        <v>15</v>
      </c>
      <c r="B18" s="59"/>
      <c r="C18" s="57"/>
      <c r="D18" s="58"/>
      <c r="E18" s="26"/>
      <c r="F18" s="26"/>
      <c r="G18" s="26"/>
      <c r="H18" s="26">
        <f t="shared" si="0"/>
        <v>0</v>
      </c>
      <c r="I18" s="27"/>
    </row>
    <row r="19" ht="15.5" customHeight="1" spans="1:9">
      <c r="A19" s="23">
        <v>16</v>
      </c>
      <c r="B19" s="59"/>
      <c r="C19" s="57"/>
      <c r="D19" s="58"/>
      <c r="E19" s="26"/>
      <c r="F19" s="26"/>
      <c r="G19" s="26"/>
      <c r="H19" s="26">
        <f t="shared" si="0"/>
        <v>0</v>
      </c>
      <c r="I19" s="27"/>
    </row>
    <row r="20" ht="15.5" customHeight="1" spans="1:9">
      <c r="A20" s="23">
        <v>19</v>
      </c>
      <c r="B20" s="59"/>
      <c r="C20" s="57"/>
      <c r="D20" s="58"/>
      <c r="E20" s="26"/>
      <c r="F20" s="26"/>
      <c r="G20" s="26"/>
      <c r="H20" s="26">
        <f t="shared" si="0"/>
        <v>0</v>
      </c>
      <c r="I20" s="27"/>
    </row>
    <row r="21" ht="15.5" customHeight="1" spans="1:9">
      <c r="A21" s="23">
        <v>20</v>
      </c>
      <c r="B21" s="59"/>
      <c r="C21" s="57"/>
      <c r="D21" s="58"/>
      <c r="E21" s="26"/>
      <c r="F21" s="26"/>
      <c r="G21" s="26"/>
      <c r="H21" s="26">
        <f t="shared" si="0"/>
        <v>0</v>
      </c>
      <c r="I21" s="27"/>
    </row>
    <row r="22" ht="15.5" customHeight="1" spans="1:9">
      <c r="A22" s="23">
        <v>23</v>
      </c>
      <c r="B22" s="59"/>
      <c r="C22" s="57"/>
      <c r="D22" s="63"/>
      <c r="E22" s="26"/>
      <c r="F22" s="26"/>
      <c r="G22" s="26"/>
      <c r="H22" s="26">
        <f t="shared" si="0"/>
        <v>0</v>
      </c>
      <c r="I22" s="27"/>
    </row>
    <row r="23" ht="15.5" customHeight="1" spans="1:9">
      <c r="A23" s="23">
        <v>24</v>
      </c>
      <c r="B23" s="59"/>
      <c r="C23" s="57"/>
      <c r="D23" s="63"/>
      <c r="E23" s="26"/>
      <c r="F23" s="26"/>
      <c r="G23" s="26"/>
      <c r="H23" s="26">
        <f t="shared" si="0"/>
        <v>0</v>
      </c>
      <c r="I23" s="27"/>
    </row>
    <row r="24" ht="15.5" customHeight="1" spans="1:9">
      <c r="A24" s="23">
        <v>25</v>
      </c>
      <c r="B24" s="59"/>
      <c r="C24" s="57"/>
      <c r="D24" s="63"/>
      <c r="E24" s="26"/>
      <c r="F24" s="26"/>
      <c r="G24" s="26"/>
      <c r="H24" s="26">
        <f t="shared" si="0"/>
        <v>0</v>
      </c>
      <c r="I24" s="27"/>
    </row>
    <row r="25" ht="15.5" customHeight="1" spans="1:9">
      <c r="A25" s="23">
        <v>26</v>
      </c>
      <c r="B25" s="59"/>
      <c r="C25" s="57"/>
      <c r="D25" s="58"/>
      <c r="E25" s="26"/>
      <c r="F25" s="26"/>
      <c r="G25" s="26"/>
      <c r="H25" s="26">
        <f t="shared" si="0"/>
        <v>0</v>
      </c>
      <c r="I25" s="27"/>
    </row>
    <row r="26" ht="15.5" customHeight="1" spans="1:9">
      <c r="A26" s="23">
        <v>27</v>
      </c>
      <c r="B26" s="59"/>
      <c r="C26" s="57"/>
      <c r="D26" s="58"/>
      <c r="E26" s="26"/>
      <c r="F26" s="26"/>
      <c r="G26" s="26"/>
      <c r="H26" s="26">
        <f t="shared" si="0"/>
        <v>0</v>
      </c>
      <c r="I26" s="27"/>
    </row>
    <row r="27" ht="15.5" customHeight="1" spans="1:9">
      <c r="A27" s="23">
        <v>28</v>
      </c>
      <c r="B27" s="59"/>
      <c r="C27" s="57"/>
      <c r="D27" s="58"/>
      <c r="E27" s="26"/>
      <c r="F27" s="26"/>
      <c r="G27" s="26"/>
      <c r="H27" s="26">
        <f t="shared" si="0"/>
        <v>0</v>
      </c>
      <c r="I27" s="27"/>
    </row>
    <row r="28" ht="15.5" customHeight="1" spans="1:9">
      <c r="A28" s="23" t="s">
        <v>697</v>
      </c>
      <c r="B28" s="28"/>
      <c r="C28" s="25"/>
      <c r="D28" s="23"/>
      <c r="E28" s="26">
        <f>SUM(E6:E27)</f>
        <v>0</v>
      </c>
      <c r="F28" s="26"/>
      <c r="G28" s="26">
        <f>SUM(G6:G27)</f>
        <v>0</v>
      </c>
      <c r="H28" s="26">
        <f>SUM(H6:H27)</f>
        <v>0</v>
      </c>
      <c r="I28" s="27"/>
    </row>
    <row r="29" ht="15.5" customHeight="1" spans="1:9">
      <c r="A29" s="29" t="str">
        <f>封面!D11&amp;封面!G11</f>
        <v>被评估单位填表人：</v>
      </c>
      <c r="G29" s="19" t="str">
        <f>"评估人员："&amp;封面!G38</f>
        <v>评估人员：</v>
      </c>
    </row>
    <row r="30" ht="15.5" customHeight="1" spans="1:9">
      <c r="A30" s="29" t="str">
        <f>CONCATENATE(封面!D13,封面!F13,封面!G13,封面!H13,封面!I13,封面!J13,封面!K13)</f>
        <v>填表日期：年月日</v>
      </c>
    </row>
  </sheetData>
  <mergeCells count="3">
    <mergeCell ref="A2:I2"/>
    <mergeCell ref="A3:I3"/>
    <mergeCell ref="A28:B28"/>
  </mergeCells>
  <hyperlinks>
    <hyperlink ref="A1" location="索引目录!I9" display="返回索引页"/>
    <hyperlink ref="B1" location="流动负债汇总!B9" display="返回"/>
  </hyperlinks>
  <printOptions horizontalCentered="1"/>
  <pageMargins left="0.354330708661417" right="0.354330708661417" top="0.78740157480315" bottom="0.78740157480315" header="1.01" footer="0.511811023622047"/>
  <pageSetup paperSize="9" fitToHeight="0" orientation="landscape"/>
  <headerFooter alignWithMargins="0">
    <oddHeader>&amp;R&amp;"宋体,常规"共&amp;"Times New Roman,常规"&amp;N&amp;"宋体,常规"页第&amp;"Times New Roman,常规"&amp;P&amp;"宋体,常规"5-4
页</oddHeader>
  </headerFooter>
  <legacyDrawing r:id="rId2"/>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8">
    <pageSetUpPr fitToPage="1"/>
  </sheetPr>
  <dimension ref="A1:I29"/>
  <sheetViews>
    <sheetView zoomScaleSheetLayoutView="115" topLeftCell="C1" workbookViewId="0">
      <selection activeCell="G451" sqref="G451"/>
    </sheetView>
  </sheetViews>
  <sheetFormatPr defaultColWidth="9" defaultRowHeight="15.75" customHeight="1"/>
  <cols>
    <col min="1" max="1" width="6.33333333333333" style="13" customWidth="1"/>
    <col min="2" max="2" width="35.3333333333333" style="13" customWidth="1"/>
    <col min="3" max="3" width="11.5833333333333" style="13" customWidth="1"/>
    <col min="4" max="4" width="21.0833333333333" style="13" customWidth="1"/>
    <col min="5" max="6" width="16.5" style="13" hidden="1" customWidth="1" outlineLevel="1"/>
    <col min="7" max="7" width="16.6666666666667" style="13" customWidth="1" collapsed="1"/>
    <col min="8" max="8" width="15.5833333333333" style="13" customWidth="1"/>
    <col min="9" max="9" width="15.5" style="13" customWidth="1"/>
    <col min="10" max="16384" width="9" style="13" customWidth="1"/>
  </cols>
  <sheetData>
    <row r="1" s="64" customFormat="1" ht="15" customHeight="1" spans="1:9">
      <c r="A1" s="51" t="s">
        <v>111</v>
      </c>
      <c r="B1" s="52" t="s">
        <v>210</v>
      </c>
      <c r="C1" s="65"/>
      <c r="D1" s="65"/>
      <c r="E1" s="65"/>
      <c r="F1" s="65"/>
      <c r="G1" s="65"/>
      <c r="H1" s="65"/>
      <c r="I1" s="65"/>
    </row>
    <row r="2" s="11" customFormat="1" ht="30" customHeight="1" spans="1:9">
      <c r="A2" s="53" t="s">
        <v>701</v>
      </c>
    </row>
    <row r="3" ht="14.15" customHeight="1" spans="1:9">
      <c r="A3" s="18" t="str">
        <f>CONCATENATE(封面!D9,封面!F9,封面!G9,封面!H9,封面!I9,封面!J9,封面!K9)</f>
        <v>评估基准日：年月日</v>
      </c>
    </row>
    <row r="4" ht="15.5" customHeight="1" spans="1:9">
      <c r="A4" s="19" t="str">
        <f>封面!D7&amp;封面!F7</f>
        <v>被评估单位：</v>
      </c>
      <c r="I4" s="54" t="s">
        <v>139</v>
      </c>
    </row>
    <row r="5" s="12" customFormat="1" ht="13" customHeight="1" spans="1:9">
      <c r="A5" s="23" t="s">
        <v>141</v>
      </c>
      <c r="B5" s="23" t="s">
        <v>316</v>
      </c>
      <c r="C5" s="23" t="s">
        <v>326</v>
      </c>
      <c r="D5" s="23" t="s">
        <v>325</v>
      </c>
      <c r="E5" s="55" t="s">
        <v>175</v>
      </c>
      <c r="F5" s="55" t="s">
        <v>281</v>
      </c>
      <c r="G5" s="23" t="s">
        <v>176</v>
      </c>
      <c r="H5" s="23" t="s">
        <v>177</v>
      </c>
      <c r="I5" s="23" t="s">
        <v>144</v>
      </c>
    </row>
    <row r="6" ht="15.5" customHeight="1" spans="1:9">
      <c r="A6" s="23"/>
      <c r="B6" s="56"/>
      <c r="C6" s="25"/>
      <c r="D6" s="23"/>
      <c r="E6" s="26"/>
      <c r="F6" s="26"/>
      <c r="G6" s="26"/>
      <c r="H6" s="26"/>
      <c r="I6" s="27"/>
    </row>
    <row r="7" ht="15.5" customHeight="1" spans="1:9">
      <c r="A7" s="23"/>
      <c r="B7" s="56"/>
      <c r="C7" s="25"/>
      <c r="D7" s="23"/>
      <c r="E7" s="26"/>
      <c r="F7" s="26"/>
      <c r="G7" s="26"/>
      <c r="H7" s="26"/>
      <c r="I7" s="27"/>
    </row>
    <row r="8" ht="15.5" customHeight="1" spans="1:9">
      <c r="A8" s="23"/>
      <c r="B8" s="56"/>
      <c r="C8" s="25"/>
      <c r="D8" s="23"/>
      <c r="E8" s="26"/>
      <c r="F8" s="26"/>
      <c r="G8" s="26"/>
      <c r="H8" s="26"/>
      <c r="I8" s="27"/>
    </row>
    <row r="9" ht="15.5" customHeight="1" spans="1:9">
      <c r="A9" s="23"/>
      <c r="B9" s="56"/>
      <c r="C9" s="25"/>
      <c r="D9" s="23"/>
      <c r="E9" s="26"/>
      <c r="F9" s="26"/>
      <c r="G9" s="26"/>
      <c r="H9" s="26"/>
      <c r="I9" s="27"/>
    </row>
    <row r="10" ht="15.5" customHeight="1" spans="1:9">
      <c r="A10" s="23"/>
      <c r="B10" s="24"/>
      <c r="C10" s="25"/>
      <c r="D10" s="25"/>
      <c r="E10" s="26"/>
      <c r="F10" s="26"/>
      <c r="G10" s="26"/>
      <c r="H10" s="26"/>
      <c r="I10" s="27"/>
    </row>
    <row r="11" ht="15.5" customHeight="1" spans="1:9">
      <c r="A11" s="23"/>
      <c r="B11" s="24"/>
      <c r="C11" s="25"/>
      <c r="D11" s="25"/>
      <c r="E11" s="26"/>
      <c r="F11" s="26"/>
      <c r="G11" s="26"/>
      <c r="H11" s="26"/>
      <c r="I11" s="27"/>
    </row>
    <row r="12" ht="15.5" customHeight="1" spans="1:9">
      <c r="A12" s="23"/>
      <c r="B12" s="24"/>
      <c r="C12" s="25"/>
      <c r="D12" s="23"/>
      <c r="E12" s="26"/>
      <c r="F12" s="26"/>
      <c r="G12" s="26"/>
      <c r="H12" s="26"/>
      <c r="I12" s="27"/>
    </row>
    <row r="13" ht="15.5" customHeight="1" spans="1:9">
      <c r="A13" s="23"/>
      <c r="B13" s="24"/>
      <c r="C13" s="25"/>
      <c r="D13" s="23"/>
      <c r="E13" s="26"/>
      <c r="F13" s="26"/>
      <c r="G13" s="26"/>
      <c r="H13" s="26"/>
      <c r="I13" s="27"/>
    </row>
    <row r="14" ht="15.5" customHeight="1" spans="1:9">
      <c r="A14" s="23"/>
      <c r="B14" s="24"/>
      <c r="C14" s="25"/>
      <c r="D14" s="23"/>
      <c r="E14" s="26"/>
      <c r="F14" s="26"/>
      <c r="G14" s="26"/>
      <c r="H14" s="26"/>
      <c r="I14" s="27"/>
    </row>
    <row r="15" ht="15.5" customHeight="1" spans="1:9">
      <c r="A15" s="23"/>
      <c r="B15" s="24"/>
      <c r="C15" s="25"/>
      <c r="D15" s="23"/>
      <c r="E15" s="26"/>
      <c r="F15" s="26"/>
      <c r="G15" s="26"/>
      <c r="H15" s="26"/>
      <c r="I15" s="27"/>
    </row>
    <row r="16" ht="15.5" customHeight="1" spans="1:9">
      <c r="A16" s="23"/>
      <c r="B16" s="24"/>
      <c r="C16" s="25"/>
      <c r="D16" s="23"/>
      <c r="E16" s="26"/>
      <c r="F16" s="26"/>
      <c r="G16" s="26"/>
      <c r="H16" s="26"/>
      <c r="I16" s="27"/>
    </row>
    <row r="17" ht="15.5" customHeight="1" spans="1:9">
      <c r="A17" s="23"/>
      <c r="B17" s="24"/>
      <c r="C17" s="25"/>
      <c r="D17" s="23"/>
      <c r="E17" s="26"/>
      <c r="F17" s="26"/>
      <c r="G17" s="26"/>
      <c r="H17" s="26"/>
      <c r="I17" s="27"/>
    </row>
    <row r="18" ht="15.5" customHeight="1" spans="1:9">
      <c r="A18" s="23"/>
      <c r="B18" s="24"/>
      <c r="C18" s="25"/>
      <c r="D18" s="23"/>
      <c r="E18" s="26"/>
      <c r="F18" s="26"/>
      <c r="G18" s="26"/>
      <c r="H18" s="26"/>
      <c r="I18" s="27"/>
    </row>
    <row r="19" ht="15.5" customHeight="1" spans="1:9">
      <c r="A19" s="23"/>
      <c r="B19" s="24"/>
      <c r="C19" s="25"/>
      <c r="D19" s="23"/>
      <c r="E19" s="26"/>
      <c r="F19" s="26"/>
      <c r="G19" s="26"/>
      <c r="H19" s="26"/>
      <c r="I19" s="27"/>
    </row>
    <row r="20" ht="15.5" customHeight="1" spans="1:9">
      <c r="A20" s="23"/>
      <c r="B20" s="24"/>
      <c r="C20" s="25"/>
      <c r="D20" s="23"/>
      <c r="E20" s="26"/>
      <c r="F20" s="26"/>
      <c r="G20" s="26"/>
      <c r="H20" s="26"/>
      <c r="I20" s="27"/>
    </row>
    <row r="21" ht="15.5" customHeight="1" spans="1:9">
      <c r="A21" s="23"/>
      <c r="B21" s="24"/>
      <c r="C21" s="25"/>
      <c r="D21" s="23"/>
      <c r="E21" s="26"/>
      <c r="F21" s="26"/>
      <c r="G21" s="26"/>
      <c r="H21" s="26"/>
      <c r="I21" s="27"/>
    </row>
    <row r="22" ht="15.5" customHeight="1" spans="1:9">
      <c r="A22" s="23"/>
      <c r="B22" s="24"/>
      <c r="C22" s="25"/>
      <c r="D22" s="23"/>
      <c r="E22" s="26"/>
      <c r="F22" s="26"/>
      <c r="G22" s="26"/>
      <c r="H22" s="26"/>
      <c r="I22" s="27"/>
    </row>
    <row r="23" ht="15.5" customHeight="1" spans="1:9">
      <c r="A23" s="23"/>
      <c r="B23" s="24"/>
      <c r="C23" s="25"/>
      <c r="D23" s="23"/>
      <c r="E23" s="26"/>
      <c r="F23" s="26"/>
      <c r="G23" s="26"/>
      <c r="H23" s="26"/>
      <c r="I23" s="27"/>
    </row>
    <row r="24" ht="15.5" customHeight="1" spans="1:9">
      <c r="A24" s="23"/>
      <c r="B24" s="24"/>
      <c r="C24" s="25"/>
      <c r="D24" s="23"/>
      <c r="E24" s="26"/>
      <c r="F24" s="26"/>
      <c r="G24" s="26"/>
      <c r="H24" s="26"/>
      <c r="I24" s="27"/>
    </row>
    <row r="25" ht="15.5" customHeight="1" spans="1:9">
      <c r="A25" s="23"/>
      <c r="B25" s="24"/>
      <c r="C25" s="25"/>
      <c r="D25" s="23"/>
      <c r="E25" s="26"/>
      <c r="F25" s="26"/>
      <c r="G25" s="26"/>
      <c r="H25" s="26"/>
      <c r="I25" s="27"/>
    </row>
    <row r="26" ht="15.5" customHeight="1" spans="1:9">
      <c r="A26" s="23"/>
      <c r="B26" s="24"/>
      <c r="C26" s="25"/>
      <c r="D26" s="23"/>
      <c r="E26" s="26"/>
      <c r="F26" s="26"/>
      <c r="G26" s="26"/>
      <c r="H26" s="26"/>
      <c r="I26" s="27"/>
    </row>
    <row r="27" ht="15.5" customHeight="1" spans="1:9">
      <c r="A27" s="23" t="s">
        <v>697</v>
      </c>
      <c r="B27" s="28"/>
      <c r="C27" s="25"/>
      <c r="D27" s="23"/>
      <c r="E27" s="26">
        <f>SUM(E6:E26)</f>
        <v>0</v>
      </c>
      <c r="F27" s="26"/>
      <c r="G27" s="26">
        <f>SUM(G6:G26)</f>
        <v>0</v>
      </c>
      <c r="H27" s="26">
        <f>SUM(H6:H26)</f>
        <v>0</v>
      </c>
      <c r="I27" s="27"/>
    </row>
    <row r="28" ht="15.5" customHeight="1" spans="1:9">
      <c r="A28" s="29" t="str">
        <f>封面!D11&amp;封面!G11</f>
        <v>被评估单位填表人：</v>
      </c>
      <c r="G28" s="19" t="str">
        <f>"评估人员："&amp;封面!G38</f>
        <v>评估人员：</v>
      </c>
    </row>
    <row r="29" ht="15.5" customHeight="1" spans="1:9">
      <c r="A29" s="29" t="str">
        <f>CONCATENATE(封面!D13,封面!F13,封面!G13,封面!H13,封面!I13,封面!J13,封面!K13)</f>
        <v>填表日期：年月日</v>
      </c>
    </row>
  </sheetData>
  <mergeCells count="3">
    <mergeCell ref="A2:I2"/>
    <mergeCell ref="A3:I3"/>
    <mergeCell ref="A27:B27"/>
  </mergeCells>
  <hyperlinks>
    <hyperlink ref="A1" location="索引目录!I10" display="返回索引页"/>
    <hyperlink ref="B1" location="流动负债汇总!B10" display="返回"/>
  </hyperlinks>
  <printOptions horizontalCentered="1"/>
  <pageMargins left="0.354330708661417" right="0.354330708661417" top="0.78740157480315" bottom="0.78740157480315" header="0.97" footer="0.511811023622047"/>
  <pageSetup paperSize="9" fitToHeight="0" orientation="landscape"/>
  <headerFooter alignWithMargins="0">
    <oddHeader>&amp;R&amp;"宋体,常规"共&amp;"Times New Roman,常规"&amp;N&amp;"宋体,常规"页第&amp;"Times New Roman,常规"&amp;P&amp;"宋体,常规"5-5
页</oddHeader>
  </headerFooter>
  <legacyDrawing r:id="rId2"/>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9">
    <pageSetUpPr fitToPage="1"/>
  </sheetPr>
  <dimension ref="A1:H29"/>
  <sheetViews>
    <sheetView zoomScale="90" zoomScaleNormal="90" workbookViewId="0">
      <selection activeCell="G451" sqref="G451"/>
    </sheetView>
  </sheetViews>
  <sheetFormatPr defaultColWidth="9" defaultRowHeight="15.75" customHeight="1" outlineLevelCol="7"/>
  <cols>
    <col min="1" max="1" width="8.75" style="13" customWidth="1"/>
    <col min="2" max="2" width="28.9166666666667" style="13" customWidth="1"/>
    <col min="3" max="3" width="15.75" style="13" customWidth="1"/>
    <col min="4" max="5" width="19.3333333333333" style="13" hidden="1" customWidth="1" outlineLevel="1"/>
    <col min="6" max="6" width="25" style="13" customWidth="1" collapsed="1"/>
    <col min="7" max="7" width="25" style="13" customWidth="1"/>
    <col min="8" max="8" width="19" style="13" customWidth="1"/>
    <col min="9" max="16384" width="9" style="13" customWidth="1"/>
  </cols>
  <sheetData>
    <row r="1" ht="15.5" customHeight="1" spans="1:8">
      <c r="A1" s="51" t="s">
        <v>111</v>
      </c>
      <c r="B1" s="52" t="s">
        <v>210</v>
      </c>
      <c r="C1" s="16"/>
      <c r="D1" s="16"/>
      <c r="E1" s="16"/>
      <c r="F1" s="16"/>
      <c r="G1" s="16"/>
      <c r="H1" s="16"/>
    </row>
    <row r="2" s="11" customFormat="1" ht="30" customHeight="1" spans="1:8">
      <c r="A2" s="53" t="s">
        <v>702</v>
      </c>
    </row>
    <row r="3" ht="14.15" customHeight="1" spans="1:8">
      <c r="A3" s="18" t="str">
        <f>CONCATENATE(封面!D9,封面!F9,封面!G9,封面!H9,封面!I9,封面!J9,封面!K9)</f>
        <v>评估基准日：年月日</v>
      </c>
    </row>
    <row r="4" ht="15.5" customHeight="1" spans="1:8">
      <c r="A4" s="19" t="str">
        <f>封面!D7&amp;封面!F7</f>
        <v>被评估单位：</v>
      </c>
      <c r="H4" s="54" t="s">
        <v>139</v>
      </c>
    </row>
    <row r="5" s="12" customFormat="1" ht="13" customHeight="1" spans="1:8">
      <c r="A5" s="23" t="s">
        <v>141</v>
      </c>
      <c r="B5" s="23" t="s">
        <v>404</v>
      </c>
      <c r="C5" s="23" t="s">
        <v>326</v>
      </c>
      <c r="D5" s="55" t="s">
        <v>175</v>
      </c>
      <c r="E5" s="55" t="s">
        <v>281</v>
      </c>
      <c r="F5" s="23" t="s">
        <v>176</v>
      </c>
      <c r="G5" s="23" t="s">
        <v>177</v>
      </c>
      <c r="H5" s="23" t="s">
        <v>144</v>
      </c>
    </row>
    <row r="6" ht="15.5" customHeight="1" spans="1:8">
      <c r="A6" s="23">
        <v>1</v>
      </c>
      <c r="B6" s="24"/>
      <c r="C6" s="25"/>
      <c r="D6" s="26"/>
      <c r="E6" s="26"/>
      <c r="F6" s="26"/>
      <c r="G6" s="26">
        <f>F6</f>
        <v>0</v>
      </c>
      <c r="H6" s="27"/>
    </row>
    <row r="7" ht="15.5" customHeight="1" spans="1:8">
      <c r="A7" s="23">
        <v>2</v>
      </c>
      <c r="B7" s="24"/>
      <c r="C7" s="25"/>
      <c r="D7" s="26"/>
      <c r="E7" s="26"/>
      <c r="F7" s="26"/>
      <c r="G7" s="26">
        <f>F7</f>
        <v>0</v>
      </c>
      <c r="H7" s="27"/>
    </row>
    <row r="8" ht="15.5" customHeight="1" spans="1:8">
      <c r="A8" s="23">
        <v>3</v>
      </c>
      <c r="B8" s="24"/>
      <c r="C8" s="25"/>
      <c r="D8" s="26"/>
      <c r="E8" s="26"/>
      <c r="F8" s="26"/>
      <c r="G8" s="26">
        <f>F8</f>
        <v>0</v>
      </c>
      <c r="H8" s="27"/>
    </row>
    <row r="9" ht="15.5" customHeight="1" spans="1:8">
      <c r="A9" s="23"/>
      <c r="B9" s="24"/>
      <c r="C9" s="25"/>
      <c r="D9" s="26"/>
      <c r="E9" s="26"/>
      <c r="F9" s="26"/>
      <c r="G9" s="26"/>
      <c r="H9" s="27"/>
    </row>
    <row r="10" ht="15.5" customHeight="1" spans="1:8">
      <c r="A10" s="23"/>
      <c r="B10" s="24"/>
      <c r="C10" s="25"/>
      <c r="D10" s="26"/>
      <c r="E10" s="26"/>
      <c r="F10" s="26"/>
      <c r="G10" s="26"/>
      <c r="H10" s="27"/>
    </row>
    <row r="11" ht="15.5" customHeight="1" spans="1:8">
      <c r="A11" s="23"/>
      <c r="B11" s="24"/>
      <c r="C11" s="25"/>
      <c r="D11" s="26"/>
      <c r="E11" s="26"/>
      <c r="F11" s="26"/>
      <c r="G11" s="26"/>
      <c r="H11" s="27"/>
    </row>
    <row r="12" ht="15.5" customHeight="1" spans="1:8">
      <c r="A12" s="23"/>
      <c r="B12" s="24"/>
      <c r="C12" s="25"/>
      <c r="D12" s="26"/>
      <c r="E12" s="26"/>
      <c r="F12" s="26"/>
      <c r="G12" s="26"/>
      <c r="H12" s="27"/>
    </row>
    <row r="13" ht="15.5" customHeight="1" spans="1:8">
      <c r="A13" s="23"/>
      <c r="B13" s="24"/>
      <c r="C13" s="25"/>
      <c r="D13" s="26"/>
      <c r="E13" s="26"/>
      <c r="F13" s="26"/>
      <c r="G13" s="26"/>
      <c r="H13" s="27"/>
    </row>
    <row r="14" ht="15.5" customHeight="1" spans="1:8">
      <c r="A14" s="23"/>
      <c r="B14" s="24"/>
      <c r="C14" s="25"/>
      <c r="D14" s="26"/>
      <c r="E14" s="26"/>
      <c r="F14" s="26"/>
      <c r="G14" s="26"/>
      <c r="H14" s="27"/>
    </row>
    <row r="15" ht="15.5" customHeight="1" spans="1:8">
      <c r="A15" s="23"/>
      <c r="B15" s="24"/>
      <c r="C15" s="25"/>
      <c r="D15" s="26"/>
      <c r="E15" s="26"/>
      <c r="F15" s="26"/>
      <c r="G15" s="26"/>
      <c r="H15" s="27"/>
    </row>
    <row r="16" ht="15.5" customHeight="1" spans="1:8">
      <c r="A16" s="23"/>
      <c r="B16" s="24"/>
      <c r="C16" s="25"/>
      <c r="D16" s="26"/>
      <c r="E16" s="26"/>
      <c r="F16" s="26"/>
      <c r="G16" s="26"/>
      <c r="H16" s="27"/>
    </row>
    <row r="17" ht="15.5" customHeight="1" spans="1:8">
      <c r="A17" s="23"/>
      <c r="B17" s="24"/>
      <c r="C17" s="25"/>
      <c r="D17" s="26"/>
      <c r="E17" s="26"/>
      <c r="F17" s="26"/>
      <c r="G17" s="26"/>
      <c r="H17" s="27"/>
    </row>
    <row r="18" ht="15.5" customHeight="1" spans="1:8">
      <c r="A18" s="23"/>
      <c r="B18" s="24"/>
      <c r="C18" s="25"/>
      <c r="D18" s="26"/>
      <c r="E18" s="26"/>
      <c r="F18" s="26"/>
      <c r="G18" s="26"/>
      <c r="H18" s="27"/>
    </row>
    <row r="19" ht="15.5" customHeight="1" spans="1:8">
      <c r="A19" s="23"/>
      <c r="B19" s="24"/>
      <c r="C19" s="25"/>
      <c r="D19" s="26"/>
      <c r="E19" s="26"/>
      <c r="F19" s="26"/>
      <c r="G19" s="26"/>
      <c r="H19" s="27"/>
    </row>
    <row r="20" ht="15.5" customHeight="1" spans="1:8">
      <c r="A20" s="23"/>
      <c r="B20" s="24"/>
      <c r="C20" s="25"/>
      <c r="D20" s="26"/>
      <c r="E20" s="26"/>
      <c r="F20" s="26"/>
      <c r="G20" s="26"/>
      <c r="H20" s="27"/>
    </row>
    <row r="21" ht="15.5" customHeight="1" spans="1:8">
      <c r="A21" s="23"/>
      <c r="B21" s="24"/>
      <c r="C21" s="25"/>
      <c r="D21" s="26"/>
      <c r="E21" s="26"/>
      <c r="F21" s="26"/>
      <c r="G21" s="26"/>
      <c r="H21" s="27"/>
    </row>
    <row r="22" ht="15.5" customHeight="1" spans="1:8">
      <c r="A22" s="23"/>
      <c r="B22" s="24"/>
      <c r="C22" s="25"/>
      <c r="D22" s="26"/>
      <c r="E22" s="26"/>
      <c r="F22" s="26"/>
      <c r="G22" s="26"/>
      <c r="H22" s="27"/>
    </row>
    <row r="23" ht="15.5" customHeight="1" spans="1:8">
      <c r="A23" s="23"/>
      <c r="B23" s="24"/>
      <c r="C23" s="25"/>
      <c r="D23" s="26"/>
      <c r="E23" s="26"/>
      <c r="F23" s="26"/>
      <c r="G23" s="26"/>
      <c r="H23" s="27"/>
    </row>
    <row r="24" ht="15.5" customHeight="1" spans="1:8">
      <c r="A24" s="23"/>
      <c r="B24" s="24"/>
      <c r="C24" s="25"/>
      <c r="D24" s="26"/>
      <c r="E24" s="26"/>
      <c r="F24" s="26"/>
      <c r="G24" s="26"/>
      <c r="H24" s="27"/>
    </row>
    <row r="25" ht="15.5" customHeight="1" spans="1:8">
      <c r="A25" s="23"/>
      <c r="B25" s="24"/>
      <c r="C25" s="25"/>
      <c r="D25" s="26"/>
      <c r="E25" s="26"/>
      <c r="F25" s="26"/>
      <c r="G25" s="26"/>
      <c r="H25" s="27"/>
    </row>
    <row r="26" ht="15.5" customHeight="1" spans="1:8">
      <c r="A26" s="23"/>
      <c r="B26" s="24"/>
      <c r="C26" s="25"/>
      <c r="D26" s="26"/>
      <c r="E26" s="26"/>
      <c r="F26" s="26"/>
      <c r="G26" s="26"/>
      <c r="H26" s="27"/>
    </row>
    <row r="27" ht="15.5" customHeight="1" spans="1:8">
      <c r="A27" s="23" t="s">
        <v>703</v>
      </c>
      <c r="B27" s="28"/>
      <c r="C27" s="25"/>
      <c r="D27" s="26">
        <f>SUM(D6:D26)</f>
        <v>0</v>
      </c>
      <c r="E27" s="26"/>
      <c r="F27" s="26">
        <f>SUM(F6:F26)</f>
        <v>0</v>
      </c>
      <c r="G27" s="26">
        <f>SUM(G6:G26)</f>
        <v>0</v>
      </c>
      <c r="H27" s="27"/>
    </row>
    <row r="28" ht="15.5" customHeight="1" spans="1:8">
      <c r="A28" s="29" t="str">
        <f>封面!D11&amp;封面!G11</f>
        <v>被评估单位填表人：</v>
      </c>
      <c r="F28" s="19" t="str">
        <f>"评估人员："&amp;封面!G38</f>
        <v>评估人员：</v>
      </c>
    </row>
    <row r="29" ht="15.5" customHeight="1" spans="1:8">
      <c r="A29" s="29" t="str">
        <f>CONCATENATE(封面!D13,封面!F13,封面!G13,封面!H13,封面!I13,封面!J13,封面!K13)</f>
        <v>填表日期：年月日</v>
      </c>
    </row>
  </sheetData>
  <mergeCells count="3">
    <mergeCell ref="A2:H2"/>
    <mergeCell ref="A3:H3"/>
    <mergeCell ref="A27:B27"/>
  </mergeCells>
  <hyperlinks>
    <hyperlink ref="A1" location="索引目录!I11" display="返回索引页"/>
    <hyperlink ref="B1" location="流动负债汇总!B11" display="返回"/>
  </hyperlinks>
  <printOptions horizontalCentered="1"/>
  <pageMargins left="0.354330708661417" right="0.354330708661417" top="0.78740157480315" bottom="0.78740157480315" header="0.99" footer="0.511811023622047"/>
  <pageSetup paperSize="9" fitToHeight="0" orientation="landscape"/>
  <headerFooter alignWithMargins="0">
    <oddHeader>&amp;R&amp;"宋体,常规"共&amp;"Times New Roman,常规"&amp;N&amp;"宋体,常规"页第&amp;"Times New Roman,常规"&amp;P&amp;"宋体,常规"5-6
页</oddHeader>
  </headerFooter>
  <legacyDrawing r:id="rId2"/>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0">
    <pageSetUpPr fitToPage="1"/>
  </sheetPr>
  <dimension ref="A1:I29"/>
  <sheetViews>
    <sheetView view="pageBreakPreview" zoomScale="85" zoomScaleNormal="100" workbookViewId="0">
      <selection activeCell="G451" sqref="G451"/>
    </sheetView>
  </sheetViews>
  <sheetFormatPr defaultColWidth="9" defaultRowHeight="15.75" customHeight="1"/>
  <cols>
    <col min="1" max="1" width="7" style="13" customWidth="1"/>
    <col min="2" max="2" width="39.3333333333333" style="13" customWidth="1"/>
    <col min="3" max="3" width="10.6666666666667" style="13" customWidth="1"/>
    <col min="4" max="4" width="13.9166666666667" style="13" customWidth="1"/>
    <col min="5" max="6" width="16.8333333333333" style="13" hidden="1" customWidth="1" outlineLevel="1"/>
    <col min="7" max="7" width="21.3333333333333" style="13" customWidth="1" collapsed="1"/>
    <col min="8" max="8" width="21.3333333333333" style="13" customWidth="1"/>
    <col min="9" max="9" width="16.25" style="13" customWidth="1"/>
    <col min="10" max="16384" width="9" style="13" customWidth="1"/>
  </cols>
  <sheetData>
    <row r="1" ht="15.5" customHeight="1" spans="1:9">
      <c r="A1" s="51" t="s">
        <v>111</v>
      </c>
      <c r="B1" s="52" t="s">
        <v>210</v>
      </c>
      <c r="C1" s="16"/>
      <c r="D1" s="16"/>
      <c r="E1" s="16"/>
      <c r="F1" s="16"/>
      <c r="G1" s="16"/>
      <c r="H1" s="16"/>
      <c r="I1" s="16"/>
    </row>
    <row r="2" s="11" customFormat="1" ht="30" customHeight="1" spans="1:9">
      <c r="A2" s="53" t="s">
        <v>704</v>
      </c>
    </row>
    <row r="3" ht="14.15" customHeight="1" spans="1:9">
      <c r="A3" s="18" t="str">
        <f>CONCATENATE(封面!D9,封面!F9,封面!G9,封面!H9,封面!I9,封面!J9,封面!K9)</f>
        <v>评估基准日：年月日</v>
      </c>
    </row>
    <row r="4" ht="15.5" customHeight="1" spans="1:9">
      <c r="A4" s="19" t="str">
        <f>封面!D7&amp;封面!F7</f>
        <v>被评估单位：</v>
      </c>
      <c r="I4" s="54" t="s">
        <v>139</v>
      </c>
    </row>
    <row r="5" s="12" customFormat="1" ht="13" customHeight="1" spans="1:9">
      <c r="A5" s="23" t="s">
        <v>141</v>
      </c>
      <c r="B5" s="23" t="s">
        <v>705</v>
      </c>
      <c r="C5" s="23" t="s">
        <v>326</v>
      </c>
      <c r="D5" s="23" t="s">
        <v>706</v>
      </c>
      <c r="E5" s="55" t="s">
        <v>175</v>
      </c>
      <c r="F5" s="55" t="s">
        <v>281</v>
      </c>
      <c r="G5" s="23" t="s">
        <v>176</v>
      </c>
      <c r="H5" s="23" t="s">
        <v>177</v>
      </c>
      <c r="I5" s="23" t="s">
        <v>144</v>
      </c>
    </row>
    <row r="6" ht="15.5" customHeight="1" spans="1:9">
      <c r="A6" s="23">
        <v>1</v>
      </c>
      <c r="B6" s="62"/>
      <c r="C6" s="25"/>
      <c r="D6" s="58"/>
      <c r="E6" s="26"/>
      <c r="F6" s="26"/>
      <c r="G6" s="26"/>
      <c r="H6" s="26">
        <f t="shared" ref="H6:H12" si="0">G6</f>
        <v>0</v>
      </c>
      <c r="I6" s="27"/>
    </row>
    <row r="7" ht="15.5" customHeight="1" spans="1:9">
      <c r="A7" s="23">
        <v>2</v>
      </c>
      <c r="B7" s="62"/>
      <c r="C7" s="25"/>
      <c r="D7" s="58"/>
      <c r="E7" s="26"/>
      <c r="F7" s="26"/>
      <c r="G7" s="26"/>
      <c r="H7" s="26">
        <f t="shared" si="0"/>
        <v>0</v>
      </c>
      <c r="I7" s="27"/>
    </row>
    <row r="8" ht="15.5" customHeight="1" spans="1:9">
      <c r="A8" s="23">
        <v>3</v>
      </c>
      <c r="B8" s="62"/>
      <c r="C8" s="25"/>
      <c r="D8" s="63"/>
      <c r="E8" s="26"/>
      <c r="F8" s="26"/>
      <c r="G8" s="26"/>
      <c r="H8" s="26">
        <f t="shared" si="0"/>
        <v>0</v>
      </c>
      <c r="I8" s="27"/>
    </row>
    <row r="9" ht="15.5" customHeight="1" spans="1:9">
      <c r="A9" s="23">
        <v>4</v>
      </c>
      <c r="B9" s="62"/>
      <c r="C9" s="25"/>
      <c r="D9" s="63"/>
      <c r="E9" s="26"/>
      <c r="F9" s="26"/>
      <c r="G9" s="26"/>
      <c r="H9" s="26">
        <f t="shared" si="0"/>
        <v>0</v>
      </c>
      <c r="I9" s="27"/>
    </row>
    <row r="10" ht="15.5" customHeight="1" spans="1:9">
      <c r="A10" s="23">
        <v>5</v>
      </c>
      <c r="B10" s="62"/>
      <c r="C10" s="25"/>
      <c r="D10" s="23"/>
      <c r="E10" s="26"/>
      <c r="F10" s="26"/>
      <c r="G10" s="26"/>
      <c r="H10" s="26">
        <f t="shared" si="0"/>
        <v>0</v>
      </c>
      <c r="I10" s="27"/>
    </row>
    <row r="11" ht="15.5" customHeight="1" spans="1:9">
      <c r="A11" s="23">
        <v>6</v>
      </c>
      <c r="B11" s="62"/>
      <c r="C11" s="25"/>
      <c r="D11" s="23"/>
      <c r="E11" s="26"/>
      <c r="F11" s="26"/>
      <c r="G11" s="26"/>
      <c r="H11" s="26">
        <f t="shared" si="0"/>
        <v>0</v>
      </c>
      <c r="I11" s="27"/>
    </row>
    <row r="12" ht="15.5" customHeight="1" spans="1:9">
      <c r="A12" s="23">
        <v>7</v>
      </c>
      <c r="B12" s="62"/>
      <c r="C12" s="25"/>
      <c r="D12" s="23"/>
      <c r="E12" s="26"/>
      <c r="F12" s="26"/>
      <c r="G12" s="26"/>
      <c r="H12" s="26">
        <f t="shared" si="0"/>
        <v>0</v>
      </c>
      <c r="I12" s="27"/>
    </row>
    <row r="13" ht="15.5" customHeight="1" spans="1:9">
      <c r="A13" s="23"/>
      <c r="B13" s="24"/>
      <c r="C13" s="25"/>
      <c r="D13" s="23"/>
      <c r="E13" s="26"/>
      <c r="F13" s="26"/>
      <c r="G13" s="26"/>
      <c r="H13" s="26"/>
      <c r="I13" s="27"/>
    </row>
    <row r="14" ht="15.5" customHeight="1" spans="1:9">
      <c r="A14" s="23"/>
      <c r="B14" s="24"/>
      <c r="C14" s="25"/>
      <c r="D14" s="23"/>
      <c r="E14" s="26"/>
      <c r="F14" s="26"/>
      <c r="G14" s="26"/>
      <c r="H14" s="26"/>
      <c r="I14" s="27"/>
    </row>
    <row r="15" ht="15.5" customHeight="1" spans="1:9">
      <c r="A15" s="23"/>
      <c r="B15" s="24"/>
      <c r="C15" s="25"/>
      <c r="D15" s="23"/>
      <c r="E15" s="26"/>
      <c r="F15" s="26"/>
      <c r="G15" s="26"/>
      <c r="H15" s="26"/>
      <c r="I15" s="27"/>
    </row>
    <row r="16" ht="15.5" customHeight="1" spans="1:9">
      <c r="A16" s="23"/>
      <c r="B16" s="24"/>
      <c r="C16" s="25"/>
      <c r="D16" s="23"/>
      <c r="E16" s="26"/>
      <c r="F16" s="26"/>
      <c r="G16" s="26"/>
      <c r="H16" s="26"/>
      <c r="I16" s="27"/>
    </row>
    <row r="17" ht="15.5" customHeight="1" spans="1:9">
      <c r="A17" s="23"/>
      <c r="B17" s="24"/>
      <c r="C17" s="25"/>
      <c r="D17" s="23"/>
      <c r="E17" s="26"/>
      <c r="F17" s="26"/>
      <c r="G17" s="26"/>
      <c r="H17" s="26"/>
      <c r="I17" s="27"/>
    </row>
    <row r="18" ht="15.5" customHeight="1" spans="1:9">
      <c r="A18" s="23"/>
      <c r="B18" s="24"/>
      <c r="C18" s="25"/>
      <c r="D18" s="23"/>
      <c r="E18" s="26"/>
      <c r="F18" s="26"/>
      <c r="G18" s="26"/>
      <c r="H18" s="26"/>
      <c r="I18" s="27"/>
    </row>
    <row r="19" ht="15.5" customHeight="1" spans="1:9">
      <c r="A19" s="23"/>
      <c r="B19" s="24"/>
      <c r="C19" s="25"/>
      <c r="D19" s="23"/>
      <c r="E19" s="26"/>
      <c r="F19" s="26"/>
      <c r="G19" s="26"/>
      <c r="H19" s="26"/>
      <c r="I19" s="27"/>
    </row>
    <row r="20" ht="15.5" customHeight="1" spans="1:9">
      <c r="A20" s="23"/>
      <c r="B20" s="24"/>
      <c r="C20" s="25"/>
      <c r="D20" s="23"/>
      <c r="E20" s="26"/>
      <c r="F20" s="26"/>
      <c r="G20" s="26"/>
      <c r="H20" s="26"/>
      <c r="I20" s="27"/>
    </row>
    <row r="21" ht="15.5" customHeight="1" spans="1:9">
      <c r="A21" s="23"/>
      <c r="B21" s="24"/>
      <c r="C21" s="25"/>
      <c r="D21" s="23"/>
      <c r="E21" s="26"/>
      <c r="F21" s="26"/>
      <c r="G21" s="26"/>
      <c r="H21" s="26"/>
      <c r="I21" s="27"/>
    </row>
    <row r="22" ht="15.5" customHeight="1" spans="1:9">
      <c r="A22" s="23"/>
      <c r="B22" s="24"/>
      <c r="C22" s="25"/>
      <c r="D22" s="23"/>
      <c r="E22" s="26"/>
      <c r="F22" s="26"/>
      <c r="G22" s="26"/>
      <c r="H22" s="26"/>
      <c r="I22" s="27"/>
    </row>
    <row r="23" ht="15.5" customHeight="1" spans="1:9">
      <c r="A23" s="23"/>
      <c r="B23" s="24"/>
      <c r="C23" s="25"/>
      <c r="D23" s="23"/>
      <c r="E23" s="26"/>
      <c r="F23" s="26"/>
      <c r="G23" s="26"/>
      <c r="H23" s="26"/>
      <c r="I23" s="27"/>
    </row>
    <row r="24" ht="15.5" customHeight="1" spans="1:9">
      <c r="A24" s="23"/>
      <c r="B24" s="24"/>
      <c r="C24" s="25"/>
      <c r="D24" s="23"/>
      <c r="E24" s="26"/>
      <c r="F24" s="26"/>
      <c r="G24" s="26"/>
      <c r="H24" s="26"/>
      <c r="I24" s="27"/>
    </row>
    <row r="25" ht="15.5" customHeight="1" spans="1:9">
      <c r="A25" s="23"/>
      <c r="B25" s="24"/>
      <c r="C25" s="25"/>
      <c r="D25" s="23"/>
      <c r="E25" s="26"/>
      <c r="F25" s="26"/>
      <c r="G25" s="26"/>
      <c r="H25" s="26"/>
      <c r="I25" s="27"/>
    </row>
    <row r="26" ht="15.5" customHeight="1" spans="1:9">
      <c r="A26" s="23"/>
      <c r="B26" s="24"/>
      <c r="C26" s="25"/>
      <c r="D26" s="23"/>
      <c r="E26" s="26"/>
      <c r="F26" s="26"/>
      <c r="G26" s="26"/>
      <c r="H26" s="26"/>
      <c r="I26" s="27"/>
    </row>
    <row r="27" ht="15.5" customHeight="1" spans="1:9">
      <c r="A27" s="23" t="s">
        <v>707</v>
      </c>
      <c r="B27" s="28"/>
      <c r="C27" s="25"/>
      <c r="D27" s="23"/>
      <c r="E27" s="26">
        <f>SUM(E6:E26)</f>
        <v>0</v>
      </c>
      <c r="F27" s="26"/>
      <c r="G27" s="26">
        <f>SUM(G6:G26)</f>
        <v>0</v>
      </c>
      <c r="H27" s="26">
        <f>SUM(H6:H26)</f>
        <v>0</v>
      </c>
      <c r="I27" s="27"/>
    </row>
    <row r="28" ht="15.5" customHeight="1" spans="1:9">
      <c r="A28" s="29" t="str">
        <f>封面!D11&amp;封面!G11</f>
        <v>被评估单位填表人：</v>
      </c>
      <c r="G28" s="19" t="str">
        <f>"评估人员："&amp;封面!G38</f>
        <v>评估人员：</v>
      </c>
    </row>
    <row r="29" ht="15.5" customHeight="1" spans="1:9">
      <c r="A29" s="29" t="str">
        <f>CONCATENATE(封面!D13,封面!F13,封面!G13,封面!H13,封面!I13,封面!J13,封面!K13)</f>
        <v>填表日期：年月日</v>
      </c>
    </row>
  </sheetData>
  <mergeCells count="3">
    <mergeCell ref="A2:I2"/>
    <mergeCell ref="A3:I3"/>
    <mergeCell ref="A27:B27"/>
  </mergeCells>
  <hyperlinks>
    <hyperlink ref="A1" location="索引目录!I12" display="返回索引页"/>
    <hyperlink ref="B1" location="流动负债汇总!B12" display="返回"/>
  </hyperlinks>
  <printOptions horizontalCentered="1"/>
  <pageMargins left="0.354330708661417" right="0.354330708661417" top="0.78740157480315" bottom="0.78740157480315" header="1.01" footer="0.511811023622047"/>
  <pageSetup paperSize="9" fitToHeight="0" orientation="landscape"/>
  <headerFooter alignWithMargins="0">
    <oddHeader>&amp;R&amp;"宋体,常规"共&amp;"Times New Roman,常规"&amp;N&amp;"宋体,常规"页第&amp;"Times New Roman,常规"&amp;P&amp;"宋体,常规"5-7
页</oddHeader>
  </headerFooter>
  <legacyDrawing r:id="rId2"/>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1">
    <pageSetUpPr fitToPage="1"/>
  </sheetPr>
  <dimension ref="A1:L29"/>
  <sheetViews>
    <sheetView view="pageBreakPreview" zoomScale="60" zoomScaleNormal="100" workbookViewId="0">
      <selection activeCell="G451" sqref="G451"/>
    </sheetView>
  </sheetViews>
  <sheetFormatPr defaultColWidth="9" defaultRowHeight="15.75" customHeight="1"/>
  <cols>
    <col min="1" max="1" width="5" style="13" customWidth="1"/>
    <col min="2" max="2" width="23" style="13" customWidth="1"/>
    <col min="3" max="3" width="9" style="13" customWidth="1"/>
    <col min="4" max="4" width="11" style="13" customWidth="1"/>
    <col min="5" max="5" width="15.25" style="13" customWidth="1"/>
    <col min="6" max="6" width="8" style="13" customWidth="1"/>
    <col min="7" max="8" width="14.5" style="13" hidden="1" customWidth="1" outlineLevel="1"/>
    <col min="9" max="9" width="14.5" style="13" customWidth="1" collapsed="1"/>
    <col min="10" max="10" width="14.5" style="13" customWidth="1"/>
    <col min="11" max="11" width="12.5833333333333" style="13" customWidth="1"/>
    <col min="12" max="16384" width="9" style="13" customWidth="1"/>
  </cols>
  <sheetData>
    <row r="1" ht="15.5" customHeight="1" spans="1:12">
      <c r="A1" s="14" t="s">
        <v>111</v>
      </c>
      <c r="B1" s="15" t="s">
        <v>210</v>
      </c>
      <c r="C1" s="16"/>
      <c r="D1" s="16"/>
      <c r="E1" s="16"/>
      <c r="F1" s="16"/>
      <c r="G1" s="16"/>
      <c r="H1" s="16"/>
      <c r="I1" s="16"/>
      <c r="J1" s="16"/>
      <c r="K1" s="16"/>
      <c r="L1" s="16"/>
    </row>
    <row r="2" s="11" customFormat="1" ht="30" customHeight="1" spans="1:12">
      <c r="A2" s="17" t="s">
        <v>708</v>
      </c>
    </row>
    <row r="3" ht="14.15" customHeight="1" spans="1:12">
      <c r="A3" s="18" t="str">
        <f>CONCATENATE(封面!D9,封面!F9,封面!G9,封面!H9,封面!I9,封面!J9,封面!K9)</f>
        <v>评估基准日：年月日</v>
      </c>
    </row>
    <row r="4" ht="15.5" customHeight="1" spans="1:12">
      <c r="A4" s="19" t="str">
        <f>封面!D7&amp;封面!F7</f>
        <v>被评估单位：</v>
      </c>
      <c r="L4" s="20" t="s">
        <v>139</v>
      </c>
    </row>
    <row r="5" s="12" customFormat="1" ht="13" customHeight="1" spans="1:12">
      <c r="A5" s="21" t="s">
        <v>141</v>
      </c>
      <c r="B5" s="21" t="s">
        <v>316</v>
      </c>
      <c r="C5" s="21" t="s">
        <v>326</v>
      </c>
      <c r="D5" s="21" t="s">
        <v>347</v>
      </c>
      <c r="E5" s="21" t="s">
        <v>348</v>
      </c>
      <c r="F5" s="21" t="s">
        <v>349</v>
      </c>
      <c r="G5" s="21" t="s">
        <v>175</v>
      </c>
      <c r="H5" s="21" t="s">
        <v>281</v>
      </c>
      <c r="I5" s="21" t="s">
        <v>176</v>
      </c>
      <c r="J5" s="21" t="s">
        <v>177</v>
      </c>
      <c r="K5" s="21" t="s">
        <v>215</v>
      </c>
      <c r="L5" s="21" t="s">
        <v>144</v>
      </c>
    </row>
    <row r="6" ht="15.5" customHeight="1" spans="1:12">
      <c r="A6" s="23"/>
      <c r="B6" s="24"/>
      <c r="C6" s="25"/>
      <c r="D6" s="26"/>
      <c r="E6" s="23"/>
      <c r="F6" s="23"/>
      <c r="G6" s="26"/>
      <c r="H6" s="26"/>
      <c r="I6" s="26"/>
      <c r="J6" s="26"/>
      <c r="K6" s="26" t="str">
        <f t="shared" ref="K6:K25" si="0">IF(I6=0,"",(J6-I6)/I6*100)</f>
        <v/>
      </c>
      <c r="L6" s="27"/>
    </row>
    <row r="7" ht="15.5" customHeight="1" spans="1:12">
      <c r="A7" s="23"/>
      <c r="B7" s="24"/>
      <c r="C7" s="25"/>
      <c r="D7" s="26"/>
      <c r="E7" s="23"/>
      <c r="F7" s="23"/>
      <c r="G7" s="26"/>
      <c r="H7" s="26"/>
      <c r="I7" s="26"/>
      <c r="J7" s="26"/>
      <c r="K7" s="26" t="str">
        <f t="shared" si="0"/>
        <v/>
      </c>
      <c r="L7" s="27"/>
    </row>
    <row r="8" ht="15.5" customHeight="1" spans="1:12">
      <c r="A8" s="23"/>
      <c r="B8" s="24"/>
      <c r="C8" s="25"/>
      <c r="D8" s="26"/>
      <c r="E8" s="23"/>
      <c r="F8" s="23"/>
      <c r="G8" s="26"/>
      <c r="H8" s="26"/>
      <c r="I8" s="26"/>
      <c r="J8" s="26"/>
      <c r="K8" s="26" t="str">
        <f t="shared" si="0"/>
        <v/>
      </c>
      <c r="L8" s="27"/>
    </row>
    <row r="9" ht="15.5" customHeight="1" spans="1:12">
      <c r="A9" s="23"/>
      <c r="B9" s="24"/>
      <c r="C9" s="25"/>
      <c r="D9" s="26"/>
      <c r="E9" s="23"/>
      <c r="F9" s="23"/>
      <c r="G9" s="26"/>
      <c r="H9" s="26"/>
      <c r="I9" s="26"/>
      <c r="J9" s="26"/>
      <c r="K9" s="26" t="str">
        <f t="shared" si="0"/>
        <v/>
      </c>
      <c r="L9" s="27"/>
    </row>
    <row r="10" ht="15.5" customHeight="1" spans="1:12">
      <c r="A10" s="23"/>
      <c r="B10" s="24"/>
      <c r="C10" s="25"/>
      <c r="D10" s="26"/>
      <c r="E10" s="23"/>
      <c r="F10" s="23"/>
      <c r="G10" s="26"/>
      <c r="H10" s="26"/>
      <c r="I10" s="26"/>
      <c r="J10" s="26"/>
      <c r="K10" s="26" t="str">
        <f t="shared" si="0"/>
        <v/>
      </c>
      <c r="L10" s="27"/>
    </row>
    <row r="11" ht="15.5" customHeight="1" spans="1:12">
      <c r="A11" s="23"/>
      <c r="B11" s="24"/>
      <c r="C11" s="25"/>
      <c r="D11" s="26"/>
      <c r="E11" s="23"/>
      <c r="F11" s="23"/>
      <c r="G11" s="26"/>
      <c r="H11" s="26"/>
      <c r="I11" s="26"/>
      <c r="J11" s="26"/>
      <c r="K11" s="26" t="str">
        <f t="shared" si="0"/>
        <v/>
      </c>
      <c r="L11" s="27"/>
    </row>
    <row r="12" ht="15.5" customHeight="1" spans="1:12">
      <c r="A12" s="23"/>
      <c r="B12" s="24"/>
      <c r="C12" s="25"/>
      <c r="D12" s="26"/>
      <c r="E12" s="23"/>
      <c r="F12" s="23"/>
      <c r="G12" s="26"/>
      <c r="H12" s="26"/>
      <c r="I12" s="26"/>
      <c r="J12" s="26"/>
      <c r="K12" s="26" t="str">
        <f t="shared" si="0"/>
        <v/>
      </c>
      <c r="L12" s="27"/>
    </row>
    <row r="13" ht="15.5" customHeight="1" spans="1:12">
      <c r="A13" s="23"/>
      <c r="B13" s="24"/>
      <c r="C13" s="25"/>
      <c r="D13" s="26"/>
      <c r="E13" s="23"/>
      <c r="F13" s="23"/>
      <c r="G13" s="26"/>
      <c r="H13" s="26"/>
      <c r="I13" s="26"/>
      <c r="J13" s="26"/>
      <c r="K13" s="26" t="str">
        <f t="shared" si="0"/>
        <v/>
      </c>
      <c r="L13" s="27"/>
    </row>
    <row r="14" ht="15.5" customHeight="1" spans="1:12">
      <c r="A14" s="23"/>
      <c r="B14" s="24"/>
      <c r="C14" s="25"/>
      <c r="D14" s="26"/>
      <c r="E14" s="23"/>
      <c r="F14" s="23"/>
      <c r="G14" s="26"/>
      <c r="H14" s="26"/>
      <c r="I14" s="26"/>
      <c r="J14" s="26"/>
      <c r="K14" s="26" t="str">
        <f t="shared" si="0"/>
        <v/>
      </c>
      <c r="L14" s="27"/>
    </row>
    <row r="15" ht="15.5" customHeight="1" spans="1:12">
      <c r="A15" s="23"/>
      <c r="B15" s="24"/>
      <c r="C15" s="25"/>
      <c r="D15" s="26"/>
      <c r="E15" s="23"/>
      <c r="F15" s="23"/>
      <c r="G15" s="26"/>
      <c r="H15" s="26"/>
      <c r="I15" s="26"/>
      <c r="J15" s="26"/>
      <c r="K15" s="26" t="str">
        <f t="shared" si="0"/>
        <v/>
      </c>
      <c r="L15" s="27"/>
    </row>
    <row r="16" ht="15.5" customHeight="1" spans="1:12">
      <c r="A16" s="23"/>
      <c r="B16" s="24"/>
      <c r="C16" s="25"/>
      <c r="D16" s="26"/>
      <c r="E16" s="23"/>
      <c r="F16" s="23"/>
      <c r="G16" s="26"/>
      <c r="H16" s="26"/>
      <c r="I16" s="26"/>
      <c r="J16" s="26"/>
      <c r="K16" s="26" t="str">
        <f t="shared" si="0"/>
        <v/>
      </c>
      <c r="L16" s="27"/>
    </row>
    <row r="17" ht="15.5" customHeight="1" spans="1:12">
      <c r="A17" s="23"/>
      <c r="B17" s="24"/>
      <c r="C17" s="25"/>
      <c r="D17" s="26"/>
      <c r="E17" s="23"/>
      <c r="F17" s="23"/>
      <c r="G17" s="26"/>
      <c r="H17" s="26"/>
      <c r="I17" s="26"/>
      <c r="J17" s="26"/>
      <c r="K17" s="26" t="str">
        <f t="shared" si="0"/>
        <v/>
      </c>
      <c r="L17" s="27"/>
    </row>
    <row r="18" ht="15.5" customHeight="1" spans="1:12">
      <c r="A18" s="23"/>
      <c r="B18" s="24"/>
      <c r="C18" s="25"/>
      <c r="D18" s="26"/>
      <c r="E18" s="23"/>
      <c r="F18" s="23"/>
      <c r="G18" s="26"/>
      <c r="H18" s="26"/>
      <c r="I18" s="26"/>
      <c r="J18" s="26"/>
      <c r="K18" s="26" t="str">
        <f t="shared" si="0"/>
        <v/>
      </c>
      <c r="L18" s="27"/>
    </row>
    <row r="19" ht="15.5" customHeight="1" spans="1:12">
      <c r="A19" s="23"/>
      <c r="B19" s="24"/>
      <c r="C19" s="25"/>
      <c r="D19" s="26"/>
      <c r="E19" s="23"/>
      <c r="F19" s="23"/>
      <c r="G19" s="26"/>
      <c r="H19" s="26"/>
      <c r="I19" s="26"/>
      <c r="J19" s="26"/>
      <c r="K19" s="26" t="str">
        <f t="shared" si="0"/>
        <v/>
      </c>
      <c r="L19" s="27"/>
    </row>
    <row r="20" ht="15.5" customHeight="1" spans="1:12">
      <c r="A20" s="23"/>
      <c r="B20" s="24"/>
      <c r="C20" s="25"/>
      <c r="D20" s="26"/>
      <c r="E20" s="23"/>
      <c r="F20" s="23"/>
      <c r="G20" s="26"/>
      <c r="H20" s="26"/>
      <c r="I20" s="26"/>
      <c r="J20" s="26"/>
      <c r="K20" s="26" t="str">
        <f t="shared" si="0"/>
        <v/>
      </c>
      <c r="L20" s="27"/>
    </row>
    <row r="21" ht="15.5" customHeight="1" spans="1:12">
      <c r="A21" s="23"/>
      <c r="B21" s="24"/>
      <c r="C21" s="25"/>
      <c r="D21" s="26"/>
      <c r="E21" s="23"/>
      <c r="F21" s="23"/>
      <c r="G21" s="26"/>
      <c r="H21" s="26"/>
      <c r="I21" s="26"/>
      <c r="J21" s="26"/>
      <c r="K21" s="26" t="str">
        <f t="shared" si="0"/>
        <v/>
      </c>
      <c r="L21" s="27"/>
    </row>
    <row r="22" ht="15.5" customHeight="1" spans="1:12">
      <c r="A22" s="23"/>
      <c r="B22" s="24"/>
      <c r="C22" s="25"/>
      <c r="D22" s="26"/>
      <c r="E22" s="23"/>
      <c r="F22" s="23"/>
      <c r="G22" s="26"/>
      <c r="H22" s="26"/>
      <c r="I22" s="26"/>
      <c r="J22" s="26"/>
      <c r="K22" s="26" t="str">
        <f t="shared" si="0"/>
        <v/>
      </c>
      <c r="L22" s="27"/>
    </row>
    <row r="23" ht="15.5" customHeight="1" spans="1:12">
      <c r="A23" s="23"/>
      <c r="B23" s="24"/>
      <c r="C23" s="25"/>
      <c r="D23" s="26"/>
      <c r="E23" s="23"/>
      <c r="F23" s="23"/>
      <c r="G23" s="26"/>
      <c r="H23" s="26"/>
      <c r="I23" s="26"/>
      <c r="J23" s="26"/>
      <c r="K23" s="26" t="str">
        <f t="shared" si="0"/>
        <v/>
      </c>
      <c r="L23" s="27"/>
    </row>
    <row r="24" ht="15.5" customHeight="1" spans="1:12">
      <c r="A24" s="23"/>
      <c r="B24" s="24"/>
      <c r="C24" s="25"/>
      <c r="D24" s="26"/>
      <c r="E24" s="23"/>
      <c r="F24" s="23"/>
      <c r="G24" s="26"/>
      <c r="H24" s="26"/>
      <c r="I24" s="26"/>
      <c r="J24" s="26"/>
      <c r="K24" s="26" t="str">
        <f t="shared" si="0"/>
        <v/>
      </c>
      <c r="L24" s="27"/>
    </row>
    <row r="25" ht="15.5" customHeight="1" spans="1:12">
      <c r="A25" s="23"/>
      <c r="B25" s="24"/>
      <c r="C25" s="25"/>
      <c r="D25" s="26"/>
      <c r="E25" s="23"/>
      <c r="F25" s="23"/>
      <c r="G25" s="26"/>
      <c r="H25" s="26"/>
      <c r="I25" s="26"/>
      <c r="J25" s="26"/>
      <c r="K25" s="26" t="str">
        <f t="shared" si="0"/>
        <v/>
      </c>
      <c r="L25" s="27"/>
    </row>
    <row r="26" ht="15.5" customHeight="1" spans="1:12">
      <c r="A26" s="23"/>
      <c r="B26" s="24"/>
      <c r="C26" s="25"/>
      <c r="D26" s="26"/>
      <c r="E26" s="23"/>
      <c r="F26" s="23"/>
      <c r="G26" s="26"/>
      <c r="H26" s="26"/>
      <c r="I26" s="26"/>
      <c r="J26" s="26"/>
      <c r="K26" s="26"/>
      <c r="L26" s="27"/>
    </row>
    <row r="27" ht="15.5" customHeight="1" spans="1:12">
      <c r="A27" s="21" t="s">
        <v>319</v>
      </c>
      <c r="B27" s="28"/>
      <c r="C27" s="27"/>
      <c r="D27" s="26">
        <f>SUM(D6:D26)</f>
        <v>0</v>
      </c>
      <c r="E27" s="27"/>
      <c r="F27" s="27"/>
      <c r="G27" s="26">
        <f>SUM(G6:G26)</f>
        <v>0</v>
      </c>
      <c r="H27" s="26"/>
      <c r="I27" s="26">
        <f>SUM(I6:I26)</f>
        <v>0</v>
      </c>
      <c r="J27" s="26">
        <f>SUM(J6:J26)</f>
        <v>0</v>
      </c>
      <c r="K27" s="26" t="str">
        <f>IF(I27=0,"",(J27-I27)/I27*100)</f>
        <v/>
      </c>
      <c r="L27" s="27"/>
    </row>
    <row r="28" ht="15.5" customHeight="1" spans="1:12">
      <c r="A28" s="29" t="str">
        <f>封面!D11&amp;封面!G11</f>
        <v>被评估单位填表人：</v>
      </c>
      <c r="I28" s="19" t="str">
        <f>"评估人员："&amp;封面!G20</f>
        <v>评估人员：</v>
      </c>
    </row>
    <row r="29" ht="15.5" customHeight="1" spans="1:12">
      <c r="A29" s="29" t="str">
        <f>CONCATENATE(封面!D13,封面!F13,封面!G13,封面!H13,封面!I13,封面!J13,封面!K13)</f>
        <v>填表日期：年月日</v>
      </c>
    </row>
  </sheetData>
  <mergeCells count="3">
    <mergeCell ref="A2:L2"/>
    <mergeCell ref="A3:L3"/>
    <mergeCell ref="A27:B27"/>
  </mergeCells>
  <hyperlinks>
    <hyperlink ref="A1" location="索引目录!I13" display="返回索引页"/>
    <hyperlink ref="B1" location="流动负债汇总!B13" display="返回"/>
  </hyperlinks>
  <printOptions horizontalCentered="1"/>
  <pageMargins left="0.354330708661417" right="0.354330708661417" top="0.78740157480315" bottom="0.78740157480315" header="1.05" footer="0.511811023622047"/>
  <pageSetup paperSize="9" fitToHeight="0" orientation="landscape"/>
  <headerFooter alignWithMargins="0">
    <oddHeader>&amp;R&amp;"宋体,常规"共&amp;"Times New Roman,常规"&amp;N&amp;"宋体,常规"页第&amp;"Times New Roman,常规"&amp;P&amp;"宋体,常规"5-8
页</oddHeader>
  </headerFooter>
  <legacyDrawing r:id="rId2"/>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2">
    <pageSetUpPr fitToPage="1"/>
  </sheetPr>
  <dimension ref="A1:I29"/>
  <sheetViews>
    <sheetView view="pageBreakPreview" zoomScale="130" zoomScaleNormal="100" workbookViewId="0">
      <selection activeCell="G451" sqref="G451"/>
    </sheetView>
  </sheetViews>
  <sheetFormatPr defaultColWidth="9" defaultRowHeight="15.75" customHeight="1"/>
  <cols>
    <col min="1" max="1" width="6" style="13" customWidth="1"/>
    <col min="2" max="2" width="26" style="13" customWidth="1"/>
    <col min="3" max="3" width="12.5" style="13" customWidth="1"/>
    <col min="4" max="4" width="16.8333333333333" style="13" customWidth="1"/>
    <col min="5" max="6" width="16.8333333333333" style="13" hidden="1" customWidth="1" outlineLevel="1"/>
    <col min="7" max="7" width="21.3333333333333" style="13" customWidth="1" collapsed="1"/>
    <col min="8" max="8" width="21.3333333333333" style="13" customWidth="1"/>
    <col min="9" max="9" width="16.75" style="13" customWidth="1"/>
    <col min="10" max="16384" width="9" style="13" customWidth="1"/>
  </cols>
  <sheetData>
    <row r="1" ht="15.5" customHeight="1" spans="1:9">
      <c r="A1" s="14" t="s">
        <v>111</v>
      </c>
      <c r="B1" s="15" t="s">
        <v>210</v>
      </c>
      <c r="C1" s="16"/>
      <c r="D1" s="16"/>
      <c r="E1" s="16"/>
      <c r="F1" s="16"/>
      <c r="G1" s="16"/>
      <c r="H1" s="16"/>
      <c r="I1" s="16"/>
    </row>
    <row r="2" s="11" customFormat="1" ht="30" customHeight="1" spans="1:9">
      <c r="A2" s="17" t="s">
        <v>709</v>
      </c>
    </row>
    <row r="3" ht="14.15" customHeight="1" spans="1:9">
      <c r="A3" s="18" t="str">
        <f>CONCATENATE(封面!D9,封面!F9,封面!G9,封面!H9,封面!I9,封面!J9,封面!K9)</f>
        <v>评估基准日：年月日</v>
      </c>
    </row>
    <row r="4" ht="15.5" customHeight="1" spans="1:9">
      <c r="A4" s="19" t="str">
        <f>封面!D7&amp;封面!F7</f>
        <v>被评估单位：</v>
      </c>
      <c r="I4" s="20" t="s">
        <v>139</v>
      </c>
    </row>
    <row r="5" s="12" customFormat="1" ht="13" customHeight="1" spans="1:9">
      <c r="A5" s="21" t="s">
        <v>141</v>
      </c>
      <c r="B5" s="21" t="s">
        <v>710</v>
      </c>
      <c r="C5" s="21" t="s">
        <v>326</v>
      </c>
      <c r="D5" s="21" t="s">
        <v>711</v>
      </c>
      <c r="E5" s="22" t="s">
        <v>175</v>
      </c>
      <c r="F5" s="22" t="s">
        <v>281</v>
      </c>
      <c r="G5" s="21" t="s">
        <v>176</v>
      </c>
      <c r="H5" s="21" t="s">
        <v>177</v>
      </c>
      <c r="I5" s="21" t="s">
        <v>144</v>
      </c>
    </row>
    <row r="6" ht="15.5" customHeight="1" spans="1:9">
      <c r="A6" s="23"/>
      <c r="B6" s="24"/>
      <c r="C6" s="60"/>
      <c r="D6" s="61"/>
      <c r="E6" s="26"/>
      <c r="F6" s="26"/>
      <c r="G6" s="26"/>
      <c r="H6" s="26"/>
      <c r="I6" s="27"/>
    </row>
    <row r="7" ht="15.5" customHeight="1" spans="1:9">
      <c r="A7" s="23"/>
      <c r="B7" s="24"/>
      <c r="C7" s="25"/>
      <c r="D7" s="23"/>
      <c r="E7" s="26"/>
      <c r="F7" s="26"/>
      <c r="G7" s="26"/>
      <c r="H7" s="26"/>
      <c r="I7" s="27"/>
    </row>
    <row r="8" ht="15.5" customHeight="1" spans="1:9">
      <c r="A8" s="23"/>
      <c r="B8" s="24"/>
      <c r="C8" s="25"/>
      <c r="D8" s="23"/>
      <c r="E8" s="26"/>
      <c r="F8" s="26"/>
      <c r="G8" s="26"/>
      <c r="H8" s="26"/>
      <c r="I8" s="27"/>
    </row>
    <row r="9" ht="15.5" customHeight="1" spans="1:9">
      <c r="A9" s="23"/>
      <c r="B9" s="24"/>
      <c r="C9" s="25"/>
      <c r="D9" s="23"/>
      <c r="E9" s="26"/>
      <c r="F9" s="26"/>
      <c r="G9" s="26"/>
      <c r="H9" s="26"/>
      <c r="I9" s="27"/>
    </row>
    <row r="10" ht="15.5" customHeight="1" spans="1:9">
      <c r="A10" s="23"/>
      <c r="B10" s="24"/>
      <c r="C10" s="25"/>
      <c r="D10" s="23"/>
      <c r="E10" s="26"/>
      <c r="F10" s="26"/>
      <c r="G10" s="26"/>
      <c r="H10" s="26"/>
      <c r="I10" s="27"/>
    </row>
    <row r="11" ht="15.5" customHeight="1" spans="1:9">
      <c r="A11" s="23"/>
      <c r="B11" s="24"/>
      <c r="C11" s="25"/>
      <c r="D11" s="23"/>
      <c r="E11" s="26"/>
      <c r="F11" s="26"/>
      <c r="G11" s="26"/>
      <c r="H11" s="26"/>
      <c r="I11" s="27"/>
    </row>
    <row r="12" ht="15.5" customHeight="1" spans="1:9">
      <c r="A12" s="23"/>
      <c r="B12" s="24"/>
      <c r="C12" s="25"/>
      <c r="D12" s="23"/>
      <c r="E12" s="26"/>
      <c r="F12" s="26"/>
      <c r="G12" s="26"/>
      <c r="H12" s="26"/>
      <c r="I12" s="27"/>
    </row>
    <row r="13" ht="15.5" customHeight="1" spans="1:9">
      <c r="A13" s="23"/>
      <c r="B13" s="24"/>
      <c r="C13" s="25"/>
      <c r="D13" s="23"/>
      <c r="E13" s="26"/>
      <c r="F13" s="26"/>
      <c r="G13" s="26"/>
      <c r="H13" s="26"/>
      <c r="I13" s="27"/>
    </row>
    <row r="14" ht="15.5" customHeight="1" spans="1:9">
      <c r="A14" s="23"/>
      <c r="B14" s="24"/>
      <c r="C14" s="25"/>
      <c r="D14" s="23"/>
      <c r="E14" s="26"/>
      <c r="F14" s="26"/>
      <c r="G14" s="26"/>
      <c r="H14" s="26"/>
      <c r="I14" s="27"/>
    </row>
    <row r="15" ht="15.5" customHeight="1" spans="1:9">
      <c r="A15" s="23"/>
      <c r="B15" s="24"/>
      <c r="C15" s="25"/>
      <c r="D15" s="23"/>
      <c r="E15" s="26"/>
      <c r="F15" s="26"/>
      <c r="G15" s="26"/>
      <c r="H15" s="26"/>
      <c r="I15" s="27"/>
    </row>
    <row r="16" ht="15.5" customHeight="1" spans="1:9">
      <c r="A16" s="23"/>
      <c r="B16" s="24"/>
      <c r="C16" s="25"/>
      <c r="D16" s="23"/>
      <c r="E16" s="26"/>
      <c r="F16" s="26"/>
      <c r="G16" s="26"/>
      <c r="H16" s="26"/>
      <c r="I16" s="27"/>
    </row>
    <row r="17" ht="15.5" customHeight="1" spans="1:9">
      <c r="A17" s="23"/>
      <c r="B17" s="24"/>
      <c r="C17" s="25"/>
      <c r="D17" s="23"/>
      <c r="E17" s="26"/>
      <c r="F17" s="26"/>
      <c r="G17" s="26"/>
      <c r="H17" s="26"/>
      <c r="I17" s="27"/>
    </row>
    <row r="18" ht="15.5" customHeight="1" spans="1:9">
      <c r="A18" s="23"/>
      <c r="B18" s="24"/>
      <c r="C18" s="25"/>
      <c r="D18" s="23"/>
      <c r="E18" s="26"/>
      <c r="F18" s="26"/>
      <c r="G18" s="26"/>
      <c r="H18" s="26"/>
      <c r="I18" s="27"/>
    </row>
    <row r="19" ht="15.5" customHeight="1" spans="1:9">
      <c r="A19" s="23"/>
      <c r="B19" s="24"/>
      <c r="C19" s="25"/>
      <c r="D19" s="23"/>
      <c r="E19" s="26"/>
      <c r="F19" s="26"/>
      <c r="G19" s="26"/>
      <c r="H19" s="26"/>
      <c r="I19" s="27"/>
    </row>
    <row r="20" ht="15.5" customHeight="1" spans="1:9">
      <c r="A20" s="23"/>
      <c r="B20" s="24"/>
      <c r="C20" s="25"/>
      <c r="D20" s="23"/>
      <c r="E20" s="26"/>
      <c r="F20" s="26"/>
      <c r="G20" s="26"/>
      <c r="H20" s="26"/>
      <c r="I20" s="27"/>
    </row>
    <row r="21" ht="15.5" customHeight="1" spans="1:9">
      <c r="A21" s="23"/>
      <c r="B21" s="24"/>
      <c r="C21" s="25"/>
      <c r="D21" s="23"/>
      <c r="E21" s="26"/>
      <c r="F21" s="26"/>
      <c r="G21" s="26"/>
      <c r="H21" s="26"/>
      <c r="I21" s="27"/>
    </row>
    <row r="22" ht="15.5" customHeight="1" spans="1:9">
      <c r="A22" s="23"/>
      <c r="B22" s="24"/>
      <c r="C22" s="25"/>
      <c r="D22" s="23"/>
      <c r="E22" s="26"/>
      <c r="F22" s="26"/>
      <c r="G22" s="26"/>
      <c r="H22" s="26"/>
      <c r="I22" s="27"/>
    </row>
    <row r="23" ht="15.5" customHeight="1" spans="1:9">
      <c r="A23" s="23"/>
      <c r="B23" s="24"/>
      <c r="C23" s="25"/>
      <c r="D23" s="23"/>
      <c r="E23" s="26"/>
      <c r="F23" s="26"/>
      <c r="G23" s="26"/>
      <c r="H23" s="26"/>
      <c r="I23" s="27"/>
    </row>
    <row r="24" ht="15.5" customHeight="1" spans="1:9">
      <c r="A24" s="23"/>
      <c r="B24" s="24"/>
      <c r="C24" s="25"/>
      <c r="D24" s="23"/>
      <c r="E24" s="26"/>
      <c r="F24" s="26"/>
      <c r="G24" s="26"/>
      <c r="H24" s="26"/>
      <c r="I24" s="27"/>
    </row>
    <row r="25" ht="15.5" customHeight="1" spans="1:9">
      <c r="A25" s="23"/>
      <c r="B25" s="24"/>
      <c r="C25" s="25"/>
      <c r="D25" s="23"/>
      <c r="E25" s="26"/>
      <c r="F25" s="26"/>
      <c r="G25" s="26"/>
      <c r="H25" s="26"/>
      <c r="I25" s="27"/>
    </row>
    <row r="26" ht="15.5" customHeight="1" spans="1:9">
      <c r="A26" s="23"/>
      <c r="B26" s="24"/>
      <c r="C26" s="25"/>
      <c r="D26" s="23"/>
      <c r="E26" s="26"/>
      <c r="F26" s="26"/>
      <c r="G26" s="26"/>
      <c r="H26" s="26"/>
      <c r="I26" s="27"/>
    </row>
    <row r="27" ht="15.5" customHeight="1" spans="1:9">
      <c r="A27" s="21" t="s">
        <v>707</v>
      </c>
      <c r="B27" s="28"/>
      <c r="C27" s="25"/>
      <c r="D27" s="23"/>
      <c r="E27" s="26">
        <f>SUM(E6:E26)</f>
        <v>0</v>
      </c>
      <c r="F27" s="26"/>
      <c r="G27" s="26">
        <f>SUM(G6:G26)</f>
        <v>0</v>
      </c>
      <c r="H27" s="26">
        <f>SUM(H6:H26)</f>
        <v>0</v>
      </c>
      <c r="I27" s="27"/>
    </row>
    <row r="28" ht="15.5" customHeight="1" spans="1:9">
      <c r="A28" s="29" t="str">
        <f>封面!D11&amp;封面!G11</f>
        <v>被评估单位填表人：</v>
      </c>
      <c r="G28" s="19" t="str">
        <f>"评估人员："&amp;封面!G38</f>
        <v>评估人员：</v>
      </c>
    </row>
    <row r="29" ht="15.5" customHeight="1" spans="1:9">
      <c r="A29" s="29" t="str">
        <f>CONCATENATE(封面!D13,封面!F13,封面!G13,封面!H13,封面!I13,封面!J13,封面!K13)</f>
        <v>填表日期：年月日</v>
      </c>
    </row>
  </sheetData>
  <mergeCells count="3">
    <mergeCell ref="A2:I2"/>
    <mergeCell ref="A3:I3"/>
    <mergeCell ref="A27:B27"/>
  </mergeCells>
  <hyperlinks>
    <hyperlink ref="A1" location="索引目录!I14" display="返回索引页"/>
    <hyperlink ref="B1" location="流动负债汇总!B14" display="返回"/>
  </hyperlinks>
  <printOptions horizontalCentered="1"/>
  <pageMargins left="0.354330708661417" right="0.354330708661417" top="0.78740157480315" bottom="0.78740157480315" header="1.06" footer="0.511811023622047"/>
  <pageSetup paperSize="9" fitToHeight="0" orientation="landscape"/>
  <headerFooter alignWithMargins="0">
    <oddHeader>&amp;R&amp;"宋体,常规"共&amp;"Times New Roman,常规"&amp;N&amp;"宋体,常规"页第&amp;"Times New Roman,常规"&amp;P&amp;"宋体,常规"5-9
页</oddHeader>
  </headerFooter>
  <legacyDrawing r:id="rId2"/>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3">
    <pageSetUpPr fitToPage="1"/>
  </sheetPr>
  <dimension ref="A1:I53"/>
  <sheetViews>
    <sheetView view="pageBreakPreview" zoomScale="115" zoomScaleNormal="100" topLeftCell="A33" workbookViewId="0">
      <selection activeCell="G451" sqref="G451"/>
    </sheetView>
  </sheetViews>
  <sheetFormatPr defaultColWidth="9" defaultRowHeight="15.75" customHeight="1"/>
  <cols>
    <col min="1" max="1" width="4.25" style="13" customWidth="1"/>
    <col min="2" max="2" width="28.9166666666667" style="13" customWidth="1"/>
    <col min="3" max="3" width="14" style="13" customWidth="1"/>
    <col min="4" max="4" width="20.25" style="13" customWidth="1"/>
    <col min="5" max="6" width="16.5" style="13" hidden="1" customWidth="1" outlineLevel="1"/>
    <col min="7" max="7" width="20" style="13" customWidth="1" collapsed="1"/>
    <col min="8" max="8" width="20" style="13" customWidth="1"/>
    <col min="9" max="9" width="14.8333333333333" style="13" customWidth="1"/>
    <col min="10" max="16384" width="9" style="13" customWidth="1"/>
  </cols>
  <sheetData>
    <row r="1" ht="15.5" customHeight="1" spans="1:9">
      <c r="A1" s="51" t="s">
        <v>111</v>
      </c>
      <c r="B1" s="52" t="s">
        <v>210</v>
      </c>
      <c r="C1" s="16"/>
      <c r="D1" s="16"/>
      <c r="E1" s="16"/>
      <c r="F1" s="16"/>
      <c r="G1" s="16"/>
      <c r="H1" s="16"/>
      <c r="I1" s="16"/>
    </row>
    <row r="2" s="11" customFormat="1" ht="30" customHeight="1" spans="1:9">
      <c r="A2" s="53" t="s">
        <v>712</v>
      </c>
    </row>
    <row r="3" ht="14.15" customHeight="1" spans="1:9">
      <c r="A3" s="18" t="str">
        <f>CONCATENATE(封面!D9,封面!F9,封面!G9,封面!H9,封面!I9,封面!J9,封面!K9)</f>
        <v>评估基准日：年月日</v>
      </c>
    </row>
    <row r="4" ht="15.5" customHeight="1" spans="1:9">
      <c r="A4" s="19" t="str">
        <f>封面!D7&amp;封面!F7</f>
        <v>被评估单位：</v>
      </c>
      <c r="I4" s="54" t="s">
        <v>139</v>
      </c>
    </row>
    <row r="5" s="12" customFormat="1" ht="13" customHeight="1" spans="1:9">
      <c r="A5" s="23" t="s">
        <v>141</v>
      </c>
      <c r="B5" s="23" t="s">
        <v>316</v>
      </c>
      <c r="C5" s="23" t="s">
        <v>326</v>
      </c>
      <c r="D5" s="23" t="s">
        <v>325</v>
      </c>
      <c r="E5" s="55" t="s">
        <v>175</v>
      </c>
      <c r="F5" s="55" t="s">
        <v>281</v>
      </c>
      <c r="G5" s="23" t="s">
        <v>176</v>
      </c>
      <c r="H5" s="23" t="s">
        <v>177</v>
      </c>
      <c r="I5" s="23" t="s">
        <v>144</v>
      </c>
    </row>
    <row r="6" ht="15.5" customHeight="1" spans="1:9">
      <c r="A6" s="23">
        <v>1</v>
      </c>
      <c r="B6" s="56"/>
      <c r="C6" s="57"/>
      <c r="D6" s="58"/>
      <c r="E6" s="26"/>
      <c r="F6" s="26"/>
      <c r="G6" s="26"/>
      <c r="H6" s="26">
        <f t="shared" ref="H6:H50" si="0">G6</f>
        <v>0</v>
      </c>
      <c r="I6" s="27"/>
    </row>
    <row r="7" ht="15.5" customHeight="1" spans="1:9">
      <c r="A7" s="23">
        <v>2</v>
      </c>
      <c r="B7" s="56"/>
      <c r="C7" s="57"/>
      <c r="D7" s="58"/>
      <c r="E7" s="26"/>
      <c r="F7" s="26"/>
      <c r="G7" s="26"/>
      <c r="H7" s="26">
        <f t="shared" si="0"/>
        <v>0</v>
      </c>
      <c r="I7" s="27"/>
    </row>
    <row r="8" ht="15.5" customHeight="1" spans="1:9">
      <c r="A8" s="23">
        <v>3</v>
      </c>
      <c r="B8" s="56"/>
      <c r="C8" s="57"/>
      <c r="D8" s="58"/>
      <c r="E8" s="26"/>
      <c r="F8" s="26"/>
      <c r="G8" s="26"/>
      <c r="H8" s="26">
        <f t="shared" si="0"/>
        <v>0</v>
      </c>
      <c r="I8" s="27"/>
    </row>
    <row r="9" ht="15.5" customHeight="1" spans="1:9">
      <c r="A9" s="23">
        <v>4</v>
      </c>
      <c r="B9" s="56"/>
      <c r="C9" s="57"/>
      <c r="D9" s="58"/>
      <c r="E9" s="26"/>
      <c r="F9" s="26"/>
      <c r="G9" s="26"/>
      <c r="H9" s="26">
        <f t="shared" si="0"/>
        <v>0</v>
      </c>
      <c r="I9" s="27"/>
    </row>
    <row r="10" ht="15.5" customHeight="1" spans="1:9">
      <c r="A10" s="23">
        <v>5</v>
      </c>
      <c r="B10" s="56"/>
      <c r="C10" s="57"/>
      <c r="D10" s="58"/>
      <c r="E10" s="26"/>
      <c r="F10" s="26"/>
      <c r="G10" s="26"/>
      <c r="H10" s="26">
        <f t="shared" si="0"/>
        <v>0</v>
      </c>
      <c r="I10" s="27"/>
    </row>
    <row r="11" ht="15.5" customHeight="1" spans="1:9">
      <c r="A11" s="23">
        <v>6</v>
      </c>
      <c r="B11" s="56"/>
      <c r="C11" s="57"/>
      <c r="D11" s="58"/>
      <c r="E11" s="26"/>
      <c r="F11" s="26"/>
      <c r="G11" s="26"/>
      <c r="H11" s="26">
        <f t="shared" si="0"/>
        <v>0</v>
      </c>
      <c r="I11" s="27"/>
    </row>
    <row r="12" ht="15.5" customHeight="1" spans="1:9">
      <c r="A12" s="23">
        <v>7</v>
      </c>
      <c r="B12" s="56"/>
      <c r="C12" s="57"/>
      <c r="D12" s="58"/>
      <c r="E12" s="26"/>
      <c r="F12" s="26"/>
      <c r="G12" s="26"/>
      <c r="H12" s="26">
        <f t="shared" si="0"/>
        <v>0</v>
      </c>
      <c r="I12" s="27"/>
    </row>
    <row r="13" ht="15.5" customHeight="1" spans="1:9">
      <c r="A13" s="23">
        <v>8</v>
      </c>
      <c r="B13" s="56"/>
      <c r="C13" s="57"/>
      <c r="D13" s="58"/>
      <c r="E13" s="26"/>
      <c r="F13" s="26"/>
      <c r="G13" s="26"/>
      <c r="H13" s="26">
        <f t="shared" si="0"/>
        <v>0</v>
      </c>
      <c r="I13" s="27"/>
    </row>
    <row r="14" ht="15.5" customHeight="1" spans="1:9">
      <c r="A14" s="23">
        <v>9</v>
      </c>
      <c r="B14" s="56"/>
      <c r="C14" s="57"/>
      <c r="D14" s="58"/>
      <c r="E14" s="26"/>
      <c r="F14" s="26"/>
      <c r="G14" s="26"/>
      <c r="H14" s="26">
        <f t="shared" si="0"/>
        <v>0</v>
      </c>
      <c r="I14" s="27"/>
    </row>
    <row r="15" ht="15.5" customHeight="1" spans="1:9">
      <c r="A15" s="23">
        <v>10</v>
      </c>
      <c r="B15" s="56"/>
      <c r="C15" s="57"/>
      <c r="D15" s="58"/>
      <c r="E15" s="26"/>
      <c r="F15" s="26"/>
      <c r="G15" s="26"/>
      <c r="H15" s="26">
        <f t="shared" si="0"/>
        <v>0</v>
      </c>
      <c r="I15" s="27"/>
    </row>
    <row r="16" ht="15.5" customHeight="1" spans="1:9">
      <c r="A16" s="23">
        <v>11</v>
      </c>
      <c r="B16" s="56"/>
      <c r="C16" s="57"/>
      <c r="D16" s="58"/>
      <c r="E16" s="26"/>
      <c r="F16" s="26"/>
      <c r="G16" s="26"/>
      <c r="H16" s="26">
        <f t="shared" si="0"/>
        <v>0</v>
      </c>
      <c r="I16" s="27"/>
    </row>
    <row r="17" ht="15.5" customHeight="1" spans="1:9">
      <c r="A17" s="23">
        <v>12</v>
      </c>
      <c r="B17" s="56"/>
      <c r="C17" s="57"/>
      <c r="D17" s="58"/>
      <c r="E17" s="26"/>
      <c r="F17" s="26"/>
      <c r="G17" s="26"/>
      <c r="H17" s="26">
        <f t="shared" si="0"/>
        <v>0</v>
      </c>
      <c r="I17" s="27"/>
    </row>
    <row r="18" ht="15.5" customHeight="1" spans="1:9">
      <c r="A18" s="23">
        <v>13</v>
      </c>
      <c r="B18" s="59"/>
      <c r="C18" s="57"/>
      <c r="D18" s="58"/>
      <c r="E18" s="26"/>
      <c r="F18" s="26"/>
      <c r="G18" s="26"/>
      <c r="H18" s="26">
        <f t="shared" si="0"/>
        <v>0</v>
      </c>
      <c r="I18" s="27"/>
    </row>
    <row r="19" ht="15.5" customHeight="1" spans="1:9">
      <c r="A19" s="23">
        <v>14</v>
      </c>
      <c r="B19" s="56"/>
      <c r="C19" s="57"/>
      <c r="D19" s="58"/>
      <c r="E19" s="26"/>
      <c r="F19" s="26"/>
      <c r="G19" s="26"/>
      <c r="H19" s="26">
        <f t="shared" si="0"/>
        <v>0</v>
      </c>
      <c r="I19" s="27"/>
    </row>
    <row r="20" ht="15.5" customHeight="1" spans="1:9">
      <c r="A20" s="23">
        <v>15</v>
      </c>
      <c r="B20" s="56"/>
      <c r="C20" s="57"/>
      <c r="D20" s="58"/>
      <c r="E20" s="26"/>
      <c r="F20" s="26"/>
      <c r="G20" s="26"/>
      <c r="H20" s="26">
        <f t="shared" si="0"/>
        <v>0</v>
      </c>
      <c r="I20" s="27"/>
    </row>
    <row r="21" ht="15.5" customHeight="1" spans="1:9">
      <c r="A21" s="23">
        <v>16</v>
      </c>
      <c r="B21" s="56"/>
      <c r="C21" s="57"/>
      <c r="D21" s="58"/>
      <c r="E21" s="26"/>
      <c r="F21" s="26"/>
      <c r="G21" s="26"/>
      <c r="H21" s="26">
        <f t="shared" si="0"/>
        <v>0</v>
      </c>
      <c r="I21" s="27"/>
    </row>
    <row r="22" ht="15.5" customHeight="1" spans="1:9">
      <c r="A22" s="23">
        <v>17</v>
      </c>
      <c r="B22" s="56"/>
      <c r="C22" s="57"/>
      <c r="D22" s="58"/>
      <c r="E22" s="26"/>
      <c r="F22" s="26"/>
      <c r="G22" s="26"/>
      <c r="H22" s="26">
        <f t="shared" si="0"/>
        <v>0</v>
      </c>
      <c r="I22" s="27"/>
    </row>
    <row r="23" ht="15.5" customHeight="1" spans="1:9">
      <c r="A23" s="23">
        <v>18</v>
      </c>
      <c r="B23" s="56"/>
      <c r="C23" s="57"/>
      <c r="D23" s="58"/>
      <c r="E23" s="26"/>
      <c r="F23" s="26"/>
      <c r="G23" s="26"/>
      <c r="H23" s="26">
        <f t="shared" si="0"/>
        <v>0</v>
      </c>
      <c r="I23" s="27"/>
    </row>
    <row r="24" ht="15.5" customHeight="1" spans="1:9">
      <c r="A24" s="23">
        <v>19</v>
      </c>
      <c r="B24" s="56"/>
      <c r="C24" s="57"/>
      <c r="D24" s="58"/>
      <c r="E24" s="26"/>
      <c r="F24" s="26"/>
      <c r="G24" s="26"/>
      <c r="H24" s="26">
        <f t="shared" si="0"/>
        <v>0</v>
      </c>
      <c r="I24" s="27"/>
    </row>
    <row r="25" ht="15.5" customHeight="1" spans="1:9">
      <c r="A25" s="23">
        <v>20</v>
      </c>
      <c r="B25" s="56"/>
      <c r="C25" s="57"/>
      <c r="D25" s="58"/>
      <c r="E25" s="26"/>
      <c r="F25" s="26"/>
      <c r="G25" s="26"/>
      <c r="H25" s="26">
        <f t="shared" si="0"/>
        <v>0</v>
      </c>
      <c r="I25" s="27"/>
    </row>
    <row r="26" ht="15.5" customHeight="1" spans="1:9">
      <c r="A26" s="23">
        <v>21</v>
      </c>
      <c r="B26" s="56"/>
      <c r="C26" s="57"/>
      <c r="D26" s="58"/>
      <c r="E26" s="26"/>
      <c r="F26" s="26"/>
      <c r="G26" s="26"/>
      <c r="H26" s="26">
        <f t="shared" si="0"/>
        <v>0</v>
      </c>
      <c r="I26" s="27"/>
    </row>
    <row r="27" ht="15.5" customHeight="1" spans="1:9">
      <c r="A27" s="23">
        <v>22</v>
      </c>
      <c r="B27" s="56"/>
      <c r="C27" s="57"/>
      <c r="D27" s="58"/>
      <c r="E27" s="26"/>
      <c r="F27" s="26"/>
      <c r="G27" s="26"/>
      <c r="H27" s="26">
        <f t="shared" si="0"/>
        <v>0</v>
      </c>
      <c r="I27" s="27"/>
    </row>
    <row r="28" ht="15.5" customHeight="1" spans="1:9">
      <c r="A28" s="23">
        <v>23</v>
      </c>
      <c r="B28" s="56"/>
      <c r="C28" s="57"/>
      <c r="D28" s="58"/>
      <c r="E28" s="26"/>
      <c r="F28" s="26"/>
      <c r="G28" s="26"/>
      <c r="H28" s="26">
        <f t="shared" si="0"/>
        <v>0</v>
      </c>
      <c r="I28" s="27"/>
    </row>
    <row r="29" ht="15.5" customHeight="1" spans="1:9">
      <c r="A29" s="23">
        <v>24</v>
      </c>
      <c r="B29" s="56"/>
      <c r="C29" s="57"/>
      <c r="D29" s="58"/>
      <c r="E29" s="26"/>
      <c r="F29" s="26"/>
      <c r="G29" s="26"/>
      <c r="H29" s="26">
        <f t="shared" si="0"/>
        <v>0</v>
      </c>
      <c r="I29" s="27"/>
    </row>
    <row r="30" ht="15.5" customHeight="1" spans="1:9">
      <c r="A30" s="23">
        <v>25</v>
      </c>
      <c r="B30" s="56"/>
      <c r="C30" s="57"/>
      <c r="D30" s="58"/>
      <c r="E30" s="26"/>
      <c r="F30" s="26"/>
      <c r="G30" s="26"/>
      <c r="H30" s="26">
        <f t="shared" si="0"/>
        <v>0</v>
      </c>
      <c r="I30" s="27"/>
    </row>
    <row r="31" ht="15.5" customHeight="1" spans="1:9">
      <c r="A31" s="23">
        <v>26</v>
      </c>
      <c r="B31" s="56"/>
      <c r="C31" s="57"/>
      <c r="D31" s="58"/>
      <c r="E31" s="26"/>
      <c r="F31" s="26"/>
      <c r="G31" s="26"/>
      <c r="H31" s="26">
        <f t="shared" si="0"/>
        <v>0</v>
      </c>
      <c r="I31" s="27"/>
    </row>
    <row r="32" ht="15.5" customHeight="1" spans="1:9">
      <c r="A32" s="23">
        <v>27</v>
      </c>
      <c r="B32" s="56"/>
      <c r="C32" s="57"/>
      <c r="D32" s="58"/>
      <c r="E32" s="26"/>
      <c r="F32" s="26"/>
      <c r="G32" s="26"/>
      <c r="H32" s="26">
        <f t="shared" si="0"/>
        <v>0</v>
      </c>
      <c r="I32" s="27"/>
    </row>
    <row r="33" ht="15.5" customHeight="1" spans="1:9">
      <c r="A33" s="23">
        <v>28</v>
      </c>
      <c r="B33" s="56"/>
      <c r="C33" s="57"/>
      <c r="D33" s="58"/>
      <c r="E33" s="26"/>
      <c r="F33" s="26"/>
      <c r="G33" s="26"/>
      <c r="H33" s="26">
        <f t="shared" si="0"/>
        <v>0</v>
      </c>
      <c r="I33" s="27"/>
    </row>
    <row r="34" ht="15.5" customHeight="1" spans="1:9">
      <c r="A34" s="23">
        <v>29</v>
      </c>
      <c r="B34" s="56"/>
      <c r="C34" s="57"/>
      <c r="D34" s="58"/>
      <c r="E34" s="26"/>
      <c r="F34" s="26"/>
      <c r="G34" s="26"/>
      <c r="H34" s="26">
        <f t="shared" si="0"/>
        <v>0</v>
      </c>
      <c r="I34" s="27"/>
    </row>
    <row r="35" ht="15.5" customHeight="1" spans="1:9">
      <c r="A35" s="23">
        <v>30</v>
      </c>
      <c r="B35" s="56"/>
      <c r="C35" s="57"/>
      <c r="D35" s="58"/>
      <c r="E35" s="26"/>
      <c r="F35" s="26"/>
      <c r="G35" s="26"/>
      <c r="H35" s="26">
        <f t="shared" si="0"/>
        <v>0</v>
      </c>
      <c r="I35" s="27"/>
    </row>
    <row r="36" ht="15.5" customHeight="1" spans="1:9">
      <c r="A36" s="23">
        <v>31</v>
      </c>
      <c r="B36" s="56"/>
      <c r="C36" s="57"/>
      <c r="D36" s="58"/>
      <c r="E36" s="26"/>
      <c r="F36" s="26"/>
      <c r="G36" s="26"/>
      <c r="H36" s="26">
        <f t="shared" si="0"/>
        <v>0</v>
      </c>
      <c r="I36" s="27"/>
    </row>
    <row r="37" ht="15.5" customHeight="1" spans="1:9">
      <c r="A37" s="23">
        <v>32</v>
      </c>
      <c r="B37" s="56"/>
      <c r="C37" s="57"/>
      <c r="D37" s="58"/>
      <c r="E37" s="26"/>
      <c r="F37" s="26"/>
      <c r="G37" s="26"/>
      <c r="H37" s="26">
        <f t="shared" si="0"/>
        <v>0</v>
      </c>
      <c r="I37" s="27"/>
    </row>
    <row r="38" ht="15.5" customHeight="1" spans="1:9">
      <c r="A38" s="23">
        <v>33</v>
      </c>
      <c r="B38" s="56"/>
      <c r="C38" s="57"/>
      <c r="D38" s="58"/>
      <c r="E38" s="26"/>
      <c r="F38" s="26"/>
      <c r="G38" s="26"/>
      <c r="H38" s="26">
        <f t="shared" si="0"/>
        <v>0</v>
      </c>
      <c r="I38" s="27"/>
    </row>
    <row r="39" ht="15.5" customHeight="1" spans="1:9">
      <c r="A39" s="23">
        <v>34</v>
      </c>
      <c r="B39" s="56"/>
      <c r="C39" s="57"/>
      <c r="D39" s="58"/>
      <c r="E39" s="26"/>
      <c r="F39" s="26"/>
      <c r="G39" s="26"/>
      <c r="H39" s="26">
        <f t="shared" si="0"/>
        <v>0</v>
      </c>
      <c r="I39" s="27"/>
    </row>
    <row r="40" ht="15.5" customHeight="1" spans="1:9">
      <c r="A40" s="23">
        <v>35</v>
      </c>
      <c r="B40" s="56"/>
      <c r="C40" s="57"/>
      <c r="D40" s="58"/>
      <c r="E40" s="26"/>
      <c r="F40" s="26"/>
      <c r="G40" s="26"/>
      <c r="H40" s="26">
        <f t="shared" si="0"/>
        <v>0</v>
      </c>
      <c r="I40" s="27"/>
    </row>
    <row r="41" ht="15.5" customHeight="1" spans="1:9">
      <c r="A41" s="23">
        <v>36</v>
      </c>
      <c r="B41" s="56"/>
      <c r="C41" s="57"/>
      <c r="D41" s="58"/>
      <c r="E41" s="26"/>
      <c r="F41" s="26"/>
      <c r="G41" s="26"/>
      <c r="H41" s="26">
        <f t="shared" si="0"/>
        <v>0</v>
      </c>
      <c r="I41" s="27"/>
    </row>
    <row r="42" ht="15.5" customHeight="1" spans="1:9">
      <c r="A42" s="23">
        <v>37</v>
      </c>
      <c r="B42" s="56"/>
      <c r="C42" s="57"/>
      <c r="D42" s="58"/>
      <c r="E42" s="26"/>
      <c r="F42" s="26"/>
      <c r="G42" s="26"/>
      <c r="H42" s="26">
        <f t="shared" si="0"/>
        <v>0</v>
      </c>
      <c r="I42" s="27"/>
    </row>
    <row r="43" ht="15.5" customHeight="1" spans="1:9">
      <c r="A43" s="23">
        <v>38</v>
      </c>
      <c r="B43" s="56"/>
      <c r="C43" s="57"/>
      <c r="D43" s="58"/>
      <c r="E43" s="26"/>
      <c r="F43" s="26"/>
      <c r="G43" s="26"/>
      <c r="H43" s="26">
        <f t="shared" si="0"/>
        <v>0</v>
      </c>
      <c r="I43" s="27"/>
    </row>
    <row r="44" ht="15.5" customHeight="1" spans="1:9">
      <c r="A44" s="23">
        <v>39</v>
      </c>
      <c r="B44" s="56"/>
      <c r="C44" s="57"/>
      <c r="D44" s="58"/>
      <c r="E44" s="26"/>
      <c r="F44" s="26"/>
      <c r="G44" s="26"/>
      <c r="H44" s="26">
        <f t="shared" si="0"/>
        <v>0</v>
      </c>
      <c r="I44" s="27"/>
    </row>
    <row r="45" ht="15.5" customHeight="1" spans="1:9">
      <c r="A45" s="23">
        <v>40</v>
      </c>
      <c r="B45" s="56"/>
      <c r="C45" s="57"/>
      <c r="D45" s="58"/>
      <c r="E45" s="26"/>
      <c r="F45" s="26"/>
      <c r="G45" s="26"/>
      <c r="H45" s="26">
        <f t="shared" si="0"/>
        <v>0</v>
      </c>
      <c r="I45" s="27"/>
    </row>
    <row r="46" ht="15.5" customHeight="1" spans="1:9">
      <c r="A46" s="23">
        <v>41</v>
      </c>
      <c r="B46" s="56"/>
      <c r="C46" s="57"/>
      <c r="D46" s="58"/>
      <c r="E46" s="26"/>
      <c r="F46" s="26"/>
      <c r="G46" s="26"/>
      <c r="H46" s="26">
        <f t="shared" si="0"/>
        <v>0</v>
      </c>
      <c r="I46" s="27"/>
    </row>
    <row r="47" ht="15.5" customHeight="1" spans="1:9">
      <c r="A47" s="23">
        <v>42</v>
      </c>
      <c r="B47" s="56"/>
      <c r="C47" s="57"/>
      <c r="D47" s="58"/>
      <c r="E47" s="26"/>
      <c r="F47" s="26"/>
      <c r="G47" s="26"/>
      <c r="H47" s="26">
        <f t="shared" si="0"/>
        <v>0</v>
      </c>
      <c r="I47" s="27"/>
    </row>
    <row r="48" ht="15.5" customHeight="1" spans="1:9">
      <c r="A48" s="23">
        <v>43</v>
      </c>
      <c r="B48" s="56"/>
      <c r="C48" s="57"/>
      <c r="D48" s="58"/>
      <c r="E48" s="26"/>
      <c r="F48" s="26"/>
      <c r="G48" s="26"/>
      <c r="H48" s="26">
        <f t="shared" si="0"/>
        <v>0</v>
      </c>
      <c r="I48" s="27"/>
    </row>
    <row r="49" ht="15.5" customHeight="1" spans="1:9">
      <c r="A49" s="23">
        <v>44</v>
      </c>
      <c r="B49" s="56"/>
      <c r="C49" s="57"/>
      <c r="D49" s="58"/>
      <c r="E49" s="26"/>
      <c r="F49" s="26"/>
      <c r="G49" s="26"/>
      <c r="H49" s="26">
        <f t="shared" si="0"/>
        <v>0</v>
      </c>
      <c r="I49" s="27"/>
    </row>
    <row r="50" ht="15.5" customHeight="1" spans="1:9">
      <c r="A50" s="23">
        <v>45</v>
      </c>
      <c r="B50" s="56"/>
      <c r="C50" s="57"/>
      <c r="D50" s="58"/>
      <c r="E50" s="26"/>
      <c r="F50" s="26"/>
      <c r="G50" s="26"/>
      <c r="H50" s="26">
        <f t="shared" si="0"/>
        <v>0</v>
      </c>
      <c r="I50" s="27"/>
    </row>
    <row r="51" ht="15.5" customHeight="1" spans="1:9">
      <c r="A51" s="23" t="s">
        <v>697</v>
      </c>
      <c r="B51" s="28"/>
      <c r="C51" s="25"/>
      <c r="D51" s="23"/>
      <c r="E51" s="26">
        <f>SUM(E6:E50)</f>
        <v>0</v>
      </c>
      <c r="F51" s="26"/>
      <c r="G51" s="26">
        <f>SUM(G6:G50)</f>
        <v>0</v>
      </c>
      <c r="H51" s="26">
        <f>SUM(H6:H50)</f>
        <v>0</v>
      </c>
      <c r="I51" s="27"/>
    </row>
    <row r="52" ht="15.5" customHeight="1" spans="1:9">
      <c r="A52" s="29" t="str">
        <f>封面!D11&amp;封面!G11</f>
        <v>被评估单位填表人：</v>
      </c>
      <c r="G52" s="19" t="str">
        <f>"评估人员："&amp;封面!G38</f>
        <v>评估人员：</v>
      </c>
    </row>
    <row r="53" ht="15.5" customHeight="1" spans="1:9">
      <c r="A53" s="29" t="str">
        <f>CONCATENATE(封面!D13,封面!F13,封面!G13,封面!H13,封面!I13,封面!J13,封面!K13)</f>
        <v>填表日期：年月日</v>
      </c>
    </row>
  </sheetData>
  <mergeCells count="3">
    <mergeCell ref="A2:I2"/>
    <mergeCell ref="A3:I3"/>
    <mergeCell ref="A51:B51"/>
  </mergeCells>
  <hyperlinks>
    <hyperlink ref="A1" location="索引目录!I15" display="返回索引页"/>
    <hyperlink ref="B1" location="流动负债汇总!B15" display="返回"/>
  </hyperlinks>
  <printOptions horizontalCentered="1"/>
  <pageMargins left="0.354330708661417" right="0.354330708661417" top="0.78740157480315" bottom="0.78740157480315" header="0.98" footer="0.511811023622047"/>
  <pageSetup paperSize="9" fitToHeight="0" orientation="landscape"/>
  <headerFooter alignWithMargins="0">
    <oddHeader>&amp;R&amp;"宋体,常规"共&amp;"Times New Roman,常规"&amp;N&amp;"宋体,常规"页第&amp;"Times New Roman,常规"&amp;P&amp;"宋体,常规"5-10
页</oddHeader>
  </headerFooter>
  <legacyDrawing r:id="rId2"/>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4">
    <pageSetUpPr fitToPage="1"/>
  </sheetPr>
  <dimension ref="A1:J29"/>
  <sheetViews>
    <sheetView view="pageBreakPreview" zoomScale="60" zoomScaleNormal="100" workbookViewId="0">
      <selection activeCell="G451" sqref="G451"/>
    </sheetView>
  </sheetViews>
  <sheetFormatPr defaultColWidth="9" defaultRowHeight="15.75" customHeight="1"/>
  <cols>
    <col min="1" max="1" width="7" style="13" customWidth="1"/>
    <col min="2" max="2" width="25.5" style="13" customWidth="1"/>
    <col min="3" max="3" width="11.25" style="13" customWidth="1"/>
    <col min="4" max="4" width="11.5833333333333" style="13" customWidth="1"/>
    <col min="5" max="5" width="11.5" style="13" customWidth="1"/>
    <col min="6" max="7" width="15.0833333333333" style="13" hidden="1" customWidth="1" outlineLevel="1"/>
    <col min="8" max="8" width="20.0833333333333" style="13" customWidth="1" collapsed="1"/>
    <col min="9" max="9" width="20.0833333333333" style="13" customWidth="1"/>
    <col min="10" max="10" width="14.5833333333333" style="13" customWidth="1"/>
    <col min="11" max="16384" width="9" style="13" customWidth="1"/>
  </cols>
  <sheetData>
    <row r="1" ht="15.5" customHeight="1" spans="1:10">
      <c r="A1" s="14" t="s">
        <v>111</v>
      </c>
      <c r="B1" s="15" t="s">
        <v>210</v>
      </c>
      <c r="C1" s="16"/>
      <c r="D1" s="16"/>
      <c r="E1" s="16"/>
      <c r="F1" s="16"/>
      <c r="G1" s="16"/>
      <c r="H1" s="16"/>
      <c r="I1" s="16"/>
      <c r="J1" s="16"/>
    </row>
    <row r="2" s="11" customFormat="1" ht="30" customHeight="1" spans="1:10">
      <c r="A2" s="17" t="s">
        <v>713</v>
      </c>
    </row>
    <row r="3" ht="14.15" customHeight="1" spans="1:10">
      <c r="A3" s="18" t="str">
        <f>CONCATENATE(封面!D9,封面!F9,封面!G9,封面!H9,封面!I9,封面!J9,封面!K9)</f>
        <v>评估基准日：年月日</v>
      </c>
    </row>
    <row r="4" ht="15.5" customHeight="1" spans="1:10">
      <c r="A4" s="19" t="str">
        <f>封面!D7&amp;封面!F7</f>
        <v>被评估单位：</v>
      </c>
      <c r="J4" s="20" t="s">
        <v>139</v>
      </c>
    </row>
    <row r="5" s="12" customFormat="1" ht="13" customHeight="1" spans="1:10">
      <c r="A5" s="21" t="s">
        <v>141</v>
      </c>
      <c r="B5" s="21" t="s">
        <v>714</v>
      </c>
      <c r="C5" s="21" t="s">
        <v>326</v>
      </c>
      <c r="D5" s="21" t="s">
        <v>444</v>
      </c>
      <c r="E5" s="21" t="s">
        <v>715</v>
      </c>
      <c r="F5" s="22" t="s">
        <v>175</v>
      </c>
      <c r="G5" s="22" t="s">
        <v>281</v>
      </c>
      <c r="H5" s="21" t="s">
        <v>176</v>
      </c>
      <c r="I5" s="21" t="s">
        <v>177</v>
      </c>
      <c r="J5" s="21" t="s">
        <v>144</v>
      </c>
    </row>
    <row r="6" ht="15.5" customHeight="1" spans="1:10">
      <c r="A6" s="23"/>
      <c r="B6" s="24"/>
      <c r="C6" s="25"/>
      <c r="D6" s="25"/>
      <c r="E6" s="23"/>
      <c r="F6" s="26"/>
      <c r="G6" s="26"/>
      <c r="H6" s="26"/>
      <c r="I6" s="26"/>
      <c r="J6" s="27"/>
    </row>
    <row r="7" ht="15.5" customHeight="1" spans="1:10">
      <c r="A7" s="23"/>
      <c r="B7" s="24"/>
      <c r="C7" s="25"/>
      <c r="D7" s="25"/>
      <c r="E7" s="23"/>
      <c r="F7" s="26"/>
      <c r="G7" s="26"/>
      <c r="H7" s="26"/>
      <c r="I7" s="26"/>
      <c r="J7" s="27"/>
    </row>
    <row r="8" ht="15.5" customHeight="1" spans="1:10">
      <c r="A8" s="23"/>
      <c r="B8" s="24"/>
      <c r="C8" s="25"/>
      <c r="D8" s="25"/>
      <c r="E8" s="23"/>
      <c r="F8" s="26"/>
      <c r="G8" s="26"/>
      <c r="H8" s="26"/>
      <c r="I8" s="26"/>
      <c r="J8" s="27"/>
    </row>
    <row r="9" ht="15.5" customHeight="1" spans="1:10">
      <c r="A9" s="23"/>
      <c r="B9" s="24"/>
      <c r="C9" s="25"/>
      <c r="D9" s="25"/>
      <c r="E9" s="23"/>
      <c r="F9" s="26"/>
      <c r="G9" s="26"/>
      <c r="H9" s="26"/>
      <c r="I9" s="26"/>
      <c r="J9" s="27"/>
    </row>
    <row r="10" ht="15.5" customHeight="1" spans="1:10">
      <c r="A10" s="23"/>
      <c r="B10" s="24"/>
      <c r="C10" s="25"/>
      <c r="D10" s="25"/>
      <c r="E10" s="23"/>
      <c r="F10" s="26"/>
      <c r="G10" s="26"/>
      <c r="H10" s="26"/>
      <c r="I10" s="26"/>
      <c r="J10" s="27"/>
    </row>
    <row r="11" ht="15.5" customHeight="1" spans="1:10">
      <c r="A11" s="23"/>
      <c r="B11" s="24"/>
      <c r="C11" s="25"/>
      <c r="D11" s="25"/>
      <c r="E11" s="23"/>
      <c r="F11" s="26"/>
      <c r="G11" s="26"/>
      <c r="H11" s="26"/>
      <c r="I11" s="26"/>
      <c r="J11" s="27"/>
    </row>
    <row r="12" ht="15.5" customHeight="1" spans="1:10">
      <c r="A12" s="23"/>
      <c r="B12" s="24"/>
      <c r="C12" s="25"/>
      <c r="D12" s="25"/>
      <c r="E12" s="23"/>
      <c r="F12" s="26"/>
      <c r="G12" s="26"/>
      <c r="H12" s="26"/>
      <c r="I12" s="26"/>
      <c r="J12" s="27"/>
    </row>
    <row r="13" ht="15.5" customHeight="1" spans="1:10">
      <c r="A13" s="23"/>
      <c r="B13" s="24"/>
      <c r="C13" s="25"/>
      <c r="D13" s="25"/>
      <c r="E13" s="23"/>
      <c r="F13" s="26"/>
      <c r="G13" s="26"/>
      <c r="H13" s="26"/>
      <c r="I13" s="26"/>
      <c r="J13" s="27"/>
    </row>
    <row r="14" ht="15.5" customHeight="1" spans="1:10">
      <c r="A14" s="23"/>
      <c r="B14" s="24"/>
      <c r="C14" s="25"/>
      <c r="D14" s="25"/>
      <c r="E14" s="23"/>
      <c r="F14" s="26"/>
      <c r="G14" s="26"/>
      <c r="H14" s="26"/>
      <c r="I14" s="26"/>
      <c r="J14" s="27"/>
    </row>
    <row r="15" ht="15.5" customHeight="1" spans="1:10">
      <c r="A15" s="23"/>
      <c r="B15" s="24"/>
      <c r="C15" s="25"/>
      <c r="D15" s="25"/>
      <c r="E15" s="23"/>
      <c r="F15" s="26"/>
      <c r="G15" s="26"/>
      <c r="H15" s="26"/>
      <c r="I15" s="26"/>
      <c r="J15" s="27"/>
    </row>
    <row r="16" ht="15.5" customHeight="1" spans="1:10">
      <c r="A16" s="23"/>
      <c r="B16" s="24"/>
      <c r="C16" s="25"/>
      <c r="D16" s="25"/>
      <c r="E16" s="23"/>
      <c r="F16" s="26"/>
      <c r="G16" s="26"/>
      <c r="H16" s="26"/>
      <c r="I16" s="26"/>
      <c r="J16" s="27"/>
    </row>
    <row r="17" ht="15.5" customHeight="1" spans="1:10">
      <c r="A17" s="23"/>
      <c r="B17" s="24"/>
      <c r="C17" s="25"/>
      <c r="D17" s="25"/>
      <c r="E17" s="23"/>
      <c r="F17" s="26"/>
      <c r="G17" s="26"/>
      <c r="H17" s="26"/>
      <c r="I17" s="26"/>
      <c r="J17" s="27"/>
    </row>
    <row r="18" ht="15.5" customHeight="1" spans="1:10">
      <c r="A18" s="23"/>
      <c r="B18" s="24"/>
      <c r="C18" s="25"/>
      <c r="D18" s="25"/>
      <c r="E18" s="23"/>
      <c r="F18" s="26"/>
      <c r="G18" s="26"/>
      <c r="H18" s="26"/>
      <c r="I18" s="26"/>
      <c r="J18" s="27"/>
    </row>
    <row r="19" ht="15.5" customHeight="1" spans="1:10">
      <c r="A19" s="23"/>
      <c r="B19" s="24"/>
      <c r="C19" s="25"/>
      <c r="D19" s="25"/>
      <c r="E19" s="23"/>
      <c r="F19" s="26"/>
      <c r="G19" s="26"/>
      <c r="H19" s="26"/>
      <c r="I19" s="26"/>
      <c r="J19" s="27"/>
    </row>
    <row r="20" ht="15.5" customHeight="1" spans="1:10">
      <c r="A20" s="23"/>
      <c r="B20" s="24"/>
      <c r="C20" s="25"/>
      <c r="D20" s="25"/>
      <c r="E20" s="23"/>
      <c r="F20" s="26"/>
      <c r="G20" s="26"/>
      <c r="H20" s="26"/>
      <c r="I20" s="26"/>
      <c r="J20" s="27"/>
    </row>
    <row r="21" ht="15.5" customHeight="1" spans="1:10">
      <c r="A21" s="23"/>
      <c r="B21" s="24"/>
      <c r="C21" s="25"/>
      <c r="D21" s="25"/>
      <c r="E21" s="23"/>
      <c r="F21" s="26"/>
      <c r="G21" s="26"/>
      <c r="H21" s="26"/>
      <c r="I21" s="26"/>
      <c r="J21" s="27"/>
    </row>
    <row r="22" ht="15.5" customHeight="1" spans="1:10">
      <c r="A22" s="23"/>
      <c r="B22" s="24"/>
      <c r="C22" s="25"/>
      <c r="D22" s="25"/>
      <c r="E22" s="23"/>
      <c r="F22" s="26"/>
      <c r="G22" s="26"/>
      <c r="H22" s="26"/>
      <c r="I22" s="26"/>
      <c r="J22" s="27"/>
    </row>
    <row r="23" ht="15.5" customHeight="1" spans="1:10">
      <c r="A23" s="23"/>
      <c r="B23" s="24"/>
      <c r="C23" s="25"/>
      <c r="D23" s="25"/>
      <c r="E23" s="23"/>
      <c r="F23" s="26"/>
      <c r="G23" s="26"/>
      <c r="H23" s="26"/>
      <c r="I23" s="26"/>
      <c r="J23" s="27"/>
    </row>
    <row r="24" ht="15.5" customHeight="1" spans="1:10">
      <c r="A24" s="23"/>
      <c r="B24" s="24"/>
      <c r="C24" s="25"/>
      <c r="D24" s="25"/>
      <c r="E24" s="23"/>
      <c r="F24" s="26"/>
      <c r="G24" s="26"/>
      <c r="H24" s="26"/>
      <c r="I24" s="26"/>
      <c r="J24" s="27"/>
    </row>
    <row r="25" ht="15.5" customHeight="1" spans="1:10">
      <c r="A25" s="23"/>
      <c r="B25" s="24"/>
      <c r="C25" s="25"/>
      <c r="D25" s="25"/>
      <c r="E25" s="23"/>
      <c r="F25" s="26"/>
      <c r="G25" s="26"/>
      <c r="H25" s="26"/>
      <c r="I25" s="26"/>
      <c r="J25" s="27"/>
    </row>
    <row r="26" ht="15.5" customHeight="1" spans="1:10">
      <c r="A26" s="23"/>
      <c r="B26" s="24"/>
      <c r="C26" s="25"/>
      <c r="D26" s="25"/>
      <c r="E26" s="23"/>
      <c r="F26" s="26"/>
      <c r="G26" s="26"/>
      <c r="H26" s="26"/>
      <c r="I26" s="26"/>
      <c r="J26" s="27"/>
    </row>
    <row r="27" ht="15.5" customHeight="1" spans="1:10">
      <c r="A27" s="21" t="s">
        <v>641</v>
      </c>
      <c r="B27" s="28"/>
      <c r="C27" s="25"/>
      <c r="D27" s="25"/>
      <c r="E27" s="27"/>
      <c r="F27" s="26">
        <f>SUM(F6:F26)</f>
        <v>0</v>
      </c>
      <c r="G27" s="26"/>
      <c r="H27" s="26">
        <f>SUM(H6:H26)</f>
        <v>0</v>
      </c>
      <c r="I27" s="26">
        <f>SUM(I6:I26)</f>
        <v>0</v>
      </c>
      <c r="J27" s="27"/>
    </row>
    <row r="28" ht="15.5" customHeight="1" spans="1:10">
      <c r="A28" s="29" t="str">
        <f>封面!D11&amp;封面!G11</f>
        <v>被评估单位填表人：</v>
      </c>
      <c r="H28" s="19" t="str">
        <f>"评估人员："&amp;封面!G38</f>
        <v>评估人员：</v>
      </c>
    </row>
    <row r="29" ht="15.5" customHeight="1" spans="1:10">
      <c r="A29" s="29" t="str">
        <f>CONCATENATE(封面!D13,封面!F13,封面!G13,封面!H13,封面!I13,封面!J13,封面!K13)</f>
        <v>填表日期：年月日</v>
      </c>
    </row>
  </sheetData>
  <mergeCells count="3">
    <mergeCell ref="A2:J2"/>
    <mergeCell ref="A3:J3"/>
    <mergeCell ref="A27:B27"/>
  </mergeCells>
  <hyperlinks>
    <hyperlink ref="A1" location="索引目录!I16" display="返回索引页"/>
    <hyperlink ref="B1" location="流动负债汇总!B16" display="返回"/>
  </hyperlinks>
  <printOptions horizontalCentered="1"/>
  <pageMargins left="0.354330708661417" right="0.354330708661417" top="0.78740157480315" bottom="0.78740157480315" header="1.05" footer="0.511811023622047"/>
  <pageSetup paperSize="9" fitToHeight="0" orientation="landscape"/>
  <headerFooter alignWithMargins="0">
    <oddHeader>&amp;R&amp;"宋体,常规"共&amp;"Times New Roman,常规"&amp;N&amp;"宋体,常规"页第&amp;"Times New Roman,常规"&amp;P&amp;"宋体,常规"5-11
页</oddHeader>
  </headerFooter>
  <legacyDrawing r:id="rId2"/>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5">
    <pageSetUpPr fitToPage="1"/>
  </sheetPr>
  <dimension ref="A1:I29"/>
  <sheetViews>
    <sheetView view="pageBreakPreview" zoomScale="60" zoomScaleNormal="100" workbookViewId="0">
      <selection activeCell="G451" sqref="G451"/>
    </sheetView>
  </sheetViews>
  <sheetFormatPr defaultColWidth="9" defaultRowHeight="15.75" customHeight="1"/>
  <cols>
    <col min="1" max="1" width="6" style="13" customWidth="1"/>
    <col min="2" max="2" width="25" style="13" customWidth="1"/>
    <col min="3" max="3" width="12.75" style="13" customWidth="1"/>
    <col min="4" max="4" width="21.5" style="13" customWidth="1"/>
    <col min="5" max="6" width="16.5" style="13" hidden="1" customWidth="1" outlineLevel="1"/>
    <col min="7" max="7" width="20" style="13" customWidth="1" collapsed="1"/>
    <col min="8" max="8" width="20" style="13" customWidth="1"/>
    <col min="9" max="9" width="15.5" style="13" customWidth="1"/>
    <col min="10" max="16384" width="9" style="13" customWidth="1"/>
  </cols>
  <sheetData>
    <row r="1" ht="15.5" customHeight="1" spans="1:9">
      <c r="A1" s="14" t="s">
        <v>111</v>
      </c>
      <c r="B1" s="15" t="s">
        <v>210</v>
      </c>
      <c r="C1" s="16"/>
      <c r="D1" s="16"/>
      <c r="E1" s="16"/>
      <c r="F1" s="16"/>
      <c r="G1" s="16"/>
      <c r="H1" s="16"/>
      <c r="I1" s="16"/>
    </row>
    <row r="2" s="11" customFormat="1" ht="30" customHeight="1" spans="1:9">
      <c r="A2" s="17" t="s">
        <v>716</v>
      </c>
    </row>
    <row r="3" ht="14.15" customHeight="1" spans="1:9">
      <c r="A3" s="18" t="str">
        <f>CONCATENATE(封面!D9,封面!F9,封面!G9,封面!H9,封面!I9,封面!J9,封面!K9)</f>
        <v>评估基准日：年月日</v>
      </c>
    </row>
    <row r="4" ht="15.5" customHeight="1" spans="1:9">
      <c r="A4" s="19" t="str">
        <f>封面!D7&amp;封面!F7</f>
        <v>被评估单位：</v>
      </c>
      <c r="I4" s="20" t="s">
        <v>139</v>
      </c>
    </row>
    <row r="5" s="12" customFormat="1" ht="13" customHeight="1" spans="1:9">
      <c r="A5" s="21" t="s">
        <v>141</v>
      </c>
      <c r="B5" s="21" t="s">
        <v>316</v>
      </c>
      <c r="C5" s="21" t="s">
        <v>326</v>
      </c>
      <c r="D5" s="21" t="s">
        <v>404</v>
      </c>
      <c r="E5" s="22" t="s">
        <v>175</v>
      </c>
      <c r="F5" s="22" t="s">
        <v>281</v>
      </c>
      <c r="G5" s="21" t="s">
        <v>176</v>
      </c>
      <c r="H5" s="21" t="s">
        <v>177</v>
      </c>
      <c r="I5" s="21" t="s">
        <v>144</v>
      </c>
    </row>
    <row r="6" ht="15.5" customHeight="1" spans="1:9">
      <c r="A6" s="23"/>
      <c r="B6" s="24"/>
      <c r="C6" s="25"/>
      <c r="D6" s="23"/>
      <c r="E6" s="26"/>
      <c r="F6" s="26"/>
      <c r="G6" s="26"/>
      <c r="H6" s="26"/>
      <c r="I6" s="27"/>
    </row>
    <row r="7" ht="15.5" customHeight="1" spans="1:9">
      <c r="A7" s="23"/>
      <c r="B7" s="24"/>
      <c r="C7" s="25"/>
      <c r="D7" s="23"/>
      <c r="E7" s="26"/>
      <c r="F7" s="26"/>
      <c r="G7" s="26"/>
      <c r="H7" s="26"/>
      <c r="I7" s="27"/>
    </row>
    <row r="8" ht="15.5" customHeight="1" spans="1:9">
      <c r="A8" s="23"/>
      <c r="B8" s="24"/>
      <c r="C8" s="25"/>
      <c r="D8" s="23"/>
      <c r="E8" s="26"/>
      <c r="F8" s="26"/>
      <c r="G8" s="26"/>
      <c r="H8" s="26"/>
      <c r="I8" s="27"/>
    </row>
    <row r="9" ht="15.5" customHeight="1" spans="1:9">
      <c r="A9" s="23"/>
      <c r="B9" s="24"/>
      <c r="C9" s="25"/>
      <c r="D9" s="23"/>
      <c r="E9" s="26"/>
      <c r="F9" s="26"/>
      <c r="G9" s="26"/>
      <c r="H9" s="26"/>
      <c r="I9" s="27"/>
    </row>
    <row r="10" ht="15.5" customHeight="1" spans="1:9">
      <c r="A10" s="23"/>
      <c r="B10" s="24"/>
      <c r="C10" s="25"/>
      <c r="D10" s="23"/>
      <c r="E10" s="26"/>
      <c r="F10" s="26"/>
      <c r="G10" s="26"/>
      <c r="H10" s="26"/>
      <c r="I10" s="27"/>
    </row>
    <row r="11" ht="15.5" customHeight="1" spans="1:9">
      <c r="A11" s="23"/>
      <c r="B11" s="24"/>
      <c r="C11" s="25"/>
      <c r="D11" s="23"/>
      <c r="E11" s="26"/>
      <c r="F11" s="26"/>
      <c r="G11" s="26"/>
      <c r="H11" s="26"/>
      <c r="I11" s="27"/>
    </row>
    <row r="12" ht="15.5" customHeight="1" spans="1:9">
      <c r="A12" s="23"/>
      <c r="B12" s="24"/>
      <c r="C12" s="25"/>
      <c r="D12" s="23"/>
      <c r="E12" s="26"/>
      <c r="F12" s="26"/>
      <c r="G12" s="26"/>
      <c r="H12" s="26"/>
      <c r="I12" s="27"/>
    </row>
    <row r="13" ht="15.5" customHeight="1" spans="1:9">
      <c r="A13" s="23"/>
      <c r="B13" s="24"/>
      <c r="C13" s="25"/>
      <c r="D13" s="23"/>
      <c r="E13" s="26"/>
      <c r="F13" s="26"/>
      <c r="G13" s="26"/>
      <c r="H13" s="26"/>
      <c r="I13" s="27"/>
    </row>
    <row r="14" ht="15.5" customHeight="1" spans="1:9">
      <c r="A14" s="23"/>
      <c r="B14" s="24"/>
      <c r="C14" s="25"/>
      <c r="D14" s="23"/>
      <c r="E14" s="26"/>
      <c r="F14" s="26"/>
      <c r="G14" s="26"/>
      <c r="H14" s="26"/>
      <c r="I14" s="27"/>
    </row>
    <row r="15" ht="15.5" customHeight="1" spans="1:9">
      <c r="A15" s="23"/>
      <c r="B15" s="24"/>
      <c r="C15" s="25"/>
      <c r="D15" s="23"/>
      <c r="E15" s="26"/>
      <c r="F15" s="26"/>
      <c r="G15" s="26"/>
      <c r="H15" s="26"/>
      <c r="I15" s="27"/>
    </row>
    <row r="16" ht="15.5" customHeight="1" spans="1:9">
      <c r="A16" s="23"/>
      <c r="B16" s="24"/>
      <c r="C16" s="25"/>
      <c r="D16" s="23"/>
      <c r="E16" s="26"/>
      <c r="F16" s="26"/>
      <c r="G16" s="26"/>
      <c r="H16" s="26"/>
      <c r="I16" s="27"/>
    </row>
    <row r="17" ht="15.5" customHeight="1" spans="1:9">
      <c r="A17" s="23"/>
      <c r="B17" s="24"/>
      <c r="C17" s="25"/>
      <c r="D17" s="23"/>
      <c r="E17" s="26"/>
      <c r="F17" s="26"/>
      <c r="G17" s="26"/>
      <c r="H17" s="26"/>
      <c r="I17" s="27"/>
    </row>
    <row r="18" ht="15.5" customHeight="1" spans="1:9">
      <c r="A18" s="23"/>
      <c r="B18" s="24"/>
      <c r="C18" s="25"/>
      <c r="D18" s="23"/>
      <c r="E18" s="26"/>
      <c r="F18" s="26"/>
      <c r="G18" s="26"/>
      <c r="H18" s="26"/>
      <c r="I18" s="27"/>
    </row>
    <row r="19" ht="15.5" customHeight="1" spans="1:9">
      <c r="A19" s="23"/>
      <c r="B19" s="24"/>
      <c r="C19" s="25"/>
      <c r="D19" s="23"/>
      <c r="E19" s="26"/>
      <c r="F19" s="26"/>
      <c r="G19" s="26"/>
      <c r="H19" s="26"/>
      <c r="I19" s="27"/>
    </row>
    <row r="20" ht="15.5" customHeight="1" spans="1:9">
      <c r="A20" s="23"/>
      <c r="B20" s="24"/>
      <c r="C20" s="25"/>
      <c r="D20" s="23"/>
      <c r="E20" s="26"/>
      <c r="F20" s="26"/>
      <c r="G20" s="26"/>
      <c r="H20" s="26"/>
      <c r="I20" s="27"/>
    </row>
    <row r="21" ht="15.5" customHeight="1" spans="1:9">
      <c r="A21" s="23"/>
      <c r="B21" s="24"/>
      <c r="C21" s="25"/>
      <c r="D21" s="23"/>
      <c r="E21" s="26"/>
      <c r="F21" s="26"/>
      <c r="G21" s="26"/>
      <c r="H21" s="26"/>
      <c r="I21" s="27"/>
    </row>
    <row r="22" ht="15.5" customHeight="1" spans="1:9">
      <c r="A22" s="23"/>
      <c r="B22" s="24"/>
      <c r="C22" s="25"/>
      <c r="D22" s="23"/>
      <c r="E22" s="26"/>
      <c r="F22" s="26"/>
      <c r="G22" s="26"/>
      <c r="H22" s="26"/>
      <c r="I22" s="27"/>
    </row>
    <row r="23" ht="15.5" customHeight="1" spans="1:9">
      <c r="A23" s="23"/>
      <c r="B23" s="24"/>
      <c r="C23" s="25"/>
      <c r="D23" s="23"/>
      <c r="E23" s="26"/>
      <c r="F23" s="26"/>
      <c r="G23" s="26"/>
      <c r="H23" s="26"/>
      <c r="I23" s="27"/>
    </row>
    <row r="24" ht="15.5" customHeight="1" spans="1:9">
      <c r="A24" s="23"/>
      <c r="B24" s="24"/>
      <c r="C24" s="25"/>
      <c r="D24" s="23"/>
      <c r="E24" s="26"/>
      <c r="F24" s="26"/>
      <c r="G24" s="26"/>
      <c r="H24" s="26"/>
      <c r="I24" s="27"/>
    </row>
    <row r="25" ht="15.5" customHeight="1" spans="1:9">
      <c r="A25" s="23"/>
      <c r="B25" s="24"/>
      <c r="C25" s="25"/>
      <c r="D25" s="23"/>
      <c r="E25" s="26"/>
      <c r="F25" s="26"/>
      <c r="G25" s="26"/>
      <c r="H25" s="26"/>
      <c r="I25" s="27"/>
    </row>
    <row r="26" ht="15.5" customHeight="1" spans="1:9">
      <c r="A26" s="23"/>
      <c r="B26" s="24"/>
      <c r="C26" s="25"/>
      <c r="D26" s="23"/>
      <c r="E26" s="26"/>
      <c r="F26" s="26"/>
      <c r="G26" s="26"/>
      <c r="H26" s="26"/>
      <c r="I26" s="27"/>
    </row>
    <row r="27" ht="15.5" customHeight="1" spans="1:9">
      <c r="A27" s="21" t="s">
        <v>641</v>
      </c>
      <c r="B27" s="28"/>
      <c r="C27" s="25"/>
      <c r="D27" s="23"/>
      <c r="E27" s="26">
        <f>SUM(E6:E26)</f>
        <v>0</v>
      </c>
      <c r="F27" s="26"/>
      <c r="G27" s="26">
        <f>SUM(G6:G26)</f>
        <v>0</v>
      </c>
      <c r="H27" s="26">
        <f>SUM(H6:H26)</f>
        <v>0</v>
      </c>
      <c r="I27" s="27"/>
    </row>
    <row r="28" ht="15.5" customHeight="1" spans="1:9">
      <c r="A28" s="29" t="str">
        <f>封面!D11&amp;封面!G11</f>
        <v>被评估单位填表人：</v>
      </c>
      <c r="G28" s="19" t="str">
        <f>"评估人员："&amp;封面!G38</f>
        <v>评估人员：</v>
      </c>
    </row>
    <row r="29" ht="15.5" customHeight="1" spans="1:9">
      <c r="A29" s="29" t="str">
        <f>CONCATENATE(封面!D13,封面!F13,封面!G13,封面!H13,封面!I13,封面!J13,封面!K13)</f>
        <v>填表日期：年月日</v>
      </c>
    </row>
  </sheetData>
  <mergeCells count="3">
    <mergeCell ref="A2:I2"/>
    <mergeCell ref="A3:I3"/>
    <mergeCell ref="A27:B27"/>
  </mergeCells>
  <hyperlinks>
    <hyperlink ref="A1" location="索引目录!I17" display="返回索引页"/>
    <hyperlink ref="B1" location="流动负债汇总!B17" display="返回"/>
  </hyperlinks>
  <printOptions horizontalCentered="1"/>
  <pageMargins left="0.354330708661417" right="0.354330708661417" top="0.78740157480315" bottom="0.78740157480315" header="1.05" footer="0.511811023622047"/>
  <pageSetup paperSize="9" fitToHeight="0" orientation="landscape"/>
  <headerFooter alignWithMargins="0">
    <oddHeader>&amp;R&amp;"宋体,常规"共&amp;"Times New Roman,常规"&amp;N&amp;"宋体,常规"页第&amp;"Times New Roman,常规"&amp;P&amp;"宋体,常规"5-12
页</oddHeader>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6">
    <tabColor indexed="10"/>
    <pageSetUpPr fitToPage="1"/>
  </sheetPr>
  <dimension ref="A1:G31"/>
  <sheetViews>
    <sheetView view="pageBreakPreview" zoomScale="60" zoomScaleNormal="85" workbookViewId="0">
      <selection activeCell="G451" sqref="G451"/>
    </sheetView>
  </sheetViews>
  <sheetFormatPr defaultColWidth="9" defaultRowHeight="15.75" customHeight="1" outlineLevelCol="6"/>
  <cols>
    <col min="1" max="1" width="8.08333333333333" style="13" customWidth="1"/>
    <col min="2" max="2" width="25.5" style="13" customWidth="1"/>
    <col min="3" max="3" width="19.0833333333333" style="13" hidden="1" customWidth="1" outlineLevel="1"/>
    <col min="4" max="4" width="25" style="13" customWidth="1" collapsed="1"/>
    <col min="5" max="6" width="25" style="13" customWidth="1"/>
    <col min="7" max="7" width="12.5833333333333" style="13" customWidth="1"/>
    <col min="8" max="16384" width="9" style="13" customWidth="1"/>
  </cols>
  <sheetData>
    <row r="1" ht="15.5" customHeight="1" spans="1:7">
      <c r="A1" s="14" t="s">
        <v>111</v>
      </c>
      <c r="B1" s="15" t="s">
        <v>210</v>
      </c>
      <c r="C1" s="16"/>
      <c r="D1" s="16"/>
      <c r="E1" s="16"/>
      <c r="F1" s="16"/>
      <c r="G1" s="16"/>
    </row>
    <row r="2" s="11" customFormat="1" ht="30" customHeight="1" spans="1:7">
      <c r="A2" s="17" t="s">
        <v>717</v>
      </c>
    </row>
    <row r="3" ht="14.15" customHeight="1" spans="1:7">
      <c r="A3" s="18" t="str">
        <f>CONCATENATE(封面!D9,封面!F9,封面!G9,封面!H9,封面!I9,封面!J9,封面!K9)</f>
        <v>评估基准日：年月日</v>
      </c>
    </row>
    <row r="4" ht="15.5" customHeight="1" spans="1:7">
      <c r="A4" s="19" t="str">
        <f>封面!D7&amp;封面!F7</f>
        <v>被评估单位：</v>
      </c>
      <c r="G4" s="44" t="s">
        <v>139</v>
      </c>
    </row>
    <row r="5" s="43" customFormat="1" ht="13" customHeight="1" spans="1:7">
      <c r="A5" s="45" t="s">
        <v>260</v>
      </c>
      <c r="B5" s="45" t="s">
        <v>212</v>
      </c>
      <c r="C5" s="45" t="s">
        <v>175</v>
      </c>
      <c r="D5" s="45" t="s">
        <v>176</v>
      </c>
      <c r="E5" s="45" t="s">
        <v>177</v>
      </c>
      <c r="F5" s="46" t="s">
        <v>214</v>
      </c>
      <c r="G5" s="45" t="s">
        <v>215</v>
      </c>
    </row>
    <row r="6" ht="15.5" customHeight="1" spans="1:7">
      <c r="A6" s="45" t="s">
        <v>718</v>
      </c>
      <c r="B6" s="47" t="s">
        <v>65</v>
      </c>
      <c r="C6" s="26">
        <f>长期借款!H27</f>
        <v>0</v>
      </c>
      <c r="D6" s="26">
        <f>长期借款!J27</f>
        <v>0</v>
      </c>
      <c r="E6" s="26">
        <f>长期借款!L27</f>
        <v>0</v>
      </c>
      <c r="F6" s="26">
        <f t="shared" ref="F6:F13" si="0">E6-D6</f>
        <v>0</v>
      </c>
      <c r="G6" s="48" t="str">
        <f>IF(D6=0,"",F6/D6*100)</f>
        <v/>
      </c>
    </row>
    <row r="7" ht="15.5" customHeight="1" spans="1:7">
      <c r="A7" s="45" t="s">
        <v>719</v>
      </c>
      <c r="B7" s="47" t="s">
        <v>67</v>
      </c>
      <c r="C7" s="26">
        <f>应付债券!G27</f>
        <v>0</v>
      </c>
      <c r="D7" s="26">
        <f>应付债券!I27</f>
        <v>0</v>
      </c>
      <c r="E7" s="26">
        <f>应付债券!J27</f>
        <v>0</v>
      </c>
      <c r="F7" s="26">
        <f t="shared" si="0"/>
        <v>0</v>
      </c>
      <c r="G7" s="48" t="str">
        <f>IF(D7=0,"",F7/D7*100)</f>
        <v/>
      </c>
    </row>
    <row r="8" ht="15.5" customHeight="1" spans="1:7">
      <c r="A8" s="45" t="s">
        <v>720</v>
      </c>
      <c r="B8" s="47" t="s">
        <v>69</v>
      </c>
      <c r="C8" s="26">
        <f>长期应付款!G27</f>
        <v>0</v>
      </c>
      <c r="D8" s="26">
        <f>长期应付款!K27</f>
        <v>0</v>
      </c>
      <c r="E8" s="26">
        <f>长期应付款!L27</f>
        <v>0</v>
      </c>
      <c r="F8" s="26">
        <f t="shared" si="0"/>
        <v>0</v>
      </c>
      <c r="G8" s="48" t="str">
        <f>IF(D8=0,"",F8/D8*100)</f>
        <v/>
      </c>
    </row>
    <row r="9" ht="15.5" customHeight="1" spans="1:7">
      <c r="A9" s="45" t="s">
        <v>721</v>
      </c>
      <c r="B9" s="49" t="s">
        <v>722</v>
      </c>
      <c r="C9" s="26"/>
      <c r="D9" s="26">
        <f>租赁负债!G27</f>
        <v>0</v>
      </c>
      <c r="E9" s="26">
        <f>租赁负债!H27</f>
        <v>0</v>
      </c>
      <c r="F9" s="26">
        <f t="shared" si="0"/>
        <v>0</v>
      </c>
      <c r="G9" s="48"/>
    </row>
    <row r="10" ht="15.5" customHeight="1" spans="1:7">
      <c r="A10" s="45" t="s">
        <v>723</v>
      </c>
      <c r="B10" s="47" t="s">
        <v>71</v>
      </c>
      <c r="C10" s="26">
        <f>专项应付款!D27</f>
        <v>0</v>
      </c>
      <c r="D10" s="26">
        <f>专项应付款!F27</f>
        <v>0</v>
      </c>
      <c r="E10" s="26">
        <f>专项应付款!G27</f>
        <v>0</v>
      </c>
      <c r="F10" s="26">
        <f t="shared" si="0"/>
        <v>0</v>
      </c>
      <c r="G10" s="48" t="str">
        <f>IF(D10=0,"",F10/D10*100)</f>
        <v/>
      </c>
    </row>
    <row r="11" ht="15.5" customHeight="1" spans="1:7">
      <c r="A11" s="45" t="s">
        <v>724</v>
      </c>
      <c r="B11" s="47" t="s">
        <v>73</v>
      </c>
      <c r="C11" s="26">
        <f>预计负债!E27</f>
        <v>0</v>
      </c>
      <c r="D11" s="26">
        <f>预计负债!G27</f>
        <v>0</v>
      </c>
      <c r="E11" s="26">
        <f>预计负债!H27</f>
        <v>0</v>
      </c>
      <c r="F11" s="26">
        <f t="shared" si="0"/>
        <v>0</v>
      </c>
      <c r="G11" s="48" t="str">
        <f>IF(D11=0,"",F11/D11*100)</f>
        <v/>
      </c>
    </row>
    <row r="12" ht="15.5" customHeight="1" spans="1:7">
      <c r="A12" s="45" t="s">
        <v>725</v>
      </c>
      <c r="B12" s="47" t="s">
        <v>75</v>
      </c>
      <c r="C12" s="26">
        <f>递延所得税负债!D27</f>
        <v>0</v>
      </c>
      <c r="D12" s="26">
        <f>递延所得税负债!F27</f>
        <v>0</v>
      </c>
      <c r="E12" s="26">
        <f>递延所得税负债!G27</f>
        <v>0</v>
      </c>
      <c r="F12" s="26">
        <f t="shared" si="0"/>
        <v>0</v>
      </c>
      <c r="G12" s="48" t="str">
        <f>IF(D12=0,"",F12/D12*100)</f>
        <v/>
      </c>
    </row>
    <row r="13" ht="15.5" customHeight="1" spans="1:7">
      <c r="A13" s="45" t="s">
        <v>726</v>
      </c>
      <c r="B13" s="47" t="s">
        <v>77</v>
      </c>
      <c r="C13" s="26">
        <f>其他非流动负债!E27</f>
        <v>0</v>
      </c>
      <c r="D13" s="26">
        <f>其他非流动负债!G27</f>
        <v>0</v>
      </c>
      <c r="E13" s="26">
        <f>其他非流动负债!H27</f>
        <v>0</v>
      </c>
      <c r="F13" s="26">
        <f t="shared" si="0"/>
        <v>0</v>
      </c>
      <c r="G13" s="48" t="str">
        <f>IF(D13=0,"",F13/D13*100)</f>
        <v/>
      </c>
    </row>
    <row r="14" ht="15.5" customHeight="1" spans="1:7">
      <c r="A14" s="23"/>
      <c r="B14" s="27"/>
      <c r="C14" s="26"/>
      <c r="D14" s="26"/>
      <c r="E14" s="26"/>
      <c r="F14" s="26"/>
      <c r="G14" s="48"/>
    </row>
    <row r="15" ht="15.5" customHeight="1" spans="1:7">
      <c r="A15" s="23"/>
      <c r="B15" s="27"/>
      <c r="C15" s="26"/>
      <c r="D15" s="26"/>
      <c r="E15" s="26"/>
      <c r="F15" s="26"/>
      <c r="G15" s="48"/>
    </row>
    <row r="16" ht="15.5" customHeight="1" spans="1:7">
      <c r="A16" s="23"/>
      <c r="B16" s="27"/>
      <c r="C16" s="26"/>
      <c r="D16" s="26"/>
      <c r="E16" s="26"/>
      <c r="F16" s="26"/>
      <c r="G16" s="48"/>
    </row>
    <row r="17" ht="15.5" customHeight="1" spans="1:7">
      <c r="A17" s="23"/>
      <c r="B17" s="27"/>
      <c r="C17" s="26"/>
      <c r="D17" s="26"/>
      <c r="E17" s="26"/>
      <c r="F17" s="26"/>
      <c r="G17" s="48"/>
    </row>
    <row r="18" ht="15.5" customHeight="1" spans="1:7">
      <c r="A18" s="23"/>
      <c r="B18" s="27"/>
      <c r="C18" s="26"/>
      <c r="D18" s="26"/>
      <c r="E18" s="26"/>
      <c r="F18" s="26"/>
      <c r="G18" s="48"/>
    </row>
    <row r="19" ht="15.5" customHeight="1" spans="1:7">
      <c r="A19" s="23"/>
      <c r="B19" s="27"/>
      <c r="C19" s="26"/>
      <c r="D19" s="26"/>
      <c r="E19" s="26"/>
      <c r="F19" s="26"/>
      <c r="G19" s="48"/>
    </row>
    <row r="20" ht="15.5" customHeight="1" spans="1:7">
      <c r="A20" s="23"/>
      <c r="B20" s="27"/>
      <c r="C20" s="26"/>
      <c r="D20" s="26"/>
      <c r="E20" s="26"/>
      <c r="F20" s="26"/>
      <c r="G20" s="48"/>
    </row>
    <row r="21" ht="15.5" customHeight="1" spans="1:7">
      <c r="A21" s="23"/>
      <c r="B21" s="27"/>
      <c r="C21" s="26"/>
      <c r="D21" s="26"/>
      <c r="E21" s="26"/>
      <c r="F21" s="26"/>
      <c r="G21" s="48"/>
    </row>
    <row r="22" ht="15.5" customHeight="1" spans="1:7">
      <c r="A22" s="23"/>
      <c r="B22" s="27"/>
      <c r="C22" s="26"/>
      <c r="D22" s="26"/>
      <c r="E22" s="26"/>
      <c r="F22" s="26"/>
      <c r="G22" s="48"/>
    </row>
    <row r="23" ht="15.5" customHeight="1" spans="1:7">
      <c r="A23" s="23"/>
      <c r="B23" s="27"/>
      <c r="C23" s="26"/>
      <c r="D23" s="26"/>
      <c r="E23" s="26"/>
      <c r="F23" s="26"/>
      <c r="G23" s="48"/>
    </row>
    <row r="24" ht="15.5" customHeight="1" spans="1:7">
      <c r="A24" s="23"/>
      <c r="B24" s="27"/>
      <c r="C24" s="26"/>
      <c r="D24" s="26"/>
      <c r="E24" s="26"/>
      <c r="F24" s="26"/>
      <c r="G24" s="48"/>
    </row>
    <row r="25" ht="15.5" customHeight="1" spans="1:7">
      <c r="A25" s="23"/>
      <c r="B25" s="27"/>
      <c r="C25" s="26"/>
      <c r="D25" s="26"/>
      <c r="E25" s="26"/>
      <c r="F25" s="26"/>
      <c r="G25" s="48"/>
    </row>
    <row r="26" ht="15.5" customHeight="1" spans="1:7">
      <c r="A26" s="23"/>
      <c r="B26" s="27"/>
      <c r="C26" s="26"/>
      <c r="D26" s="26"/>
      <c r="E26" s="26"/>
      <c r="F26" s="26"/>
      <c r="G26" s="48"/>
    </row>
    <row r="27" ht="15.5" customHeight="1" spans="1:7">
      <c r="A27" s="45"/>
      <c r="B27" s="50"/>
      <c r="C27" s="26"/>
      <c r="D27" s="26"/>
      <c r="E27" s="26"/>
      <c r="F27" s="26"/>
      <c r="G27" s="48"/>
    </row>
    <row r="28" ht="15.5" customHeight="1" spans="1:7">
      <c r="A28" s="45"/>
      <c r="B28" s="50"/>
      <c r="C28" s="26"/>
      <c r="D28" s="26"/>
      <c r="E28" s="26"/>
      <c r="F28" s="26"/>
      <c r="G28" s="48"/>
    </row>
    <row r="29" ht="15.5" customHeight="1" spans="1:7">
      <c r="A29" s="45" t="s">
        <v>727</v>
      </c>
      <c r="B29" s="23" t="s">
        <v>155</v>
      </c>
      <c r="C29" s="26">
        <f>SUM(C6:C28)</f>
        <v>0</v>
      </c>
      <c r="D29" s="26">
        <f>SUM(D6:D28)</f>
        <v>0</v>
      </c>
      <c r="E29" s="26">
        <f>SUM(E6:E28)</f>
        <v>0</v>
      </c>
      <c r="F29" s="26">
        <f>SUM(F6:F28)</f>
        <v>0</v>
      </c>
      <c r="G29" s="48" t="str">
        <f>IF(D29=0,"",F29/D29*100)</f>
        <v/>
      </c>
    </row>
    <row r="30" ht="15.5" customHeight="1" spans="1:7">
      <c r="A30" s="29" t="str">
        <f>封面!D11&amp;封面!G11</f>
        <v>被评估单位填表人：</v>
      </c>
      <c r="E30" s="13" t="str">
        <f>"评估人员："&amp;封面!G38</f>
        <v>评估人员：</v>
      </c>
    </row>
    <row r="31" ht="15.5" customHeight="1" spans="1:7">
      <c r="A31" s="29" t="str">
        <f>CONCATENATE(封面!D13,封面!F13,封面!G13,封面!H13,封面!I13,封面!J13,封面!K13)</f>
        <v>填表日期：年月日</v>
      </c>
    </row>
  </sheetData>
  <mergeCells count="2">
    <mergeCell ref="A2:G2"/>
    <mergeCell ref="A3:G3"/>
  </mergeCells>
  <hyperlinks>
    <hyperlink ref="A1" location="索引目录!G20" display="返回索引页"/>
    <hyperlink ref="B1" location="分类汇总!B53" display="返回"/>
    <hyperlink ref="B6" location="长期借款!B1" display="长期借款"/>
    <hyperlink ref="B7" location="应付债券!B1" display="应付债券"/>
    <hyperlink ref="B8" location="长期应付款!B1" display="长期应付款"/>
    <hyperlink ref="B10" location="专项应付款!B1" display="专项应付款"/>
    <hyperlink ref="B11" location="预计负债!B1" display="预计负债"/>
    <hyperlink ref="B12" location="递延所得税负债!B1" display="递延所得税负债"/>
    <hyperlink ref="B13" location="其他非流动负债!B1" display="其他非流动负债"/>
  </hyperlinks>
  <printOptions horizontalCentered="1"/>
  <pageMargins left="0.354330708661417" right="0.354330708661417" top="0.78740157480315" bottom="0.78740157480315" header="1.03" footer="0.511811023622047"/>
  <pageSetup paperSize="9" fitToHeight="0" orientation="landscape"/>
  <headerFooter alignWithMargins="0">
    <oddHeader>&amp;R&amp;"宋体,常规"共&amp;"Times New Roman,常规"&amp;N&amp;"宋体,常规"页第&amp;"Times New Roman,常规"&amp;P&amp;"宋体,常规"6
页</oddHeader>
  </headerFoot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7">
    <pageSetUpPr fitToPage="1"/>
  </sheetPr>
  <dimension ref="A1:M29"/>
  <sheetViews>
    <sheetView view="pageBreakPreview" zoomScale="60" zoomScaleNormal="100" workbookViewId="0">
      <selection activeCell="G451" sqref="G451"/>
    </sheetView>
  </sheetViews>
  <sheetFormatPr defaultColWidth="9" defaultRowHeight="15.75" customHeight="1"/>
  <cols>
    <col min="1" max="1" width="5.5" style="13" customWidth="1"/>
    <col min="2" max="2" width="22.8333333333333" style="13" customWidth="1"/>
    <col min="3" max="4" width="8.75" style="13" customWidth="1"/>
    <col min="5" max="5" width="8.33333333333333" style="13" customWidth="1"/>
    <col min="6" max="6" width="6.08333333333333" style="13" customWidth="1"/>
    <col min="7" max="7" width="10" style="13" customWidth="1"/>
    <col min="8" max="9" width="13.0833333333333" style="13" hidden="1" customWidth="1" outlineLevel="1"/>
    <col min="10" max="10" width="14.3333333333333" style="13" customWidth="1" collapsed="1"/>
    <col min="11" max="11" width="11.8333333333333" style="13" customWidth="1"/>
    <col min="12" max="12" width="14.3333333333333" style="13" customWidth="1"/>
    <col min="13" max="13" width="10.5833333333333" style="13" customWidth="1"/>
    <col min="14" max="16384" width="9" style="13" customWidth="1"/>
  </cols>
  <sheetData>
    <row r="1" ht="15.5" customHeight="1" spans="1:13">
      <c r="A1" s="14" t="s">
        <v>111</v>
      </c>
      <c r="B1" s="15" t="s">
        <v>210</v>
      </c>
      <c r="C1" s="16"/>
      <c r="D1" s="16"/>
      <c r="E1" s="16"/>
      <c r="F1" s="16"/>
      <c r="G1" s="16"/>
      <c r="H1" s="16"/>
      <c r="I1" s="16"/>
      <c r="J1" s="16"/>
      <c r="K1" s="16"/>
      <c r="L1" s="16"/>
      <c r="M1" s="16"/>
    </row>
    <row r="2" s="11" customFormat="1" ht="30" customHeight="1" spans="1:13">
      <c r="A2" s="17" t="s">
        <v>728</v>
      </c>
    </row>
    <row r="3" ht="14.15" customHeight="1" spans="1:13">
      <c r="A3" s="18" t="str">
        <f>CONCATENATE(封面!D9,封面!F9,封面!G9,封面!H9,封面!I9,封面!J9,封面!K9)</f>
        <v>评估基准日：年月日</v>
      </c>
    </row>
    <row r="4" ht="15.5" customHeight="1" spans="1:13">
      <c r="A4" s="19" t="str">
        <f>封面!D7&amp;封面!F7</f>
        <v>被评估单位：</v>
      </c>
      <c r="M4" s="20" t="s">
        <v>139</v>
      </c>
    </row>
    <row r="5" s="12" customFormat="1" ht="13" customHeight="1" spans="1:13">
      <c r="A5" s="21" t="s">
        <v>141</v>
      </c>
      <c r="B5" s="21" t="s">
        <v>691</v>
      </c>
      <c r="C5" s="21" t="s">
        <v>326</v>
      </c>
      <c r="D5" s="21" t="s">
        <v>444</v>
      </c>
      <c r="E5" s="21" t="s">
        <v>692</v>
      </c>
      <c r="F5" s="21" t="s">
        <v>278</v>
      </c>
      <c r="G5" s="21" t="s">
        <v>693</v>
      </c>
      <c r="H5" s="22" t="s">
        <v>175</v>
      </c>
      <c r="I5" s="22" t="s">
        <v>281</v>
      </c>
      <c r="J5" s="21" t="s">
        <v>176</v>
      </c>
      <c r="K5" s="21" t="s">
        <v>694</v>
      </c>
      <c r="L5" s="21" t="s">
        <v>177</v>
      </c>
      <c r="M5" s="21" t="s">
        <v>144</v>
      </c>
    </row>
    <row r="6" ht="15.5" customHeight="1" spans="1:13">
      <c r="A6" s="23"/>
      <c r="B6" s="24"/>
      <c r="C6" s="25"/>
      <c r="D6" s="25"/>
      <c r="E6" s="25"/>
      <c r="F6" s="23"/>
      <c r="G6" s="26"/>
      <c r="H6" s="26"/>
      <c r="I6" s="26"/>
      <c r="J6" s="26"/>
      <c r="K6" s="38"/>
      <c r="L6" s="26"/>
      <c r="M6" s="27"/>
    </row>
    <row r="7" ht="15.5" customHeight="1" spans="1:13">
      <c r="A7" s="23"/>
      <c r="B7" s="24"/>
      <c r="C7" s="25"/>
      <c r="D7" s="25"/>
      <c r="E7" s="23"/>
      <c r="F7" s="23"/>
      <c r="G7" s="26"/>
      <c r="H7" s="26"/>
      <c r="I7" s="26"/>
      <c r="J7" s="26"/>
      <c r="K7" s="38"/>
      <c r="L7" s="26"/>
      <c r="M7" s="27"/>
    </row>
    <row r="8" ht="15.5" customHeight="1" spans="1:13">
      <c r="A8" s="23"/>
      <c r="B8" s="24"/>
      <c r="C8" s="25"/>
      <c r="D8" s="25"/>
      <c r="E8" s="23"/>
      <c r="F8" s="23"/>
      <c r="G8" s="26"/>
      <c r="H8" s="26"/>
      <c r="I8" s="26"/>
      <c r="J8" s="26"/>
      <c r="K8" s="38"/>
      <c r="L8" s="26"/>
      <c r="M8" s="27"/>
    </row>
    <row r="9" ht="15.5" customHeight="1" spans="1:13">
      <c r="A9" s="23"/>
      <c r="B9" s="24"/>
      <c r="C9" s="25"/>
      <c r="D9" s="25"/>
      <c r="E9" s="23"/>
      <c r="F9" s="23"/>
      <c r="G9" s="26"/>
      <c r="H9" s="26"/>
      <c r="I9" s="26"/>
      <c r="J9" s="26"/>
      <c r="K9" s="38"/>
      <c r="L9" s="26"/>
      <c r="M9" s="27"/>
    </row>
    <row r="10" ht="15.5" customHeight="1" spans="1:13">
      <c r="A10" s="23"/>
      <c r="B10" s="24"/>
      <c r="C10" s="25"/>
      <c r="D10" s="25"/>
      <c r="E10" s="23"/>
      <c r="F10" s="23"/>
      <c r="G10" s="26"/>
      <c r="H10" s="26"/>
      <c r="I10" s="26"/>
      <c r="J10" s="26"/>
      <c r="K10" s="38"/>
      <c r="L10" s="26"/>
      <c r="M10" s="27"/>
    </row>
    <row r="11" ht="15.5" customHeight="1" spans="1:13">
      <c r="A11" s="23"/>
      <c r="B11" s="24"/>
      <c r="C11" s="25"/>
      <c r="D11" s="25"/>
      <c r="E11" s="23"/>
      <c r="F11" s="23"/>
      <c r="G11" s="26"/>
      <c r="H11" s="26"/>
      <c r="I11" s="26"/>
      <c r="J11" s="26"/>
      <c r="K11" s="38"/>
      <c r="L11" s="26"/>
      <c r="M11" s="27"/>
    </row>
    <row r="12" ht="15.5" customHeight="1" spans="1:13">
      <c r="A12" s="23"/>
      <c r="B12" s="24"/>
      <c r="C12" s="25"/>
      <c r="D12" s="25"/>
      <c r="E12" s="23"/>
      <c r="F12" s="23"/>
      <c r="G12" s="26"/>
      <c r="H12" s="26"/>
      <c r="I12" s="26"/>
      <c r="J12" s="26"/>
      <c r="K12" s="38"/>
      <c r="L12" s="26"/>
      <c r="M12" s="27"/>
    </row>
    <row r="13" ht="15.5" customHeight="1" spans="1:13">
      <c r="A13" s="23"/>
      <c r="B13" s="24"/>
      <c r="C13" s="25"/>
      <c r="D13" s="25"/>
      <c r="E13" s="23"/>
      <c r="F13" s="23"/>
      <c r="G13" s="26"/>
      <c r="H13" s="26"/>
      <c r="I13" s="26"/>
      <c r="J13" s="26"/>
      <c r="K13" s="38"/>
      <c r="L13" s="26"/>
      <c r="M13" s="27"/>
    </row>
    <row r="14" ht="15.5" customHeight="1" spans="1:13">
      <c r="A14" s="23"/>
      <c r="B14" s="24"/>
      <c r="C14" s="25"/>
      <c r="D14" s="25"/>
      <c r="E14" s="23"/>
      <c r="F14" s="23"/>
      <c r="G14" s="26"/>
      <c r="H14" s="26"/>
      <c r="I14" s="26"/>
      <c r="J14" s="26"/>
      <c r="K14" s="38"/>
      <c r="L14" s="26"/>
      <c r="M14" s="27"/>
    </row>
    <row r="15" ht="15.5" customHeight="1" spans="1:13">
      <c r="A15" s="23"/>
      <c r="B15" s="24"/>
      <c r="C15" s="25"/>
      <c r="D15" s="25"/>
      <c r="E15" s="23"/>
      <c r="F15" s="23"/>
      <c r="G15" s="26"/>
      <c r="H15" s="26"/>
      <c r="I15" s="26"/>
      <c r="J15" s="26"/>
      <c r="K15" s="38"/>
      <c r="L15" s="26"/>
      <c r="M15" s="27"/>
    </row>
    <row r="16" ht="15.5" customHeight="1" spans="1:13">
      <c r="A16" s="23"/>
      <c r="B16" s="24"/>
      <c r="C16" s="25"/>
      <c r="D16" s="25"/>
      <c r="E16" s="23"/>
      <c r="F16" s="23"/>
      <c r="G16" s="26"/>
      <c r="H16" s="26"/>
      <c r="I16" s="26"/>
      <c r="J16" s="26"/>
      <c r="K16" s="38"/>
      <c r="L16" s="26"/>
      <c r="M16" s="27"/>
    </row>
    <row r="17" ht="15.5" customHeight="1" spans="1:13">
      <c r="A17" s="23"/>
      <c r="B17" s="24"/>
      <c r="C17" s="25"/>
      <c r="D17" s="25"/>
      <c r="E17" s="23"/>
      <c r="F17" s="23"/>
      <c r="G17" s="26"/>
      <c r="H17" s="26"/>
      <c r="I17" s="26"/>
      <c r="J17" s="26"/>
      <c r="K17" s="38"/>
      <c r="L17" s="26"/>
      <c r="M17" s="27"/>
    </row>
    <row r="18" ht="15.5" customHeight="1" spans="1:13">
      <c r="A18" s="23"/>
      <c r="B18" s="24"/>
      <c r="C18" s="25"/>
      <c r="D18" s="25"/>
      <c r="E18" s="23"/>
      <c r="F18" s="23"/>
      <c r="G18" s="26"/>
      <c r="H18" s="26"/>
      <c r="I18" s="26"/>
      <c r="J18" s="26"/>
      <c r="K18" s="38"/>
      <c r="L18" s="26"/>
      <c r="M18" s="27"/>
    </row>
    <row r="19" ht="15.5" customHeight="1" spans="1:13">
      <c r="A19" s="23"/>
      <c r="B19" s="24"/>
      <c r="C19" s="25"/>
      <c r="D19" s="25"/>
      <c r="E19" s="23"/>
      <c r="F19" s="23"/>
      <c r="G19" s="26"/>
      <c r="H19" s="26"/>
      <c r="I19" s="26"/>
      <c r="J19" s="26"/>
      <c r="K19" s="38"/>
      <c r="L19" s="26"/>
      <c r="M19" s="27"/>
    </row>
    <row r="20" ht="15.5" customHeight="1" spans="1:13">
      <c r="A20" s="23"/>
      <c r="B20" s="24"/>
      <c r="C20" s="25"/>
      <c r="D20" s="25"/>
      <c r="E20" s="23"/>
      <c r="F20" s="23"/>
      <c r="G20" s="26"/>
      <c r="H20" s="26"/>
      <c r="I20" s="26"/>
      <c r="J20" s="26"/>
      <c r="K20" s="38"/>
      <c r="L20" s="26"/>
      <c r="M20" s="27"/>
    </row>
    <row r="21" ht="15.5" customHeight="1" spans="1:13">
      <c r="A21" s="23"/>
      <c r="B21" s="24"/>
      <c r="C21" s="25"/>
      <c r="D21" s="25"/>
      <c r="E21" s="23"/>
      <c r="F21" s="23"/>
      <c r="G21" s="26"/>
      <c r="H21" s="26"/>
      <c r="I21" s="26"/>
      <c r="J21" s="26"/>
      <c r="K21" s="38"/>
      <c r="L21" s="26"/>
      <c r="M21" s="27"/>
    </row>
    <row r="22" ht="15.5" customHeight="1" spans="1:13">
      <c r="A22" s="23"/>
      <c r="B22" s="24"/>
      <c r="C22" s="25"/>
      <c r="D22" s="25"/>
      <c r="E22" s="23"/>
      <c r="F22" s="23"/>
      <c r="G22" s="26"/>
      <c r="H22" s="26"/>
      <c r="I22" s="26"/>
      <c r="J22" s="26"/>
      <c r="K22" s="38"/>
      <c r="L22" s="26"/>
      <c r="M22" s="27"/>
    </row>
    <row r="23" ht="15.5" customHeight="1" spans="1:13">
      <c r="A23" s="23"/>
      <c r="B23" s="24"/>
      <c r="C23" s="25"/>
      <c r="D23" s="25"/>
      <c r="E23" s="23"/>
      <c r="F23" s="23"/>
      <c r="G23" s="26"/>
      <c r="H23" s="26"/>
      <c r="I23" s="26"/>
      <c r="J23" s="26"/>
      <c r="K23" s="38"/>
      <c r="L23" s="26"/>
      <c r="M23" s="27"/>
    </row>
    <row r="24" ht="15.5" customHeight="1" spans="1:13">
      <c r="A24" s="23"/>
      <c r="B24" s="24"/>
      <c r="C24" s="25"/>
      <c r="D24" s="25"/>
      <c r="E24" s="23"/>
      <c r="F24" s="23"/>
      <c r="G24" s="26"/>
      <c r="H24" s="26"/>
      <c r="I24" s="26"/>
      <c r="J24" s="26"/>
      <c r="K24" s="38"/>
      <c r="L24" s="26"/>
      <c r="M24" s="27"/>
    </row>
    <row r="25" ht="15.5" customHeight="1" spans="1:13">
      <c r="A25" s="23"/>
      <c r="B25" s="24"/>
      <c r="C25" s="25"/>
      <c r="D25" s="25"/>
      <c r="E25" s="23"/>
      <c r="F25" s="23"/>
      <c r="G25" s="26"/>
      <c r="H25" s="26"/>
      <c r="I25" s="26"/>
      <c r="J25" s="26"/>
      <c r="K25" s="38"/>
      <c r="L25" s="26"/>
      <c r="M25" s="27"/>
    </row>
    <row r="26" ht="15.5" customHeight="1" spans="1:13">
      <c r="A26" s="23"/>
      <c r="B26" s="24"/>
      <c r="C26" s="25"/>
      <c r="D26" s="25"/>
      <c r="E26" s="23"/>
      <c r="F26" s="23"/>
      <c r="G26" s="26"/>
      <c r="H26" s="26"/>
      <c r="I26" s="26"/>
      <c r="J26" s="26"/>
      <c r="K26" s="38"/>
      <c r="L26" s="26"/>
      <c r="M26" s="27"/>
    </row>
    <row r="27" ht="15.5" customHeight="1" spans="1:13">
      <c r="A27" s="21" t="s">
        <v>641</v>
      </c>
      <c r="B27" s="28"/>
      <c r="C27" s="25"/>
      <c r="D27" s="25"/>
      <c r="E27" s="23"/>
      <c r="F27" s="23"/>
      <c r="G27" s="26"/>
      <c r="H27" s="26">
        <f>SUM(H6:H26)</f>
        <v>0</v>
      </c>
      <c r="I27" s="26"/>
      <c r="J27" s="26">
        <f>SUM(J6:J26)</f>
        <v>0</v>
      </c>
      <c r="K27" s="38"/>
      <c r="L27" s="26">
        <f>SUM(L6:L26)</f>
        <v>0</v>
      </c>
      <c r="M27" s="27"/>
    </row>
    <row r="28" ht="15.5" customHeight="1" spans="1:13">
      <c r="A28" s="29" t="str">
        <f>封面!D11&amp;封面!G11</f>
        <v>被评估单位填表人：</v>
      </c>
      <c r="J28" s="13" t="str">
        <f>"评估人员："&amp;封面!G38</f>
        <v>评估人员：</v>
      </c>
    </row>
    <row r="29" ht="15.5" customHeight="1" spans="1:13">
      <c r="A29" s="29" t="str">
        <f>CONCATENATE(封面!D13,封面!F13,封面!G13,封面!H13,封面!I13,封面!J13,封面!K13)</f>
        <v>填表日期：年月日</v>
      </c>
    </row>
  </sheetData>
  <mergeCells count="3">
    <mergeCell ref="A2:M2"/>
    <mergeCell ref="A3:M3"/>
    <mergeCell ref="A27:B27"/>
  </mergeCells>
  <hyperlinks>
    <hyperlink ref="A1" location="索引目录!I20" display="返回索引页"/>
    <hyperlink ref="B1" location="'非流动负债汇总 '!B6" display="返回"/>
  </hyperlinks>
  <printOptions horizontalCentered="1"/>
  <pageMargins left="0.354330708661417" right="0.354330708661417" top="0.78740157480315" bottom="0.78740157480315" header="1.05" footer="0.511811023622047"/>
  <pageSetup paperSize="9" fitToHeight="0" orientation="landscape"/>
  <headerFooter alignWithMargins="0">
    <oddHeader>&amp;R&amp;"宋体,常规"共&amp;"Times New Roman,常规"&amp;N&amp;"宋体,常规"页第&amp;"Times New Roman,常规"&amp;P&amp;"宋体,常规"6-1
页</oddHeader>
  </headerFooter>
  <legacyDrawing r:id="rId2"/>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8">
    <pageSetUpPr fitToPage="1"/>
  </sheetPr>
  <dimension ref="A1:U29"/>
  <sheetViews>
    <sheetView showGridLines="0" view="pageBreakPreview" zoomScale="60" zoomScaleNormal="100" workbookViewId="0">
      <selection activeCell="G451" sqref="G451"/>
    </sheetView>
  </sheetViews>
  <sheetFormatPr defaultColWidth="8.75" defaultRowHeight="13"/>
  <cols>
    <col min="1" max="1" width="4.5" style="13" customWidth="1"/>
    <col min="2" max="2" width="23.0833333333333" style="13" customWidth="1"/>
    <col min="3" max="3" width="9.33333333333333" style="13" customWidth="1"/>
    <col min="4" max="5" width="11.5833333333333" style="13" customWidth="1"/>
    <col min="6" max="6" width="11.25" style="13" customWidth="1"/>
    <col min="7" max="8" width="17.25" style="13" hidden="1" customWidth="1" outlineLevel="1"/>
    <col min="9" max="9" width="17.25" style="13" customWidth="1" collapsed="1"/>
    <col min="10" max="10" width="17.25" style="13" customWidth="1"/>
    <col min="11" max="11" width="15.3333333333333" style="13" customWidth="1"/>
    <col min="12" max="16384" width="8.75" style="13" customWidth="1"/>
  </cols>
  <sheetData>
    <row r="1" ht="15" customHeight="1" spans="1:11">
      <c r="A1" s="14" t="s">
        <v>111</v>
      </c>
      <c r="B1" s="15" t="s">
        <v>210</v>
      </c>
      <c r="C1" s="16"/>
      <c r="D1" s="16"/>
      <c r="E1" s="16"/>
      <c r="F1" s="16"/>
      <c r="G1" s="16"/>
      <c r="H1" s="16"/>
      <c r="I1" s="16"/>
      <c r="J1" s="16"/>
      <c r="K1" s="16"/>
    </row>
    <row r="2" s="11" customFormat="1" ht="21" customHeight="1" spans="1:11">
      <c r="A2" s="40" t="s">
        <v>729</v>
      </c>
    </row>
    <row r="3" ht="14.15" customHeight="1" spans="1:11">
      <c r="A3" s="18" t="str">
        <f>CONCATENATE(封面!D9,封面!F9,封面!G9,封面!H9,封面!I9,封面!J9,封面!K9)</f>
        <v>评估基准日：年月日</v>
      </c>
    </row>
    <row r="4" ht="15.75" customHeight="1" spans="1:11">
      <c r="A4" s="19" t="str">
        <f>封面!D7&amp;封面!F7</f>
        <v>被评估单位：</v>
      </c>
      <c r="K4" s="20" t="s">
        <v>139</v>
      </c>
    </row>
    <row r="5" ht="15.75" customHeight="1" spans="1:11">
      <c r="A5" s="21" t="s">
        <v>141</v>
      </c>
      <c r="B5" s="21" t="s">
        <v>730</v>
      </c>
      <c r="C5" s="21" t="s">
        <v>443</v>
      </c>
      <c r="D5" s="21" t="s">
        <v>326</v>
      </c>
      <c r="E5" s="21" t="s">
        <v>444</v>
      </c>
      <c r="F5" s="21" t="s">
        <v>308</v>
      </c>
      <c r="G5" s="22" t="s">
        <v>175</v>
      </c>
      <c r="H5" s="22" t="s">
        <v>281</v>
      </c>
      <c r="I5" s="21" t="s">
        <v>176</v>
      </c>
      <c r="J5" s="21" t="s">
        <v>177</v>
      </c>
      <c r="K5" s="23" t="s">
        <v>731</v>
      </c>
    </row>
    <row r="6" ht="15.75" customHeight="1" spans="1:11">
      <c r="A6" s="23"/>
      <c r="B6" s="24"/>
      <c r="C6" s="23"/>
      <c r="D6" s="23"/>
      <c r="E6" s="23"/>
      <c r="F6" s="23"/>
      <c r="G6" s="26"/>
      <c r="H6" s="26"/>
      <c r="I6" s="26"/>
      <c r="J6" s="26"/>
      <c r="K6" s="27"/>
    </row>
    <row r="7" ht="15.75" customHeight="1" spans="1:11">
      <c r="A7" s="23"/>
      <c r="B7" s="24"/>
      <c r="C7" s="23"/>
      <c r="D7" s="23"/>
      <c r="E7" s="23"/>
      <c r="F7" s="23"/>
      <c r="G7" s="26"/>
      <c r="H7" s="26"/>
      <c r="I7" s="26"/>
      <c r="J7" s="26"/>
      <c r="K7" s="27"/>
    </row>
    <row r="8" ht="15.75" customHeight="1" spans="1:11">
      <c r="A8" s="23"/>
      <c r="B8" s="24"/>
      <c r="C8" s="23"/>
      <c r="D8" s="23"/>
      <c r="E8" s="23"/>
      <c r="F8" s="23"/>
      <c r="G8" s="26"/>
      <c r="H8" s="26"/>
      <c r="I8" s="26"/>
      <c r="J8" s="26"/>
      <c r="K8" s="27"/>
    </row>
    <row r="9" ht="15.75" customHeight="1" spans="1:11">
      <c r="A9" s="23"/>
      <c r="B9" s="24"/>
      <c r="C9" s="23"/>
      <c r="D9" s="23"/>
      <c r="E9" s="23"/>
      <c r="F9" s="23"/>
      <c r="G9" s="26"/>
      <c r="H9" s="26"/>
      <c r="I9" s="26"/>
      <c r="J9" s="26"/>
      <c r="K9" s="27"/>
    </row>
    <row r="10" ht="15.75" customHeight="1" spans="1:11">
      <c r="A10" s="23"/>
      <c r="B10" s="24"/>
      <c r="C10" s="23"/>
      <c r="D10" s="23"/>
      <c r="E10" s="23"/>
      <c r="F10" s="23"/>
      <c r="G10" s="26"/>
      <c r="H10" s="26"/>
      <c r="I10" s="26"/>
      <c r="J10" s="26"/>
      <c r="K10" s="27"/>
    </row>
    <row r="11" ht="15.75" customHeight="1" spans="1:11">
      <c r="A11" s="23"/>
      <c r="B11" s="24"/>
      <c r="C11" s="23"/>
      <c r="D11" s="23"/>
      <c r="E11" s="23"/>
      <c r="F11" s="23"/>
      <c r="G11" s="26"/>
      <c r="H11" s="26"/>
      <c r="I11" s="26"/>
      <c r="J11" s="26"/>
      <c r="K11" s="27"/>
    </row>
    <row r="12" ht="15.75" customHeight="1" spans="1:11">
      <c r="A12" s="23"/>
      <c r="B12" s="24"/>
      <c r="C12" s="23"/>
      <c r="D12" s="23"/>
      <c r="E12" s="23"/>
      <c r="F12" s="23"/>
      <c r="G12" s="26"/>
      <c r="H12" s="26"/>
      <c r="I12" s="26"/>
      <c r="J12" s="26"/>
      <c r="K12" s="27"/>
    </row>
    <row r="13" ht="15.75" customHeight="1" spans="1:11">
      <c r="A13" s="23"/>
      <c r="B13" s="24"/>
      <c r="C13" s="23"/>
      <c r="D13" s="23"/>
      <c r="E13" s="23"/>
      <c r="F13" s="23"/>
      <c r="G13" s="26"/>
      <c r="H13" s="26"/>
      <c r="I13" s="26"/>
      <c r="J13" s="26"/>
      <c r="K13" s="27"/>
    </row>
    <row r="14" ht="15.75" customHeight="1" spans="1:11">
      <c r="A14" s="23"/>
      <c r="B14" s="24"/>
      <c r="C14" s="23"/>
      <c r="D14" s="23"/>
      <c r="E14" s="23"/>
      <c r="F14" s="23"/>
      <c r="G14" s="26"/>
      <c r="H14" s="26"/>
      <c r="I14" s="26"/>
      <c r="J14" s="26"/>
      <c r="K14" s="27"/>
    </row>
    <row r="15" ht="15.75" customHeight="1" spans="1:11">
      <c r="A15" s="23"/>
      <c r="B15" s="24"/>
      <c r="C15" s="23"/>
      <c r="D15" s="23"/>
      <c r="E15" s="23"/>
      <c r="F15" s="23"/>
      <c r="G15" s="26"/>
      <c r="H15" s="26"/>
      <c r="I15" s="26"/>
      <c r="J15" s="26"/>
      <c r="K15" s="27"/>
    </row>
    <row r="16" ht="15.75" customHeight="1" spans="1:11">
      <c r="A16" s="23"/>
      <c r="B16" s="24"/>
      <c r="C16" s="23"/>
      <c r="D16" s="23"/>
      <c r="E16" s="23"/>
      <c r="F16" s="23"/>
      <c r="G16" s="26"/>
      <c r="H16" s="26"/>
      <c r="I16" s="26"/>
      <c r="J16" s="26"/>
      <c r="K16" s="27"/>
    </row>
    <row r="17" ht="15.75" customHeight="1" spans="1:21">
      <c r="A17" s="23"/>
      <c r="B17" s="24"/>
      <c r="C17" s="23"/>
      <c r="D17" s="23"/>
      <c r="E17" s="23"/>
      <c r="F17" s="23"/>
      <c r="G17" s="26"/>
      <c r="H17" s="26"/>
      <c r="I17" s="26"/>
      <c r="J17" s="26"/>
      <c r="K17" s="27"/>
    </row>
    <row r="18" ht="15.75" customHeight="1" spans="1:21">
      <c r="A18" s="23"/>
      <c r="B18" s="24"/>
      <c r="C18" s="23"/>
      <c r="D18" s="23"/>
      <c r="E18" s="23"/>
      <c r="F18" s="23"/>
      <c r="G18" s="26"/>
      <c r="H18" s="26"/>
      <c r="I18" s="26"/>
      <c r="J18" s="26"/>
      <c r="K18" s="27"/>
    </row>
    <row r="19" ht="15.75" customHeight="1" spans="1:21">
      <c r="A19" s="23"/>
      <c r="B19" s="24"/>
      <c r="C19" s="23"/>
      <c r="D19" s="23"/>
      <c r="E19" s="23"/>
      <c r="F19" s="23"/>
      <c r="G19" s="26"/>
      <c r="H19" s="26"/>
      <c r="I19" s="26"/>
      <c r="J19" s="26"/>
      <c r="K19" s="27"/>
    </row>
    <row r="20" ht="15.75" customHeight="1" spans="1:21">
      <c r="A20" s="23"/>
      <c r="B20" s="24"/>
      <c r="C20" s="23"/>
      <c r="D20" s="23"/>
      <c r="E20" s="23"/>
      <c r="F20" s="23"/>
      <c r="G20" s="26"/>
      <c r="H20" s="26"/>
      <c r="I20" s="26"/>
      <c r="J20" s="26"/>
      <c r="K20" s="27"/>
    </row>
    <row r="21" ht="15.75" customHeight="1" spans="1:21">
      <c r="A21" s="23"/>
      <c r="B21" s="24"/>
      <c r="C21" s="23"/>
      <c r="D21" s="23"/>
      <c r="E21" s="23"/>
      <c r="F21" s="23"/>
      <c r="G21" s="26"/>
      <c r="H21" s="26"/>
      <c r="I21" s="26"/>
      <c r="J21" s="26"/>
      <c r="K21" s="27"/>
    </row>
    <row r="22" ht="15.75" customHeight="1" spans="1:21">
      <c r="A22" s="23"/>
      <c r="B22" s="24"/>
      <c r="C22" s="23"/>
      <c r="D22" s="23"/>
      <c r="E22" s="23"/>
      <c r="F22" s="23"/>
      <c r="G22" s="26"/>
      <c r="H22" s="26"/>
      <c r="I22" s="26"/>
      <c r="J22" s="26"/>
      <c r="K22" s="27"/>
    </row>
    <row r="23" ht="15.75" customHeight="1" spans="1:21">
      <c r="A23" s="23"/>
      <c r="B23" s="24"/>
      <c r="C23" s="23"/>
      <c r="D23" s="23"/>
      <c r="E23" s="23"/>
      <c r="F23" s="23"/>
      <c r="G23" s="26"/>
      <c r="H23" s="26"/>
      <c r="I23" s="26"/>
      <c r="J23" s="26"/>
      <c r="K23" s="27"/>
    </row>
    <row r="24" ht="15.75" customHeight="1" spans="1:21">
      <c r="A24" s="23"/>
      <c r="B24" s="24"/>
      <c r="C24" s="23"/>
      <c r="D24" s="23"/>
      <c r="E24" s="23"/>
      <c r="F24" s="23"/>
      <c r="G24" s="26"/>
      <c r="H24" s="26"/>
      <c r="I24" s="26"/>
      <c r="J24" s="26"/>
      <c r="K24" s="27"/>
    </row>
    <row r="25" ht="15.75" customHeight="1" spans="1:21">
      <c r="A25" s="23"/>
      <c r="B25" s="24"/>
      <c r="C25" s="23"/>
      <c r="D25" s="23"/>
      <c r="E25" s="23"/>
      <c r="F25" s="23"/>
      <c r="G25" s="26"/>
      <c r="H25" s="26"/>
      <c r="I25" s="26"/>
      <c r="J25" s="26"/>
      <c r="K25" s="27"/>
    </row>
    <row r="26" ht="15.75" customHeight="1" spans="1:21">
      <c r="A26" s="23"/>
      <c r="B26" s="24"/>
      <c r="C26" s="23"/>
      <c r="D26" s="23"/>
      <c r="E26" s="23"/>
      <c r="F26" s="23"/>
      <c r="G26" s="26"/>
      <c r="H26" s="26"/>
      <c r="I26" s="26"/>
      <c r="J26" s="26"/>
      <c r="K26" s="27"/>
    </row>
    <row r="27" ht="15.75" customHeight="1" spans="1:21">
      <c r="A27" s="21" t="s">
        <v>641</v>
      </c>
      <c r="B27" s="28"/>
      <c r="C27" s="23"/>
      <c r="D27" s="23"/>
      <c r="E27" s="23"/>
      <c r="F27" s="23"/>
      <c r="G27" s="26">
        <f>SUM(G6:G26)</f>
        <v>0</v>
      </c>
      <c r="H27" s="26"/>
      <c r="I27" s="26">
        <f>SUM(I6:I26)</f>
        <v>0</v>
      </c>
      <c r="J27" s="26">
        <f>SUM(J6:J26)</f>
        <v>0</v>
      </c>
      <c r="K27" s="41"/>
      <c r="L27" s="42"/>
      <c r="M27" s="42"/>
      <c r="N27" s="42"/>
      <c r="O27" s="42"/>
      <c r="P27" s="42"/>
      <c r="Q27" s="42"/>
      <c r="R27" s="42"/>
      <c r="S27" s="42"/>
      <c r="T27" s="42"/>
      <c r="U27" s="42"/>
    </row>
    <row r="28" ht="15.75" customHeight="1" spans="1:21">
      <c r="A28" s="29" t="str">
        <f>封面!D11&amp;封面!G11</f>
        <v>被评估单位填表人：</v>
      </c>
      <c r="G28" s="19"/>
      <c r="H28" s="19"/>
      <c r="I28" s="19" t="str">
        <f>"评估人员："&amp;封面!G38</f>
        <v>评估人员：</v>
      </c>
    </row>
    <row r="29" ht="15.75" customHeight="1" spans="1:21">
      <c r="A29" s="29" t="str">
        <f>CONCATENATE(封面!D13,封面!F13,封面!G13,封面!H13,封面!I13,封面!J13,封面!K13)</f>
        <v>填表日期：年月日</v>
      </c>
    </row>
  </sheetData>
  <mergeCells count="3">
    <mergeCell ref="A2:K2"/>
    <mergeCell ref="A3:K3"/>
    <mergeCell ref="A27:B27"/>
  </mergeCells>
  <hyperlinks>
    <hyperlink ref="A1" location="索引目录!I21" display="返回索引页"/>
    <hyperlink ref="B1" location="'非流动负债汇总 '!B7" display="返回"/>
  </hyperlinks>
  <printOptions horizontalCentered="1"/>
  <pageMargins left="0.354330708661417" right="0.354330708661417" top="0.78740157480315" bottom="0.78740157480315" header="0.92" footer="0.511811023622047"/>
  <pageSetup paperSize="9" fitToHeight="0" orientation="landscape" horizontalDpi="300" verticalDpi="300"/>
  <headerFooter alignWithMargins="0">
    <oddHeader>&amp;R&amp;"宋体,常规"共&amp;"Times New Roman,常规"&amp;N&amp;"宋体,常规"页第&amp;"Times New Roman,常规"&amp;P&amp;"宋体,常规"6-2
页</oddHeader>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9">
    <pageSetUpPr fitToPage="1"/>
  </sheetPr>
  <dimension ref="A1:M29"/>
  <sheetViews>
    <sheetView view="pageBreakPreview" zoomScale="60" zoomScaleNormal="100" workbookViewId="0">
      <selection activeCell="G451" sqref="G451"/>
    </sheetView>
  </sheetViews>
  <sheetFormatPr defaultColWidth="9" defaultRowHeight="15.75" customHeight="1"/>
  <cols>
    <col min="1" max="1" width="4.33333333333333" style="13" customWidth="1"/>
    <col min="2" max="2" width="22.8333333333333" style="13" customWidth="1"/>
    <col min="3" max="3" width="10.5" style="13" customWidth="1"/>
    <col min="4" max="4" width="15.5" style="13" customWidth="1"/>
    <col min="5" max="5" width="13.3333333333333" style="13" hidden="1" customWidth="1" outlineLevel="1"/>
    <col min="6" max="6" width="14.3333333333333" style="13" hidden="1" customWidth="1" outlineLevel="1"/>
    <col min="7" max="7" width="13.0833333333333" style="13" hidden="1" customWidth="1" outlineLevel="1"/>
    <col min="8" max="8" width="3" style="13" hidden="1" customWidth="1" outlineLevel="1"/>
    <col min="9" max="9" width="14.25" style="13" customWidth="1" collapsed="1"/>
    <col min="10" max="11" width="14.25" style="13" customWidth="1"/>
    <col min="12" max="12" width="14.3333333333333" style="13" customWidth="1"/>
    <col min="13" max="13" width="10.25" style="13" customWidth="1"/>
    <col min="14" max="16384" width="9" style="13" customWidth="1"/>
  </cols>
  <sheetData>
    <row r="1" ht="15.5" customHeight="1" spans="1:13">
      <c r="A1" s="14" t="s">
        <v>111</v>
      </c>
      <c r="B1" s="15" t="s">
        <v>210</v>
      </c>
      <c r="C1" s="16"/>
      <c r="D1" s="16"/>
      <c r="E1" s="16"/>
      <c r="F1" s="16"/>
      <c r="G1" s="16"/>
      <c r="H1" s="16"/>
      <c r="I1" s="16"/>
      <c r="J1" s="16"/>
      <c r="K1" s="16"/>
      <c r="L1" s="16"/>
      <c r="M1" s="16"/>
    </row>
    <row r="2" s="11" customFormat="1" ht="30" customHeight="1" spans="1:13">
      <c r="A2" s="17" t="s">
        <v>732</v>
      </c>
    </row>
    <row r="3" ht="14.15" customHeight="1" spans="1:13">
      <c r="A3" s="18" t="str">
        <f>CONCATENATE(封面!D9,封面!F9,封面!G9,封面!H9,封面!I9,封面!J9,封面!K9)</f>
        <v>评估基准日：年月日</v>
      </c>
    </row>
    <row r="4" ht="15.5" customHeight="1" spans="1:13">
      <c r="A4" s="19" t="str">
        <f>封面!D7&amp;封面!F7</f>
        <v>被评估单位：</v>
      </c>
      <c r="M4" s="20" t="s">
        <v>139</v>
      </c>
    </row>
    <row r="5" s="12" customFormat="1" ht="13" customHeight="1" spans="1:13">
      <c r="A5" s="21" t="s">
        <v>141</v>
      </c>
      <c r="B5" s="21" t="s">
        <v>316</v>
      </c>
      <c r="C5" s="21" t="s">
        <v>326</v>
      </c>
      <c r="D5" s="21" t="s">
        <v>325</v>
      </c>
      <c r="E5" s="21" t="s">
        <v>175</v>
      </c>
      <c r="F5" s="32"/>
      <c r="G5" s="28"/>
      <c r="H5" s="21" t="s">
        <v>281</v>
      </c>
      <c r="I5" s="33" t="s">
        <v>176</v>
      </c>
      <c r="J5" s="34"/>
      <c r="K5" s="35"/>
      <c r="L5" s="21" t="s">
        <v>177</v>
      </c>
      <c r="M5" s="21" t="s">
        <v>144</v>
      </c>
    </row>
    <row r="6" s="12" customFormat="1" ht="13" customHeight="1" spans="1:13">
      <c r="A6" s="36"/>
      <c r="B6" s="36"/>
      <c r="C6" s="36"/>
      <c r="D6" s="36"/>
      <c r="E6" s="21"/>
      <c r="F6" s="21"/>
      <c r="G6" s="21"/>
      <c r="H6" s="36"/>
      <c r="I6" s="21"/>
      <c r="J6" s="21"/>
      <c r="K6" s="21"/>
      <c r="L6" s="36"/>
      <c r="M6" s="36"/>
    </row>
    <row r="7" ht="15.5" customHeight="1" spans="1:13">
      <c r="A7" s="23"/>
      <c r="B7" s="24"/>
      <c r="C7" s="37"/>
      <c r="D7" s="38"/>
      <c r="E7" s="26"/>
      <c r="F7" s="26"/>
      <c r="G7" s="26"/>
      <c r="H7" s="26"/>
      <c r="I7" s="26"/>
      <c r="J7" s="26"/>
      <c r="K7" s="26"/>
      <c r="L7" s="26">
        <f>K7</f>
        <v>0</v>
      </c>
      <c r="M7" s="27"/>
    </row>
    <row r="8" ht="15.5" customHeight="1" spans="1:13">
      <c r="A8" s="23"/>
      <c r="B8" s="24"/>
      <c r="C8" s="37"/>
      <c r="D8" s="38"/>
      <c r="E8" s="26"/>
      <c r="F8" s="26"/>
      <c r="G8" s="26"/>
      <c r="H8" s="26"/>
      <c r="I8" s="26"/>
      <c r="J8" s="26"/>
      <c r="K8" s="26"/>
      <c r="L8" s="26"/>
      <c r="M8" s="27"/>
    </row>
    <row r="9" ht="15.5" customHeight="1" spans="1:13">
      <c r="A9" s="23"/>
      <c r="B9" s="24"/>
      <c r="C9" s="37"/>
      <c r="D9" s="38"/>
      <c r="E9" s="26"/>
      <c r="F9" s="26"/>
      <c r="G9" s="26"/>
      <c r="H9" s="26"/>
      <c r="I9" s="26"/>
      <c r="J9" s="26"/>
      <c r="K9" s="26"/>
      <c r="L9" s="26"/>
      <c r="M9" s="27"/>
    </row>
    <row r="10" ht="15.5" customHeight="1" spans="1:13">
      <c r="A10" s="23"/>
      <c r="B10" s="24"/>
      <c r="C10" s="37"/>
      <c r="D10" s="38"/>
      <c r="E10" s="26"/>
      <c r="F10" s="26"/>
      <c r="G10" s="26"/>
      <c r="H10" s="26"/>
      <c r="I10" s="26"/>
      <c r="J10" s="26"/>
      <c r="K10" s="26"/>
      <c r="L10" s="26"/>
      <c r="M10" s="27"/>
    </row>
    <row r="11" ht="15.5" customHeight="1" spans="1:13">
      <c r="A11" s="23"/>
      <c r="B11" s="24"/>
      <c r="C11" s="37"/>
      <c r="D11" s="38"/>
      <c r="E11" s="26"/>
      <c r="F11" s="26"/>
      <c r="G11" s="26"/>
      <c r="H11" s="26"/>
      <c r="I11" s="26"/>
      <c r="J11" s="26"/>
      <c r="K11" s="26"/>
      <c r="L11" s="26"/>
      <c r="M11" s="27"/>
    </row>
    <row r="12" ht="15.5" customHeight="1" spans="1:13">
      <c r="A12" s="23"/>
      <c r="B12" s="24"/>
      <c r="C12" s="37"/>
      <c r="D12" s="38"/>
      <c r="E12" s="26"/>
      <c r="F12" s="26"/>
      <c r="G12" s="26"/>
      <c r="H12" s="26"/>
      <c r="I12" s="26"/>
      <c r="J12" s="26"/>
      <c r="K12" s="26"/>
      <c r="L12" s="26"/>
      <c r="M12" s="27"/>
    </row>
    <row r="13" ht="15.5" customHeight="1" spans="1:13">
      <c r="A13" s="23"/>
      <c r="B13" s="24"/>
      <c r="C13" s="37"/>
      <c r="D13" s="38"/>
      <c r="E13" s="26"/>
      <c r="F13" s="26"/>
      <c r="G13" s="26"/>
      <c r="H13" s="26"/>
      <c r="I13" s="26"/>
      <c r="J13" s="26"/>
      <c r="K13" s="26"/>
      <c r="L13" s="26"/>
      <c r="M13" s="27"/>
    </row>
    <row r="14" ht="15.5" customHeight="1" spans="1:13">
      <c r="A14" s="23"/>
      <c r="B14" s="24"/>
      <c r="C14" s="37"/>
      <c r="D14" s="38"/>
      <c r="E14" s="26"/>
      <c r="F14" s="26"/>
      <c r="G14" s="26"/>
      <c r="H14" s="26"/>
      <c r="I14" s="26"/>
      <c r="J14" s="26"/>
      <c r="K14" s="26"/>
      <c r="L14" s="26"/>
      <c r="M14" s="27"/>
    </row>
    <row r="15" ht="15.5" customHeight="1" spans="1:13">
      <c r="A15" s="23"/>
      <c r="B15" s="24"/>
      <c r="C15" s="37"/>
      <c r="D15" s="38"/>
      <c r="E15" s="26"/>
      <c r="F15" s="26"/>
      <c r="G15" s="26"/>
      <c r="H15" s="26"/>
      <c r="I15" s="26"/>
      <c r="J15" s="26"/>
      <c r="K15" s="26"/>
      <c r="L15" s="26"/>
      <c r="M15" s="27"/>
    </row>
    <row r="16" ht="15.5" customHeight="1" spans="1:13">
      <c r="A16" s="23"/>
      <c r="B16" s="24"/>
      <c r="C16" s="37"/>
      <c r="D16" s="38"/>
      <c r="E16" s="26"/>
      <c r="F16" s="26"/>
      <c r="G16" s="26"/>
      <c r="H16" s="26"/>
      <c r="I16" s="26"/>
      <c r="J16" s="26"/>
      <c r="K16" s="26"/>
      <c r="L16" s="26"/>
      <c r="M16" s="27"/>
    </row>
    <row r="17" ht="15.5" customHeight="1" spans="1:13">
      <c r="A17" s="23"/>
      <c r="B17" s="24"/>
      <c r="C17" s="37"/>
      <c r="D17" s="38"/>
      <c r="E17" s="26"/>
      <c r="F17" s="26"/>
      <c r="G17" s="26"/>
      <c r="H17" s="26"/>
      <c r="I17" s="26"/>
      <c r="J17" s="26"/>
      <c r="K17" s="26"/>
      <c r="L17" s="26"/>
      <c r="M17" s="27"/>
    </row>
    <row r="18" ht="15.5" customHeight="1" spans="1:13">
      <c r="A18" s="23"/>
      <c r="B18" s="24"/>
      <c r="C18" s="37"/>
      <c r="D18" s="38"/>
      <c r="E18" s="26"/>
      <c r="F18" s="26"/>
      <c r="G18" s="26"/>
      <c r="H18" s="26"/>
      <c r="I18" s="26"/>
      <c r="J18" s="26"/>
      <c r="K18" s="26"/>
      <c r="L18" s="26"/>
      <c r="M18" s="27"/>
    </row>
    <row r="19" ht="15.5" customHeight="1" spans="1:13">
      <c r="A19" s="23"/>
      <c r="B19" s="24"/>
      <c r="C19" s="37"/>
      <c r="D19" s="38"/>
      <c r="E19" s="26"/>
      <c r="F19" s="26"/>
      <c r="G19" s="26"/>
      <c r="H19" s="26"/>
      <c r="I19" s="26"/>
      <c r="J19" s="26"/>
      <c r="K19" s="26"/>
      <c r="L19" s="26"/>
      <c r="M19" s="27"/>
    </row>
    <row r="20" ht="15.5" customHeight="1" spans="1:13">
      <c r="A20" s="23"/>
      <c r="B20" s="24"/>
      <c r="C20" s="37"/>
      <c r="D20" s="38"/>
      <c r="E20" s="26"/>
      <c r="F20" s="26"/>
      <c r="G20" s="26"/>
      <c r="H20" s="26"/>
      <c r="I20" s="26"/>
      <c r="J20" s="26"/>
      <c r="K20" s="26"/>
      <c r="L20" s="26"/>
      <c r="M20" s="27"/>
    </row>
    <row r="21" ht="15.5" customHeight="1" spans="1:13">
      <c r="A21" s="23"/>
      <c r="B21" s="24"/>
      <c r="C21" s="37"/>
      <c r="D21" s="38"/>
      <c r="E21" s="26"/>
      <c r="F21" s="26"/>
      <c r="G21" s="26"/>
      <c r="H21" s="26"/>
      <c r="I21" s="26"/>
      <c r="J21" s="26"/>
      <c r="K21" s="26"/>
      <c r="L21" s="26"/>
      <c r="M21" s="27"/>
    </row>
    <row r="22" ht="15.5" customHeight="1" spans="1:13">
      <c r="A22" s="23"/>
      <c r="B22" s="24"/>
      <c r="C22" s="37"/>
      <c r="D22" s="38"/>
      <c r="E22" s="26"/>
      <c r="F22" s="26"/>
      <c r="G22" s="26"/>
      <c r="H22" s="26"/>
      <c r="I22" s="26"/>
      <c r="J22" s="26"/>
      <c r="K22" s="26"/>
      <c r="L22" s="26"/>
      <c r="M22" s="27"/>
    </row>
    <row r="23" ht="15.5" customHeight="1" spans="1:13">
      <c r="A23" s="23"/>
      <c r="B23" s="24"/>
      <c r="C23" s="37"/>
      <c r="D23" s="38"/>
      <c r="E23" s="26"/>
      <c r="F23" s="26"/>
      <c r="G23" s="26"/>
      <c r="H23" s="26"/>
      <c r="I23" s="26"/>
      <c r="J23" s="26"/>
      <c r="K23" s="26"/>
      <c r="L23" s="26"/>
      <c r="M23" s="27"/>
    </row>
    <row r="24" ht="15.5" customHeight="1" spans="1:13">
      <c r="A24" s="23"/>
      <c r="B24" s="24"/>
      <c r="C24" s="37"/>
      <c r="D24" s="38"/>
      <c r="E24" s="26"/>
      <c r="F24" s="26"/>
      <c r="G24" s="26"/>
      <c r="H24" s="26"/>
      <c r="I24" s="26"/>
      <c r="J24" s="26"/>
      <c r="K24" s="26"/>
      <c r="L24" s="26"/>
      <c r="M24" s="27"/>
    </row>
    <row r="25" ht="15.5" customHeight="1" spans="1:13">
      <c r="A25" s="23"/>
      <c r="B25" s="24"/>
      <c r="C25" s="37"/>
      <c r="D25" s="38"/>
      <c r="E25" s="26"/>
      <c r="F25" s="26"/>
      <c r="G25" s="26"/>
      <c r="H25" s="26"/>
      <c r="I25" s="26"/>
      <c r="J25" s="26"/>
      <c r="K25" s="26"/>
      <c r="L25" s="26"/>
      <c r="M25" s="27"/>
    </row>
    <row r="26" ht="15.5" customHeight="1" spans="1:13">
      <c r="A26" s="23"/>
      <c r="B26" s="24"/>
      <c r="C26" s="37"/>
      <c r="D26" s="38"/>
      <c r="E26" s="26"/>
      <c r="F26" s="26"/>
      <c r="G26" s="26"/>
      <c r="H26" s="26"/>
      <c r="I26" s="26"/>
      <c r="J26" s="26"/>
      <c r="K26" s="26"/>
      <c r="L26" s="26"/>
      <c r="M26" s="27"/>
    </row>
    <row r="27" ht="15.5" customHeight="1" spans="1:13">
      <c r="A27" s="21" t="s">
        <v>703</v>
      </c>
      <c r="B27" s="28"/>
      <c r="C27" s="37"/>
      <c r="D27" s="39"/>
      <c r="E27" s="26"/>
      <c r="F27" s="26"/>
      <c r="G27" s="26">
        <f>SUM(G7:G26)</f>
        <v>0</v>
      </c>
      <c r="H27" s="26"/>
      <c r="I27" s="26"/>
      <c r="J27" s="26"/>
      <c r="K27" s="26">
        <f>SUM(K7:K26)</f>
        <v>0</v>
      </c>
      <c r="L27" s="26">
        <f>SUM(L7:L26)</f>
        <v>0</v>
      </c>
      <c r="M27" s="27"/>
    </row>
    <row r="28" ht="15.5" customHeight="1" spans="1:13">
      <c r="A28" s="29" t="str">
        <f>封面!D11&amp;封面!G11</f>
        <v>被评估单位填表人：</v>
      </c>
      <c r="E28" s="19"/>
      <c r="F28" s="19"/>
      <c r="K28" s="19" t="str">
        <f>"评估人员："&amp;封面!G38</f>
        <v>评估人员：</v>
      </c>
    </row>
    <row r="29" ht="15.5" customHeight="1" spans="1:13">
      <c r="A29" s="29" t="str">
        <f>CONCATENATE(封面!D13,封面!F13,封面!G13,封面!H13,封面!I13,封面!J13,封面!K13)</f>
        <v>填表日期：年月日</v>
      </c>
    </row>
  </sheetData>
  <mergeCells count="12">
    <mergeCell ref="A2:M2"/>
    <mergeCell ref="A3:M3"/>
    <mergeCell ref="E5:G5"/>
    <mergeCell ref="I5:K5"/>
    <mergeCell ref="A27:B27"/>
    <mergeCell ref="A5:A6"/>
    <mergeCell ref="B5:B6"/>
    <mergeCell ref="C5:C6"/>
    <mergeCell ref="D5:D6"/>
    <mergeCell ref="H5:H6"/>
    <mergeCell ref="L5:L6"/>
    <mergeCell ref="M5:M6"/>
  </mergeCells>
  <hyperlinks>
    <hyperlink ref="A1" location="索引目录!I22" display="返回索引页"/>
    <hyperlink ref="B1" location="'非流动负债汇总 '!B8" display="返回"/>
  </hyperlinks>
  <printOptions horizontalCentered="1"/>
  <pageMargins left="0.354330708661417" right="0.354330708661417" top="0.78740157480315" bottom="0.78740157480315" header="1.05" footer="0.511811023622047"/>
  <pageSetup paperSize="9" fitToHeight="0" orientation="landscape"/>
  <headerFooter alignWithMargins="0">
    <oddHeader>&amp;R&amp;"宋体,常规"共&amp;"Times New Roman,常规"&amp;N&amp;"宋体,常规"页第&amp;"Times New Roman,常规"&amp;P&amp;"宋体,常规"6-3
页</oddHeader>
  </headerFooter>
  <legacyDrawing r:id="rId2"/>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0">
    <pageSetUpPr fitToPage="1"/>
  </sheetPr>
  <dimension ref="A1:H29"/>
  <sheetViews>
    <sheetView showGridLines="0" view="pageBreakPreview" zoomScale="60" zoomScaleNormal="100" workbookViewId="0">
      <selection activeCell="G451" sqref="G451"/>
    </sheetView>
  </sheetViews>
  <sheetFormatPr defaultColWidth="9" defaultRowHeight="15.75" customHeight="1" outlineLevelCol="7"/>
  <cols>
    <col min="1" max="1" width="6.75" style="13" customWidth="1"/>
    <col min="2" max="2" width="29.3333333333333" style="13" customWidth="1"/>
    <col min="3" max="3" width="17.5833333333333" style="13" customWidth="1"/>
    <col min="4" max="5" width="16.8333333333333" style="13" hidden="1" customWidth="1" outlineLevel="1"/>
    <col min="6" max="6" width="22.5" style="13" customWidth="1" collapsed="1"/>
    <col min="7" max="7" width="22.5" style="13" customWidth="1"/>
    <col min="8" max="8" width="22.25" style="13" customWidth="1"/>
    <col min="9" max="16384" width="9" style="13" customWidth="1"/>
  </cols>
  <sheetData>
    <row r="1" ht="15.5" customHeight="1" spans="1:8">
      <c r="A1" s="14" t="s">
        <v>111</v>
      </c>
      <c r="B1" s="15" t="s">
        <v>210</v>
      </c>
      <c r="C1" s="16"/>
      <c r="D1" s="16"/>
      <c r="E1" s="16"/>
      <c r="F1" s="16"/>
      <c r="G1" s="16"/>
      <c r="H1" s="16"/>
    </row>
    <row r="2" s="11" customFormat="1" ht="30" customHeight="1" spans="1:8">
      <c r="A2" s="17" t="s">
        <v>733</v>
      </c>
    </row>
    <row r="3" ht="14.15" customHeight="1" spans="1:8">
      <c r="A3" s="18" t="str">
        <f>CONCATENATE(封面!D9,封面!F9,封面!G9,封面!H9,封面!I9,封面!J9,封面!K9)</f>
        <v>评估基准日：年月日</v>
      </c>
    </row>
    <row r="4" ht="15.5" customHeight="1" spans="1:8">
      <c r="A4" s="19" t="str">
        <f>封面!D7&amp;封面!F7</f>
        <v>被评估单位：</v>
      </c>
      <c r="H4" s="20" t="s">
        <v>139</v>
      </c>
    </row>
    <row r="5" s="12" customFormat="1" ht="13" customHeight="1" spans="1:8">
      <c r="A5" s="21" t="s">
        <v>141</v>
      </c>
      <c r="B5" s="21" t="s">
        <v>734</v>
      </c>
      <c r="C5" s="21" t="s">
        <v>326</v>
      </c>
      <c r="D5" s="22" t="s">
        <v>175</v>
      </c>
      <c r="E5" s="22" t="s">
        <v>281</v>
      </c>
      <c r="F5" s="21" t="s">
        <v>176</v>
      </c>
      <c r="G5" s="21" t="s">
        <v>177</v>
      </c>
      <c r="H5" s="21" t="s">
        <v>731</v>
      </c>
    </row>
    <row r="6" ht="15.5" customHeight="1" spans="1:8">
      <c r="A6" s="23"/>
      <c r="B6" s="24"/>
      <c r="C6" s="25"/>
      <c r="D6" s="26"/>
      <c r="E6" s="26"/>
      <c r="F6" s="26"/>
      <c r="G6" s="26"/>
      <c r="H6" s="27"/>
    </row>
    <row r="7" ht="15.5" customHeight="1" spans="1:8">
      <c r="A7" s="23"/>
      <c r="B7" s="24"/>
      <c r="C7" s="25"/>
      <c r="D7" s="26"/>
      <c r="E7" s="26"/>
      <c r="F7" s="26"/>
      <c r="G7" s="26"/>
      <c r="H7" s="27"/>
    </row>
    <row r="8" ht="15.5" customHeight="1" spans="1:8">
      <c r="A8" s="23"/>
      <c r="B8" s="24"/>
      <c r="C8" s="25"/>
      <c r="D8" s="26"/>
      <c r="E8" s="26"/>
      <c r="F8" s="26"/>
      <c r="G8" s="26"/>
      <c r="H8" s="27"/>
    </row>
    <row r="9" ht="15.5" customHeight="1" spans="1:8">
      <c r="A9" s="23"/>
      <c r="B9" s="24"/>
      <c r="C9" s="25"/>
      <c r="D9" s="26"/>
      <c r="E9" s="26"/>
      <c r="F9" s="26"/>
      <c r="G9" s="26"/>
      <c r="H9" s="27"/>
    </row>
    <row r="10" ht="15.5" customHeight="1" spans="1:8">
      <c r="A10" s="23"/>
      <c r="B10" s="24"/>
      <c r="C10" s="25"/>
      <c r="D10" s="26"/>
      <c r="E10" s="26"/>
      <c r="F10" s="26"/>
      <c r="G10" s="26"/>
      <c r="H10" s="27"/>
    </row>
    <row r="11" ht="15.5" customHeight="1" spans="1:8">
      <c r="A11" s="23"/>
      <c r="B11" s="24"/>
      <c r="C11" s="25"/>
      <c r="D11" s="26"/>
      <c r="E11" s="26"/>
      <c r="F11" s="26"/>
      <c r="G11" s="26"/>
      <c r="H11" s="27"/>
    </row>
    <row r="12" ht="15.5" customHeight="1" spans="1:8">
      <c r="A12" s="23"/>
      <c r="B12" s="24"/>
      <c r="C12" s="25"/>
      <c r="D12" s="26"/>
      <c r="E12" s="26"/>
      <c r="F12" s="26"/>
      <c r="G12" s="26"/>
      <c r="H12" s="27"/>
    </row>
    <row r="13" ht="15.5" customHeight="1" spans="1:8">
      <c r="A13" s="23"/>
      <c r="B13" s="24"/>
      <c r="C13" s="25"/>
      <c r="D13" s="26"/>
      <c r="E13" s="26"/>
      <c r="F13" s="26"/>
      <c r="G13" s="26"/>
      <c r="H13" s="27"/>
    </row>
    <row r="14" ht="15.5" customHeight="1" spans="1:8">
      <c r="A14" s="23"/>
      <c r="B14" s="24"/>
      <c r="C14" s="25"/>
      <c r="D14" s="26"/>
      <c r="E14" s="26"/>
      <c r="F14" s="26"/>
      <c r="G14" s="26"/>
      <c r="H14" s="27"/>
    </row>
    <row r="15" ht="15.5" customHeight="1" spans="1:8">
      <c r="A15" s="23"/>
      <c r="B15" s="24"/>
      <c r="C15" s="25"/>
      <c r="D15" s="26"/>
      <c r="E15" s="26"/>
      <c r="F15" s="26"/>
      <c r="G15" s="26"/>
      <c r="H15" s="27"/>
    </row>
    <row r="16" ht="15.5" customHeight="1" spans="1:8">
      <c r="A16" s="23"/>
      <c r="B16" s="24"/>
      <c r="C16" s="25"/>
      <c r="D16" s="26"/>
      <c r="E16" s="26"/>
      <c r="F16" s="26"/>
      <c r="G16" s="26"/>
      <c r="H16" s="27"/>
    </row>
    <row r="17" ht="15.5" customHeight="1" spans="1:8">
      <c r="A17" s="23"/>
      <c r="B17" s="24"/>
      <c r="C17" s="25"/>
      <c r="D17" s="26"/>
      <c r="E17" s="26"/>
      <c r="F17" s="26"/>
      <c r="G17" s="26"/>
      <c r="H17" s="27"/>
    </row>
    <row r="18" ht="15.5" customHeight="1" spans="1:8">
      <c r="A18" s="23"/>
      <c r="B18" s="24"/>
      <c r="C18" s="25"/>
      <c r="D18" s="26"/>
      <c r="E18" s="26"/>
      <c r="F18" s="26"/>
      <c r="G18" s="26"/>
      <c r="H18" s="27"/>
    </row>
    <row r="19" ht="15.5" customHeight="1" spans="1:8">
      <c r="A19" s="23"/>
      <c r="B19" s="24"/>
      <c r="C19" s="25"/>
      <c r="D19" s="26"/>
      <c r="E19" s="26"/>
      <c r="F19" s="26"/>
      <c r="G19" s="26"/>
      <c r="H19" s="27"/>
    </row>
    <row r="20" ht="15.5" customHeight="1" spans="1:8">
      <c r="A20" s="23"/>
      <c r="B20" s="24"/>
      <c r="C20" s="25"/>
      <c r="D20" s="26"/>
      <c r="E20" s="26"/>
      <c r="F20" s="26"/>
      <c r="G20" s="26"/>
      <c r="H20" s="27"/>
    </row>
    <row r="21" ht="15.5" customHeight="1" spans="1:8">
      <c r="A21" s="23"/>
      <c r="B21" s="24"/>
      <c r="C21" s="25"/>
      <c r="D21" s="26"/>
      <c r="E21" s="26"/>
      <c r="F21" s="26"/>
      <c r="G21" s="26"/>
      <c r="H21" s="27"/>
    </row>
    <row r="22" ht="15.5" customHeight="1" spans="1:8">
      <c r="A22" s="23"/>
      <c r="B22" s="24"/>
      <c r="C22" s="25"/>
      <c r="D22" s="26"/>
      <c r="E22" s="26"/>
      <c r="F22" s="26"/>
      <c r="G22" s="26"/>
      <c r="H22" s="27"/>
    </row>
    <row r="23" ht="15.5" customHeight="1" spans="1:8">
      <c r="A23" s="23"/>
      <c r="B23" s="24"/>
      <c r="C23" s="25"/>
      <c r="D23" s="26"/>
      <c r="E23" s="26"/>
      <c r="F23" s="26"/>
      <c r="G23" s="26"/>
      <c r="H23" s="27"/>
    </row>
    <row r="24" ht="15.5" customHeight="1" spans="1:8">
      <c r="A24" s="23"/>
      <c r="B24" s="24"/>
      <c r="C24" s="25"/>
      <c r="D24" s="26"/>
      <c r="E24" s="26"/>
      <c r="F24" s="26"/>
      <c r="G24" s="26"/>
      <c r="H24" s="27"/>
    </row>
    <row r="25" ht="15.5" customHeight="1" spans="1:8">
      <c r="A25" s="23"/>
      <c r="B25" s="24"/>
      <c r="C25" s="25"/>
      <c r="D25" s="26"/>
      <c r="E25" s="26"/>
      <c r="F25" s="26"/>
      <c r="G25" s="26"/>
      <c r="H25" s="27"/>
    </row>
    <row r="26" ht="15.5" customHeight="1" spans="1:8">
      <c r="A26" s="23"/>
      <c r="B26" s="24"/>
      <c r="C26" s="25"/>
      <c r="D26" s="26"/>
      <c r="E26" s="26"/>
      <c r="F26" s="26"/>
      <c r="G26" s="26"/>
      <c r="H26" s="27"/>
    </row>
    <row r="27" ht="15.5" customHeight="1" spans="1:8">
      <c r="A27" s="21" t="s">
        <v>703</v>
      </c>
      <c r="B27" s="28"/>
      <c r="C27" s="25"/>
      <c r="D27" s="26">
        <f>SUM(D6:D26)</f>
        <v>0</v>
      </c>
      <c r="E27" s="26"/>
      <c r="F27" s="26">
        <f>SUM(F6:F26)</f>
        <v>0</v>
      </c>
      <c r="G27" s="26">
        <f>SUM(G6:G26)</f>
        <v>0</v>
      </c>
      <c r="H27" s="27"/>
    </row>
    <row r="28" ht="15.5" customHeight="1" spans="1:8">
      <c r="A28" s="29" t="str">
        <f>封面!D11&amp;封面!G11</f>
        <v>被评估单位填表人：</v>
      </c>
      <c r="F28" s="13" t="str">
        <f>"评估人员："&amp;封面!G38</f>
        <v>评估人员：</v>
      </c>
    </row>
    <row r="29" ht="15.5" customHeight="1" spans="1:8">
      <c r="A29" s="29" t="str">
        <f>CONCATENATE(封面!D13,封面!F13,封面!G13,封面!H13,封面!I13,封面!J13,封面!K13)</f>
        <v>填表日期：年月日</v>
      </c>
    </row>
  </sheetData>
  <mergeCells count="3">
    <mergeCell ref="A2:H2"/>
    <mergeCell ref="A3:H3"/>
    <mergeCell ref="A27:B27"/>
  </mergeCells>
  <hyperlinks>
    <hyperlink ref="A1" location="索引目录!I23" display="返回索引页"/>
    <hyperlink ref="B1" location="'非流动负债汇总 '!B9" display="返回"/>
  </hyperlinks>
  <printOptions horizontalCentered="1"/>
  <pageMargins left="0.354330708661417" right="0.354330708661417" top="0.78740157480315" bottom="0.78740157480315" header="1.05" footer="0.511811023622047"/>
  <pageSetup paperSize="9" fitToHeight="0" orientation="landscape" horizontalDpi="300" verticalDpi="300"/>
  <headerFooter alignWithMargins="0">
    <oddHeader>&amp;R&amp;"宋体,常规"共&amp;"Times New Roman,常规"&amp;N&amp;"宋体,常规"页第&amp;"Times New Roman,常规"&amp;P&amp;"宋体,常规"6-4
页</oddHeader>
  </headerFooter>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1">
    <pageSetUpPr fitToPage="1"/>
  </sheetPr>
  <dimension ref="A1:I29"/>
  <sheetViews>
    <sheetView view="pageBreakPreview" zoomScale="60" zoomScaleNormal="100" workbookViewId="0">
      <selection activeCell="G451" sqref="G451"/>
    </sheetView>
  </sheetViews>
  <sheetFormatPr defaultColWidth="9" defaultRowHeight="15.75" customHeight="1"/>
  <cols>
    <col min="1" max="1" width="5.75" style="13" customWidth="1"/>
    <col min="2" max="2" width="26.5" style="13" customWidth="1"/>
    <col min="3" max="3" width="12.0833333333333" style="13" customWidth="1"/>
    <col min="4" max="4" width="20.75" style="13" customWidth="1"/>
    <col min="5" max="6" width="17.25" style="13" hidden="1" customWidth="1" outlineLevel="1"/>
    <col min="7" max="7" width="20.0833333333333" style="13" customWidth="1" collapsed="1"/>
    <col min="8" max="8" width="20.0833333333333" style="13" customWidth="1"/>
    <col min="9" max="9" width="15.5" style="13" customWidth="1"/>
    <col min="10" max="16384" width="9" style="13" customWidth="1"/>
  </cols>
  <sheetData>
    <row r="1" ht="15.5" customHeight="1" spans="1:9">
      <c r="A1" s="14" t="s">
        <v>111</v>
      </c>
      <c r="B1" s="15" t="s">
        <v>210</v>
      </c>
      <c r="C1" s="16"/>
      <c r="D1" s="16"/>
      <c r="E1" s="16"/>
      <c r="F1" s="16"/>
      <c r="G1" s="16"/>
      <c r="H1" s="16"/>
      <c r="I1" s="16"/>
    </row>
    <row r="2" s="11" customFormat="1" ht="30" customHeight="1" spans="1:9">
      <c r="A2" s="17" t="s">
        <v>735</v>
      </c>
    </row>
    <row r="3" ht="14.15" customHeight="1" spans="1:9">
      <c r="A3" s="18" t="str">
        <f>CONCATENATE(封面!D9,封面!F9,封面!G9,封面!H9,封面!I9,封面!J9,封面!K9)</f>
        <v>评估基准日：年月日</v>
      </c>
    </row>
    <row r="4" ht="15.5" customHeight="1" spans="1:9">
      <c r="A4" s="19" t="str">
        <f>封面!D7&amp;封面!F7</f>
        <v>被评估单位：</v>
      </c>
      <c r="I4" s="20" t="s">
        <v>139</v>
      </c>
    </row>
    <row r="5" s="12" customFormat="1" ht="13" customHeight="1" spans="1:9">
      <c r="A5" s="21" t="s">
        <v>141</v>
      </c>
      <c r="B5" s="21" t="s">
        <v>316</v>
      </c>
      <c r="C5" s="21" t="s">
        <v>326</v>
      </c>
      <c r="D5" s="21" t="s">
        <v>404</v>
      </c>
      <c r="E5" s="22" t="s">
        <v>175</v>
      </c>
      <c r="F5" s="22" t="s">
        <v>281</v>
      </c>
      <c r="G5" s="21" t="s">
        <v>176</v>
      </c>
      <c r="H5" s="21" t="s">
        <v>177</v>
      </c>
      <c r="I5" s="21" t="s">
        <v>144</v>
      </c>
    </row>
    <row r="6" ht="15.5" customHeight="1" spans="1:9">
      <c r="A6" s="23"/>
      <c r="B6" s="24"/>
      <c r="C6" s="25"/>
      <c r="D6" s="23"/>
      <c r="E6" s="26"/>
      <c r="F6" s="26"/>
      <c r="G6" s="26"/>
      <c r="H6" s="26"/>
      <c r="I6" s="27"/>
    </row>
    <row r="7" ht="15.5" customHeight="1" spans="1:9">
      <c r="A7" s="23"/>
      <c r="B7" s="24"/>
      <c r="C7" s="25"/>
      <c r="D7" s="23"/>
      <c r="E7" s="26"/>
      <c r="F7" s="26"/>
      <c r="G7" s="26"/>
      <c r="H7" s="26"/>
      <c r="I7" s="27"/>
    </row>
    <row r="8" ht="15.5" customHeight="1" spans="1:9">
      <c r="A8" s="23"/>
      <c r="B8" s="24"/>
      <c r="C8" s="25"/>
      <c r="D8" s="23"/>
      <c r="E8" s="26"/>
      <c r="F8" s="26"/>
      <c r="G8" s="26"/>
      <c r="H8" s="26"/>
      <c r="I8" s="27"/>
    </row>
    <row r="9" ht="15.5" customHeight="1" spans="1:9">
      <c r="A9" s="23"/>
      <c r="B9" s="24"/>
      <c r="C9" s="25"/>
      <c r="D9" s="23"/>
      <c r="E9" s="26"/>
      <c r="F9" s="26"/>
      <c r="G9" s="26"/>
      <c r="H9" s="26"/>
      <c r="I9" s="27"/>
    </row>
    <row r="10" ht="15.5" customHeight="1" spans="1:9">
      <c r="A10" s="23"/>
      <c r="B10" s="24"/>
      <c r="C10" s="25"/>
      <c r="D10" s="23"/>
      <c r="E10" s="26"/>
      <c r="F10" s="26"/>
      <c r="G10" s="26"/>
      <c r="H10" s="26"/>
      <c r="I10" s="27"/>
    </row>
    <row r="11" ht="15.5" customHeight="1" spans="1:9">
      <c r="A11" s="23"/>
      <c r="B11" s="24"/>
      <c r="C11" s="25"/>
      <c r="D11" s="23"/>
      <c r="E11" s="26"/>
      <c r="F11" s="26"/>
      <c r="G11" s="26"/>
      <c r="H11" s="26"/>
      <c r="I11" s="27"/>
    </row>
    <row r="12" ht="15.5" customHeight="1" spans="1:9">
      <c r="A12" s="23"/>
      <c r="B12" s="24"/>
      <c r="C12" s="25"/>
      <c r="D12" s="23"/>
      <c r="E12" s="26"/>
      <c r="F12" s="26"/>
      <c r="G12" s="26"/>
      <c r="H12" s="26"/>
      <c r="I12" s="27"/>
    </row>
    <row r="13" ht="15.5" customHeight="1" spans="1:9">
      <c r="A13" s="23"/>
      <c r="B13" s="24"/>
      <c r="C13" s="25"/>
      <c r="D13" s="23"/>
      <c r="E13" s="26"/>
      <c r="F13" s="26"/>
      <c r="G13" s="26"/>
      <c r="H13" s="26"/>
      <c r="I13" s="27"/>
    </row>
    <row r="14" ht="15.5" customHeight="1" spans="1:9">
      <c r="A14" s="23"/>
      <c r="B14" s="24"/>
      <c r="C14" s="25"/>
      <c r="D14" s="23"/>
      <c r="E14" s="26"/>
      <c r="F14" s="26"/>
      <c r="G14" s="26"/>
      <c r="H14" s="26"/>
      <c r="I14" s="27"/>
    </row>
    <row r="15" ht="15.5" customHeight="1" spans="1:9">
      <c r="A15" s="23"/>
      <c r="B15" s="24"/>
      <c r="C15" s="25"/>
      <c r="D15" s="23"/>
      <c r="E15" s="26"/>
      <c r="F15" s="26"/>
      <c r="G15" s="26"/>
      <c r="H15" s="26"/>
      <c r="I15" s="27"/>
    </row>
    <row r="16" ht="15.5" customHeight="1" spans="1:9">
      <c r="A16" s="23"/>
      <c r="B16" s="24"/>
      <c r="C16" s="25"/>
      <c r="D16" s="23"/>
      <c r="E16" s="26"/>
      <c r="F16" s="26"/>
      <c r="G16" s="26"/>
      <c r="H16" s="26"/>
      <c r="I16" s="27"/>
    </row>
    <row r="17" ht="15.5" customHeight="1" spans="1:9">
      <c r="A17" s="23"/>
      <c r="B17" s="24"/>
      <c r="C17" s="25"/>
      <c r="D17" s="23"/>
      <c r="E17" s="26"/>
      <c r="F17" s="26"/>
      <c r="G17" s="26"/>
      <c r="H17" s="26"/>
      <c r="I17" s="27"/>
    </row>
    <row r="18" ht="15.5" customHeight="1" spans="1:9">
      <c r="A18" s="23"/>
      <c r="B18" s="24"/>
      <c r="C18" s="25"/>
      <c r="D18" s="23"/>
      <c r="E18" s="26"/>
      <c r="F18" s="26"/>
      <c r="G18" s="26"/>
      <c r="H18" s="26"/>
      <c r="I18" s="27"/>
    </row>
    <row r="19" ht="15.5" customHeight="1" spans="1:9">
      <c r="A19" s="23"/>
      <c r="B19" s="24"/>
      <c r="C19" s="25"/>
      <c r="D19" s="23"/>
      <c r="E19" s="26"/>
      <c r="F19" s="26"/>
      <c r="G19" s="26"/>
      <c r="H19" s="26"/>
      <c r="I19" s="27"/>
    </row>
    <row r="20" ht="15.5" customHeight="1" spans="1:9">
      <c r="A20" s="23"/>
      <c r="B20" s="24"/>
      <c r="C20" s="25"/>
      <c r="D20" s="23"/>
      <c r="E20" s="26"/>
      <c r="F20" s="26"/>
      <c r="G20" s="26"/>
      <c r="H20" s="26"/>
      <c r="I20" s="27"/>
    </row>
    <row r="21" ht="15.5" customHeight="1" spans="1:9">
      <c r="A21" s="23"/>
      <c r="B21" s="24"/>
      <c r="C21" s="25"/>
      <c r="D21" s="23"/>
      <c r="E21" s="26"/>
      <c r="F21" s="26"/>
      <c r="G21" s="26"/>
      <c r="H21" s="26"/>
      <c r="I21" s="27"/>
    </row>
    <row r="22" ht="15.5" customHeight="1" spans="1:9">
      <c r="A22" s="23"/>
      <c r="B22" s="24"/>
      <c r="C22" s="25"/>
      <c r="D22" s="23"/>
      <c r="E22" s="26"/>
      <c r="F22" s="26"/>
      <c r="G22" s="26"/>
      <c r="H22" s="26"/>
      <c r="I22" s="27"/>
    </row>
    <row r="23" ht="15.5" customHeight="1" spans="1:9">
      <c r="A23" s="23"/>
      <c r="B23" s="24"/>
      <c r="C23" s="25"/>
      <c r="D23" s="23"/>
      <c r="E23" s="26"/>
      <c r="F23" s="26"/>
      <c r="G23" s="26"/>
      <c r="H23" s="26"/>
      <c r="I23" s="27"/>
    </row>
    <row r="24" ht="15.5" customHeight="1" spans="1:9">
      <c r="A24" s="23"/>
      <c r="B24" s="24"/>
      <c r="C24" s="25"/>
      <c r="D24" s="23"/>
      <c r="E24" s="26"/>
      <c r="F24" s="26"/>
      <c r="G24" s="26"/>
      <c r="H24" s="26"/>
      <c r="I24" s="27"/>
    </row>
    <row r="25" ht="15.5" customHeight="1" spans="1:9">
      <c r="A25" s="23"/>
      <c r="B25" s="24"/>
      <c r="C25" s="25"/>
      <c r="D25" s="23"/>
      <c r="E25" s="26"/>
      <c r="F25" s="26"/>
      <c r="G25" s="26"/>
      <c r="H25" s="26"/>
      <c r="I25" s="27"/>
    </row>
    <row r="26" ht="15.5" customHeight="1" spans="1:9">
      <c r="A26" s="23"/>
      <c r="B26" s="24"/>
      <c r="C26" s="25"/>
      <c r="D26" s="23"/>
      <c r="E26" s="26"/>
      <c r="F26" s="26"/>
      <c r="G26" s="26"/>
      <c r="H26" s="26"/>
      <c r="I26" s="27"/>
    </row>
    <row r="27" ht="15.5" customHeight="1" spans="1:9">
      <c r="A27" s="21" t="s">
        <v>703</v>
      </c>
      <c r="B27" s="28"/>
      <c r="C27" s="25"/>
      <c r="D27" s="23"/>
      <c r="E27" s="26">
        <f>SUM(E6:E26)</f>
        <v>0</v>
      </c>
      <c r="F27" s="26"/>
      <c r="G27" s="26">
        <f>SUM(G6:G26)</f>
        <v>0</v>
      </c>
      <c r="H27" s="26">
        <f>SUM(H6:H26)</f>
        <v>0</v>
      </c>
      <c r="I27" s="27"/>
    </row>
    <row r="28" ht="15.5" customHeight="1" spans="1:9">
      <c r="A28" s="29" t="str">
        <f>封面!D11&amp;封面!G11</f>
        <v>被评估单位填表人：</v>
      </c>
      <c r="G28" s="19" t="str">
        <f>"评估人员："&amp;封面!G38</f>
        <v>评估人员：</v>
      </c>
    </row>
    <row r="29" ht="15.5" customHeight="1" spans="1:9">
      <c r="A29" s="29" t="str">
        <f>CONCATENATE(封面!D13,封面!F13,封面!G13,封面!H13,封面!I13,封面!J13,封面!K13)</f>
        <v>填表日期：年月日</v>
      </c>
    </row>
  </sheetData>
  <mergeCells count="3">
    <mergeCell ref="A2:I2"/>
    <mergeCell ref="A3:I3"/>
    <mergeCell ref="A27:B27"/>
  </mergeCells>
  <hyperlinks>
    <hyperlink ref="A1" location="索引目录!I24" display="返回索引页"/>
    <hyperlink ref="B1" location="'非流动负债汇总 '!B10" display="返回"/>
  </hyperlinks>
  <printOptions horizontalCentered="1"/>
  <pageMargins left="0.354330708661417" right="0.354330708661417" top="0.78740157480315" bottom="0.78740157480315" header="1.05" footer="0.511811023622047"/>
  <pageSetup paperSize="9" fitToHeight="0" orientation="landscape"/>
  <headerFooter alignWithMargins="0">
    <oddHeader>&amp;R&amp;"宋体,常规"共&amp;"Times New Roman,常规"&amp;N&amp;"宋体,常规"页第&amp;"Times New Roman,常规"&amp;P&amp;"宋体,常规"6-5
页</oddHeader>
  </headerFooter>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2">
    <pageSetUpPr fitToPage="1"/>
  </sheetPr>
  <dimension ref="A1:I29"/>
  <sheetViews>
    <sheetView view="pageBreakPreview" zoomScale="60" zoomScaleNormal="100" workbookViewId="0">
      <selection activeCell="G451" sqref="G451"/>
    </sheetView>
  </sheetViews>
  <sheetFormatPr defaultColWidth="9" defaultRowHeight="15.75" customHeight="1"/>
  <cols>
    <col min="1" max="1" width="5.75" style="13" customWidth="1"/>
    <col min="2" max="2" width="26.5" style="13" customWidth="1"/>
    <col min="3" max="3" width="12.0833333333333" style="13" customWidth="1"/>
    <col min="4" max="4" width="20.75" style="13" customWidth="1"/>
    <col min="5" max="6" width="17.25" style="13" hidden="1" customWidth="1" outlineLevel="1"/>
    <col min="7" max="7" width="20.0833333333333" style="13" customWidth="1" collapsed="1"/>
    <col min="8" max="8" width="20.0833333333333" style="13" customWidth="1"/>
    <col min="9" max="9" width="15.5" style="13" customWidth="1"/>
    <col min="10" max="16384" width="9" style="13" customWidth="1"/>
  </cols>
  <sheetData>
    <row r="1" ht="15.5" customHeight="1" spans="1:9">
      <c r="A1" s="14" t="s">
        <v>111</v>
      </c>
      <c r="B1" s="15" t="s">
        <v>210</v>
      </c>
      <c r="C1" s="16"/>
      <c r="D1" s="16"/>
      <c r="E1" s="16"/>
      <c r="F1" s="16"/>
      <c r="G1" s="16"/>
      <c r="H1" s="16"/>
      <c r="I1" s="16"/>
    </row>
    <row r="2" s="11" customFormat="1" ht="30" customHeight="1" spans="1:9">
      <c r="A2" s="17" t="s">
        <v>736</v>
      </c>
    </row>
    <row r="3" ht="14.15" customHeight="1" spans="1:9">
      <c r="A3" s="18" t="str">
        <f>CONCATENATE(封面!D9,封面!F9,封面!G9,封面!H9,封面!I9,封面!J9,封面!K9)</f>
        <v>评估基准日：年月日</v>
      </c>
    </row>
    <row r="4" ht="15.5" customHeight="1" spans="1:9">
      <c r="A4" s="19" t="str">
        <f>封面!D7&amp;封面!F7</f>
        <v>被评估单位：</v>
      </c>
      <c r="I4" s="20" t="s">
        <v>139</v>
      </c>
    </row>
    <row r="5" s="12" customFormat="1" ht="13" customHeight="1" spans="1:9">
      <c r="A5" s="21" t="s">
        <v>141</v>
      </c>
      <c r="B5" s="21" t="s">
        <v>316</v>
      </c>
      <c r="C5" s="21" t="s">
        <v>326</v>
      </c>
      <c r="D5" s="21" t="s">
        <v>404</v>
      </c>
      <c r="E5" s="22" t="s">
        <v>175</v>
      </c>
      <c r="F5" s="22" t="s">
        <v>281</v>
      </c>
      <c r="G5" s="21" t="s">
        <v>176</v>
      </c>
      <c r="H5" s="21" t="s">
        <v>177</v>
      </c>
      <c r="I5" s="21" t="s">
        <v>144</v>
      </c>
    </row>
    <row r="6" ht="15.5" customHeight="1" spans="1:9">
      <c r="A6" s="23"/>
      <c r="B6" s="24"/>
      <c r="C6" s="25"/>
      <c r="D6" s="23"/>
      <c r="E6" s="26"/>
      <c r="F6" s="26"/>
      <c r="G6" s="26"/>
      <c r="H6" s="26"/>
      <c r="I6" s="27"/>
    </row>
    <row r="7" ht="15.5" customHeight="1" spans="1:9">
      <c r="A7" s="23"/>
      <c r="B7" s="24"/>
      <c r="C7" s="25"/>
      <c r="D7" s="23"/>
      <c r="E7" s="26"/>
      <c r="F7" s="26"/>
      <c r="G7" s="26"/>
      <c r="H7" s="26"/>
      <c r="I7" s="27"/>
    </row>
    <row r="8" ht="15.5" customHeight="1" spans="1:9">
      <c r="A8" s="23"/>
      <c r="B8" s="24"/>
      <c r="C8" s="25"/>
      <c r="D8" s="23"/>
      <c r="E8" s="26"/>
      <c r="F8" s="26"/>
      <c r="G8" s="26"/>
      <c r="H8" s="26"/>
      <c r="I8" s="27"/>
    </row>
    <row r="9" ht="15.5" customHeight="1" spans="1:9">
      <c r="A9" s="23"/>
      <c r="B9" s="24"/>
      <c r="C9" s="25"/>
      <c r="D9" s="23"/>
      <c r="E9" s="26"/>
      <c r="F9" s="26"/>
      <c r="G9" s="26"/>
      <c r="H9" s="26"/>
      <c r="I9" s="27"/>
    </row>
    <row r="10" ht="15.5" customHeight="1" spans="1:9">
      <c r="A10" s="23"/>
      <c r="B10" s="24"/>
      <c r="C10" s="25"/>
      <c r="D10" s="23"/>
      <c r="E10" s="26"/>
      <c r="F10" s="26"/>
      <c r="G10" s="26"/>
      <c r="H10" s="26"/>
      <c r="I10" s="27"/>
    </row>
    <row r="11" ht="15.5" customHeight="1" spans="1:9">
      <c r="A11" s="23"/>
      <c r="B11" s="24"/>
      <c r="C11" s="25"/>
      <c r="D11" s="23"/>
      <c r="E11" s="26"/>
      <c r="F11" s="26"/>
      <c r="G11" s="26"/>
      <c r="H11" s="26"/>
      <c r="I11" s="27"/>
    </row>
    <row r="12" ht="15.5" customHeight="1" spans="1:9">
      <c r="A12" s="23"/>
      <c r="B12" s="24"/>
      <c r="C12" s="25"/>
      <c r="D12" s="23"/>
      <c r="E12" s="26"/>
      <c r="F12" s="26"/>
      <c r="G12" s="26"/>
      <c r="H12" s="26"/>
      <c r="I12" s="27"/>
    </row>
    <row r="13" ht="15.5" customHeight="1" spans="1:9">
      <c r="A13" s="23"/>
      <c r="B13" s="24"/>
      <c r="C13" s="25"/>
      <c r="D13" s="23"/>
      <c r="E13" s="26"/>
      <c r="F13" s="26"/>
      <c r="G13" s="26"/>
      <c r="H13" s="26"/>
      <c r="I13" s="27"/>
    </row>
    <row r="14" ht="15.5" customHeight="1" spans="1:9">
      <c r="A14" s="23"/>
      <c r="B14" s="24"/>
      <c r="C14" s="25"/>
      <c r="D14" s="23"/>
      <c r="E14" s="26"/>
      <c r="F14" s="26"/>
      <c r="G14" s="26"/>
      <c r="H14" s="26"/>
      <c r="I14" s="27"/>
    </row>
    <row r="15" ht="15.5" customHeight="1" spans="1:9">
      <c r="A15" s="23"/>
      <c r="B15" s="24"/>
      <c r="C15" s="25"/>
      <c r="D15" s="23"/>
      <c r="E15" s="26"/>
      <c r="F15" s="26"/>
      <c r="G15" s="26"/>
      <c r="H15" s="26"/>
      <c r="I15" s="27"/>
    </row>
    <row r="16" ht="15.5" customHeight="1" spans="1:9">
      <c r="A16" s="23"/>
      <c r="B16" s="24"/>
      <c r="C16" s="25"/>
      <c r="D16" s="23"/>
      <c r="E16" s="26"/>
      <c r="F16" s="26"/>
      <c r="G16" s="26"/>
      <c r="H16" s="26"/>
      <c r="I16" s="27"/>
    </row>
    <row r="17" ht="15.5" customHeight="1" spans="1:9">
      <c r="A17" s="23"/>
      <c r="B17" s="24"/>
      <c r="C17" s="25"/>
      <c r="D17" s="23"/>
      <c r="E17" s="26"/>
      <c r="F17" s="26"/>
      <c r="G17" s="26"/>
      <c r="H17" s="26"/>
      <c r="I17" s="27"/>
    </row>
    <row r="18" ht="15.5" customHeight="1" spans="1:9">
      <c r="A18" s="23"/>
      <c r="B18" s="24"/>
      <c r="C18" s="25"/>
      <c r="D18" s="23"/>
      <c r="E18" s="26"/>
      <c r="F18" s="26"/>
      <c r="G18" s="26"/>
      <c r="H18" s="26"/>
      <c r="I18" s="27"/>
    </row>
    <row r="19" ht="15.5" customHeight="1" spans="1:9">
      <c r="A19" s="23"/>
      <c r="B19" s="24"/>
      <c r="C19" s="25"/>
      <c r="D19" s="23"/>
      <c r="E19" s="26"/>
      <c r="F19" s="26"/>
      <c r="G19" s="26"/>
      <c r="H19" s="26"/>
      <c r="I19" s="27"/>
    </row>
    <row r="20" ht="15.5" customHeight="1" spans="1:9">
      <c r="A20" s="23"/>
      <c r="B20" s="24"/>
      <c r="C20" s="25"/>
      <c r="D20" s="23"/>
      <c r="E20" s="26"/>
      <c r="F20" s="26"/>
      <c r="G20" s="26"/>
      <c r="H20" s="26"/>
      <c r="I20" s="27"/>
    </row>
    <row r="21" ht="15.5" customHeight="1" spans="1:9">
      <c r="A21" s="23"/>
      <c r="B21" s="24"/>
      <c r="C21" s="25"/>
      <c r="D21" s="23"/>
      <c r="E21" s="26"/>
      <c r="F21" s="26"/>
      <c r="G21" s="26"/>
      <c r="H21" s="26"/>
      <c r="I21" s="27"/>
    </row>
    <row r="22" ht="15.5" customHeight="1" spans="1:9">
      <c r="A22" s="23"/>
      <c r="B22" s="24"/>
      <c r="C22" s="25"/>
      <c r="D22" s="23"/>
      <c r="E22" s="26"/>
      <c r="F22" s="26"/>
      <c r="G22" s="26"/>
      <c r="H22" s="26"/>
      <c r="I22" s="27"/>
    </row>
    <row r="23" ht="15.5" customHeight="1" spans="1:9">
      <c r="A23" s="23"/>
      <c r="B23" s="24"/>
      <c r="C23" s="25"/>
      <c r="D23" s="23"/>
      <c r="E23" s="26"/>
      <c r="F23" s="26"/>
      <c r="G23" s="26"/>
      <c r="H23" s="26"/>
      <c r="I23" s="27"/>
    </row>
    <row r="24" ht="15.5" customHeight="1" spans="1:9">
      <c r="A24" s="23"/>
      <c r="B24" s="24"/>
      <c r="C24" s="25"/>
      <c r="D24" s="23"/>
      <c r="E24" s="26"/>
      <c r="F24" s="26"/>
      <c r="G24" s="26"/>
      <c r="H24" s="26"/>
      <c r="I24" s="27"/>
    </row>
    <row r="25" ht="15.5" customHeight="1" spans="1:9">
      <c r="A25" s="23"/>
      <c r="B25" s="24"/>
      <c r="C25" s="25"/>
      <c r="D25" s="23"/>
      <c r="E25" s="26"/>
      <c r="F25" s="26"/>
      <c r="G25" s="26"/>
      <c r="H25" s="26"/>
      <c r="I25" s="27"/>
    </row>
    <row r="26" ht="15.5" customHeight="1" spans="1:9">
      <c r="A26" s="23"/>
      <c r="B26" s="24"/>
      <c r="C26" s="25"/>
      <c r="D26" s="23"/>
      <c r="E26" s="26"/>
      <c r="F26" s="26"/>
      <c r="G26" s="26"/>
      <c r="H26" s="26"/>
      <c r="I26" s="27"/>
    </row>
    <row r="27" ht="15.5" customHeight="1" spans="1:9">
      <c r="A27" s="21" t="s">
        <v>703</v>
      </c>
      <c r="B27" s="28"/>
      <c r="C27" s="25"/>
      <c r="D27" s="23"/>
      <c r="E27" s="26">
        <f>SUM(E6:E26)</f>
        <v>0</v>
      </c>
      <c r="F27" s="26"/>
      <c r="G27" s="26">
        <f>SUM(G6:G26)</f>
        <v>0</v>
      </c>
      <c r="H27" s="26">
        <f>SUM(H6:H26)</f>
        <v>0</v>
      </c>
      <c r="I27" s="27"/>
    </row>
    <row r="28" ht="15.5" customHeight="1" spans="1:9">
      <c r="A28" s="29" t="str">
        <f>封面!D11&amp;封面!G11</f>
        <v>被评估单位填表人：</v>
      </c>
      <c r="G28" s="19" t="str">
        <f>"评估人员："&amp;封面!G38</f>
        <v>评估人员：</v>
      </c>
    </row>
    <row r="29" ht="15.5" customHeight="1" spans="1:9">
      <c r="A29" s="29" t="str">
        <f>CONCATENATE(封面!D13,封面!F13,封面!G13,封面!H13,封面!I13,封面!J13,封面!K13)</f>
        <v>填表日期：年月日</v>
      </c>
    </row>
  </sheetData>
  <mergeCells count="3">
    <mergeCell ref="A2:I2"/>
    <mergeCell ref="A3:I3"/>
    <mergeCell ref="A27:B27"/>
  </mergeCells>
  <hyperlinks>
    <hyperlink ref="A1" location="索引目录!I24" display="返回索引页"/>
    <hyperlink ref="B1" location="'非流动负债汇总 '!B10" display="返回"/>
  </hyperlinks>
  <printOptions horizontalCentered="1"/>
  <pageMargins left="0.354330708661417" right="0.354330708661417" top="0.78740157480315" bottom="0.78740157480315" header="1.05" footer="0.511811023622047"/>
  <pageSetup paperSize="9" fitToHeight="0" orientation="landscape"/>
  <headerFooter alignWithMargins="0">
    <oddHeader>&amp;R&amp;"宋体,常规"共&amp;"Times New Roman,常规"&amp;N&amp;"宋体,常规"页第&amp;"Times New Roman,常规"&amp;P&amp;"宋体,常规"6-5
页</oddHeader>
  </headerFooter>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3">
    <pageSetUpPr fitToPage="1"/>
  </sheetPr>
  <dimension ref="A1:H29"/>
  <sheetViews>
    <sheetView view="pageBreakPreview" zoomScale="60" zoomScaleNormal="100" workbookViewId="0">
      <selection activeCell="G451" sqref="G451"/>
    </sheetView>
  </sheetViews>
  <sheetFormatPr defaultColWidth="9" defaultRowHeight="15.75" customHeight="1" outlineLevelCol="7"/>
  <cols>
    <col min="1" max="1" width="8.08333333333333" style="13" customWidth="1"/>
    <col min="2" max="2" width="31.8333333333333" style="13" customWidth="1"/>
    <col min="3" max="3" width="15.8333333333333" style="13" customWidth="1"/>
    <col min="4" max="5" width="17.3333333333333" style="13" hidden="1" customWidth="1" outlineLevel="1"/>
    <col min="6" max="6" width="22.25" style="13" customWidth="1" collapsed="1"/>
    <col min="7" max="7" width="22.25" style="13" customWidth="1"/>
    <col min="8" max="8" width="20.0833333333333" style="13" customWidth="1"/>
    <col min="9" max="16384" width="9" style="13" customWidth="1"/>
  </cols>
  <sheetData>
    <row r="1" ht="15.5" customHeight="1" spans="1:8">
      <c r="A1" s="14" t="s">
        <v>111</v>
      </c>
      <c r="B1" s="30" t="s">
        <v>210</v>
      </c>
      <c r="C1" s="12"/>
      <c r="D1" s="12"/>
      <c r="E1" s="12"/>
      <c r="F1" s="12"/>
      <c r="G1" s="12"/>
      <c r="H1" s="12"/>
    </row>
    <row r="2" s="11" customFormat="1" ht="30" customHeight="1" spans="1:8">
      <c r="A2" s="17" t="s">
        <v>737</v>
      </c>
    </row>
    <row r="3" ht="14.15" customHeight="1" spans="1:8">
      <c r="A3" s="18" t="str">
        <f>CONCATENATE(封面!D9,封面!F9,封面!G9,封面!H9,封面!I9,封面!J9,封面!K9)</f>
        <v>评估基准日：年月日</v>
      </c>
    </row>
    <row r="4" ht="15.5" customHeight="1" spans="1:8">
      <c r="A4" s="19" t="str">
        <f>封面!D7&amp;封面!F7</f>
        <v>被评估单位：</v>
      </c>
      <c r="H4" s="20" t="s">
        <v>139</v>
      </c>
    </row>
    <row r="5" s="12" customFormat="1" ht="13" customHeight="1" spans="1:8">
      <c r="A5" s="21" t="s">
        <v>141</v>
      </c>
      <c r="B5" s="21" t="s">
        <v>738</v>
      </c>
      <c r="C5" s="21" t="s">
        <v>326</v>
      </c>
      <c r="D5" s="22" t="s">
        <v>175</v>
      </c>
      <c r="E5" s="22" t="s">
        <v>281</v>
      </c>
      <c r="F5" s="21" t="s">
        <v>176</v>
      </c>
      <c r="G5" s="21" t="s">
        <v>177</v>
      </c>
      <c r="H5" s="21" t="s">
        <v>144</v>
      </c>
    </row>
    <row r="6" ht="15.5" customHeight="1" spans="1:8">
      <c r="A6" s="23"/>
      <c r="B6" s="24"/>
      <c r="C6" s="25"/>
      <c r="D6" s="31"/>
      <c r="E6" s="31"/>
      <c r="F6" s="31"/>
      <c r="G6" s="31"/>
      <c r="H6" s="27"/>
    </row>
    <row r="7" ht="15.5" customHeight="1" spans="1:8">
      <c r="A7" s="23"/>
      <c r="B7" s="24"/>
      <c r="C7" s="25"/>
      <c r="D7" s="31"/>
      <c r="E7" s="31"/>
      <c r="F7" s="31"/>
      <c r="G7" s="31"/>
      <c r="H7" s="27"/>
    </row>
    <row r="8" ht="15.5" customHeight="1" spans="1:8">
      <c r="A8" s="23"/>
      <c r="B8" s="24"/>
      <c r="C8" s="25"/>
      <c r="D8" s="31"/>
      <c r="E8" s="31"/>
      <c r="F8" s="31"/>
      <c r="G8" s="31"/>
      <c r="H8" s="27"/>
    </row>
    <row r="9" ht="15.5" customHeight="1" spans="1:8">
      <c r="A9" s="23"/>
      <c r="B9" s="24"/>
      <c r="C9" s="25"/>
      <c r="D9" s="31"/>
      <c r="E9" s="31"/>
      <c r="F9" s="31"/>
      <c r="G9" s="31"/>
      <c r="H9" s="27"/>
    </row>
    <row r="10" ht="15.5" customHeight="1" spans="1:8">
      <c r="A10" s="23"/>
      <c r="B10" s="24"/>
      <c r="C10" s="25"/>
      <c r="D10" s="31"/>
      <c r="E10" s="31"/>
      <c r="F10" s="31"/>
      <c r="G10" s="31"/>
      <c r="H10" s="27"/>
    </row>
    <row r="11" ht="15.5" customHeight="1" spans="1:8">
      <c r="A11" s="23"/>
      <c r="B11" s="24"/>
      <c r="C11" s="25"/>
      <c r="D11" s="31"/>
      <c r="E11" s="31"/>
      <c r="F11" s="31"/>
      <c r="G11" s="31"/>
      <c r="H11" s="27"/>
    </row>
    <row r="12" ht="15.5" customHeight="1" spans="1:8">
      <c r="A12" s="23"/>
      <c r="B12" s="24"/>
      <c r="C12" s="25"/>
      <c r="D12" s="31"/>
      <c r="E12" s="31"/>
      <c r="F12" s="31"/>
      <c r="G12" s="31"/>
      <c r="H12" s="27"/>
    </row>
    <row r="13" ht="15.5" customHeight="1" spans="1:8">
      <c r="A13" s="23"/>
      <c r="B13" s="24"/>
      <c r="C13" s="25"/>
      <c r="D13" s="31"/>
      <c r="E13" s="31"/>
      <c r="F13" s="31"/>
      <c r="G13" s="31"/>
      <c r="H13" s="27"/>
    </row>
    <row r="14" ht="15.5" customHeight="1" spans="1:8">
      <c r="A14" s="23"/>
      <c r="B14" s="24"/>
      <c r="C14" s="25"/>
      <c r="D14" s="31"/>
      <c r="E14" s="31"/>
      <c r="F14" s="31"/>
      <c r="G14" s="31"/>
      <c r="H14" s="27"/>
    </row>
    <row r="15" ht="15.5" customHeight="1" spans="1:8">
      <c r="A15" s="23"/>
      <c r="B15" s="24"/>
      <c r="C15" s="25"/>
      <c r="D15" s="31"/>
      <c r="E15" s="31"/>
      <c r="F15" s="31"/>
      <c r="G15" s="31"/>
      <c r="H15" s="27"/>
    </row>
    <row r="16" ht="15.5" customHeight="1" spans="1:8">
      <c r="A16" s="23"/>
      <c r="B16" s="24"/>
      <c r="C16" s="25"/>
      <c r="D16" s="31"/>
      <c r="E16" s="31"/>
      <c r="F16" s="31"/>
      <c r="G16" s="31"/>
      <c r="H16" s="27"/>
    </row>
    <row r="17" ht="15.5" customHeight="1" spans="1:8">
      <c r="A17" s="23"/>
      <c r="B17" s="24"/>
      <c r="C17" s="25"/>
      <c r="D17" s="31"/>
      <c r="E17" s="31"/>
      <c r="F17" s="31"/>
      <c r="G17" s="31"/>
      <c r="H17" s="27"/>
    </row>
    <row r="18" ht="15.5" customHeight="1" spans="1:8">
      <c r="A18" s="23"/>
      <c r="B18" s="24"/>
      <c r="C18" s="25"/>
      <c r="D18" s="31"/>
      <c r="E18" s="31"/>
      <c r="F18" s="31"/>
      <c r="G18" s="31"/>
      <c r="H18" s="27"/>
    </row>
    <row r="19" ht="15.5" customHeight="1" spans="1:8">
      <c r="A19" s="23"/>
      <c r="B19" s="24"/>
      <c r="C19" s="25"/>
      <c r="D19" s="31"/>
      <c r="E19" s="31"/>
      <c r="F19" s="31"/>
      <c r="G19" s="31"/>
      <c r="H19" s="27"/>
    </row>
    <row r="20" ht="15.5" customHeight="1" spans="1:8">
      <c r="A20" s="23"/>
      <c r="B20" s="24"/>
      <c r="C20" s="25"/>
      <c r="D20" s="31"/>
      <c r="E20" s="31"/>
      <c r="F20" s="31"/>
      <c r="G20" s="31"/>
      <c r="H20" s="27"/>
    </row>
    <row r="21" ht="15.5" customHeight="1" spans="1:8">
      <c r="A21" s="23"/>
      <c r="B21" s="24"/>
      <c r="C21" s="25"/>
      <c r="D21" s="31"/>
      <c r="E21" s="31"/>
      <c r="F21" s="31"/>
      <c r="G21" s="31"/>
      <c r="H21" s="27"/>
    </row>
    <row r="22" ht="15.5" customHeight="1" spans="1:8">
      <c r="A22" s="23"/>
      <c r="B22" s="24"/>
      <c r="C22" s="25"/>
      <c r="D22" s="31"/>
      <c r="E22" s="31"/>
      <c r="F22" s="31"/>
      <c r="G22" s="31"/>
      <c r="H22" s="27"/>
    </row>
    <row r="23" ht="15.5" customHeight="1" spans="1:8">
      <c r="A23" s="23"/>
      <c r="B23" s="24"/>
      <c r="C23" s="25"/>
      <c r="D23" s="31"/>
      <c r="E23" s="31"/>
      <c r="F23" s="31"/>
      <c r="G23" s="31"/>
      <c r="H23" s="27"/>
    </row>
    <row r="24" ht="15.5" customHeight="1" spans="1:8">
      <c r="A24" s="23"/>
      <c r="B24" s="24"/>
      <c r="C24" s="25"/>
      <c r="D24" s="31"/>
      <c r="E24" s="31"/>
      <c r="F24" s="31"/>
      <c r="G24" s="31"/>
      <c r="H24" s="27"/>
    </row>
    <row r="25" ht="15.5" customHeight="1" spans="1:8">
      <c r="A25" s="23"/>
      <c r="B25" s="24"/>
      <c r="C25" s="25"/>
      <c r="D25" s="31"/>
      <c r="E25" s="31"/>
      <c r="F25" s="31"/>
      <c r="G25" s="31"/>
      <c r="H25" s="27"/>
    </row>
    <row r="26" ht="15.5" customHeight="1" spans="1:8">
      <c r="A26" s="23"/>
      <c r="B26" s="24"/>
      <c r="C26" s="25"/>
      <c r="D26" s="31"/>
      <c r="E26" s="31"/>
      <c r="F26" s="31"/>
      <c r="G26" s="31"/>
      <c r="H26" s="27"/>
    </row>
    <row r="27" ht="15.5" customHeight="1" spans="1:8">
      <c r="A27" s="21" t="s">
        <v>703</v>
      </c>
      <c r="B27" s="28"/>
      <c r="C27" s="25"/>
      <c r="D27" s="31">
        <f>SUM(D6:D26)</f>
        <v>0</v>
      </c>
      <c r="E27" s="31"/>
      <c r="F27" s="31">
        <f>SUM(F6:F26)</f>
        <v>0</v>
      </c>
      <c r="G27" s="31">
        <f>SUM(G6:G26)</f>
        <v>0</v>
      </c>
      <c r="H27" s="27"/>
    </row>
    <row r="28" ht="15.5" customHeight="1" spans="1:8">
      <c r="A28" s="29" t="str">
        <f>封面!D11&amp;封面!G11</f>
        <v>被评估单位填表人：</v>
      </c>
      <c r="F28" s="13" t="str">
        <f>"评估人员："&amp;封面!G38</f>
        <v>评估人员：</v>
      </c>
    </row>
    <row r="29" ht="15.5" customHeight="1" spans="1:8">
      <c r="A29" s="29" t="str">
        <f>CONCATENATE(封面!D13,封面!F13,封面!G13,封面!H13,封面!I13,封面!J13,封面!K13)</f>
        <v>填表日期：年月日</v>
      </c>
    </row>
  </sheetData>
  <mergeCells count="3">
    <mergeCell ref="A2:H2"/>
    <mergeCell ref="A3:H3"/>
    <mergeCell ref="A27:B27"/>
  </mergeCells>
  <hyperlinks>
    <hyperlink ref="A1" location="索引目录!I25" display="返回索引页"/>
    <hyperlink ref="B1" location="'非流动负债汇总 '!B11" display="返回"/>
  </hyperlinks>
  <printOptions horizontalCentered="1"/>
  <pageMargins left="0.354330708661417" right="0.354330708661417" top="0.78740157480315" bottom="0.78740157480315" header="1.02" footer="0.511811023622047"/>
  <pageSetup paperSize="9" fitToHeight="0" orientation="landscape"/>
  <headerFooter alignWithMargins="0">
    <oddHeader>&amp;R&amp;"宋体,常规"共&amp;"Times New Roman,常规"&amp;N&amp;"宋体,常规"页第&amp;"Times New Roman,常规"&amp;P&amp;"宋体,常规"6-6
页</oddHeader>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4">
    <pageSetUpPr fitToPage="1"/>
  </sheetPr>
  <dimension ref="A1:I29"/>
  <sheetViews>
    <sheetView view="pageBreakPreview" zoomScale="60" zoomScaleNormal="100" workbookViewId="0">
      <selection activeCell="G451" sqref="G451"/>
    </sheetView>
  </sheetViews>
  <sheetFormatPr defaultColWidth="9" defaultRowHeight="15.75" customHeight="1"/>
  <cols>
    <col min="1" max="1" width="6.33333333333333" style="13" customWidth="1"/>
    <col min="2" max="2" width="27.75" style="13" customWidth="1"/>
    <col min="3" max="3" width="14.25" style="13" customWidth="1"/>
    <col min="4" max="4" width="19.5" style="13" customWidth="1"/>
    <col min="5" max="6" width="16.5" style="13" hidden="1" customWidth="1" outlineLevel="1"/>
    <col min="7" max="7" width="18.8333333333333" style="13" customWidth="1" collapsed="1"/>
    <col min="8" max="8" width="18.8333333333333" style="13" customWidth="1"/>
    <col min="9" max="9" width="15.5" style="13" customWidth="1"/>
    <col min="10" max="16384" width="9" style="13" customWidth="1"/>
  </cols>
  <sheetData>
    <row r="1" ht="15.5" customHeight="1" spans="1:9">
      <c r="A1" s="14" t="s">
        <v>111</v>
      </c>
      <c r="B1" s="15" t="s">
        <v>210</v>
      </c>
      <c r="C1" s="16"/>
      <c r="D1" s="16"/>
      <c r="E1" s="16"/>
      <c r="F1" s="16"/>
      <c r="G1" s="16"/>
      <c r="H1" s="16"/>
      <c r="I1" s="16"/>
    </row>
    <row r="2" s="11" customFormat="1" ht="30" customHeight="1" spans="1:9">
      <c r="A2" s="17" t="s">
        <v>739</v>
      </c>
    </row>
    <row r="3" ht="14.15" customHeight="1" spans="1:9">
      <c r="A3" s="18" t="str">
        <f>CONCATENATE(封面!D9,封面!F9,封面!G9,封面!H9,封面!I9,封面!J9,封面!K9)</f>
        <v>评估基准日：年月日</v>
      </c>
    </row>
    <row r="4" ht="15.5" customHeight="1" spans="1:9">
      <c r="A4" s="19" t="str">
        <f>封面!D7&amp;封面!F7</f>
        <v>被评估单位：</v>
      </c>
      <c r="I4" s="20" t="s">
        <v>139</v>
      </c>
    </row>
    <row r="5" s="12" customFormat="1" ht="13" customHeight="1" spans="1:9">
      <c r="A5" s="21" t="s">
        <v>141</v>
      </c>
      <c r="B5" s="21" t="s">
        <v>316</v>
      </c>
      <c r="C5" s="21" t="s">
        <v>326</v>
      </c>
      <c r="D5" s="21" t="s">
        <v>404</v>
      </c>
      <c r="E5" s="22" t="s">
        <v>175</v>
      </c>
      <c r="F5" s="22" t="s">
        <v>281</v>
      </c>
      <c r="G5" s="21" t="s">
        <v>176</v>
      </c>
      <c r="H5" s="21" t="s">
        <v>177</v>
      </c>
      <c r="I5" s="21" t="s">
        <v>144</v>
      </c>
    </row>
    <row r="6" ht="15.5" customHeight="1" spans="1:9">
      <c r="A6" s="23"/>
      <c r="B6" s="24"/>
      <c r="C6" s="25"/>
      <c r="D6" s="23"/>
      <c r="E6" s="26"/>
      <c r="F6" s="26"/>
      <c r="G6" s="26"/>
      <c r="H6" s="26"/>
      <c r="I6" s="27"/>
    </row>
    <row r="7" ht="15.5" customHeight="1" spans="1:9">
      <c r="A7" s="23"/>
      <c r="B7" s="24"/>
      <c r="C7" s="25"/>
      <c r="D7" s="23"/>
      <c r="E7" s="26"/>
      <c r="F7" s="26"/>
      <c r="G7" s="26"/>
      <c r="H7" s="26"/>
      <c r="I7" s="27"/>
    </row>
    <row r="8" ht="15.5" customHeight="1" spans="1:9">
      <c r="A8" s="23"/>
      <c r="B8" s="24"/>
      <c r="C8" s="25"/>
      <c r="D8" s="23"/>
      <c r="E8" s="26"/>
      <c r="F8" s="26"/>
      <c r="G8" s="26"/>
      <c r="H8" s="26"/>
      <c r="I8" s="27"/>
    </row>
    <row r="9" ht="15.5" customHeight="1" spans="1:9">
      <c r="A9" s="23"/>
      <c r="B9" s="24"/>
      <c r="C9" s="25"/>
      <c r="D9" s="23"/>
      <c r="E9" s="26"/>
      <c r="F9" s="26"/>
      <c r="G9" s="26"/>
      <c r="H9" s="26"/>
      <c r="I9" s="27"/>
    </row>
    <row r="10" ht="15.5" customHeight="1" spans="1:9">
      <c r="A10" s="23"/>
      <c r="B10" s="24"/>
      <c r="C10" s="25"/>
      <c r="D10" s="23"/>
      <c r="E10" s="26"/>
      <c r="F10" s="26"/>
      <c r="G10" s="26"/>
      <c r="H10" s="26"/>
      <c r="I10" s="27"/>
    </row>
    <row r="11" ht="15.5" customHeight="1" spans="1:9">
      <c r="A11" s="23"/>
      <c r="B11" s="24"/>
      <c r="C11" s="25"/>
      <c r="D11" s="23"/>
      <c r="E11" s="26"/>
      <c r="F11" s="26"/>
      <c r="G11" s="26"/>
      <c r="H11" s="26"/>
      <c r="I11" s="27"/>
    </row>
    <row r="12" ht="15.5" customHeight="1" spans="1:9">
      <c r="A12" s="23"/>
      <c r="B12" s="24"/>
      <c r="C12" s="25"/>
      <c r="D12" s="23"/>
      <c r="E12" s="26"/>
      <c r="F12" s="26"/>
      <c r="G12" s="26"/>
      <c r="H12" s="26"/>
      <c r="I12" s="27"/>
    </row>
    <row r="13" ht="15.5" customHeight="1" spans="1:9">
      <c r="A13" s="23"/>
      <c r="B13" s="24"/>
      <c r="C13" s="25"/>
      <c r="D13" s="23"/>
      <c r="E13" s="26"/>
      <c r="F13" s="26"/>
      <c r="G13" s="26"/>
      <c r="H13" s="26"/>
      <c r="I13" s="27"/>
    </row>
    <row r="14" ht="15.5" customHeight="1" spans="1:9">
      <c r="A14" s="23"/>
      <c r="B14" s="24"/>
      <c r="C14" s="25"/>
      <c r="D14" s="23"/>
      <c r="E14" s="26"/>
      <c r="F14" s="26"/>
      <c r="G14" s="26"/>
      <c r="H14" s="26"/>
      <c r="I14" s="27"/>
    </row>
    <row r="15" ht="15.5" customHeight="1" spans="1:9">
      <c r="A15" s="23"/>
      <c r="B15" s="24"/>
      <c r="C15" s="25"/>
      <c r="D15" s="23"/>
      <c r="E15" s="26"/>
      <c r="F15" s="26"/>
      <c r="G15" s="26"/>
      <c r="H15" s="26"/>
      <c r="I15" s="27"/>
    </row>
    <row r="16" ht="15.5" customHeight="1" spans="1:9">
      <c r="A16" s="23"/>
      <c r="B16" s="24"/>
      <c r="C16" s="25"/>
      <c r="D16" s="23"/>
      <c r="E16" s="26"/>
      <c r="F16" s="26"/>
      <c r="G16" s="26"/>
      <c r="H16" s="26"/>
      <c r="I16" s="27"/>
    </row>
    <row r="17" ht="15.5" customHeight="1" spans="1:9">
      <c r="A17" s="23"/>
      <c r="B17" s="24"/>
      <c r="C17" s="25"/>
      <c r="D17" s="23"/>
      <c r="E17" s="26"/>
      <c r="F17" s="26"/>
      <c r="G17" s="26"/>
      <c r="H17" s="26"/>
      <c r="I17" s="27"/>
    </row>
    <row r="18" ht="15.5" customHeight="1" spans="1:9">
      <c r="A18" s="23"/>
      <c r="B18" s="24"/>
      <c r="C18" s="25"/>
      <c r="D18" s="23"/>
      <c r="E18" s="26"/>
      <c r="F18" s="26"/>
      <c r="G18" s="26"/>
      <c r="H18" s="26"/>
      <c r="I18" s="27"/>
    </row>
    <row r="19" ht="15.5" customHeight="1" spans="1:9">
      <c r="A19" s="23"/>
      <c r="B19" s="24"/>
      <c r="C19" s="25"/>
      <c r="D19" s="23"/>
      <c r="E19" s="26"/>
      <c r="F19" s="26"/>
      <c r="G19" s="26"/>
      <c r="H19" s="26"/>
      <c r="I19" s="27"/>
    </row>
    <row r="20" ht="15.5" customHeight="1" spans="1:9">
      <c r="A20" s="23"/>
      <c r="B20" s="24"/>
      <c r="C20" s="25"/>
      <c r="D20" s="23"/>
      <c r="E20" s="26"/>
      <c r="F20" s="26"/>
      <c r="G20" s="26"/>
      <c r="H20" s="26"/>
      <c r="I20" s="27"/>
    </row>
    <row r="21" ht="15.5" customHeight="1" spans="1:9">
      <c r="A21" s="23"/>
      <c r="B21" s="24"/>
      <c r="C21" s="25"/>
      <c r="D21" s="23"/>
      <c r="E21" s="26"/>
      <c r="F21" s="26"/>
      <c r="G21" s="26"/>
      <c r="H21" s="26"/>
      <c r="I21" s="27"/>
    </row>
    <row r="22" ht="15.5" customHeight="1" spans="1:9">
      <c r="A22" s="23"/>
      <c r="B22" s="24"/>
      <c r="C22" s="25"/>
      <c r="D22" s="23"/>
      <c r="E22" s="26"/>
      <c r="F22" s="26"/>
      <c r="G22" s="26"/>
      <c r="H22" s="26"/>
      <c r="I22" s="27"/>
    </row>
    <row r="23" ht="15.5" customHeight="1" spans="1:9">
      <c r="A23" s="23"/>
      <c r="B23" s="24"/>
      <c r="C23" s="25"/>
      <c r="D23" s="23"/>
      <c r="E23" s="26"/>
      <c r="F23" s="26"/>
      <c r="G23" s="26"/>
      <c r="H23" s="26"/>
      <c r="I23" s="27"/>
    </row>
    <row r="24" ht="15.5" customHeight="1" spans="1:9">
      <c r="A24" s="23"/>
      <c r="B24" s="24"/>
      <c r="C24" s="25"/>
      <c r="D24" s="23"/>
      <c r="E24" s="26"/>
      <c r="F24" s="26"/>
      <c r="G24" s="26"/>
      <c r="H24" s="26"/>
      <c r="I24" s="27"/>
    </row>
    <row r="25" ht="15.5" customHeight="1" spans="1:9">
      <c r="A25" s="23"/>
      <c r="B25" s="24"/>
      <c r="C25" s="25"/>
      <c r="D25" s="23"/>
      <c r="E25" s="26"/>
      <c r="F25" s="26"/>
      <c r="G25" s="26"/>
      <c r="H25" s="26"/>
      <c r="I25" s="27"/>
    </row>
    <row r="26" ht="15.5" customHeight="1" spans="1:9">
      <c r="A26" s="23"/>
      <c r="B26" s="24"/>
      <c r="C26" s="25"/>
      <c r="D26" s="23"/>
      <c r="E26" s="26"/>
      <c r="F26" s="26"/>
      <c r="G26" s="26"/>
      <c r="H26" s="26"/>
      <c r="I26" s="27"/>
    </row>
    <row r="27" ht="15.5" customHeight="1" spans="1:9">
      <c r="A27" s="21" t="s">
        <v>703</v>
      </c>
      <c r="B27" s="28"/>
      <c r="C27" s="25"/>
      <c r="D27" s="23"/>
      <c r="E27" s="26">
        <f>SUM(E6:E26)</f>
        <v>0</v>
      </c>
      <c r="F27" s="26"/>
      <c r="G27" s="26">
        <f>SUM(G6:G26)</f>
        <v>0</v>
      </c>
      <c r="H27" s="26">
        <f>SUM(H6:H26)</f>
        <v>0</v>
      </c>
      <c r="I27" s="27"/>
    </row>
    <row r="28" ht="15.5" customHeight="1" spans="1:9">
      <c r="A28" s="29" t="str">
        <f>封面!D11&amp;封面!G11</f>
        <v>被评估单位填表人：</v>
      </c>
      <c r="G28" s="19" t="str">
        <f>"评估人员："&amp;封面!G38</f>
        <v>评估人员：</v>
      </c>
    </row>
    <row r="29" ht="15.5" customHeight="1" spans="1:9">
      <c r="A29" s="29" t="str">
        <f>CONCATENATE(封面!D13,封面!F13,封面!G13,封面!H13,封面!I13,封面!J13,封面!K13)</f>
        <v>填表日期：年月日</v>
      </c>
    </row>
  </sheetData>
  <mergeCells count="3">
    <mergeCell ref="A2:I2"/>
    <mergeCell ref="A3:I3"/>
    <mergeCell ref="A27:B27"/>
  </mergeCells>
  <hyperlinks>
    <hyperlink ref="A1" location="索引目录!I26" display="返回索引页"/>
    <hyperlink ref="B1" location="'非流动负债汇总 '!B12" display="返回"/>
  </hyperlinks>
  <printOptions horizontalCentered="1"/>
  <pageMargins left="0.354330708661417" right="0.354330708661417" top="0.78740157480315" bottom="0.78740157480315" header="1.05" footer="0.511811023622047"/>
  <pageSetup paperSize="9" fitToHeight="0" orientation="landscape"/>
  <headerFooter alignWithMargins="0">
    <oddHeader>&amp;R&amp;"宋体,常规"共&amp;"Times New Roman,常规"&amp;N&amp;"宋体,常规"页第&amp;"Times New Roman,常规"&amp;P&amp;"宋体,常规"6-7
页</oddHeader>
  </headerFooter>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5"/>
  <dimension ref="A1:C26"/>
  <sheetViews>
    <sheetView showFormulas="1" workbookViewId="0">
      <selection activeCell="G451" sqref="G451"/>
    </sheetView>
  </sheetViews>
  <sheetFormatPr defaultColWidth="8.25" defaultRowHeight="12.5" outlineLevelCol="2"/>
  <cols>
    <col min="1" max="1" width="26.8333333333333" style="1" customWidth="1"/>
    <col min="2" max="2" width="1.25" style="1" customWidth="1"/>
    <col min="3" max="3" width="28.8333333333333" style="1" customWidth="1"/>
    <col min="4" max="16384" width="8.25" style="1" customWidth="1"/>
  </cols>
  <sheetData>
    <row r="1" ht="15.5" customHeight="1"/>
    <row r="2" ht="13.75" customHeight="1" spans="1:3">
      <c r="A2" s="2"/>
    </row>
    <row r="3" ht="13.25" customHeight="1" spans="1:3">
      <c r="A3" s="3"/>
      <c r="C3" s="4"/>
    </row>
    <row r="4" spans="1:3">
      <c r="A4" s="3"/>
    </row>
    <row r="6" ht="13.25" customHeight="1"/>
    <row r="7" ht="13" customHeight="1" spans="1:3">
      <c r="A7" s="5"/>
    </row>
    <row r="8" ht="13" customHeight="1" spans="1:3">
      <c r="A8" s="6"/>
    </row>
    <row r="9" ht="13" customHeight="1" spans="1:3">
      <c r="A9" s="7"/>
    </row>
    <row r="10" ht="13" customHeight="1" spans="1:3">
      <c r="A10" s="6"/>
    </row>
    <row r="11" ht="13.75" customHeight="1" spans="1:3">
      <c r="A11" s="8"/>
    </row>
    <row r="13" ht="13.25" customHeight="1"/>
    <row r="14" ht="13.25" customHeight="1" spans="1:3">
      <c r="A14" s="4"/>
    </row>
    <row r="16" ht="13.25" customHeight="1"/>
    <row r="17" ht="13.25" customHeight="1" spans="1:3">
      <c r="C17" s="4"/>
    </row>
    <row r="20" spans="1:3">
      <c r="A20" s="9"/>
    </row>
    <row r="26" ht="13.25" customHeight="1" spans="1:3">
      <c r="C26" s="10"/>
    </row>
  </sheetData>
  <sheetProtection password="8863" sheet="1" objects="1"/>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rangeList sheetStid="6" master="" otherUserPermission="visible"/>
  <rangeList sheetStid="7" master="" otherUserPermission="visible"/>
  <rangeList sheetStid="8" master="" otherUserPermission="visible"/>
  <rangeList sheetStid="9" master="" otherUserPermission="visible"/>
  <rangeList sheetStid="10" master="" otherUserPermission="visible"/>
  <rangeList sheetStid="11" master="" otherUserPermission="visible"/>
  <rangeList sheetStid="12" master="" otherUserPermission="visible"/>
  <rangeList sheetStid="13" master="" otherUserPermission="visible"/>
  <rangeList sheetStid="14" master="" otherUserPermission="visible"/>
  <rangeList sheetStid="15" master="" otherUserPermission="visible"/>
  <rangeList sheetStid="16" master="" otherUserPermission="visible"/>
  <rangeList sheetStid="17" master="" otherUserPermission="visible"/>
  <rangeList sheetStid="18" master="" otherUserPermission="visible"/>
  <rangeList sheetStid="19" master="" otherUserPermission="visible"/>
  <rangeList sheetStid="20" master="" otherUserPermission="visible"/>
  <rangeList sheetStid="21" master="" otherUserPermission="visible"/>
  <rangeList sheetStid="22" master="" otherUserPermission="visible"/>
  <rangeList sheetStid="23" master="" otherUserPermission="visible"/>
  <rangeList sheetStid="24" master="" otherUserPermission="visible"/>
  <rangeList sheetStid="25" master="" otherUserPermission="visible"/>
  <rangeList sheetStid="26" master="" otherUserPermission="visible"/>
  <rangeList sheetStid="27" master="" otherUserPermission="visible"/>
  <rangeList sheetStid="28" master="" otherUserPermission="visible"/>
  <rangeList sheetStid="29" master="" otherUserPermission="visible"/>
  <rangeList sheetStid="30" master="" otherUserPermission="visible"/>
  <rangeList sheetStid="31" master="" otherUserPermission="visible"/>
  <rangeList sheetStid="32" master="" otherUserPermission="visible"/>
  <rangeList sheetStid="33" master="" otherUserPermission="visible"/>
  <rangeList sheetStid="34" master="" otherUserPermission="visible"/>
  <rangeList sheetStid="35" master="" otherUserPermission="visible"/>
  <rangeList sheetStid="36" master="" otherUserPermission="visible"/>
  <rangeList sheetStid="37" master="" otherUserPermission="visible"/>
  <rangeList sheetStid="38" master="" otherUserPermission="visible"/>
  <rangeList sheetStid="39" master="" otherUserPermission="visible"/>
  <rangeList sheetStid="40" master="" otherUserPermission="visible"/>
  <rangeList sheetStid="41" master="" otherUserPermission="visible"/>
  <rangeList sheetStid="42" master="" otherUserPermission="visible"/>
  <rangeList sheetStid="43" master="" otherUserPermission="visible"/>
  <rangeList sheetStid="44" master="" otherUserPermission="visible"/>
  <rangeList sheetStid="45" master="" otherUserPermission="visible"/>
  <rangeList sheetStid="46" master="" otherUserPermission="visible"/>
  <rangeList sheetStid="47" master="" otherUserPermission="visible"/>
  <rangeList sheetStid="48" master="" otherUserPermission="visible"/>
  <rangeList sheetStid="49" master="" otherUserPermission="visible"/>
  <rangeList sheetStid="50" master="" otherUserPermission="visible"/>
  <rangeList sheetStid="51" master="" otherUserPermission="visible"/>
  <rangeList sheetStid="52" master="" otherUserPermission="visible"/>
  <rangeList sheetStid="53" master="" otherUserPermission="visible"/>
  <rangeList sheetStid="54" master="" otherUserPermission="visible"/>
  <rangeList sheetStid="55" master="" otherUserPermission="visible"/>
  <rangeList sheetStid="56" master="" otherUserPermission="visible"/>
  <rangeList sheetStid="57" master="" otherUserPermission="visible"/>
  <rangeList sheetStid="58" master="" otherUserPermission="visible"/>
  <rangeList sheetStid="59" master="" otherUserPermission="visible"/>
  <rangeList sheetStid="60" master="" otherUserPermission="visible"/>
  <rangeList sheetStid="61" master="" otherUserPermission="visible"/>
  <rangeList sheetStid="62" master="" otherUserPermission="visible"/>
  <rangeList sheetStid="63" master="" otherUserPermission="visible"/>
  <rangeList sheetStid="64" master="" otherUserPermission="visible"/>
  <rangeList sheetStid="65" master="" otherUserPermission="visible"/>
  <rangeList sheetStid="66" master="" otherUserPermission="visible"/>
  <rangeList sheetStid="67" master="" otherUserPermission="visible"/>
  <rangeList sheetStid="68" master="" otherUserPermission="visible"/>
  <rangeList sheetStid="69" master="" otherUserPermission="visible"/>
  <rangeList sheetStid="70" master="" otherUserPermission="visible"/>
  <rangeList sheetStid="71" master="" otherUserPermission="visible"/>
  <rangeList sheetStid="72" master="" otherUserPermission="visible"/>
  <rangeList sheetStid="73" master="" otherUserPermission="visible"/>
  <rangeList sheetStid="74" master="" otherUserPermission="visible"/>
  <rangeList sheetStid="75" master="" otherUserPermission="visible"/>
  <rangeList sheetStid="76" master="" otherUserPermission="visible"/>
  <rangeList sheetStid="77" master="" otherUserPermission="visible"/>
  <rangeList sheetStid="78" master="" otherUserPermission="visible"/>
  <rangeList sheetStid="79" master="" otherUserPermission="visible"/>
  <rangeList sheetStid="80" master="" otherUserPermission="visible"/>
  <rangeList sheetStid="81" master="" otherUserPermission="visible"/>
  <rangeList sheetStid="82" master="" otherUserPermission="visible"/>
  <rangeList sheetStid="83" master="" otherUserPermission="visible"/>
  <rangeList sheetStid="84" master="" otherUserPermission="visible"/>
  <rangeList sheetStid="85" master="" otherUserPermission="visible"/>
  <rangeList sheetStid="86" master="" otherUserPermission="visible"/>
  <rangeList sheetStid="87" master="" otherUserPermission="visible"/>
  <rangeList sheetStid="88" master="" otherUserPermission="visible"/>
  <rangeList sheetStid="89" master="" otherUserPermission="visible"/>
  <rangeList sheetStid="90" master="" otherUserPermission="visible"/>
  <rangeList sheetStid="91" master="" otherUserPermission="visible"/>
  <rangeList sheetStid="92" master="" otherUserPermission="visible"/>
  <rangeList sheetStid="93" master="" otherUserPermission="visible"/>
  <rangeList sheetStid="94" master="" otherUserPermission="visible"/>
  <rangeList sheetStid="95"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95</vt:i4>
      </vt:variant>
    </vt:vector>
  </HeadingPairs>
  <TitlesOfParts>
    <vt:vector size="95" baseType="lpstr">
      <vt:lpstr>PMMOQP</vt:lpstr>
      <vt:lpstr>封面</vt:lpstr>
      <vt:lpstr>索引目录</vt:lpstr>
      <vt:lpstr>填表说明</vt:lpstr>
      <vt:lpstr>资产负债表</vt:lpstr>
      <vt:lpstr>汇总表</vt:lpstr>
      <vt:lpstr>分类汇总</vt:lpstr>
      <vt:lpstr>流动汇总</vt:lpstr>
      <vt:lpstr>现金</vt:lpstr>
      <vt:lpstr>银行存款</vt:lpstr>
      <vt:lpstr>其他货币资金</vt:lpstr>
      <vt:lpstr>交易性金融资产汇总</vt:lpstr>
      <vt:lpstr>交易性-股票</vt:lpstr>
      <vt:lpstr>交易性-债券</vt:lpstr>
      <vt:lpstr>交易性-基金</vt:lpstr>
      <vt:lpstr>应收票据</vt:lpstr>
      <vt:lpstr>应收账款</vt:lpstr>
      <vt:lpstr>预付账款</vt:lpstr>
      <vt:lpstr>应收利息</vt:lpstr>
      <vt:lpstr>应收股利（利润）</vt:lpstr>
      <vt:lpstr>其他应收款</vt:lpstr>
      <vt:lpstr>存货汇总</vt:lpstr>
      <vt:lpstr>材料采购（在途物资）</vt:lpstr>
      <vt:lpstr>原材料</vt:lpstr>
      <vt:lpstr>在库周转材料</vt:lpstr>
      <vt:lpstr>委托加工物资</vt:lpstr>
      <vt:lpstr>产成品（库存商品）</vt:lpstr>
      <vt:lpstr>在产品（自制半成品）</vt:lpstr>
      <vt:lpstr>发出商品</vt:lpstr>
      <vt:lpstr>在用周转材料</vt:lpstr>
      <vt:lpstr>一年到期非流动资产</vt:lpstr>
      <vt:lpstr>其他流动资产</vt:lpstr>
      <vt:lpstr>非流动资产汇总</vt:lpstr>
      <vt:lpstr>可供出售金融资产汇总</vt:lpstr>
      <vt:lpstr>可出售-股票</vt:lpstr>
      <vt:lpstr>可出售-债券</vt:lpstr>
      <vt:lpstr>可出售-其他</vt:lpstr>
      <vt:lpstr>持有到期投资</vt:lpstr>
      <vt:lpstr>长期应收</vt:lpstr>
      <vt:lpstr>股权投资</vt:lpstr>
      <vt:lpstr>4-5-1投资性房地产</vt:lpstr>
      <vt:lpstr>4-5-2投资性房地产</vt:lpstr>
      <vt:lpstr>4-5-3投资性地产</vt:lpstr>
      <vt:lpstr>4-5-4投资性地产</vt:lpstr>
      <vt:lpstr>固定资产汇总</vt:lpstr>
      <vt:lpstr>房屋建筑物</vt:lpstr>
      <vt:lpstr>构筑物</vt:lpstr>
      <vt:lpstr>井巷</vt:lpstr>
      <vt:lpstr>Sheet1</vt:lpstr>
      <vt:lpstr>管道沟槽</vt:lpstr>
      <vt:lpstr>机器设备</vt:lpstr>
      <vt:lpstr>车辆</vt:lpstr>
      <vt:lpstr>电子设备</vt:lpstr>
      <vt:lpstr>土地</vt:lpstr>
      <vt:lpstr>在建工程汇总</vt:lpstr>
      <vt:lpstr>在建（土建）</vt:lpstr>
      <vt:lpstr>在建（设备）</vt:lpstr>
      <vt:lpstr>工程物资</vt:lpstr>
      <vt:lpstr>固定资产清理</vt:lpstr>
      <vt:lpstr>生产性生物资产</vt:lpstr>
      <vt:lpstr>油气资产</vt:lpstr>
      <vt:lpstr>使用权资产</vt:lpstr>
      <vt:lpstr>无形资产汇总</vt:lpstr>
      <vt:lpstr>无形-土地</vt:lpstr>
      <vt:lpstr>无形-矿业权</vt:lpstr>
      <vt:lpstr>无形-其他</vt:lpstr>
      <vt:lpstr>Sheet2</vt:lpstr>
      <vt:lpstr>开发支出</vt:lpstr>
      <vt:lpstr>商誉</vt:lpstr>
      <vt:lpstr>长期待摊费用</vt:lpstr>
      <vt:lpstr>递延所得税资产</vt:lpstr>
      <vt:lpstr>其他非流动资产</vt:lpstr>
      <vt:lpstr>流动负债汇总</vt:lpstr>
      <vt:lpstr>短期借款</vt:lpstr>
      <vt:lpstr>交易性金融负债</vt:lpstr>
      <vt:lpstr>应付票据</vt:lpstr>
      <vt:lpstr>应付账款</vt:lpstr>
      <vt:lpstr>预收账款</vt:lpstr>
      <vt:lpstr>职工薪酬</vt:lpstr>
      <vt:lpstr>应交税费</vt:lpstr>
      <vt:lpstr>应付利息</vt:lpstr>
      <vt:lpstr>应付股利（利润）</vt:lpstr>
      <vt:lpstr>其他应付款</vt:lpstr>
      <vt:lpstr>一年到期非流动负债</vt:lpstr>
      <vt:lpstr>其他流动负债</vt:lpstr>
      <vt:lpstr>非流动负债汇总 </vt:lpstr>
      <vt:lpstr>长期借款</vt:lpstr>
      <vt:lpstr>应付债券</vt:lpstr>
      <vt:lpstr>长期应付款</vt:lpstr>
      <vt:lpstr>专项应付款</vt:lpstr>
      <vt:lpstr>预计负债</vt:lpstr>
      <vt:lpstr>租赁负债</vt:lpstr>
      <vt:lpstr>递延所得税负债</vt:lpstr>
      <vt:lpstr>其他非流动负债</vt:lpstr>
      <vt:lpstr>00000000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新版通用申报表</dc:title>
  <dc:creator>Seaman</dc:creator>
  <cp:lastModifiedBy>JAMTX随便吧</cp:lastModifiedBy>
  <dcterms:created xsi:type="dcterms:W3CDTF">1999-04-07T08:44:00Z</dcterms:created>
  <cp:lastPrinted>2020-04-28T03:08:00Z</cp:lastPrinted>
  <dcterms:modified xsi:type="dcterms:W3CDTF">2026-09-15T09:51:22Z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1DFED94AA4A24E4A94AE9980958A18FB_13</vt:lpwstr>
  </property>
  <property fmtid="{D5CDD505-2E9C-101B-9397-08002B2CF9AE}" pid="4" name="KSOReadingLayout">
    <vt:bool>false</vt:bool>
  </property>
  <property fmtid="{D5CDD505-2E9C-101B-9397-08002B2CF9AE}" pid="5" name="CalculationRule">
    <vt:i4>0</vt:i4>
  </property>
</Properties>
</file>